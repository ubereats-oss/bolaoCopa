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cucloud-my.sharepoint.com/personal/camilaad_tcu_gov_br/Documents/Corregedoria/Pessoal/"/>
    </mc:Choice>
  </mc:AlternateContent>
  <xr:revisionPtr revIDLastSave="38" documentId="8_{B282438C-129F-4C77-BF7A-B0EF8981F22A}" xr6:coauthVersionLast="47" xr6:coauthVersionMax="47" xr10:uidLastSave="{EAFE1B47-8DBE-4E0B-948B-0A4F633E4946}"/>
  <bookViews>
    <workbookView xWindow="-120" yWindow="-120" windowWidth="29040" windowHeight="15840" activeTab="4" xr2:uid="{BB5E7AA8-A2E2-4CF3-8C1E-C88D7B9E6FD3}"/>
  </bookViews>
  <sheets>
    <sheet name="Original" sheetId="1" r:id="rId1"/>
    <sheet name="Acumulado" sheetId="3" r:id="rId2"/>
    <sheet name="Ranking" sheetId="9" r:id="rId3"/>
    <sheet name="UnPivot" sheetId="11" r:id="rId4"/>
    <sheet name="Gráfico" sheetId="12" r:id="rId5"/>
  </sheets>
  <definedNames>
    <definedName name="DadosExternos_1" localSheetId="3" hidden="1">UnPivot!$A$1:$D$8323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0" i="3" s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8" i="3" s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2" i="3" s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4" i="3" s="1"/>
  <c r="B115" i="1"/>
  <c r="B2" i="1"/>
  <c r="D4" i="3"/>
  <c r="D5" i="3"/>
  <c r="D24" i="3"/>
  <c r="D48" i="3"/>
  <c r="D49" i="3"/>
  <c r="D56" i="3"/>
  <c r="D80" i="3"/>
  <c r="D81" i="3"/>
  <c r="E81" i="3" s="1"/>
  <c r="D88" i="3"/>
  <c r="D112" i="3"/>
  <c r="D113" i="3"/>
  <c r="E113" i="3" s="1"/>
  <c r="C3" i="3"/>
  <c r="D3" i="3" s="1"/>
  <c r="C4" i="3"/>
  <c r="C5" i="3"/>
  <c r="C6" i="3"/>
  <c r="D6" i="3" s="1"/>
  <c r="C7" i="3"/>
  <c r="C8" i="3"/>
  <c r="D8" i="3" s="1"/>
  <c r="C9" i="3"/>
  <c r="C10" i="3"/>
  <c r="C11" i="3"/>
  <c r="C12" i="3"/>
  <c r="C13" i="3"/>
  <c r="C14" i="3"/>
  <c r="D14" i="3" s="1"/>
  <c r="C15" i="3"/>
  <c r="C16" i="3"/>
  <c r="C17" i="3"/>
  <c r="C18" i="3"/>
  <c r="C19" i="3"/>
  <c r="C20" i="3"/>
  <c r="C21" i="3"/>
  <c r="C22" i="3"/>
  <c r="C23" i="3"/>
  <c r="D23" i="3" s="1"/>
  <c r="C24" i="3"/>
  <c r="C25" i="3"/>
  <c r="D25" i="3" s="1"/>
  <c r="C26" i="3"/>
  <c r="C27" i="3"/>
  <c r="C28" i="3"/>
  <c r="C29" i="3"/>
  <c r="C30" i="3"/>
  <c r="C31" i="3"/>
  <c r="D31" i="3" s="1"/>
  <c r="C32" i="3"/>
  <c r="D32" i="3" s="1"/>
  <c r="C33" i="3"/>
  <c r="D33" i="3" s="1"/>
  <c r="E33" i="3" s="1"/>
  <c r="C34" i="3"/>
  <c r="C35" i="3"/>
  <c r="C36" i="3"/>
  <c r="C37" i="3"/>
  <c r="C38" i="3"/>
  <c r="D38" i="3" s="1"/>
  <c r="C39" i="3"/>
  <c r="D39" i="3" s="1"/>
  <c r="C40" i="3"/>
  <c r="D40" i="3" s="1"/>
  <c r="C41" i="3"/>
  <c r="D41" i="3" s="1"/>
  <c r="E41" i="3" s="1"/>
  <c r="C42" i="3"/>
  <c r="C43" i="3"/>
  <c r="C44" i="3"/>
  <c r="C45" i="3"/>
  <c r="C46" i="3"/>
  <c r="D46" i="3" s="1"/>
  <c r="C47" i="3"/>
  <c r="D47" i="3" s="1"/>
  <c r="C48" i="3"/>
  <c r="C49" i="3"/>
  <c r="C50" i="3"/>
  <c r="C51" i="3"/>
  <c r="C52" i="3"/>
  <c r="C53" i="3"/>
  <c r="C54" i="3"/>
  <c r="C55" i="3"/>
  <c r="D55" i="3" s="1"/>
  <c r="C56" i="3"/>
  <c r="C57" i="3"/>
  <c r="D57" i="3" s="1"/>
  <c r="C58" i="3"/>
  <c r="C59" i="3"/>
  <c r="C60" i="3"/>
  <c r="C61" i="3"/>
  <c r="C62" i="3"/>
  <c r="C63" i="3"/>
  <c r="D63" i="3" s="1"/>
  <c r="C64" i="3"/>
  <c r="D64" i="3" s="1"/>
  <c r="E64" i="3" s="1"/>
  <c r="C65" i="3"/>
  <c r="D65" i="3" s="1"/>
  <c r="C66" i="3"/>
  <c r="C67" i="3"/>
  <c r="C68" i="3"/>
  <c r="C69" i="3"/>
  <c r="C70" i="3"/>
  <c r="C71" i="3"/>
  <c r="C72" i="3"/>
  <c r="D72" i="3" s="1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D96" i="3" s="1"/>
  <c r="C97" i="3"/>
  <c r="C98" i="3"/>
  <c r="C99" i="3"/>
  <c r="C100" i="3"/>
  <c r="C101" i="3"/>
  <c r="C102" i="3"/>
  <c r="D102" i="3" s="1"/>
  <c r="C103" i="3"/>
  <c r="D103" i="3" s="1"/>
  <c r="C104" i="3"/>
  <c r="D104" i="3" s="1"/>
  <c r="C105" i="3"/>
  <c r="C106" i="3"/>
  <c r="C107" i="3"/>
  <c r="C108" i="3"/>
  <c r="C109" i="3"/>
  <c r="C110" i="3"/>
  <c r="C111" i="3"/>
  <c r="C112" i="3"/>
  <c r="C113" i="3"/>
  <c r="C114" i="3"/>
  <c r="C115" i="3"/>
  <c r="C2" i="3"/>
  <c r="A2" i="3"/>
  <c r="A2" i="9" s="1"/>
  <c r="A3" i="3"/>
  <c r="A3" i="9" s="1"/>
  <c r="A4" i="3"/>
  <c r="A4" i="9" s="1"/>
  <c r="A5" i="3"/>
  <c r="A5" i="9" s="1"/>
  <c r="A6" i="3"/>
  <c r="A6" i="9" s="1"/>
  <c r="A7" i="3"/>
  <c r="A7" i="9" s="1"/>
  <c r="A8" i="3"/>
  <c r="A8" i="9" s="1"/>
  <c r="A9" i="3"/>
  <c r="A9" i="9" s="1"/>
  <c r="A10" i="3"/>
  <c r="A10" i="9" s="1"/>
  <c r="A11" i="3"/>
  <c r="A11" i="9" s="1"/>
  <c r="A12" i="3"/>
  <c r="A12" i="9" s="1"/>
  <c r="A13" i="3"/>
  <c r="A13" i="9" s="1"/>
  <c r="A14" i="3"/>
  <c r="A14" i="9" s="1"/>
  <c r="A15" i="3"/>
  <c r="A15" i="9" s="1"/>
  <c r="A16" i="3"/>
  <c r="A16" i="9" s="1"/>
  <c r="A17" i="3"/>
  <c r="A17" i="9" s="1"/>
  <c r="A18" i="3"/>
  <c r="A18" i="9" s="1"/>
  <c r="A19" i="3"/>
  <c r="A19" i="9" s="1"/>
  <c r="A20" i="3"/>
  <c r="A20" i="9" s="1"/>
  <c r="A21" i="3"/>
  <c r="A21" i="9" s="1"/>
  <c r="A22" i="3"/>
  <c r="A22" i="9" s="1"/>
  <c r="A23" i="3"/>
  <c r="A23" i="9" s="1"/>
  <c r="A24" i="3"/>
  <c r="A24" i="9" s="1"/>
  <c r="A25" i="3"/>
  <c r="A25" i="9" s="1"/>
  <c r="A26" i="3"/>
  <c r="A26" i="9" s="1"/>
  <c r="A27" i="3"/>
  <c r="A27" i="9" s="1"/>
  <c r="A28" i="3"/>
  <c r="A28" i="9" s="1"/>
  <c r="A29" i="3"/>
  <c r="A29" i="9" s="1"/>
  <c r="A30" i="3"/>
  <c r="A30" i="9" s="1"/>
  <c r="A31" i="3"/>
  <c r="A31" i="9" s="1"/>
  <c r="A32" i="3"/>
  <c r="A32" i="9" s="1"/>
  <c r="A33" i="3"/>
  <c r="A33" i="9" s="1"/>
  <c r="A34" i="3"/>
  <c r="A34" i="9" s="1"/>
  <c r="A35" i="3"/>
  <c r="A35" i="9" s="1"/>
  <c r="A36" i="3"/>
  <c r="A36" i="9" s="1"/>
  <c r="A37" i="3"/>
  <c r="A37" i="9" s="1"/>
  <c r="A38" i="3"/>
  <c r="A38" i="9" s="1"/>
  <c r="A39" i="3"/>
  <c r="A39" i="9" s="1"/>
  <c r="A40" i="3"/>
  <c r="A40" i="9" s="1"/>
  <c r="A41" i="3"/>
  <c r="A41" i="9" s="1"/>
  <c r="A42" i="3"/>
  <c r="A42" i="9" s="1"/>
  <c r="A43" i="3"/>
  <c r="A43" i="9" s="1"/>
  <c r="A44" i="3"/>
  <c r="A44" i="9" s="1"/>
  <c r="A45" i="3"/>
  <c r="A45" i="9" s="1"/>
  <c r="A46" i="3"/>
  <c r="A46" i="9" s="1"/>
  <c r="A47" i="3"/>
  <c r="A47" i="9" s="1"/>
  <c r="A48" i="3"/>
  <c r="A48" i="9" s="1"/>
  <c r="A49" i="3"/>
  <c r="A49" i="9" s="1"/>
  <c r="A50" i="3"/>
  <c r="A50" i="9" s="1"/>
  <c r="A51" i="3"/>
  <c r="A51" i="9" s="1"/>
  <c r="A52" i="3"/>
  <c r="A52" i="9" s="1"/>
  <c r="A53" i="3"/>
  <c r="A53" i="9" s="1"/>
  <c r="A54" i="3"/>
  <c r="A54" i="9" s="1"/>
  <c r="A55" i="3"/>
  <c r="A55" i="9" s="1"/>
  <c r="A56" i="3"/>
  <c r="A56" i="9" s="1"/>
  <c r="A57" i="3"/>
  <c r="A57" i="9" s="1"/>
  <c r="A58" i="3"/>
  <c r="A58" i="9" s="1"/>
  <c r="A59" i="3"/>
  <c r="A59" i="9" s="1"/>
  <c r="A60" i="3"/>
  <c r="A60" i="9" s="1"/>
  <c r="A61" i="3"/>
  <c r="A61" i="9" s="1"/>
  <c r="A62" i="3"/>
  <c r="A62" i="9" s="1"/>
  <c r="A63" i="3"/>
  <c r="A63" i="9" s="1"/>
  <c r="A64" i="3"/>
  <c r="A64" i="9" s="1"/>
  <c r="A65" i="3"/>
  <c r="A65" i="9" s="1"/>
  <c r="A66" i="3"/>
  <c r="A66" i="9" s="1"/>
  <c r="A67" i="3"/>
  <c r="A67" i="9" s="1"/>
  <c r="A68" i="3"/>
  <c r="A68" i="9" s="1"/>
  <c r="A69" i="3"/>
  <c r="A69" i="9" s="1"/>
  <c r="A70" i="3"/>
  <c r="A70" i="9" s="1"/>
  <c r="A71" i="3"/>
  <c r="A71" i="9" s="1"/>
  <c r="A72" i="3"/>
  <c r="A72" i="9" s="1"/>
  <c r="A73" i="3"/>
  <c r="A73" i="9" s="1"/>
  <c r="A74" i="3"/>
  <c r="A74" i="9" s="1"/>
  <c r="A75" i="3"/>
  <c r="A75" i="9" s="1"/>
  <c r="A76" i="3"/>
  <c r="A76" i="9" s="1"/>
  <c r="A77" i="3"/>
  <c r="A77" i="9" s="1"/>
  <c r="A78" i="3"/>
  <c r="A78" i="9" s="1"/>
  <c r="A79" i="3"/>
  <c r="A79" i="9" s="1"/>
  <c r="A80" i="3"/>
  <c r="A80" i="9" s="1"/>
  <c r="A81" i="3"/>
  <c r="A81" i="9" s="1"/>
  <c r="A82" i="3"/>
  <c r="A82" i="9" s="1"/>
  <c r="A83" i="3"/>
  <c r="A83" i="9" s="1"/>
  <c r="A84" i="3"/>
  <c r="A84" i="9" s="1"/>
  <c r="A85" i="3"/>
  <c r="A85" i="9" s="1"/>
  <c r="A86" i="3"/>
  <c r="A86" i="9" s="1"/>
  <c r="A87" i="3"/>
  <c r="A87" i="9" s="1"/>
  <c r="A88" i="3"/>
  <c r="A88" i="9" s="1"/>
  <c r="A89" i="3"/>
  <c r="A89" i="9" s="1"/>
  <c r="A90" i="3"/>
  <c r="A90" i="9" s="1"/>
  <c r="A91" i="3"/>
  <c r="A91" i="9" s="1"/>
  <c r="A92" i="3"/>
  <c r="A92" i="9" s="1"/>
  <c r="A93" i="3"/>
  <c r="A93" i="9" s="1"/>
  <c r="A94" i="3"/>
  <c r="A94" i="9" s="1"/>
  <c r="A95" i="3"/>
  <c r="A95" i="9" s="1"/>
  <c r="A96" i="3"/>
  <c r="A96" i="9" s="1"/>
  <c r="A97" i="3"/>
  <c r="A97" i="9" s="1"/>
  <c r="A98" i="3"/>
  <c r="A98" i="9" s="1"/>
  <c r="A99" i="3"/>
  <c r="A99" i="9" s="1"/>
  <c r="A100" i="3"/>
  <c r="A100" i="9" s="1"/>
  <c r="A101" i="3"/>
  <c r="A101" i="9" s="1"/>
  <c r="A102" i="3"/>
  <c r="A102" i="9" s="1"/>
  <c r="A103" i="3"/>
  <c r="A103" i="9" s="1"/>
  <c r="A104" i="3"/>
  <c r="A104" i="9" s="1"/>
  <c r="A105" i="3"/>
  <c r="A105" i="9" s="1"/>
  <c r="A106" i="3"/>
  <c r="A106" i="9" s="1"/>
  <c r="A107" i="3"/>
  <c r="A107" i="9" s="1"/>
  <c r="A108" i="3"/>
  <c r="A108" i="9" s="1"/>
  <c r="A109" i="3"/>
  <c r="A109" i="9" s="1"/>
  <c r="A110" i="3"/>
  <c r="A110" i="9" s="1"/>
  <c r="A111" i="3"/>
  <c r="A111" i="9" s="1"/>
  <c r="A112" i="3"/>
  <c r="A112" i="9" s="1"/>
  <c r="A113" i="3"/>
  <c r="A113" i="9" s="1"/>
  <c r="A114" i="3"/>
  <c r="A114" i="9" s="1"/>
  <c r="A115" i="3"/>
  <c r="A115" i="9" s="1"/>
  <c r="B49" i="3"/>
  <c r="B68" i="3"/>
  <c r="B60" i="3"/>
  <c r="B71" i="3"/>
  <c r="B91" i="3"/>
  <c r="B51" i="3"/>
  <c r="B57" i="3"/>
  <c r="B54" i="3"/>
  <c r="B8" i="3"/>
  <c r="B64" i="3"/>
  <c r="B3" i="3"/>
  <c r="B29" i="3"/>
  <c r="B32" i="3"/>
  <c r="B22" i="3"/>
  <c r="B80" i="3"/>
  <c r="B95" i="3"/>
  <c r="B76" i="3"/>
  <c r="B19" i="3"/>
  <c r="B65" i="3"/>
  <c r="B15" i="3"/>
  <c r="B7" i="3"/>
  <c r="B55" i="3"/>
  <c r="B11" i="3"/>
  <c r="B23" i="3"/>
  <c r="B38" i="3"/>
  <c r="B31" i="3"/>
  <c r="B26" i="3"/>
  <c r="B81" i="3"/>
  <c r="B92" i="3"/>
  <c r="B109" i="3"/>
  <c r="B20" i="3"/>
  <c r="B84" i="3"/>
  <c r="B85" i="3"/>
  <c r="B48" i="3"/>
  <c r="B50" i="3"/>
  <c r="B27" i="3"/>
  <c r="B39" i="3"/>
  <c r="B115" i="3"/>
  <c r="B41" i="3"/>
  <c r="B78" i="3"/>
  <c r="B25" i="3"/>
  <c r="B75" i="3"/>
  <c r="B89" i="3"/>
  <c r="B17" i="3"/>
  <c r="B6" i="3"/>
  <c r="B5" i="3"/>
  <c r="B44" i="3"/>
  <c r="B69" i="3"/>
  <c r="B77" i="3"/>
  <c r="B101" i="3"/>
  <c r="B53" i="3"/>
  <c r="B67" i="3"/>
  <c r="B2" i="3" l="1"/>
  <c r="B113" i="3"/>
  <c r="B97" i="3"/>
  <c r="B63" i="3"/>
  <c r="B110" i="3"/>
  <c r="C97" i="9"/>
  <c r="B34" i="3"/>
  <c r="B37" i="3"/>
  <c r="B4" i="3"/>
  <c r="B27" i="9" s="1"/>
  <c r="B93" i="3"/>
  <c r="B70" i="3"/>
  <c r="B40" i="3"/>
  <c r="B61" i="3"/>
  <c r="B21" i="3"/>
  <c r="B43" i="3"/>
  <c r="B94" i="3"/>
  <c r="B66" i="3"/>
  <c r="B62" i="3"/>
  <c r="B12" i="3"/>
  <c r="B74" i="9" s="1"/>
  <c r="B83" i="3"/>
  <c r="B18" i="3"/>
  <c r="B74" i="3"/>
  <c r="C111" i="9"/>
  <c r="C95" i="9"/>
  <c r="C87" i="9"/>
  <c r="C79" i="9"/>
  <c r="C71" i="9"/>
  <c r="B90" i="3"/>
  <c r="B28" i="3"/>
  <c r="B52" i="3"/>
  <c r="C113" i="9"/>
  <c r="C73" i="9"/>
  <c r="B13" i="3"/>
  <c r="B73" i="3"/>
  <c r="D73" i="3"/>
  <c r="E73" i="3" s="1"/>
  <c r="B86" i="3"/>
  <c r="B9" i="3"/>
  <c r="B102" i="3"/>
  <c r="B96" i="3"/>
  <c r="B111" i="3"/>
  <c r="B111" i="9" s="1"/>
  <c r="B100" i="3"/>
  <c r="B35" i="3"/>
  <c r="B98" i="3"/>
  <c r="B72" i="3"/>
  <c r="B59" i="3"/>
  <c r="B46" i="3"/>
  <c r="C110" i="9"/>
  <c r="C94" i="9"/>
  <c r="C86" i="9"/>
  <c r="C78" i="9"/>
  <c r="C70" i="9"/>
  <c r="C62" i="9"/>
  <c r="C54" i="9"/>
  <c r="C30" i="9"/>
  <c r="C22" i="9"/>
  <c r="D97" i="3"/>
  <c r="E97" i="3" s="1"/>
  <c r="F97" i="3" s="1"/>
  <c r="C105" i="9"/>
  <c r="B107" i="3"/>
  <c r="B30" i="3"/>
  <c r="B105" i="3"/>
  <c r="B106" i="3"/>
  <c r="B104" i="3"/>
  <c r="B87" i="3"/>
  <c r="B16" i="3"/>
  <c r="B42" i="3"/>
  <c r="B36" i="3"/>
  <c r="B14" i="3"/>
  <c r="C89" i="9"/>
  <c r="B103" i="3"/>
  <c r="D105" i="3"/>
  <c r="E105" i="3" s="1"/>
  <c r="B108" i="3"/>
  <c r="B56" i="3"/>
  <c r="B47" i="3"/>
  <c r="B47" i="9" s="1"/>
  <c r="B24" i="3"/>
  <c r="B112" i="3"/>
  <c r="B99" i="3"/>
  <c r="B88" i="3"/>
  <c r="B33" i="3"/>
  <c r="B45" i="3"/>
  <c r="B79" i="3"/>
  <c r="D89" i="3"/>
  <c r="E89" i="3" s="1"/>
  <c r="F89" i="3" s="1"/>
  <c r="E3" i="3"/>
  <c r="F113" i="3"/>
  <c r="F81" i="3"/>
  <c r="E8" i="3"/>
  <c r="F73" i="3"/>
  <c r="F41" i="3"/>
  <c r="E103" i="3"/>
  <c r="E63" i="3"/>
  <c r="E55" i="3"/>
  <c r="E47" i="3"/>
  <c r="E39" i="3"/>
  <c r="E31" i="3"/>
  <c r="E23" i="3"/>
  <c r="E46" i="3"/>
  <c r="E38" i="3"/>
  <c r="E14" i="3"/>
  <c r="E6" i="3"/>
  <c r="F33" i="3"/>
  <c r="F64" i="3"/>
  <c r="B59" i="9"/>
  <c r="E102" i="3"/>
  <c r="E96" i="3"/>
  <c r="E80" i="3"/>
  <c r="E72" i="3"/>
  <c r="E40" i="3"/>
  <c r="E4" i="3"/>
  <c r="C81" i="9"/>
  <c r="C46" i="9"/>
  <c r="C109" i="9"/>
  <c r="C101" i="9"/>
  <c r="C93" i="9"/>
  <c r="C85" i="9"/>
  <c r="C77" i="9"/>
  <c r="C69" i="9"/>
  <c r="C61" i="9"/>
  <c r="C53" i="9"/>
  <c r="C45" i="9"/>
  <c r="C37" i="9"/>
  <c r="C29" i="9"/>
  <c r="C21" i="9"/>
  <c r="C13" i="9"/>
  <c r="C5" i="9"/>
  <c r="D111" i="3"/>
  <c r="D95" i="3"/>
  <c r="D87" i="3"/>
  <c r="D79" i="3"/>
  <c r="D71" i="3"/>
  <c r="D13" i="3"/>
  <c r="C102" i="9"/>
  <c r="C38" i="9"/>
  <c r="E56" i="3"/>
  <c r="C2" i="9"/>
  <c r="C108" i="9"/>
  <c r="C100" i="9"/>
  <c r="C92" i="9"/>
  <c r="C84" i="9"/>
  <c r="C76" i="9"/>
  <c r="C68" i="9"/>
  <c r="C60" i="9"/>
  <c r="C52" i="9"/>
  <c r="C44" i="9"/>
  <c r="C36" i="9"/>
  <c r="C28" i="9"/>
  <c r="C20" i="9"/>
  <c r="C12" i="9"/>
  <c r="C4" i="9"/>
  <c r="D110" i="3"/>
  <c r="D94" i="3"/>
  <c r="D86" i="3"/>
  <c r="D78" i="3"/>
  <c r="D70" i="3"/>
  <c r="D62" i="3"/>
  <c r="D54" i="3"/>
  <c r="D30" i="3"/>
  <c r="D22" i="3"/>
  <c r="D12" i="3"/>
  <c r="E88" i="3"/>
  <c r="C115" i="9"/>
  <c r="C107" i="9"/>
  <c r="C99" i="9"/>
  <c r="C91" i="9"/>
  <c r="C83" i="9"/>
  <c r="C75" i="9"/>
  <c r="C67" i="9"/>
  <c r="C59" i="9"/>
  <c r="C51" i="9"/>
  <c r="C43" i="9"/>
  <c r="C35" i="9"/>
  <c r="C27" i="9"/>
  <c r="C19" i="9"/>
  <c r="C11" i="9"/>
  <c r="C3" i="9"/>
  <c r="D109" i="3"/>
  <c r="D101" i="3"/>
  <c r="D93" i="3"/>
  <c r="D85" i="3"/>
  <c r="D77" i="3"/>
  <c r="D69" i="3"/>
  <c r="D61" i="3"/>
  <c r="D53" i="3"/>
  <c r="D45" i="3"/>
  <c r="D37" i="3"/>
  <c r="D29" i="3"/>
  <c r="D21" i="3"/>
  <c r="D11" i="3"/>
  <c r="D73" i="9" s="1"/>
  <c r="E112" i="3"/>
  <c r="C114" i="9"/>
  <c r="C106" i="9"/>
  <c r="C98" i="9"/>
  <c r="C90" i="9"/>
  <c r="C82" i="9"/>
  <c r="C74" i="9"/>
  <c r="C66" i="9"/>
  <c r="C58" i="9"/>
  <c r="C50" i="9"/>
  <c r="C42" i="9"/>
  <c r="C34" i="9"/>
  <c r="C26" i="9"/>
  <c r="C18" i="9"/>
  <c r="C10" i="9"/>
  <c r="D2" i="3"/>
  <c r="D108" i="3"/>
  <c r="D100" i="3"/>
  <c r="D92" i="3"/>
  <c r="D84" i="3"/>
  <c r="D76" i="3"/>
  <c r="D68" i="3"/>
  <c r="D60" i="3"/>
  <c r="D52" i="3"/>
  <c r="D44" i="3"/>
  <c r="D36" i="3"/>
  <c r="D28" i="3"/>
  <c r="D20" i="3"/>
  <c r="D10" i="3"/>
  <c r="E24" i="3"/>
  <c r="C14" i="9"/>
  <c r="E48" i="3"/>
  <c r="E32" i="3"/>
  <c r="C103" i="9"/>
  <c r="C65" i="9"/>
  <c r="C57" i="9"/>
  <c r="C49" i="9"/>
  <c r="C41" i="9"/>
  <c r="C33" i="9"/>
  <c r="C25" i="9"/>
  <c r="C17" i="9"/>
  <c r="D17" i="3"/>
  <c r="C9" i="9"/>
  <c r="D9" i="3"/>
  <c r="D115" i="3"/>
  <c r="D107" i="3"/>
  <c r="D99" i="3"/>
  <c r="D91" i="3"/>
  <c r="D83" i="3"/>
  <c r="D75" i="3"/>
  <c r="D67" i="3"/>
  <c r="D59" i="3"/>
  <c r="D51" i="3"/>
  <c r="D43" i="3"/>
  <c r="D35" i="3"/>
  <c r="D27" i="3"/>
  <c r="D19" i="3"/>
  <c r="C6" i="9"/>
  <c r="C112" i="9"/>
  <c r="C104" i="9"/>
  <c r="C96" i="9"/>
  <c r="C88" i="9"/>
  <c r="C80" i="9"/>
  <c r="C72" i="9"/>
  <c r="C64" i="9"/>
  <c r="C56" i="9"/>
  <c r="C48" i="9"/>
  <c r="C40" i="9"/>
  <c r="C32" i="9"/>
  <c r="C24" i="9"/>
  <c r="C16" i="9"/>
  <c r="C8" i="9"/>
  <c r="D114" i="3"/>
  <c r="D106" i="3"/>
  <c r="D98" i="3"/>
  <c r="D90" i="3"/>
  <c r="D82" i="3"/>
  <c r="D74" i="3"/>
  <c r="D66" i="3"/>
  <c r="D58" i="3"/>
  <c r="D50" i="3"/>
  <c r="D42" i="3"/>
  <c r="D34" i="3"/>
  <c r="D26" i="3"/>
  <c r="D18" i="3"/>
  <c r="C63" i="9"/>
  <c r="C55" i="9"/>
  <c r="C47" i="9"/>
  <c r="C39" i="9"/>
  <c r="C31" i="9"/>
  <c r="C23" i="9"/>
  <c r="C15" i="9"/>
  <c r="D15" i="3"/>
  <c r="C7" i="9"/>
  <c r="D7" i="3"/>
  <c r="E65" i="3"/>
  <c r="E57" i="3"/>
  <c r="E49" i="3"/>
  <c r="D33" i="9"/>
  <c r="E25" i="3"/>
  <c r="D16" i="3"/>
  <c r="E5" i="3"/>
  <c r="E104" i="3"/>
  <c r="B42" i="9" l="1"/>
  <c r="B13" i="9"/>
  <c r="B66" i="9"/>
  <c r="B32" i="9"/>
  <c r="B100" i="9"/>
  <c r="B50" i="9"/>
  <c r="B81" i="9"/>
  <c r="B45" i="9"/>
  <c r="B46" i="9"/>
  <c r="B75" i="9"/>
  <c r="B43" i="9"/>
  <c r="B71" i="9"/>
  <c r="B79" i="9"/>
  <c r="B16" i="9"/>
  <c r="B94" i="9"/>
  <c r="B37" i="9"/>
  <c r="B108" i="9"/>
  <c r="B87" i="9"/>
  <c r="B34" i="9"/>
  <c r="B69" i="9"/>
  <c r="B84" i="9"/>
  <c r="B93" i="9"/>
  <c r="B102" i="9"/>
  <c r="B99" i="9"/>
  <c r="B52" i="9"/>
  <c r="B4" i="9"/>
  <c r="B106" i="9"/>
  <c r="B35" i="9"/>
  <c r="B18" i="9"/>
  <c r="B73" i="9"/>
  <c r="B58" i="9"/>
  <c r="B5" i="9"/>
  <c r="B60" i="9"/>
  <c r="B114" i="9"/>
  <c r="B89" i="9"/>
  <c r="B83" i="9"/>
  <c r="B29" i="9"/>
  <c r="B25" i="9"/>
  <c r="B53" i="9"/>
  <c r="B12" i="9"/>
  <c r="B62" i="9"/>
  <c r="B41" i="9"/>
  <c r="B80" i="9"/>
  <c r="B17" i="9"/>
  <c r="B20" i="9"/>
  <c r="B36" i="9"/>
  <c r="B68" i="9"/>
  <c r="B31" i="9"/>
  <c r="B22" i="9"/>
  <c r="B6" i="9"/>
  <c r="B64" i="9"/>
  <c r="B78" i="9"/>
  <c r="B19" i="9"/>
  <c r="B101" i="9"/>
  <c r="B38" i="9"/>
  <c r="B67" i="9"/>
  <c r="B8" i="9"/>
  <c r="B21" i="9"/>
  <c r="B49" i="9"/>
  <c r="B82" i="9"/>
  <c r="B33" i="9"/>
  <c r="B61" i="9"/>
  <c r="B3" i="9"/>
  <c r="B65" i="9"/>
  <c r="D8" i="9"/>
  <c r="B104" i="9"/>
  <c r="B44" i="9"/>
  <c r="B51" i="9"/>
  <c r="B7" i="9"/>
  <c r="B110" i="9"/>
  <c r="B92" i="9"/>
  <c r="B76" i="9"/>
  <c r="B2" i="9"/>
  <c r="B55" i="9"/>
  <c r="B48" i="9"/>
  <c r="B30" i="9"/>
  <c r="B10" i="9"/>
  <c r="B70" i="9"/>
  <c r="B90" i="9"/>
  <c r="B109" i="9"/>
  <c r="B9" i="9"/>
  <c r="B56" i="9"/>
  <c r="B26" i="9"/>
  <c r="B39" i="9"/>
  <c r="B96" i="9"/>
  <c r="B107" i="9"/>
  <c r="B88" i="9"/>
  <c r="B40" i="9"/>
  <c r="B14" i="9"/>
  <c r="B113" i="9"/>
  <c r="D25" i="9"/>
  <c r="B112" i="9"/>
  <c r="B105" i="9"/>
  <c r="B98" i="9"/>
  <c r="B11" i="9"/>
  <c r="B95" i="9"/>
  <c r="B57" i="9"/>
  <c r="B23" i="9"/>
  <c r="B91" i="9"/>
  <c r="B85" i="9"/>
  <c r="B86" i="9"/>
  <c r="B24" i="9"/>
  <c r="B15" i="9"/>
  <c r="B72" i="9"/>
  <c r="B77" i="9"/>
  <c r="B103" i="9"/>
  <c r="B63" i="9"/>
  <c r="B28" i="9"/>
  <c r="B97" i="9"/>
  <c r="B54" i="9"/>
  <c r="B115" i="9"/>
  <c r="D17" i="9"/>
  <c r="E17" i="3"/>
  <c r="D102" i="9"/>
  <c r="D6" i="9"/>
  <c r="F47" i="3"/>
  <c r="G81" i="3"/>
  <c r="D41" i="9"/>
  <c r="D81" i="9"/>
  <c r="D15" i="9"/>
  <c r="E15" i="3"/>
  <c r="D66" i="9"/>
  <c r="E66" i="3"/>
  <c r="E19" i="3"/>
  <c r="D19" i="9"/>
  <c r="D83" i="9"/>
  <c r="E83" i="3"/>
  <c r="F32" i="3"/>
  <c r="D60" i="9"/>
  <c r="E60" i="3"/>
  <c r="D24" i="9"/>
  <c r="D45" i="9"/>
  <c r="E45" i="3"/>
  <c r="D109" i="9"/>
  <c r="E109" i="3"/>
  <c r="F88" i="3"/>
  <c r="D62" i="9"/>
  <c r="E62" i="3"/>
  <c r="D13" i="9"/>
  <c r="E13" i="3"/>
  <c r="F40" i="3"/>
  <c r="D104" i="9"/>
  <c r="D14" i="9"/>
  <c r="D47" i="9"/>
  <c r="G113" i="3"/>
  <c r="F3" i="3"/>
  <c r="D52" i="9"/>
  <c r="E52" i="3"/>
  <c r="F104" i="3"/>
  <c r="F49" i="3"/>
  <c r="D89" i="9"/>
  <c r="D74" i="9"/>
  <c r="E74" i="3"/>
  <c r="D27" i="9"/>
  <c r="E27" i="3"/>
  <c r="E91" i="3"/>
  <c r="D91" i="9"/>
  <c r="D32" i="9"/>
  <c r="F24" i="3"/>
  <c r="D68" i="9"/>
  <c r="E68" i="3"/>
  <c r="D53" i="9"/>
  <c r="E53" i="3"/>
  <c r="D88" i="9"/>
  <c r="D70" i="9"/>
  <c r="E70" i="3"/>
  <c r="D56" i="9"/>
  <c r="D71" i="9"/>
  <c r="E71" i="3"/>
  <c r="D40" i="9"/>
  <c r="F14" i="3"/>
  <c r="F23" i="3"/>
  <c r="F55" i="3"/>
  <c r="G73" i="3"/>
  <c r="D3" i="9"/>
  <c r="D37" i="9"/>
  <c r="E37" i="3"/>
  <c r="D54" i="9"/>
  <c r="E54" i="3"/>
  <c r="D96" i="9"/>
  <c r="F5" i="3"/>
  <c r="D49" i="9"/>
  <c r="D97" i="9"/>
  <c r="D18" i="9"/>
  <c r="E18" i="3"/>
  <c r="D82" i="9"/>
  <c r="E82" i="3"/>
  <c r="D35" i="9"/>
  <c r="E35" i="3"/>
  <c r="D99" i="9"/>
  <c r="E99" i="3"/>
  <c r="D78" i="9"/>
  <c r="E78" i="3"/>
  <c r="F56" i="3"/>
  <c r="D79" i="9"/>
  <c r="E79" i="3"/>
  <c r="F72" i="3"/>
  <c r="F38" i="3"/>
  <c r="D23" i="9"/>
  <c r="D55" i="9"/>
  <c r="F8" i="3"/>
  <c r="D75" i="9"/>
  <c r="E75" i="3"/>
  <c r="D4" i="9"/>
  <c r="F48" i="3"/>
  <c r="D10" i="9"/>
  <c r="E10" i="3"/>
  <c r="D76" i="9"/>
  <c r="E76" i="3"/>
  <c r="E61" i="3"/>
  <c r="D61" i="9"/>
  <c r="D5" i="9"/>
  <c r="F57" i="3"/>
  <c r="D105" i="9"/>
  <c r="E26" i="3"/>
  <c r="D26" i="9"/>
  <c r="D90" i="9"/>
  <c r="E90" i="3"/>
  <c r="E43" i="3"/>
  <c r="D43" i="9"/>
  <c r="D107" i="9"/>
  <c r="E107" i="3"/>
  <c r="D48" i="9"/>
  <c r="E20" i="3"/>
  <c r="D20" i="9"/>
  <c r="D84" i="9"/>
  <c r="E84" i="3"/>
  <c r="F112" i="3"/>
  <c r="E69" i="3"/>
  <c r="D69" i="9"/>
  <c r="D86" i="9"/>
  <c r="E86" i="3"/>
  <c r="D112" i="9"/>
  <c r="E87" i="3"/>
  <c r="D87" i="9"/>
  <c r="D72" i="9"/>
  <c r="G33" i="3"/>
  <c r="D38" i="9"/>
  <c r="D31" i="9"/>
  <c r="F63" i="3"/>
  <c r="D2" i="9"/>
  <c r="E2" i="3"/>
  <c r="D101" i="9"/>
  <c r="E101" i="3"/>
  <c r="D16" i="9"/>
  <c r="E16" i="3"/>
  <c r="D57" i="9"/>
  <c r="F105" i="3"/>
  <c r="D34" i="9"/>
  <c r="E34" i="3"/>
  <c r="D98" i="9"/>
  <c r="E98" i="3"/>
  <c r="E51" i="3"/>
  <c r="D51" i="9"/>
  <c r="D115" i="9"/>
  <c r="E115" i="3"/>
  <c r="D64" i="9"/>
  <c r="D28" i="9"/>
  <c r="E28" i="3"/>
  <c r="E92" i="3"/>
  <c r="D92" i="9"/>
  <c r="E11" i="3"/>
  <c r="D11" i="9"/>
  <c r="D77" i="9"/>
  <c r="E77" i="3"/>
  <c r="E12" i="3"/>
  <c r="D12" i="9"/>
  <c r="D94" i="9"/>
  <c r="E94" i="3"/>
  <c r="D95" i="9"/>
  <c r="E95" i="3"/>
  <c r="F80" i="3"/>
  <c r="G64" i="3"/>
  <c r="D46" i="9"/>
  <c r="F31" i="3"/>
  <c r="D63" i="9"/>
  <c r="D58" i="9"/>
  <c r="E58" i="3"/>
  <c r="F25" i="3"/>
  <c r="D65" i="9"/>
  <c r="D113" i="9"/>
  <c r="D42" i="9"/>
  <c r="E42" i="3"/>
  <c r="D106" i="9"/>
  <c r="E106" i="3"/>
  <c r="D59" i="9"/>
  <c r="E59" i="3"/>
  <c r="D9" i="9"/>
  <c r="E9" i="3"/>
  <c r="D36" i="9"/>
  <c r="E36" i="3"/>
  <c r="D100" i="9"/>
  <c r="E100" i="3"/>
  <c r="D21" i="9"/>
  <c r="E21" i="3"/>
  <c r="E85" i="3"/>
  <c r="D85" i="9"/>
  <c r="D22" i="9"/>
  <c r="E22" i="3"/>
  <c r="D110" i="9"/>
  <c r="E110" i="3"/>
  <c r="D111" i="9"/>
  <c r="E111" i="3"/>
  <c r="D80" i="9"/>
  <c r="G89" i="3"/>
  <c r="G97" i="3"/>
  <c r="F46" i="3"/>
  <c r="F39" i="3"/>
  <c r="F103" i="3"/>
  <c r="F65" i="3"/>
  <c r="D7" i="9"/>
  <c r="E7" i="3"/>
  <c r="D50" i="9"/>
  <c r="E50" i="3"/>
  <c r="D114" i="9"/>
  <c r="E114" i="3"/>
  <c r="D67" i="9"/>
  <c r="E67" i="3"/>
  <c r="D44" i="9"/>
  <c r="E44" i="3"/>
  <c r="E108" i="3"/>
  <c r="D108" i="9"/>
  <c r="D29" i="9"/>
  <c r="E29" i="3"/>
  <c r="D93" i="9"/>
  <c r="E93" i="3"/>
  <c r="D30" i="9"/>
  <c r="E30" i="3"/>
  <c r="F4" i="3"/>
  <c r="F96" i="3"/>
  <c r="F102" i="3"/>
  <c r="F6" i="3"/>
  <c r="D39" i="9"/>
  <c r="D103" i="9"/>
  <c r="G41" i="3"/>
  <c r="E23" i="9" l="1"/>
  <c r="E103" i="9"/>
  <c r="E96" i="9"/>
  <c r="E32" i="9"/>
  <c r="F11" i="3"/>
  <c r="E11" i="9"/>
  <c r="F90" i="3"/>
  <c r="E90" i="9"/>
  <c r="G49" i="3"/>
  <c r="G96" i="3"/>
  <c r="G103" i="3"/>
  <c r="F9" i="3"/>
  <c r="E9" i="9"/>
  <c r="E31" i="9"/>
  <c r="F94" i="3"/>
  <c r="E94" i="9"/>
  <c r="F51" i="3"/>
  <c r="E51" i="9"/>
  <c r="F16" i="3"/>
  <c r="E16" i="9"/>
  <c r="F86" i="3"/>
  <c r="E86" i="9"/>
  <c r="F61" i="3"/>
  <c r="E61" i="9"/>
  <c r="F75" i="3"/>
  <c r="E75" i="9"/>
  <c r="E72" i="9"/>
  <c r="E99" i="9"/>
  <c r="F99" i="3"/>
  <c r="E14" i="9"/>
  <c r="E49" i="9"/>
  <c r="F62" i="3"/>
  <c r="E62" i="9"/>
  <c r="E19" i="9"/>
  <c r="F19" i="3"/>
  <c r="H81" i="3"/>
  <c r="E38" i="9"/>
  <c r="H113" i="3"/>
  <c r="E4" i="9"/>
  <c r="E50" i="9"/>
  <c r="F50" i="3"/>
  <c r="G39" i="3"/>
  <c r="F85" i="3"/>
  <c r="E85" i="9"/>
  <c r="F92" i="3"/>
  <c r="E92" i="9"/>
  <c r="F98" i="3"/>
  <c r="E98" i="9"/>
  <c r="F20" i="3"/>
  <c r="E20" i="9"/>
  <c r="F76" i="3"/>
  <c r="E76" i="9"/>
  <c r="G72" i="3"/>
  <c r="G14" i="3"/>
  <c r="E53" i="9"/>
  <c r="F53" i="3"/>
  <c r="F91" i="3"/>
  <c r="E91" i="9"/>
  <c r="E104" i="9"/>
  <c r="F60" i="3"/>
  <c r="E60" i="9"/>
  <c r="F66" i="3"/>
  <c r="E66" i="9"/>
  <c r="G47" i="3"/>
  <c r="E37" i="9"/>
  <c r="F37" i="3"/>
  <c r="G4" i="3"/>
  <c r="F108" i="3"/>
  <c r="E108" i="9"/>
  <c r="E39" i="9"/>
  <c r="E111" i="9"/>
  <c r="F111" i="3"/>
  <c r="E21" i="9"/>
  <c r="F21" i="3"/>
  <c r="E59" i="9"/>
  <c r="F59" i="3"/>
  <c r="G25" i="3"/>
  <c r="F28" i="3"/>
  <c r="E28" i="9"/>
  <c r="F101" i="3"/>
  <c r="E101" i="9"/>
  <c r="H33" i="3"/>
  <c r="F26" i="3"/>
  <c r="E26" i="9"/>
  <c r="E8" i="9"/>
  <c r="F79" i="3"/>
  <c r="E79" i="9"/>
  <c r="E35" i="9"/>
  <c r="F35" i="3"/>
  <c r="E5" i="9"/>
  <c r="H73" i="3"/>
  <c r="E27" i="9"/>
  <c r="F27" i="3"/>
  <c r="G104" i="3"/>
  <c r="E88" i="9"/>
  <c r="E47" i="9"/>
  <c r="H41" i="3"/>
  <c r="G63" i="3"/>
  <c r="E6" i="9"/>
  <c r="F30" i="3"/>
  <c r="E30" i="9"/>
  <c r="E44" i="9"/>
  <c r="F44" i="3"/>
  <c r="F7" i="3"/>
  <c r="F65" i="9" s="1"/>
  <c r="E7" i="9"/>
  <c r="G46" i="3"/>
  <c r="E25" i="9"/>
  <c r="H64" i="3"/>
  <c r="F12" i="3"/>
  <c r="E12" i="9"/>
  <c r="F34" i="3"/>
  <c r="E34" i="9"/>
  <c r="F69" i="3"/>
  <c r="E69" i="9"/>
  <c r="F107" i="3"/>
  <c r="E107" i="9"/>
  <c r="F10" i="3"/>
  <c r="E10" i="9"/>
  <c r="G8" i="3"/>
  <c r="G5" i="3"/>
  <c r="E71" i="9"/>
  <c r="F71" i="3"/>
  <c r="F68" i="3"/>
  <c r="E68" i="9"/>
  <c r="E52" i="9"/>
  <c r="F52" i="3"/>
  <c r="G88" i="3"/>
  <c r="F15" i="3"/>
  <c r="E15" i="9"/>
  <c r="F29" i="3"/>
  <c r="E29" i="9"/>
  <c r="E114" i="9"/>
  <c r="F114" i="3"/>
  <c r="H89" i="3"/>
  <c r="G31" i="3"/>
  <c r="G6" i="3"/>
  <c r="E46" i="9"/>
  <c r="E110" i="9"/>
  <c r="F110" i="3"/>
  <c r="F100" i="3"/>
  <c r="E100" i="9"/>
  <c r="F106" i="3"/>
  <c r="E106" i="9"/>
  <c r="E58" i="9"/>
  <c r="F58" i="3"/>
  <c r="E80" i="9"/>
  <c r="F77" i="3"/>
  <c r="E77" i="9"/>
  <c r="F2" i="3"/>
  <c r="E2" i="9"/>
  <c r="E81" i="9"/>
  <c r="E97" i="9"/>
  <c r="E89" i="9"/>
  <c r="E64" i="9"/>
  <c r="E33" i="9"/>
  <c r="E113" i="9"/>
  <c r="E41" i="9"/>
  <c r="E73" i="9"/>
  <c r="G112" i="3"/>
  <c r="E57" i="9"/>
  <c r="G56" i="3"/>
  <c r="F82" i="3"/>
  <c r="E82" i="9"/>
  <c r="G55" i="3"/>
  <c r="F74" i="3"/>
  <c r="E74" i="9"/>
  <c r="G40" i="3"/>
  <c r="F109" i="3"/>
  <c r="E109" i="9"/>
  <c r="G32" i="3"/>
  <c r="F93" i="3"/>
  <c r="E93" i="9"/>
  <c r="G80" i="3"/>
  <c r="F115" i="3"/>
  <c r="E115" i="9"/>
  <c r="E105" i="9"/>
  <c r="E112" i="9"/>
  <c r="G57" i="3"/>
  <c r="G48" i="3"/>
  <c r="E56" i="9"/>
  <c r="E54" i="9"/>
  <c r="F54" i="3"/>
  <c r="E55" i="9"/>
  <c r="E24" i="9"/>
  <c r="E3" i="9"/>
  <c r="E40" i="9"/>
  <c r="E83" i="9"/>
  <c r="F83" i="3"/>
  <c r="F17" i="3"/>
  <c r="E17" i="9"/>
  <c r="E102" i="9"/>
  <c r="F67" i="3"/>
  <c r="E67" i="9"/>
  <c r="E65" i="9"/>
  <c r="G102" i="3"/>
  <c r="G65" i="3"/>
  <c r="H97" i="3"/>
  <c r="F22" i="3"/>
  <c r="E22" i="9"/>
  <c r="E36" i="9"/>
  <c r="F36" i="3"/>
  <c r="E42" i="9"/>
  <c r="F42" i="3"/>
  <c r="E95" i="9"/>
  <c r="F95" i="3"/>
  <c r="G105" i="3"/>
  <c r="E63" i="9"/>
  <c r="E87" i="9"/>
  <c r="F87" i="3"/>
  <c r="F84" i="3"/>
  <c r="E84" i="9"/>
  <c r="E43" i="9"/>
  <c r="F43" i="3"/>
  <c r="E48" i="9"/>
  <c r="G38" i="3"/>
  <c r="F78" i="3"/>
  <c r="E78" i="9"/>
  <c r="F18" i="3"/>
  <c r="E18" i="9"/>
  <c r="G23" i="3"/>
  <c r="F70" i="3"/>
  <c r="E70" i="9"/>
  <c r="G24" i="3"/>
  <c r="G3" i="3"/>
  <c r="F13" i="3"/>
  <c r="E13" i="9"/>
  <c r="E45" i="9"/>
  <c r="F45" i="3"/>
  <c r="F104" i="9" l="1"/>
  <c r="F87" i="9"/>
  <c r="G87" i="3"/>
  <c r="H38" i="3"/>
  <c r="G21" i="3"/>
  <c r="F21" i="9"/>
  <c r="G60" i="3"/>
  <c r="F60" i="9"/>
  <c r="G75" i="3"/>
  <c r="F75" i="9"/>
  <c r="G51" i="3"/>
  <c r="F51" i="9"/>
  <c r="F96" i="9"/>
  <c r="G70" i="3"/>
  <c r="F70" i="9"/>
  <c r="F38" i="9"/>
  <c r="F102" i="9"/>
  <c r="H48" i="3"/>
  <c r="F80" i="9"/>
  <c r="H40" i="3"/>
  <c r="H56" i="3"/>
  <c r="F77" i="9"/>
  <c r="G77" i="3"/>
  <c r="G110" i="3"/>
  <c r="F110" i="9"/>
  <c r="I89" i="3"/>
  <c r="F88" i="9"/>
  <c r="F5" i="9"/>
  <c r="G69" i="3"/>
  <c r="F69" i="9"/>
  <c r="H46" i="3"/>
  <c r="G101" i="3"/>
  <c r="F101" i="9"/>
  <c r="F37" i="9"/>
  <c r="G37" i="3"/>
  <c r="H72" i="3"/>
  <c r="F92" i="9"/>
  <c r="G92" i="3"/>
  <c r="I113" i="3"/>
  <c r="G62" i="3"/>
  <c r="F62" i="9"/>
  <c r="H96" i="3"/>
  <c r="H24" i="3"/>
  <c r="G2" i="3"/>
  <c r="F2" i="9"/>
  <c r="F97" i="9"/>
  <c r="F73" i="9"/>
  <c r="F33" i="9"/>
  <c r="F64" i="9"/>
  <c r="F113" i="9"/>
  <c r="F89" i="9"/>
  <c r="F41" i="9"/>
  <c r="F81" i="9"/>
  <c r="H5" i="3"/>
  <c r="H104" i="3"/>
  <c r="H4" i="3"/>
  <c r="F72" i="9"/>
  <c r="F23" i="9"/>
  <c r="H105" i="3"/>
  <c r="F48" i="9"/>
  <c r="H80" i="3"/>
  <c r="F40" i="9"/>
  <c r="F56" i="9"/>
  <c r="G114" i="3"/>
  <c r="F114" i="9"/>
  <c r="F52" i="9"/>
  <c r="G52" i="3"/>
  <c r="F8" i="9"/>
  <c r="F46" i="9"/>
  <c r="F63" i="9"/>
  <c r="F27" i="9"/>
  <c r="G27" i="3"/>
  <c r="G79" i="3"/>
  <c r="F79" i="9"/>
  <c r="F111" i="9"/>
  <c r="G111" i="3"/>
  <c r="F61" i="9"/>
  <c r="G61" i="3"/>
  <c r="F94" i="9"/>
  <c r="G94" i="3"/>
  <c r="F49" i="9"/>
  <c r="G17" i="3"/>
  <c r="F17" i="9"/>
  <c r="F36" i="9"/>
  <c r="G36" i="3"/>
  <c r="H102" i="3"/>
  <c r="G83" i="3"/>
  <c r="F83" i="9"/>
  <c r="G109" i="3"/>
  <c r="F109" i="9"/>
  <c r="H88" i="3"/>
  <c r="H23" i="3"/>
  <c r="F105" i="9"/>
  <c r="G22" i="3"/>
  <c r="F22" i="9"/>
  <c r="H57" i="3"/>
  <c r="F58" i="9"/>
  <c r="G58" i="3"/>
  <c r="H8" i="3"/>
  <c r="G34" i="3"/>
  <c r="F34" i="9"/>
  <c r="H63" i="3"/>
  <c r="G28" i="3"/>
  <c r="F28" i="9"/>
  <c r="F47" i="9"/>
  <c r="G91" i="3"/>
  <c r="F91" i="9"/>
  <c r="G76" i="3"/>
  <c r="F76" i="9"/>
  <c r="G85" i="3"/>
  <c r="F85" i="9"/>
  <c r="H49" i="3"/>
  <c r="G115" i="3"/>
  <c r="F115" i="9"/>
  <c r="F82" i="9"/>
  <c r="G82" i="3"/>
  <c r="F100" i="9"/>
  <c r="G100" i="3"/>
  <c r="G95" i="3"/>
  <c r="F95" i="9"/>
  <c r="F6" i="9"/>
  <c r="H47" i="3"/>
  <c r="H39" i="3"/>
  <c r="I81" i="3"/>
  <c r="F99" i="9"/>
  <c r="G99" i="3"/>
  <c r="G86" i="3"/>
  <c r="F86" i="9"/>
  <c r="F13" i="9"/>
  <c r="G13" i="3"/>
  <c r="G67" i="3"/>
  <c r="F67" i="9"/>
  <c r="F57" i="9"/>
  <c r="F93" i="9"/>
  <c r="G93" i="3"/>
  <c r="F74" i="9"/>
  <c r="G74" i="3"/>
  <c r="F112" i="9"/>
  <c r="G7" i="3"/>
  <c r="F7" i="9"/>
  <c r="I41" i="3"/>
  <c r="H25" i="3"/>
  <c r="G53" i="3"/>
  <c r="F53" i="9"/>
  <c r="F3" i="9"/>
  <c r="G18" i="3"/>
  <c r="F18" i="9"/>
  <c r="I97" i="3"/>
  <c r="F32" i="9"/>
  <c r="F55" i="9"/>
  <c r="H112" i="3"/>
  <c r="H6" i="3"/>
  <c r="G29" i="3"/>
  <c r="F29" i="9"/>
  <c r="F68" i="9"/>
  <c r="G68" i="3"/>
  <c r="G10" i="3"/>
  <c r="F10" i="9"/>
  <c r="G12" i="3"/>
  <c r="F12" i="9"/>
  <c r="F44" i="9"/>
  <c r="G44" i="3"/>
  <c r="I73" i="3"/>
  <c r="G26" i="3"/>
  <c r="F26" i="9"/>
  <c r="F25" i="9"/>
  <c r="G20" i="3"/>
  <c r="F20" i="9"/>
  <c r="F39" i="9"/>
  <c r="G9" i="3"/>
  <c r="F9" i="9"/>
  <c r="F90" i="9"/>
  <c r="G90" i="3"/>
  <c r="F78" i="9"/>
  <c r="G78" i="3"/>
  <c r="G45" i="3"/>
  <c r="F45" i="9"/>
  <c r="G30" i="3"/>
  <c r="F30" i="9"/>
  <c r="G43" i="3"/>
  <c r="F43" i="9"/>
  <c r="H3" i="3"/>
  <c r="F24" i="9"/>
  <c r="F84" i="9"/>
  <c r="G84" i="3"/>
  <c r="F42" i="9"/>
  <c r="G42" i="3"/>
  <c r="H65" i="3"/>
  <c r="F54" i="9"/>
  <c r="G54" i="3"/>
  <c r="H32" i="3"/>
  <c r="H55" i="3"/>
  <c r="F106" i="9"/>
  <c r="G106" i="3"/>
  <c r="F31" i="9"/>
  <c r="F71" i="9"/>
  <c r="G71" i="3"/>
  <c r="I33" i="3"/>
  <c r="F59" i="9"/>
  <c r="G59" i="3"/>
  <c r="G108" i="3"/>
  <c r="F108" i="9"/>
  <c r="F66" i="9"/>
  <c r="G66" i="3"/>
  <c r="F14" i="9"/>
  <c r="F50" i="9"/>
  <c r="G50" i="3"/>
  <c r="F19" i="9"/>
  <c r="G19" i="3"/>
  <c r="G16" i="3"/>
  <c r="F16" i="9"/>
  <c r="F103" i="9"/>
  <c r="H31" i="3"/>
  <c r="G15" i="3"/>
  <c r="F15" i="9"/>
  <c r="F107" i="9"/>
  <c r="G107" i="3"/>
  <c r="I64" i="3"/>
  <c r="F35" i="9"/>
  <c r="G35" i="3"/>
  <c r="F4" i="9"/>
  <c r="H14" i="3"/>
  <c r="F98" i="9"/>
  <c r="G98" i="3"/>
  <c r="H103" i="3"/>
  <c r="F11" i="9"/>
  <c r="G11" i="3"/>
  <c r="G56" i="9" l="1"/>
  <c r="G24" i="9"/>
  <c r="G49" i="9"/>
  <c r="I103" i="3"/>
  <c r="J33" i="3"/>
  <c r="G76" i="9"/>
  <c r="H76" i="3"/>
  <c r="G66" i="9"/>
  <c r="H66" i="3"/>
  <c r="H71" i="3"/>
  <c r="G71" i="9"/>
  <c r="G32" i="9"/>
  <c r="G44" i="9"/>
  <c r="H44" i="3"/>
  <c r="J97" i="3"/>
  <c r="G25" i="9"/>
  <c r="G93" i="9"/>
  <c r="H93" i="3"/>
  <c r="H86" i="3"/>
  <c r="G86" i="9"/>
  <c r="I47" i="3"/>
  <c r="G34" i="9"/>
  <c r="H34" i="3"/>
  <c r="H22" i="3"/>
  <c r="G22" i="9"/>
  <c r="H79" i="3"/>
  <c r="G79" i="9"/>
  <c r="I105" i="3"/>
  <c r="G5" i="9"/>
  <c r="G62" i="9"/>
  <c r="H62" i="3"/>
  <c r="G60" i="9"/>
  <c r="H60" i="3"/>
  <c r="G84" i="9"/>
  <c r="H84" i="3"/>
  <c r="J64" i="3"/>
  <c r="G54" i="9"/>
  <c r="H54" i="3"/>
  <c r="H45" i="3"/>
  <c r="G45" i="9"/>
  <c r="H29" i="3"/>
  <c r="G29" i="9"/>
  <c r="H99" i="3"/>
  <c r="G99" i="9"/>
  <c r="H115" i="3"/>
  <c r="G115" i="9"/>
  <c r="G91" i="9"/>
  <c r="H91" i="3"/>
  <c r="G8" i="9"/>
  <c r="G83" i="9"/>
  <c r="H83" i="3"/>
  <c r="G94" i="9"/>
  <c r="H94" i="3"/>
  <c r="H27" i="3"/>
  <c r="G27" i="9"/>
  <c r="G114" i="9"/>
  <c r="H114" i="3"/>
  <c r="I40" i="3"/>
  <c r="H70" i="3"/>
  <c r="G70" i="9"/>
  <c r="I32" i="3"/>
  <c r="G30" i="9"/>
  <c r="H30" i="3"/>
  <c r="J73" i="3"/>
  <c r="H37" i="3"/>
  <c r="G37" i="9"/>
  <c r="H107" i="3"/>
  <c r="G107" i="9"/>
  <c r="H78" i="3"/>
  <c r="G78" i="9"/>
  <c r="G6" i="9"/>
  <c r="J41" i="3"/>
  <c r="I8" i="3"/>
  <c r="G23" i="9"/>
  <c r="G102" i="9"/>
  <c r="H2" i="3"/>
  <c r="G2" i="9"/>
  <c r="G33" i="9"/>
  <c r="G64" i="9"/>
  <c r="G81" i="9"/>
  <c r="G41" i="9"/>
  <c r="G73" i="9"/>
  <c r="G97" i="9"/>
  <c r="G113" i="9"/>
  <c r="G89" i="9"/>
  <c r="J113" i="3"/>
  <c r="G101" i="9"/>
  <c r="H101" i="3"/>
  <c r="J89" i="3"/>
  <c r="G40" i="9"/>
  <c r="H21" i="3"/>
  <c r="G21" i="9"/>
  <c r="I31" i="3"/>
  <c r="H9" i="3"/>
  <c r="G9" i="9"/>
  <c r="H109" i="3"/>
  <c r="G109" i="9"/>
  <c r="I3" i="3"/>
  <c r="H20" i="3"/>
  <c r="G20" i="9"/>
  <c r="G14" i="9"/>
  <c r="G19" i="9"/>
  <c r="H19" i="3"/>
  <c r="H108" i="3"/>
  <c r="G108" i="9"/>
  <c r="H106" i="3"/>
  <c r="G106" i="9"/>
  <c r="I65" i="3"/>
  <c r="G3" i="9"/>
  <c r="H12" i="3"/>
  <c r="G12" i="9"/>
  <c r="I6" i="3"/>
  <c r="H18" i="3"/>
  <c r="G18" i="9"/>
  <c r="H95" i="3"/>
  <c r="G95" i="9"/>
  <c r="I49" i="3"/>
  <c r="H58" i="3"/>
  <c r="G58" i="9"/>
  <c r="I23" i="3"/>
  <c r="I102" i="3"/>
  <c r="G61" i="9"/>
  <c r="H61" i="3"/>
  <c r="G4" i="9"/>
  <c r="G92" i="9"/>
  <c r="H92" i="3"/>
  <c r="I46" i="3"/>
  <c r="I38" i="3"/>
  <c r="G105" i="9"/>
  <c r="I5" i="3"/>
  <c r="I56" i="3"/>
  <c r="G103" i="9"/>
  <c r="H16" i="3"/>
  <c r="G16" i="9"/>
  <c r="G59" i="9"/>
  <c r="H59" i="3"/>
  <c r="G65" i="9"/>
  <c r="H90" i="3"/>
  <c r="G90" i="9"/>
  <c r="I112" i="3"/>
  <c r="H7" i="3"/>
  <c r="G7" i="9"/>
  <c r="H67" i="3"/>
  <c r="G67" i="9"/>
  <c r="J81" i="3"/>
  <c r="G100" i="9"/>
  <c r="H100" i="3"/>
  <c r="H28" i="3"/>
  <c r="G28" i="9"/>
  <c r="G88" i="9"/>
  <c r="G36" i="9"/>
  <c r="H36" i="3"/>
  <c r="G80" i="9"/>
  <c r="I4" i="3"/>
  <c r="I24" i="3"/>
  <c r="G46" i="9"/>
  <c r="H110" i="3"/>
  <c r="G110" i="9"/>
  <c r="I48" i="3"/>
  <c r="H51" i="3"/>
  <c r="G51" i="9"/>
  <c r="G38" i="9"/>
  <c r="I25" i="3"/>
  <c r="G47" i="9"/>
  <c r="H17" i="3"/>
  <c r="G17" i="9"/>
  <c r="G98" i="9"/>
  <c r="H98" i="3"/>
  <c r="I14" i="3"/>
  <c r="G11" i="9"/>
  <c r="H11" i="3"/>
  <c r="H15" i="3"/>
  <c r="G15" i="9"/>
  <c r="G50" i="9"/>
  <c r="H50" i="3"/>
  <c r="G55" i="9"/>
  <c r="G42" i="9"/>
  <c r="H42" i="3"/>
  <c r="H43" i="3"/>
  <c r="G43" i="9"/>
  <c r="H26" i="3"/>
  <c r="G26" i="9"/>
  <c r="H10" i="3"/>
  <c r="G10" i="9"/>
  <c r="G112" i="9"/>
  <c r="G13" i="9"/>
  <c r="H13" i="3"/>
  <c r="I39" i="3"/>
  <c r="H85" i="3"/>
  <c r="G85" i="9"/>
  <c r="G63" i="9"/>
  <c r="I57" i="3"/>
  <c r="I88" i="3"/>
  <c r="G111" i="9"/>
  <c r="H111" i="3"/>
  <c r="I80" i="3"/>
  <c r="G104" i="9"/>
  <c r="I96" i="3"/>
  <c r="G72" i="9"/>
  <c r="G77" i="9"/>
  <c r="H77" i="3"/>
  <c r="G48" i="9"/>
  <c r="G87" i="9"/>
  <c r="H87" i="3"/>
  <c r="G35" i="9"/>
  <c r="H35" i="3"/>
  <c r="G31" i="9"/>
  <c r="I55" i="3"/>
  <c r="G68" i="9"/>
  <c r="H68" i="3"/>
  <c r="H53" i="3"/>
  <c r="G53" i="9"/>
  <c r="H74" i="3"/>
  <c r="G74" i="9"/>
  <c r="G39" i="9"/>
  <c r="G82" i="9"/>
  <c r="H82" i="3"/>
  <c r="I63" i="3"/>
  <c r="G57" i="9"/>
  <c r="G52" i="9"/>
  <c r="H52" i="3"/>
  <c r="I104" i="3"/>
  <c r="G96" i="9"/>
  <c r="I72" i="3"/>
  <c r="H69" i="3"/>
  <c r="G69" i="9"/>
  <c r="H75" i="3"/>
  <c r="G75" i="9"/>
  <c r="H49" i="9" l="1"/>
  <c r="H31" i="9"/>
  <c r="H40" i="9"/>
  <c r="H3" i="9"/>
  <c r="H56" i="9"/>
  <c r="H57" i="9"/>
  <c r="I69" i="3"/>
  <c r="H69" i="9"/>
  <c r="H75" i="9"/>
  <c r="I75" i="3"/>
  <c r="H52" i="9"/>
  <c r="I52" i="3"/>
  <c r="I17" i="3"/>
  <c r="H17" i="9"/>
  <c r="H46" i="9"/>
  <c r="H65" i="9"/>
  <c r="H94" i="9"/>
  <c r="I94" i="3"/>
  <c r="I115" i="3"/>
  <c r="H115" i="9"/>
  <c r="I34" i="3"/>
  <c r="H34" i="9"/>
  <c r="H66" i="9"/>
  <c r="I66" i="3"/>
  <c r="H88" i="9"/>
  <c r="J39" i="3"/>
  <c r="I15" i="3"/>
  <c r="H15" i="9"/>
  <c r="H48" i="9"/>
  <c r="J56" i="3"/>
  <c r="H23" i="9"/>
  <c r="H8" i="9"/>
  <c r="I74" i="3"/>
  <c r="H74" i="9"/>
  <c r="I35" i="3"/>
  <c r="H35" i="9"/>
  <c r="H96" i="9"/>
  <c r="J88" i="3"/>
  <c r="I13" i="3"/>
  <c r="H13" i="9"/>
  <c r="I43" i="3"/>
  <c r="H43" i="9"/>
  <c r="I11" i="3"/>
  <c r="H11" i="9"/>
  <c r="H36" i="9"/>
  <c r="I36" i="3"/>
  <c r="K81" i="3"/>
  <c r="I90" i="3"/>
  <c r="H90" i="9"/>
  <c r="I92" i="3"/>
  <c r="H92" i="9"/>
  <c r="J23" i="3"/>
  <c r="H18" i="9"/>
  <c r="I18" i="3"/>
  <c r="H20" i="9"/>
  <c r="I20" i="3"/>
  <c r="J31" i="3"/>
  <c r="K113" i="3"/>
  <c r="I37" i="3"/>
  <c r="H37" i="9"/>
  <c r="H70" i="9"/>
  <c r="I70" i="3"/>
  <c r="K64" i="3"/>
  <c r="K41" i="3"/>
  <c r="K97" i="3"/>
  <c r="H63" i="9"/>
  <c r="I53" i="3"/>
  <c r="H53" i="9"/>
  <c r="I87" i="3"/>
  <c r="H87" i="9"/>
  <c r="J57" i="3"/>
  <c r="H14" i="9"/>
  <c r="J25" i="3"/>
  <c r="I67" i="3"/>
  <c r="H67" i="9"/>
  <c r="I59" i="3"/>
  <c r="H59" i="9"/>
  <c r="J5" i="3"/>
  <c r="I58" i="3"/>
  <c r="H58" i="9"/>
  <c r="J6" i="3"/>
  <c r="J3" i="3"/>
  <c r="I21" i="3"/>
  <c r="H21" i="9"/>
  <c r="K73" i="3"/>
  <c r="I84" i="3"/>
  <c r="H84" i="9"/>
  <c r="J105" i="3"/>
  <c r="J47" i="3"/>
  <c r="H44" i="9"/>
  <c r="I44" i="3"/>
  <c r="J96" i="3"/>
  <c r="I99" i="3"/>
  <c r="H99" i="9"/>
  <c r="H24" i="9"/>
  <c r="H61" i="9"/>
  <c r="I61" i="3"/>
  <c r="H108" i="9"/>
  <c r="I108" i="3"/>
  <c r="I2" i="3"/>
  <c r="H2" i="9"/>
  <c r="H73" i="9"/>
  <c r="H33" i="9"/>
  <c r="H64" i="9"/>
  <c r="H81" i="9"/>
  <c r="H89" i="9"/>
  <c r="H113" i="9"/>
  <c r="H41" i="9"/>
  <c r="H97" i="9"/>
  <c r="H30" i="9"/>
  <c r="I30" i="3"/>
  <c r="H114" i="9"/>
  <c r="I114" i="3"/>
  <c r="I29" i="3"/>
  <c r="H29" i="9"/>
  <c r="H42" i="9"/>
  <c r="I42" i="3"/>
  <c r="H25" i="9"/>
  <c r="H110" i="9"/>
  <c r="I110" i="3"/>
  <c r="H5" i="9"/>
  <c r="H6" i="9"/>
  <c r="I83" i="3"/>
  <c r="H83" i="9"/>
  <c r="H76" i="9"/>
  <c r="I76" i="3"/>
  <c r="J63" i="3"/>
  <c r="H80" i="9"/>
  <c r="J14" i="3"/>
  <c r="I82" i="3"/>
  <c r="H82" i="9"/>
  <c r="J80" i="3"/>
  <c r="H10" i="9"/>
  <c r="I10" i="3"/>
  <c r="H50" i="9"/>
  <c r="I50" i="3"/>
  <c r="H98" i="9"/>
  <c r="I98" i="3"/>
  <c r="J24" i="3"/>
  <c r="H28" i="9"/>
  <c r="I28" i="3"/>
  <c r="I7" i="3"/>
  <c r="H7" i="9"/>
  <c r="J38" i="3"/>
  <c r="J49" i="3"/>
  <c r="I12" i="3"/>
  <c r="H12" i="9"/>
  <c r="I19" i="3"/>
  <c r="H19" i="9"/>
  <c r="I109" i="3"/>
  <c r="H109" i="9"/>
  <c r="H78" i="9"/>
  <c r="I78" i="3"/>
  <c r="I91" i="3"/>
  <c r="H91" i="9"/>
  <c r="I60" i="3"/>
  <c r="H60" i="9"/>
  <c r="I79" i="3"/>
  <c r="H79" i="9"/>
  <c r="I86" i="3"/>
  <c r="H86" i="9"/>
  <c r="K33" i="3"/>
  <c r="H106" i="9"/>
  <c r="I106" i="3"/>
  <c r="H105" i="9"/>
  <c r="H104" i="9"/>
  <c r="H55" i="9"/>
  <c r="I111" i="3"/>
  <c r="H111" i="9"/>
  <c r="I51" i="3"/>
  <c r="H51" i="9"/>
  <c r="H4" i="9"/>
  <c r="I100" i="3"/>
  <c r="H100" i="9"/>
  <c r="J112" i="3"/>
  <c r="H16" i="9"/>
  <c r="I16" i="3"/>
  <c r="H38" i="9"/>
  <c r="H102" i="9"/>
  <c r="K89" i="3"/>
  <c r="J32" i="3"/>
  <c r="I45" i="3"/>
  <c r="H45" i="9"/>
  <c r="H93" i="9"/>
  <c r="I93" i="3"/>
  <c r="J103" i="3"/>
  <c r="J40" i="3"/>
  <c r="H47" i="9"/>
  <c r="H72" i="9"/>
  <c r="J72" i="3"/>
  <c r="I68" i="3"/>
  <c r="H68" i="9"/>
  <c r="H77" i="9"/>
  <c r="I77" i="3"/>
  <c r="I85" i="3"/>
  <c r="H85" i="9"/>
  <c r="J104" i="3"/>
  <c r="J55" i="3"/>
  <c r="H39" i="9"/>
  <c r="H26" i="9"/>
  <c r="I26" i="3"/>
  <c r="J48" i="3"/>
  <c r="J4" i="3"/>
  <c r="H112" i="9"/>
  <c r="J46" i="3"/>
  <c r="J102" i="3"/>
  <c r="I95" i="3"/>
  <c r="I104" i="9" s="1"/>
  <c r="H95" i="9"/>
  <c r="J65" i="3"/>
  <c r="I9" i="3"/>
  <c r="H9" i="9"/>
  <c r="I101" i="3"/>
  <c r="H101" i="9"/>
  <c r="J8" i="3"/>
  <c r="I8" i="9"/>
  <c r="I107" i="3"/>
  <c r="H107" i="9"/>
  <c r="H32" i="9"/>
  <c r="I27" i="3"/>
  <c r="H27" i="9"/>
  <c r="H54" i="9"/>
  <c r="I54" i="3"/>
  <c r="H62" i="9"/>
  <c r="I62" i="3"/>
  <c r="H22" i="9"/>
  <c r="I22" i="3"/>
  <c r="I71" i="3"/>
  <c r="H71" i="9"/>
  <c r="H103" i="9"/>
  <c r="I88" i="9" l="1"/>
  <c r="I63" i="9"/>
  <c r="J106" i="3"/>
  <c r="I106" i="9"/>
  <c r="K31" i="3"/>
  <c r="J11" i="3"/>
  <c r="I11" i="9"/>
  <c r="I54" i="9"/>
  <c r="J54" i="3"/>
  <c r="K8" i="3"/>
  <c r="J95" i="3"/>
  <c r="I95" i="9"/>
  <c r="I48" i="9"/>
  <c r="K104" i="3"/>
  <c r="I72" i="9"/>
  <c r="J60" i="3"/>
  <c r="I60" i="9"/>
  <c r="J19" i="3"/>
  <c r="I19" i="9"/>
  <c r="J7" i="3"/>
  <c r="I7" i="9"/>
  <c r="K14" i="3"/>
  <c r="J29" i="3"/>
  <c r="I29" i="9"/>
  <c r="I44" i="9"/>
  <c r="J44" i="3"/>
  <c r="I25" i="9"/>
  <c r="J53" i="3"/>
  <c r="I53" i="9"/>
  <c r="I70" i="9"/>
  <c r="J70" i="3"/>
  <c r="I20" i="9"/>
  <c r="J20" i="3"/>
  <c r="J35" i="3"/>
  <c r="I35" i="9"/>
  <c r="J34" i="3"/>
  <c r="I34" i="9"/>
  <c r="J17" i="3"/>
  <c r="I17" i="9"/>
  <c r="J67" i="3"/>
  <c r="I67" i="9"/>
  <c r="J16" i="3"/>
  <c r="I16" i="9"/>
  <c r="J51" i="3"/>
  <c r="I51" i="9"/>
  <c r="I28" i="9"/>
  <c r="J28" i="3"/>
  <c r="J10" i="3"/>
  <c r="I10" i="9"/>
  <c r="I114" i="9"/>
  <c r="J114" i="3"/>
  <c r="J61" i="3"/>
  <c r="I61" i="9"/>
  <c r="L73" i="3"/>
  <c r="J58" i="3"/>
  <c r="I58" i="9"/>
  <c r="K25" i="3"/>
  <c r="I90" i="9"/>
  <c r="J90" i="3"/>
  <c r="J43" i="3"/>
  <c r="I43" i="9"/>
  <c r="J15" i="3"/>
  <c r="I15" i="9"/>
  <c r="J52" i="3"/>
  <c r="I52" i="9"/>
  <c r="J84" i="3"/>
  <c r="I84" i="9"/>
  <c r="K102" i="3"/>
  <c r="J101" i="3"/>
  <c r="I101" i="9"/>
  <c r="I102" i="9"/>
  <c r="I26" i="9"/>
  <c r="J26" i="3"/>
  <c r="J85" i="3"/>
  <c r="I85" i="9"/>
  <c r="J45" i="3"/>
  <c r="I45" i="9"/>
  <c r="L33" i="3"/>
  <c r="J91" i="3"/>
  <c r="I91" i="9"/>
  <c r="J12" i="3"/>
  <c r="I12" i="9"/>
  <c r="I110" i="9"/>
  <c r="J110" i="3"/>
  <c r="I47" i="9"/>
  <c r="I5" i="9"/>
  <c r="I18" i="9"/>
  <c r="J18" i="3"/>
  <c r="J74" i="3"/>
  <c r="I74" i="9"/>
  <c r="I39" i="9"/>
  <c r="J115" i="3"/>
  <c r="I115" i="9"/>
  <c r="J93" i="3"/>
  <c r="I93" i="9"/>
  <c r="J71" i="3"/>
  <c r="I71" i="9"/>
  <c r="J27" i="3"/>
  <c r="I27" i="9"/>
  <c r="K46" i="3"/>
  <c r="J77" i="3"/>
  <c r="I77" i="9"/>
  <c r="K40" i="3"/>
  <c r="K32" i="3"/>
  <c r="K112" i="3"/>
  <c r="I111" i="9"/>
  <c r="J111" i="3"/>
  <c r="J78" i="3"/>
  <c r="I78" i="9"/>
  <c r="I49" i="9"/>
  <c r="I24" i="9"/>
  <c r="K80" i="3"/>
  <c r="K63" i="3"/>
  <c r="I30" i="9"/>
  <c r="J30" i="3"/>
  <c r="K47" i="3"/>
  <c r="J21" i="3"/>
  <c r="I21" i="9"/>
  <c r="K5" i="3"/>
  <c r="K57" i="3"/>
  <c r="L97" i="3"/>
  <c r="J37" i="3"/>
  <c r="I37" i="9"/>
  <c r="L81" i="3"/>
  <c r="J13" i="3"/>
  <c r="I13" i="9"/>
  <c r="K39" i="3"/>
  <c r="J94" i="3"/>
  <c r="I94" i="9"/>
  <c r="J75" i="3"/>
  <c r="I75" i="9"/>
  <c r="K72" i="3"/>
  <c r="I14" i="9"/>
  <c r="J9" i="3"/>
  <c r="J103" i="9" s="1"/>
  <c r="I9" i="9"/>
  <c r="I46" i="9"/>
  <c r="I40" i="9"/>
  <c r="I32" i="9"/>
  <c r="I112" i="9"/>
  <c r="J86" i="3"/>
  <c r="I86" i="9"/>
  <c r="K49" i="3"/>
  <c r="K24" i="3"/>
  <c r="I80" i="9"/>
  <c r="J76" i="3"/>
  <c r="I76" i="9"/>
  <c r="I105" i="9"/>
  <c r="I3" i="9"/>
  <c r="I57" i="9"/>
  <c r="I23" i="9"/>
  <c r="I36" i="9"/>
  <c r="J36" i="3"/>
  <c r="K88" i="3"/>
  <c r="J83" i="3"/>
  <c r="I83" i="9"/>
  <c r="I108" i="9"/>
  <c r="J108" i="3"/>
  <c r="K96" i="3"/>
  <c r="K6" i="3"/>
  <c r="I92" i="9"/>
  <c r="J92" i="3"/>
  <c r="K48" i="3"/>
  <c r="I22" i="9"/>
  <c r="J22" i="3"/>
  <c r="I65" i="9"/>
  <c r="I55" i="9"/>
  <c r="I103" i="9"/>
  <c r="K38" i="3"/>
  <c r="I98" i="9"/>
  <c r="J98" i="3"/>
  <c r="I42" i="9"/>
  <c r="J42" i="3"/>
  <c r="J99" i="3"/>
  <c r="I99" i="9"/>
  <c r="K105" i="3"/>
  <c r="K3" i="3"/>
  <c r="J59" i="3"/>
  <c r="I59" i="9"/>
  <c r="L41" i="3"/>
  <c r="L113" i="3"/>
  <c r="K23" i="3"/>
  <c r="K56" i="3"/>
  <c r="J66" i="3"/>
  <c r="I66" i="9"/>
  <c r="K4" i="3"/>
  <c r="I50" i="9"/>
  <c r="J50" i="3"/>
  <c r="I62" i="9"/>
  <c r="J62" i="3"/>
  <c r="J107" i="3"/>
  <c r="I107" i="9"/>
  <c r="K65" i="3"/>
  <c r="I4" i="9"/>
  <c r="K55" i="3"/>
  <c r="J68" i="3"/>
  <c r="I68" i="9"/>
  <c r="K103" i="3"/>
  <c r="L89" i="3"/>
  <c r="I100" i="9"/>
  <c r="J100" i="3"/>
  <c r="J79" i="3"/>
  <c r="I79" i="9"/>
  <c r="J109" i="3"/>
  <c r="I109" i="9"/>
  <c r="I38" i="9"/>
  <c r="J82" i="3"/>
  <c r="I82" i="9"/>
  <c r="J2" i="3"/>
  <c r="I2" i="9"/>
  <c r="I73" i="9"/>
  <c r="I89" i="9"/>
  <c r="I64" i="9"/>
  <c r="I113" i="9"/>
  <c r="I33" i="9"/>
  <c r="I97" i="9"/>
  <c r="I41" i="9"/>
  <c r="I81" i="9"/>
  <c r="I96" i="9"/>
  <c r="I6" i="9"/>
  <c r="J87" i="3"/>
  <c r="I87" i="9"/>
  <c r="L64" i="3"/>
  <c r="I31" i="9"/>
  <c r="I56" i="9"/>
  <c r="J69" i="3"/>
  <c r="I69" i="9"/>
  <c r="J40" i="9" l="1"/>
  <c r="L39" i="3"/>
  <c r="L47" i="3"/>
  <c r="L32" i="3"/>
  <c r="K69" i="3"/>
  <c r="J69" i="9"/>
  <c r="J107" i="9"/>
  <c r="K107" i="3"/>
  <c r="K66" i="3"/>
  <c r="J66" i="9"/>
  <c r="M41" i="3"/>
  <c r="K99" i="3"/>
  <c r="J99" i="9"/>
  <c r="J6" i="9"/>
  <c r="J88" i="9"/>
  <c r="J86" i="9"/>
  <c r="K86" i="3"/>
  <c r="J72" i="9"/>
  <c r="L57" i="3"/>
  <c r="J30" i="9"/>
  <c r="K30" i="3"/>
  <c r="L40" i="3"/>
  <c r="K74" i="3"/>
  <c r="J74" i="9"/>
  <c r="K12" i="3"/>
  <c r="J12" i="9"/>
  <c r="J85" i="9"/>
  <c r="K85" i="3"/>
  <c r="K90" i="3"/>
  <c r="J90" i="9"/>
  <c r="L14" i="3"/>
  <c r="J104" i="9"/>
  <c r="K27" i="3"/>
  <c r="J27" i="9"/>
  <c r="K17" i="3"/>
  <c r="J17" i="9"/>
  <c r="K79" i="3"/>
  <c r="J79" i="9"/>
  <c r="K68" i="3"/>
  <c r="J68" i="9"/>
  <c r="K62" i="3"/>
  <c r="J62" i="9"/>
  <c r="J56" i="9"/>
  <c r="K42" i="3"/>
  <c r="J42" i="9"/>
  <c r="L6" i="3"/>
  <c r="L88" i="3"/>
  <c r="K76" i="3"/>
  <c r="J76" i="9"/>
  <c r="L72" i="3"/>
  <c r="K13" i="3"/>
  <c r="J13" i="9"/>
  <c r="J57" i="9"/>
  <c r="K78" i="3"/>
  <c r="J78" i="9"/>
  <c r="K71" i="3"/>
  <c r="J71" i="9"/>
  <c r="J18" i="9"/>
  <c r="K18" i="3"/>
  <c r="J26" i="9"/>
  <c r="K26" i="3"/>
  <c r="K84" i="3"/>
  <c r="J84" i="9"/>
  <c r="K61" i="3"/>
  <c r="J61" i="9"/>
  <c r="K51" i="3"/>
  <c r="J51" i="9"/>
  <c r="K34" i="3"/>
  <c r="J34" i="9"/>
  <c r="J53" i="9"/>
  <c r="K53" i="3"/>
  <c r="L104" i="3"/>
  <c r="K83" i="3"/>
  <c r="J83" i="9"/>
  <c r="K43" i="3"/>
  <c r="J43" i="9"/>
  <c r="J2" i="9"/>
  <c r="K2" i="3"/>
  <c r="J89" i="9"/>
  <c r="J113" i="9"/>
  <c r="J41" i="9"/>
  <c r="J81" i="9"/>
  <c r="J97" i="9"/>
  <c r="J64" i="9"/>
  <c r="J33" i="9"/>
  <c r="J73" i="9"/>
  <c r="K100" i="3"/>
  <c r="J100" i="9"/>
  <c r="L56" i="3"/>
  <c r="K59" i="3"/>
  <c r="J59" i="9"/>
  <c r="L96" i="3"/>
  <c r="J5" i="9"/>
  <c r="J63" i="9"/>
  <c r="K111" i="3"/>
  <c r="J111" i="9"/>
  <c r="K91" i="3"/>
  <c r="J91" i="9"/>
  <c r="J25" i="9"/>
  <c r="K114" i="3"/>
  <c r="J114" i="9"/>
  <c r="K7" i="3"/>
  <c r="J7" i="9"/>
  <c r="K11" i="3"/>
  <c r="J11" i="9"/>
  <c r="J14" i="9"/>
  <c r="J22" i="9"/>
  <c r="K22" i="3"/>
  <c r="J36" i="9"/>
  <c r="K36" i="3"/>
  <c r="M64" i="3"/>
  <c r="J55" i="9"/>
  <c r="K50" i="3"/>
  <c r="J50" i="9"/>
  <c r="J23" i="9"/>
  <c r="J3" i="9"/>
  <c r="J98" i="9"/>
  <c r="K98" i="3"/>
  <c r="J96" i="9"/>
  <c r="J24" i="9"/>
  <c r="J75" i="9"/>
  <c r="K75" i="3"/>
  <c r="M81" i="3"/>
  <c r="L5" i="3"/>
  <c r="L63" i="3"/>
  <c r="J77" i="9"/>
  <c r="K77" i="3"/>
  <c r="K93" i="3"/>
  <c r="J93" i="9"/>
  <c r="M33" i="3"/>
  <c r="K52" i="3"/>
  <c r="J52" i="9"/>
  <c r="L25" i="3"/>
  <c r="K16" i="3"/>
  <c r="J16" i="9"/>
  <c r="K35" i="3"/>
  <c r="J35" i="9"/>
  <c r="J44" i="9"/>
  <c r="K44" i="3"/>
  <c r="J31" i="9"/>
  <c r="M97" i="3"/>
  <c r="L55" i="3"/>
  <c r="J108" i="9"/>
  <c r="K108" i="3"/>
  <c r="L24" i="3"/>
  <c r="J80" i="9"/>
  <c r="L112" i="3"/>
  <c r="L46" i="3"/>
  <c r="K20" i="3"/>
  <c r="J20" i="9"/>
  <c r="K19" i="3"/>
  <c r="J19" i="9"/>
  <c r="K95" i="3"/>
  <c r="J95" i="9"/>
  <c r="L31" i="3"/>
  <c r="K109" i="3"/>
  <c r="J109" i="9"/>
  <c r="J102" i="9"/>
  <c r="M73" i="3"/>
  <c r="J54" i="9"/>
  <c r="K54" i="3"/>
  <c r="K82" i="3"/>
  <c r="J82" i="9"/>
  <c r="M89" i="3"/>
  <c r="L23" i="3"/>
  <c r="L3" i="3"/>
  <c r="L48" i="3"/>
  <c r="L65" i="3"/>
  <c r="J4" i="9"/>
  <c r="M113" i="3"/>
  <c r="L105" i="3"/>
  <c r="L38" i="3"/>
  <c r="J48" i="9"/>
  <c r="L49" i="3"/>
  <c r="J94" i="9"/>
  <c r="K94" i="3"/>
  <c r="K37" i="3"/>
  <c r="J37" i="9"/>
  <c r="K21" i="3"/>
  <c r="J21" i="9"/>
  <c r="L80" i="3"/>
  <c r="J112" i="9"/>
  <c r="J46" i="9"/>
  <c r="K115" i="3"/>
  <c r="J115" i="9"/>
  <c r="K110" i="3"/>
  <c r="J110" i="9"/>
  <c r="K101" i="3"/>
  <c r="J101" i="9"/>
  <c r="K15" i="3"/>
  <c r="J15" i="9"/>
  <c r="K58" i="3"/>
  <c r="J58" i="9"/>
  <c r="K10" i="3"/>
  <c r="J10" i="9"/>
  <c r="K67" i="3"/>
  <c r="J67" i="9"/>
  <c r="J8" i="9"/>
  <c r="J87" i="9"/>
  <c r="K87" i="3"/>
  <c r="L103" i="3"/>
  <c r="J65" i="9"/>
  <c r="L4" i="3"/>
  <c r="J105" i="9"/>
  <c r="J38" i="9"/>
  <c r="K92" i="3"/>
  <c r="J92" i="9"/>
  <c r="J49" i="9"/>
  <c r="K9" i="3"/>
  <c r="J9" i="9"/>
  <c r="J39" i="9"/>
  <c r="J47" i="9"/>
  <c r="J32" i="9"/>
  <c r="K45" i="3"/>
  <c r="J45" i="9"/>
  <c r="L102" i="3"/>
  <c r="J28" i="9"/>
  <c r="K28" i="3"/>
  <c r="J70" i="9"/>
  <c r="K70" i="3"/>
  <c r="K29" i="3"/>
  <c r="J29" i="9"/>
  <c r="K60" i="3"/>
  <c r="J60" i="9"/>
  <c r="L8" i="3"/>
  <c r="K106" i="3"/>
  <c r="J106" i="9"/>
  <c r="K14" i="9" l="1"/>
  <c r="K49" i="9"/>
  <c r="K8" i="9"/>
  <c r="L53" i="3"/>
  <c r="K53" i="9"/>
  <c r="M8" i="3"/>
  <c r="M4" i="3"/>
  <c r="L67" i="3"/>
  <c r="K67" i="9"/>
  <c r="K101" i="9"/>
  <c r="L101" i="3"/>
  <c r="M80" i="3"/>
  <c r="M49" i="3"/>
  <c r="M23" i="3"/>
  <c r="N73" i="3"/>
  <c r="N97" i="3"/>
  <c r="K25" i="9"/>
  <c r="L77" i="3"/>
  <c r="K77" i="9"/>
  <c r="K75" i="9"/>
  <c r="L75" i="3"/>
  <c r="K96" i="9"/>
  <c r="L84" i="3"/>
  <c r="K84" i="9"/>
  <c r="L78" i="3"/>
  <c r="K78" i="9"/>
  <c r="K88" i="9"/>
  <c r="L62" i="3"/>
  <c r="K62" i="9"/>
  <c r="L27" i="3"/>
  <c r="K27" i="9"/>
  <c r="M57" i="3"/>
  <c r="L99" i="3"/>
  <c r="K99" i="9"/>
  <c r="L69" i="3"/>
  <c r="K69" i="9"/>
  <c r="L95" i="3"/>
  <c r="K95" i="9"/>
  <c r="K22" i="9"/>
  <c r="L22" i="3"/>
  <c r="L9" i="3"/>
  <c r="K9" i="9"/>
  <c r="L19" i="3"/>
  <c r="K19" i="9"/>
  <c r="K24" i="9"/>
  <c r="M25" i="3"/>
  <c r="L50" i="3"/>
  <c r="K50" i="9"/>
  <c r="L26" i="3"/>
  <c r="K26" i="9"/>
  <c r="M88" i="3"/>
  <c r="L12" i="3"/>
  <c r="K12" i="9"/>
  <c r="K57" i="9"/>
  <c r="K32" i="9"/>
  <c r="M102" i="3"/>
  <c r="M65" i="3"/>
  <c r="K102" i="9"/>
  <c r="L10" i="3"/>
  <c r="K10" i="9"/>
  <c r="L21" i="3"/>
  <c r="K21" i="9"/>
  <c r="N89" i="3"/>
  <c r="M24" i="3"/>
  <c r="K44" i="9"/>
  <c r="L44" i="3"/>
  <c r="K63" i="9"/>
  <c r="K91" i="9"/>
  <c r="L91" i="3"/>
  <c r="L59" i="3"/>
  <c r="K59" i="9"/>
  <c r="L43" i="3"/>
  <c r="K43" i="9"/>
  <c r="L34" i="3"/>
  <c r="K34" i="9"/>
  <c r="K6" i="9"/>
  <c r="K68" i="9"/>
  <c r="L68" i="3"/>
  <c r="N41" i="3"/>
  <c r="M32" i="3"/>
  <c r="K28" i="9"/>
  <c r="L28" i="3"/>
  <c r="K80" i="9"/>
  <c r="K112" i="9"/>
  <c r="L16" i="3"/>
  <c r="K16" i="9"/>
  <c r="N81" i="3"/>
  <c r="K114" i="9"/>
  <c r="L114" i="3"/>
  <c r="K2" i="9"/>
  <c r="L2" i="3"/>
  <c r="K73" i="9"/>
  <c r="K97" i="9"/>
  <c r="K113" i="9"/>
  <c r="K89" i="9"/>
  <c r="K33" i="9"/>
  <c r="K64" i="9"/>
  <c r="K81" i="9"/>
  <c r="K41" i="9"/>
  <c r="L110" i="3"/>
  <c r="K110" i="9"/>
  <c r="M38" i="3"/>
  <c r="K48" i="9"/>
  <c r="L109" i="3"/>
  <c r="K109" i="9"/>
  <c r="L20" i="3"/>
  <c r="K20" i="9"/>
  <c r="K108" i="9"/>
  <c r="L108" i="3"/>
  <c r="L52" i="3"/>
  <c r="K52" i="9"/>
  <c r="M63" i="3"/>
  <c r="L11" i="3"/>
  <c r="K11" i="9"/>
  <c r="K56" i="9"/>
  <c r="K18" i="9"/>
  <c r="L18" i="3"/>
  <c r="L13" i="3"/>
  <c r="L39" i="9" s="1"/>
  <c r="K13" i="9"/>
  <c r="M6" i="3"/>
  <c r="M14" i="3"/>
  <c r="L74" i="3"/>
  <c r="K74" i="9"/>
  <c r="K86" i="9"/>
  <c r="L86" i="3"/>
  <c r="K47" i="9"/>
  <c r="K76" i="9"/>
  <c r="L76" i="3"/>
  <c r="L60" i="3"/>
  <c r="K60" i="9"/>
  <c r="M103" i="3"/>
  <c r="K65" i="9"/>
  <c r="K103" i="9"/>
  <c r="K38" i="9"/>
  <c r="L29" i="3"/>
  <c r="K29" i="9"/>
  <c r="L45" i="3"/>
  <c r="K45" i="9"/>
  <c r="L92" i="3"/>
  <c r="K92" i="9"/>
  <c r="L87" i="3"/>
  <c r="K87" i="9"/>
  <c r="L58" i="3"/>
  <c r="K58" i="9"/>
  <c r="L115" i="3"/>
  <c r="K115" i="9"/>
  <c r="L37" i="3"/>
  <c r="K37" i="9"/>
  <c r="K105" i="9"/>
  <c r="M48" i="3"/>
  <c r="L82" i="3"/>
  <c r="K82" i="9"/>
  <c r="K31" i="9"/>
  <c r="K46" i="9"/>
  <c r="N33" i="3"/>
  <c r="K5" i="9"/>
  <c r="L98" i="3"/>
  <c r="K98" i="9"/>
  <c r="N64" i="3"/>
  <c r="K111" i="9"/>
  <c r="L111" i="3"/>
  <c r="M56" i="3"/>
  <c r="L83" i="3"/>
  <c r="K83" i="9"/>
  <c r="L51" i="3"/>
  <c r="K51" i="9"/>
  <c r="K72" i="9"/>
  <c r="L79" i="3"/>
  <c r="K79" i="9"/>
  <c r="M40" i="3"/>
  <c r="L66" i="3"/>
  <c r="K66" i="9"/>
  <c r="M47" i="3"/>
  <c r="K4" i="9"/>
  <c r="K23" i="9"/>
  <c r="L93" i="3"/>
  <c r="K93" i="9"/>
  <c r="M96" i="3"/>
  <c r="K70" i="9"/>
  <c r="L70" i="3"/>
  <c r="L94" i="3"/>
  <c r="K94" i="9"/>
  <c r="M105" i="3"/>
  <c r="K3" i="9"/>
  <c r="L54" i="3"/>
  <c r="K54" i="9"/>
  <c r="M31" i="3"/>
  <c r="M46" i="3"/>
  <c r="M55" i="3"/>
  <c r="L35" i="3"/>
  <c r="K35" i="9"/>
  <c r="M5" i="3"/>
  <c r="K36" i="9"/>
  <c r="L36" i="3"/>
  <c r="L7" i="3"/>
  <c r="K7" i="9"/>
  <c r="K104" i="9"/>
  <c r="M72" i="3"/>
  <c r="L42" i="3"/>
  <c r="K42" i="9"/>
  <c r="L90" i="3"/>
  <c r="K90" i="9"/>
  <c r="K40" i="9"/>
  <c r="K107" i="9"/>
  <c r="L107" i="3"/>
  <c r="K39" i="9"/>
  <c r="L106" i="3"/>
  <c r="K106" i="9"/>
  <c r="L15" i="3"/>
  <c r="K15" i="9"/>
  <c r="N113" i="3"/>
  <c r="M3" i="3"/>
  <c r="M112" i="3"/>
  <c r="K55" i="9"/>
  <c r="L100" i="3"/>
  <c r="L112" i="9" s="1"/>
  <c r="K100" i="9"/>
  <c r="M104" i="3"/>
  <c r="K61" i="9"/>
  <c r="L61" i="3"/>
  <c r="L71" i="3"/>
  <c r="K71" i="9"/>
  <c r="L17" i="3"/>
  <c r="K17" i="9"/>
  <c r="L85" i="3"/>
  <c r="K85" i="9"/>
  <c r="K30" i="9"/>
  <c r="L30" i="3"/>
  <c r="M39" i="3"/>
  <c r="L14" i="9" l="1"/>
  <c r="L25" i="9"/>
  <c r="L23" i="9"/>
  <c r="L96" i="9"/>
  <c r="O33" i="3"/>
  <c r="M30" i="3"/>
  <c r="L30" i="9"/>
  <c r="L61" i="9"/>
  <c r="M61" i="3"/>
  <c r="N112" i="3"/>
  <c r="M106" i="3"/>
  <c r="L106" i="9"/>
  <c r="M42" i="3"/>
  <c r="L42" i="9"/>
  <c r="L5" i="9"/>
  <c r="L31" i="9"/>
  <c r="M94" i="3"/>
  <c r="L94" i="9"/>
  <c r="M79" i="3"/>
  <c r="L79" i="9"/>
  <c r="L111" i="9"/>
  <c r="M111" i="3"/>
  <c r="M86" i="3"/>
  <c r="L86" i="9"/>
  <c r="N63" i="3"/>
  <c r="M109" i="3"/>
  <c r="L109" i="9"/>
  <c r="M114" i="3"/>
  <c r="L114" i="9"/>
  <c r="M28" i="3"/>
  <c r="L28" i="9"/>
  <c r="L102" i="9"/>
  <c r="M26" i="3"/>
  <c r="L26" i="9"/>
  <c r="N23" i="3"/>
  <c r="M67" i="3"/>
  <c r="L67" i="9"/>
  <c r="N31" i="3"/>
  <c r="M37" i="3"/>
  <c r="L37" i="9"/>
  <c r="M92" i="3"/>
  <c r="L92" i="9"/>
  <c r="L103" i="9"/>
  <c r="M13" i="3"/>
  <c r="L13" i="9"/>
  <c r="M21" i="3"/>
  <c r="L21" i="9"/>
  <c r="M9" i="3"/>
  <c r="L9" i="9"/>
  <c r="M99" i="3"/>
  <c r="L99" i="9"/>
  <c r="M77" i="3"/>
  <c r="L77" i="9"/>
  <c r="L49" i="9"/>
  <c r="L4" i="9"/>
  <c r="M71" i="3"/>
  <c r="L71" i="9"/>
  <c r="N46" i="3"/>
  <c r="N103" i="3"/>
  <c r="M18" i="3"/>
  <c r="L18" i="9"/>
  <c r="M52" i="3"/>
  <c r="L52" i="9"/>
  <c r="L38" i="9"/>
  <c r="L32" i="9"/>
  <c r="M34" i="3"/>
  <c r="L34" i="9"/>
  <c r="M44" i="3"/>
  <c r="L44" i="9"/>
  <c r="M50" i="3"/>
  <c r="L50" i="9"/>
  <c r="M22" i="3"/>
  <c r="L22" i="9"/>
  <c r="L57" i="9"/>
  <c r="M78" i="3"/>
  <c r="L78" i="9"/>
  <c r="N49" i="3"/>
  <c r="N4" i="3"/>
  <c r="M87" i="3"/>
  <c r="L87" i="9"/>
  <c r="N6" i="3"/>
  <c r="N102" i="3"/>
  <c r="L19" i="9"/>
  <c r="M19" i="3"/>
  <c r="M62" i="3"/>
  <c r="L62" i="9"/>
  <c r="L72" i="9"/>
  <c r="L47" i="9"/>
  <c r="N47" i="3"/>
  <c r="M85" i="3"/>
  <c r="L85" i="9"/>
  <c r="N104" i="3"/>
  <c r="O113" i="3"/>
  <c r="M35" i="3"/>
  <c r="L35" i="9"/>
  <c r="M54" i="3"/>
  <c r="L54" i="9"/>
  <c r="N96" i="3"/>
  <c r="L51" i="9"/>
  <c r="M51" i="3"/>
  <c r="O64" i="3"/>
  <c r="M115" i="3"/>
  <c r="L115" i="9"/>
  <c r="L45" i="9"/>
  <c r="M45" i="3"/>
  <c r="M74" i="3"/>
  <c r="L74" i="9"/>
  <c r="M108" i="3"/>
  <c r="L108" i="9"/>
  <c r="N38" i="3"/>
  <c r="O81" i="3"/>
  <c r="N32" i="3"/>
  <c r="M10" i="3"/>
  <c r="L10" i="9"/>
  <c r="N25" i="3"/>
  <c r="N57" i="3"/>
  <c r="L80" i="9"/>
  <c r="L8" i="9"/>
  <c r="N56" i="3"/>
  <c r="M69" i="3"/>
  <c r="L69" i="9"/>
  <c r="L3" i="9"/>
  <c r="N5" i="3"/>
  <c r="L70" i="9"/>
  <c r="M70" i="3"/>
  <c r="L104" i="9"/>
  <c r="N55" i="3"/>
  <c r="M66" i="3"/>
  <c r="L66" i="9"/>
  <c r="M82" i="3"/>
  <c r="L82" i="9"/>
  <c r="M60" i="3"/>
  <c r="L60" i="9"/>
  <c r="O41" i="3"/>
  <c r="M43" i="3"/>
  <c r="L43" i="9"/>
  <c r="L24" i="9"/>
  <c r="M12" i="3"/>
  <c r="L12" i="9"/>
  <c r="M84" i="3"/>
  <c r="L84" i="9"/>
  <c r="O97" i="3"/>
  <c r="N80" i="3"/>
  <c r="N8" i="3"/>
  <c r="L91" i="9"/>
  <c r="M91" i="3"/>
  <c r="N3" i="3"/>
  <c r="L107" i="9"/>
  <c r="M107" i="3"/>
  <c r="N72" i="3"/>
  <c r="M17" i="3"/>
  <c r="L17" i="9"/>
  <c r="L100" i="9"/>
  <c r="M100" i="3"/>
  <c r="M7" i="3"/>
  <c r="L7" i="9"/>
  <c r="L55" i="9"/>
  <c r="L105" i="9"/>
  <c r="L40" i="9"/>
  <c r="M83" i="3"/>
  <c r="L83" i="9"/>
  <c r="L98" i="9"/>
  <c r="M98" i="3"/>
  <c r="L48" i="9"/>
  <c r="M58" i="3"/>
  <c r="L58" i="9"/>
  <c r="M29" i="3"/>
  <c r="L29" i="9"/>
  <c r="M76" i="3"/>
  <c r="L76" i="9"/>
  <c r="N14" i="3"/>
  <c r="M110" i="3"/>
  <c r="L110" i="9"/>
  <c r="M16" i="3"/>
  <c r="L16" i="9"/>
  <c r="N24" i="3"/>
  <c r="N65" i="3"/>
  <c r="N88" i="3"/>
  <c r="M95" i="3"/>
  <c r="L95" i="9"/>
  <c r="M27" i="3"/>
  <c r="L27" i="9"/>
  <c r="M101" i="3"/>
  <c r="L101" i="9"/>
  <c r="L63" i="9"/>
  <c r="O89" i="3"/>
  <c r="N39" i="3"/>
  <c r="M15" i="3"/>
  <c r="L15" i="9"/>
  <c r="M90" i="3"/>
  <c r="L90" i="9"/>
  <c r="M36" i="3"/>
  <c r="L36" i="9"/>
  <c r="L46" i="9"/>
  <c r="N105" i="3"/>
  <c r="L93" i="9"/>
  <c r="M93" i="3"/>
  <c r="N40" i="3"/>
  <c r="L56" i="9"/>
  <c r="N48" i="3"/>
  <c r="L6" i="9"/>
  <c r="M11" i="3"/>
  <c r="L11" i="9"/>
  <c r="M20" i="3"/>
  <c r="L20" i="9"/>
  <c r="M2" i="3"/>
  <c r="M39" i="9" s="1"/>
  <c r="L2" i="9"/>
  <c r="L81" i="9"/>
  <c r="L33" i="9"/>
  <c r="L97" i="9"/>
  <c r="L64" i="9"/>
  <c r="L73" i="9"/>
  <c r="L41" i="9"/>
  <c r="L89" i="9"/>
  <c r="L113" i="9"/>
  <c r="L68" i="9"/>
  <c r="M68" i="3"/>
  <c r="M59" i="3"/>
  <c r="L59" i="9"/>
  <c r="L65" i="9"/>
  <c r="L88" i="9"/>
  <c r="L75" i="9"/>
  <c r="M75" i="3"/>
  <c r="O73" i="3"/>
  <c r="L53" i="9"/>
  <c r="M53" i="3"/>
  <c r="M88" i="9" l="1"/>
  <c r="M40" i="9"/>
  <c r="M14" i="9"/>
  <c r="N37" i="3"/>
  <c r="M37" i="9"/>
  <c r="M112" i="9"/>
  <c r="N20" i="3"/>
  <c r="M20" i="9"/>
  <c r="O40" i="3"/>
  <c r="O88" i="3"/>
  <c r="N110" i="3"/>
  <c r="M110" i="9"/>
  <c r="M58" i="9"/>
  <c r="N58" i="3"/>
  <c r="O72" i="3"/>
  <c r="O8" i="3"/>
  <c r="N12" i="3"/>
  <c r="M12" i="9"/>
  <c r="M32" i="9"/>
  <c r="N51" i="3"/>
  <c r="M51" i="9"/>
  <c r="M6" i="9"/>
  <c r="N44" i="3"/>
  <c r="M44" i="9"/>
  <c r="N18" i="3"/>
  <c r="M18" i="9"/>
  <c r="N21" i="3"/>
  <c r="M21" i="9"/>
  <c r="M31" i="9"/>
  <c r="M63" i="9"/>
  <c r="N94" i="3"/>
  <c r="M94" i="9"/>
  <c r="O112" i="3"/>
  <c r="N36" i="3"/>
  <c r="M36" i="9"/>
  <c r="P89" i="3"/>
  <c r="M8" i="9"/>
  <c r="N93" i="3"/>
  <c r="M93" i="9"/>
  <c r="N90" i="3"/>
  <c r="M90" i="9"/>
  <c r="M65" i="9"/>
  <c r="M107" i="9"/>
  <c r="N107" i="3"/>
  <c r="M80" i="9"/>
  <c r="N82" i="3"/>
  <c r="M82" i="9"/>
  <c r="M5" i="9"/>
  <c r="O32" i="3"/>
  <c r="N74" i="3"/>
  <c r="M74" i="9"/>
  <c r="P113" i="3"/>
  <c r="O6" i="3"/>
  <c r="N78" i="3"/>
  <c r="M78" i="9"/>
  <c r="M103" i="9"/>
  <c r="O31" i="3"/>
  <c r="N61" i="3"/>
  <c r="M61" i="9"/>
  <c r="N101" i="3"/>
  <c r="M101" i="9"/>
  <c r="O65" i="3"/>
  <c r="O14" i="3"/>
  <c r="N98" i="3"/>
  <c r="M98" i="9"/>
  <c r="N7" i="3"/>
  <c r="M7" i="9"/>
  <c r="O80" i="3"/>
  <c r="O5" i="3"/>
  <c r="M57" i="9"/>
  <c r="M45" i="9"/>
  <c r="N45" i="3"/>
  <c r="M96" i="9"/>
  <c r="M104" i="9"/>
  <c r="N34" i="3"/>
  <c r="M34" i="9"/>
  <c r="O103" i="3"/>
  <c r="N77" i="3"/>
  <c r="M77" i="9"/>
  <c r="N13" i="3"/>
  <c r="M13" i="9"/>
  <c r="N28" i="3"/>
  <c r="M28" i="9"/>
  <c r="N86" i="3"/>
  <c r="M86" i="9"/>
  <c r="M72" i="9"/>
  <c r="O56" i="3"/>
  <c r="N108" i="3"/>
  <c r="M108" i="9"/>
  <c r="P64" i="3"/>
  <c r="O47" i="3"/>
  <c r="O49" i="3"/>
  <c r="O63" i="3"/>
  <c r="N11" i="3"/>
  <c r="M11" i="9"/>
  <c r="N68" i="3"/>
  <c r="M68" i="9"/>
  <c r="O105" i="3"/>
  <c r="N15" i="3"/>
  <c r="M15" i="9"/>
  <c r="M24" i="9"/>
  <c r="N100" i="3"/>
  <c r="M100" i="9"/>
  <c r="M3" i="9"/>
  <c r="N43" i="3"/>
  <c r="M43" i="9"/>
  <c r="N66" i="3"/>
  <c r="M66" i="9"/>
  <c r="O57" i="3"/>
  <c r="P81" i="3"/>
  <c r="O96" i="3"/>
  <c r="O104" i="3"/>
  <c r="N62" i="3"/>
  <c r="M62" i="9"/>
  <c r="N87" i="3"/>
  <c r="M87" i="9"/>
  <c r="M46" i="9"/>
  <c r="N67" i="3"/>
  <c r="M67" i="9"/>
  <c r="N111" i="3"/>
  <c r="M111" i="9"/>
  <c r="N59" i="3"/>
  <c r="M59" i="9"/>
  <c r="P73" i="3"/>
  <c r="M48" i="9"/>
  <c r="M105" i="9"/>
  <c r="O39" i="3"/>
  <c r="N27" i="3"/>
  <c r="M27" i="9"/>
  <c r="O24" i="3"/>
  <c r="N76" i="3"/>
  <c r="M76" i="9"/>
  <c r="O3" i="3"/>
  <c r="P97" i="3"/>
  <c r="M55" i="9"/>
  <c r="M25" i="9"/>
  <c r="M38" i="9"/>
  <c r="N19" i="3"/>
  <c r="M19" i="9"/>
  <c r="M4" i="9"/>
  <c r="N22" i="3"/>
  <c r="M22" i="9"/>
  <c r="O46" i="3"/>
  <c r="N99" i="3"/>
  <c r="M99" i="9"/>
  <c r="M23" i="9"/>
  <c r="M114" i="9"/>
  <c r="N114" i="3"/>
  <c r="N42" i="3"/>
  <c r="M42" i="9"/>
  <c r="N30" i="3"/>
  <c r="M30" i="9"/>
  <c r="N70" i="3"/>
  <c r="M70" i="9"/>
  <c r="N10" i="3"/>
  <c r="M10" i="9"/>
  <c r="N35" i="3"/>
  <c r="M35" i="9"/>
  <c r="O102" i="3"/>
  <c r="N26" i="3"/>
  <c r="M26" i="9"/>
  <c r="O48" i="3"/>
  <c r="N83" i="3"/>
  <c r="M83" i="9"/>
  <c r="M91" i="9"/>
  <c r="N91" i="3"/>
  <c r="P41" i="3"/>
  <c r="O55" i="3"/>
  <c r="N69" i="3"/>
  <c r="M69" i="9"/>
  <c r="O25" i="3"/>
  <c r="O38" i="3"/>
  <c r="N115" i="3"/>
  <c r="M115" i="9"/>
  <c r="N54" i="3"/>
  <c r="M54" i="9"/>
  <c r="N85" i="3"/>
  <c r="M85" i="9"/>
  <c r="O4" i="3"/>
  <c r="N92" i="3"/>
  <c r="M92" i="9"/>
  <c r="O23" i="3"/>
  <c r="P33" i="3"/>
  <c r="N60" i="3"/>
  <c r="M60" i="9"/>
  <c r="M53" i="9"/>
  <c r="N53" i="3"/>
  <c r="N75" i="3"/>
  <c r="M75" i="9"/>
  <c r="N2" i="3"/>
  <c r="M2" i="9"/>
  <c r="M89" i="9"/>
  <c r="M73" i="9"/>
  <c r="M41" i="9"/>
  <c r="M113" i="9"/>
  <c r="M97" i="9"/>
  <c r="M81" i="9"/>
  <c r="M64" i="9"/>
  <c r="M33" i="9"/>
  <c r="N95" i="3"/>
  <c r="M95" i="9"/>
  <c r="N16" i="3"/>
  <c r="M16" i="9"/>
  <c r="N29" i="3"/>
  <c r="M29" i="9"/>
  <c r="N17" i="3"/>
  <c r="M17" i="9"/>
  <c r="N84" i="3"/>
  <c r="M84" i="9"/>
  <c r="M56" i="9"/>
  <c r="M47" i="9"/>
  <c r="M102" i="9"/>
  <c r="M49" i="9"/>
  <c r="N50" i="3"/>
  <c r="M50" i="9"/>
  <c r="N52" i="3"/>
  <c r="M52" i="9"/>
  <c r="N71" i="3"/>
  <c r="M71" i="9"/>
  <c r="N9" i="3"/>
  <c r="M9" i="9"/>
  <c r="N109" i="3"/>
  <c r="M109" i="9"/>
  <c r="N79" i="3"/>
  <c r="M79" i="9"/>
  <c r="N106" i="3"/>
  <c r="M106" i="9"/>
  <c r="N56" i="9" l="1"/>
  <c r="N14" i="9"/>
  <c r="N53" i="9"/>
  <c r="O53" i="3"/>
  <c r="Q113" i="3"/>
  <c r="P88" i="3"/>
  <c r="O106" i="3"/>
  <c r="N106" i="9"/>
  <c r="O71" i="3"/>
  <c r="N71" i="9"/>
  <c r="O16" i="3"/>
  <c r="N16" i="9"/>
  <c r="O92" i="3"/>
  <c r="N92" i="9"/>
  <c r="O115" i="3"/>
  <c r="N115" i="9"/>
  <c r="P55" i="3"/>
  <c r="P48" i="3"/>
  <c r="O10" i="3"/>
  <c r="N10" i="9"/>
  <c r="N3" i="9"/>
  <c r="N39" i="9"/>
  <c r="O62" i="3"/>
  <c r="N62" i="9"/>
  <c r="P57" i="3"/>
  <c r="O11" i="3"/>
  <c r="N11" i="9"/>
  <c r="Q64" i="3"/>
  <c r="P5" i="3"/>
  <c r="P14" i="3"/>
  <c r="P31" i="3"/>
  <c r="O107" i="3"/>
  <c r="N107" i="9"/>
  <c r="P72" i="3"/>
  <c r="N40" i="9"/>
  <c r="O22" i="3"/>
  <c r="N22" i="9"/>
  <c r="N4" i="9"/>
  <c r="N38" i="9"/>
  <c r="P3" i="3"/>
  <c r="P39" i="3"/>
  <c r="O111" i="3"/>
  <c r="N111" i="9"/>
  <c r="N104" i="9"/>
  <c r="P63" i="3"/>
  <c r="O28" i="3"/>
  <c r="N28" i="9"/>
  <c r="O34" i="3"/>
  <c r="N34" i="9"/>
  <c r="N80" i="9"/>
  <c r="N65" i="9"/>
  <c r="N74" i="9"/>
  <c r="O74" i="3"/>
  <c r="Q89" i="3"/>
  <c r="N72" i="9"/>
  <c r="P40" i="3"/>
  <c r="N31" i="9"/>
  <c r="P8" i="3"/>
  <c r="O60" i="3"/>
  <c r="N60" i="9"/>
  <c r="P38" i="3"/>
  <c r="Q41" i="3"/>
  <c r="O26" i="3"/>
  <c r="N26" i="9"/>
  <c r="O70" i="3"/>
  <c r="N70" i="9"/>
  <c r="O19" i="3"/>
  <c r="N19" i="9"/>
  <c r="P104" i="3"/>
  <c r="O66" i="3"/>
  <c r="N66" i="9"/>
  <c r="O15" i="3"/>
  <c r="N15" i="9"/>
  <c r="N63" i="9"/>
  <c r="O108" i="3"/>
  <c r="N108" i="9"/>
  <c r="P80" i="3"/>
  <c r="P65" i="3"/>
  <c r="N32" i="9"/>
  <c r="N51" i="9"/>
  <c r="O51" i="3"/>
  <c r="O58" i="3"/>
  <c r="N58" i="9"/>
  <c r="O114" i="3"/>
  <c r="N114" i="9"/>
  <c r="O27" i="3"/>
  <c r="N27" i="9"/>
  <c r="N100" i="9"/>
  <c r="O100" i="3"/>
  <c r="P103" i="3"/>
  <c r="O44" i="3"/>
  <c r="N44" i="9"/>
  <c r="N52" i="9"/>
  <c r="O52" i="3"/>
  <c r="O84" i="3"/>
  <c r="N84" i="9"/>
  <c r="O95" i="3"/>
  <c r="N95" i="9"/>
  <c r="P4" i="3"/>
  <c r="N25" i="9"/>
  <c r="O91" i="3"/>
  <c r="N91" i="9"/>
  <c r="N102" i="9"/>
  <c r="O99" i="3"/>
  <c r="N99" i="9"/>
  <c r="O76" i="3"/>
  <c r="N76" i="9"/>
  <c r="N67" i="9"/>
  <c r="O67" i="3"/>
  <c r="P96" i="3"/>
  <c r="P105" i="3"/>
  <c r="P49" i="3"/>
  <c r="O13" i="3"/>
  <c r="N13" i="9"/>
  <c r="O78" i="3"/>
  <c r="N78" i="9"/>
  <c r="P32" i="3"/>
  <c r="O36" i="3"/>
  <c r="N36" i="9"/>
  <c r="N21" i="9"/>
  <c r="O21" i="3"/>
  <c r="O20" i="3"/>
  <c r="N20" i="9"/>
  <c r="N55" i="9"/>
  <c r="N57" i="9"/>
  <c r="O86" i="3"/>
  <c r="N86" i="9"/>
  <c r="O79" i="3"/>
  <c r="N79" i="9"/>
  <c r="O109" i="3"/>
  <c r="N109" i="9"/>
  <c r="O50" i="3"/>
  <c r="N50" i="9"/>
  <c r="O17" i="3"/>
  <c r="N17" i="9"/>
  <c r="O2" i="3"/>
  <c r="N2" i="9"/>
  <c r="N33" i="9"/>
  <c r="N64" i="9"/>
  <c r="N89" i="9"/>
  <c r="N41" i="9"/>
  <c r="N97" i="9"/>
  <c r="N73" i="9"/>
  <c r="N81" i="9"/>
  <c r="N113" i="9"/>
  <c r="Q33" i="3"/>
  <c r="O85" i="3"/>
  <c r="N85" i="9"/>
  <c r="P25" i="3"/>
  <c r="P102" i="3"/>
  <c r="O30" i="3"/>
  <c r="N30" i="9"/>
  <c r="N46" i="9"/>
  <c r="N24" i="9"/>
  <c r="N96" i="9"/>
  <c r="O43" i="3"/>
  <c r="N43" i="9"/>
  <c r="N105" i="9"/>
  <c r="N49" i="9"/>
  <c r="P56" i="3"/>
  <c r="O45" i="3"/>
  <c r="N45" i="9"/>
  <c r="O7" i="3"/>
  <c r="N7" i="9"/>
  <c r="O101" i="3"/>
  <c r="N101" i="9"/>
  <c r="N6" i="9"/>
  <c r="O90" i="3"/>
  <c r="N90" i="9"/>
  <c r="N112" i="9"/>
  <c r="N23" i="9"/>
  <c r="P46" i="3"/>
  <c r="P24" i="3"/>
  <c r="Q73" i="3"/>
  <c r="N47" i="9"/>
  <c r="O77" i="3"/>
  <c r="N77" i="9"/>
  <c r="P6" i="3"/>
  <c r="P112" i="3"/>
  <c r="O18" i="3"/>
  <c r="N18" i="9"/>
  <c r="O12" i="3"/>
  <c r="N12" i="9"/>
  <c r="O110" i="3"/>
  <c r="N110" i="9"/>
  <c r="N48" i="9"/>
  <c r="Q97" i="3"/>
  <c r="O59" i="3"/>
  <c r="N59" i="9"/>
  <c r="N5" i="9"/>
  <c r="O94" i="3"/>
  <c r="N94" i="9"/>
  <c r="O9" i="3"/>
  <c r="N9" i="9"/>
  <c r="O29" i="3"/>
  <c r="N29" i="9"/>
  <c r="O75" i="3"/>
  <c r="N75" i="9"/>
  <c r="P23" i="3"/>
  <c r="O54" i="3"/>
  <c r="N54" i="9"/>
  <c r="O69" i="3"/>
  <c r="N69" i="9"/>
  <c r="O83" i="3"/>
  <c r="N83" i="9"/>
  <c r="O35" i="3"/>
  <c r="N35" i="9"/>
  <c r="O42" i="3"/>
  <c r="N42" i="9"/>
  <c r="O87" i="3"/>
  <c r="N87" i="9"/>
  <c r="Q81" i="3"/>
  <c r="O68" i="3"/>
  <c r="N68" i="9"/>
  <c r="P47" i="3"/>
  <c r="N103" i="9"/>
  <c r="O98" i="3"/>
  <c r="N98" i="9"/>
  <c r="O61" i="3"/>
  <c r="N61" i="9"/>
  <c r="O82" i="3"/>
  <c r="N82" i="9"/>
  <c r="O93" i="3"/>
  <c r="N93" i="9"/>
  <c r="N8" i="9"/>
  <c r="N88" i="9"/>
  <c r="O37" i="3"/>
  <c r="N37" i="9"/>
  <c r="O55" i="9" l="1"/>
  <c r="O25" i="9"/>
  <c r="P7" i="3"/>
  <c r="O7" i="9"/>
  <c r="P43" i="3"/>
  <c r="O43" i="9"/>
  <c r="Q65" i="3"/>
  <c r="O8" i="9"/>
  <c r="P98" i="3"/>
  <c r="O98" i="9"/>
  <c r="P59" i="3"/>
  <c r="O59" i="9"/>
  <c r="Q25" i="3"/>
  <c r="P17" i="3"/>
  <c r="O17" i="9"/>
  <c r="P86" i="3"/>
  <c r="O86" i="9"/>
  <c r="P36" i="3"/>
  <c r="O36" i="9"/>
  <c r="Q49" i="3"/>
  <c r="P76" i="3"/>
  <c r="O76" i="9"/>
  <c r="Q4" i="3"/>
  <c r="O44" i="9"/>
  <c r="P44" i="3"/>
  <c r="P114" i="3"/>
  <c r="O114" i="9"/>
  <c r="O80" i="9"/>
  <c r="P66" i="3"/>
  <c r="O66" i="9"/>
  <c r="P26" i="3"/>
  <c r="O26" i="9"/>
  <c r="Q8" i="3"/>
  <c r="Q63" i="3"/>
  <c r="O107" i="9"/>
  <c r="P107" i="3"/>
  <c r="R64" i="3"/>
  <c r="P115" i="3"/>
  <c r="O115" i="9"/>
  <c r="P106" i="3"/>
  <c r="O106" i="9"/>
  <c r="P75" i="3"/>
  <c r="O75" i="9"/>
  <c r="P18" i="3"/>
  <c r="O18" i="9"/>
  <c r="O32" i="9"/>
  <c r="O103" i="9"/>
  <c r="Q80" i="3"/>
  <c r="O104" i="9"/>
  <c r="O31" i="9"/>
  <c r="O88" i="9"/>
  <c r="O93" i="9"/>
  <c r="P93" i="3"/>
  <c r="O47" i="9"/>
  <c r="R97" i="3"/>
  <c r="O112" i="9"/>
  <c r="R73" i="3"/>
  <c r="P90" i="3"/>
  <c r="O90" i="9"/>
  <c r="O56" i="9"/>
  <c r="P85" i="3"/>
  <c r="O85" i="9"/>
  <c r="P50" i="3"/>
  <c r="O50" i="9"/>
  <c r="Q32" i="3"/>
  <c r="Q105" i="3"/>
  <c r="P99" i="3"/>
  <c r="O99" i="9"/>
  <c r="P95" i="3"/>
  <c r="O95" i="9"/>
  <c r="Q103" i="3"/>
  <c r="P58" i="3"/>
  <c r="O58" i="9"/>
  <c r="Q104" i="3"/>
  <c r="R41" i="3"/>
  <c r="O40" i="9"/>
  <c r="Q31" i="3"/>
  <c r="P11" i="3"/>
  <c r="O11" i="9"/>
  <c r="P10" i="3"/>
  <c r="O10" i="9"/>
  <c r="P92" i="3"/>
  <c r="O92" i="9"/>
  <c r="Q88" i="3"/>
  <c r="O74" i="9"/>
  <c r="P74" i="3"/>
  <c r="Q112" i="3"/>
  <c r="Q56" i="3"/>
  <c r="O96" i="9"/>
  <c r="O100" i="9"/>
  <c r="P100" i="3"/>
  <c r="O51" i="9"/>
  <c r="P51" i="3"/>
  <c r="P108" i="3"/>
  <c r="O108" i="9"/>
  <c r="O38" i="9"/>
  <c r="Q40" i="3"/>
  <c r="P111" i="3"/>
  <c r="O111" i="9"/>
  <c r="P22" i="3"/>
  <c r="O22" i="9"/>
  <c r="O14" i="9"/>
  <c r="O57" i="9"/>
  <c r="O48" i="9"/>
  <c r="O49" i="9"/>
  <c r="O4" i="9"/>
  <c r="P29" i="3"/>
  <c r="O29" i="9"/>
  <c r="P45" i="3"/>
  <c r="O45" i="9"/>
  <c r="Q47" i="3"/>
  <c r="P54" i="3"/>
  <c r="O54" i="9"/>
  <c r="O24" i="9"/>
  <c r="P82" i="3"/>
  <c r="O82" i="9"/>
  <c r="O23" i="9"/>
  <c r="O6" i="9"/>
  <c r="Q24" i="3"/>
  <c r="P30" i="3"/>
  <c r="O30" i="9"/>
  <c r="R33" i="3"/>
  <c r="P109" i="3"/>
  <c r="O109" i="9"/>
  <c r="P20" i="3"/>
  <c r="O20" i="9"/>
  <c r="O78" i="9"/>
  <c r="P78" i="3"/>
  <c r="Q96" i="3"/>
  <c r="P84" i="3"/>
  <c r="O84" i="9"/>
  <c r="P19" i="3"/>
  <c r="O19" i="9"/>
  <c r="Q38" i="3"/>
  <c r="P34" i="3"/>
  <c r="O34" i="9"/>
  <c r="O39" i="9"/>
  <c r="Q14" i="3"/>
  <c r="Q57" i="3"/>
  <c r="Q48" i="3"/>
  <c r="P16" i="3"/>
  <c r="O16" i="9"/>
  <c r="R113" i="3"/>
  <c r="R81" i="3"/>
  <c r="P12" i="3"/>
  <c r="O12" i="9"/>
  <c r="Q3" i="3"/>
  <c r="P69" i="3"/>
  <c r="O69" i="9"/>
  <c r="P9" i="3"/>
  <c r="P55" i="9" s="1"/>
  <c r="O9" i="9"/>
  <c r="P68" i="3"/>
  <c r="O68" i="9"/>
  <c r="P35" i="3"/>
  <c r="O35" i="9"/>
  <c r="Q23" i="3"/>
  <c r="P94" i="3"/>
  <c r="O94" i="9"/>
  <c r="P110" i="3"/>
  <c r="O110" i="9"/>
  <c r="Q6" i="3"/>
  <c r="O46" i="9"/>
  <c r="P101" i="3"/>
  <c r="O101" i="9"/>
  <c r="Q102" i="3"/>
  <c r="O21" i="9"/>
  <c r="P21" i="3"/>
  <c r="P67" i="3"/>
  <c r="O67" i="9"/>
  <c r="P91" i="3"/>
  <c r="O91" i="9"/>
  <c r="P52" i="3"/>
  <c r="O52" i="9"/>
  <c r="Q39" i="3"/>
  <c r="Q72" i="3"/>
  <c r="O5" i="9"/>
  <c r="P53" i="3"/>
  <c r="O53" i="9"/>
  <c r="P83" i="3"/>
  <c r="O83" i="9"/>
  <c r="O77" i="9"/>
  <c r="P77" i="3"/>
  <c r="O63" i="9"/>
  <c r="P87" i="3"/>
  <c r="O87" i="9"/>
  <c r="O105" i="9"/>
  <c r="P42" i="3"/>
  <c r="O42" i="9"/>
  <c r="P37" i="3"/>
  <c r="O37" i="9"/>
  <c r="P61" i="3"/>
  <c r="O61" i="9"/>
  <c r="Q46" i="3"/>
  <c r="O102" i="9"/>
  <c r="P2" i="3"/>
  <c r="O2" i="9"/>
  <c r="O113" i="9"/>
  <c r="O97" i="9"/>
  <c r="O81" i="9"/>
  <c r="O73" i="9"/>
  <c r="O33" i="9"/>
  <c r="O64" i="9"/>
  <c r="O41" i="9"/>
  <c r="O89" i="9"/>
  <c r="P79" i="3"/>
  <c r="O79" i="9"/>
  <c r="P13" i="3"/>
  <c r="O13" i="9"/>
  <c r="O27" i="9"/>
  <c r="P27" i="3"/>
  <c r="O65" i="9"/>
  <c r="P15" i="3"/>
  <c r="O15" i="9"/>
  <c r="P70" i="3"/>
  <c r="O70" i="9"/>
  <c r="P60" i="3"/>
  <c r="O60" i="9"/>
  <c r="R89" i="3"/>
  <c r="O28" i="9"/>
  <c r="P28" i="3"/>
  <c r="O3" i="9"/>
  <c r="O72" i="9"/>
  <c r="Q5" i="3"/>
  <c r="O62" i="9"/>
  <c r="P62" i="3"/>
  <c r="Q55" i="3"/>
  <c r="P71" i="3"/>
  <c r="O71" i="9"/>
  <c r="P5" i="9" l="1"/>
  <c r="P112" i="9"/>
  <c r="Q67" i="3"/>
  <c r="P67" i="9"/>
  <c r="R4" i="3"/>
  <c r="Q98" i="3"/>
  <c r="P98" i="9"/>
  <c r="R55" i="3"/>
  <c r="Q15" i="3"/>
  <c r="P15" i="9"/>
  <c r="Q37" i="3"/>
  <c r="P37" i="9"/>
  <c r="P39" i="9"/>
  <c r="Q21" i="3"/>
  <c r="P21" i="9"/>
  <c r="R6" i="3"/>
  <c r="Q35" i="3"/>
  <c r="P35" i="9"/>
  <c r="R3" i="3"/>
  <c r="Q16" i="3"/>
  <c r="P16" i="9"/>
  <c r="P96" i="9"/>
  <c r="Q45" i="3"/>
  <c r="P45" i="9"/>
  <c r="Q108" i="3"/>
  <c r="P108" i="9"/>
  <c r="S41" i="3"/>
  <c r="Q95" i="3"/>
  <c r="P95" i="9"/>
  <c r="Q50" i="3"/>
  <c r="P50" i="9"/>
  <c r="Q75" i="3"/>
  <c r="P75" i="9"/>
  <c r="Q66" i="3"/>
  <c r="P66" i="9"/>
  <c r="Q2" i="3"/>
  <c r="P2" i="9"/>
  <c r="P81" i="9"/>
  <c r="P89" i="9"/>
  <c r="P73" i="9"/>
  <c r="P113" i="9"/>
  <c r="P33" i="9"/>
  <c r="P41" i="9"/>
  <c r="P97" i="9"/>
  <c r="P64" i="9"/>
  <c r="R39" i="3"/>
  <c r="P48" i="9"/>
  <c r="Q34" i="3"/>
  <c r="P34" i="9"/>
  <c r="R96" i="3"/>
  <c r="S33" i="3"/>
  <c r="Q82" i="3"/>
  <c r="P82" i="9"/>
  <c r="P22" i="9"/>
  <c r="Q22" i="3"/>
  <c r="Q51" i="3"/>
  <c r="P51" i="9"/>
  <c r="R112" i="3"/>
  <c r="Q10" i="3"/>
  <c r="P10" i="9"/>
  <c r="P104" i="9"/>
  <c r="P80" i="9"/>
  <c r="P63" i="9"/>
  <c r="P76" i="9"/>
  <c r="Q76" i="3"/>
  <c r="Q17" i="3"/>
  <c r="P17" i="9"/>
  <c r="R65" i="3"/>
  <c r="Q84" i="3"/>
  <c r="P84" i="9"/>
  <c r="S73" i="3"/>
  <c r="S89" i="3"/>
  <c r="Q27" i="3"/>
  <c r="P27" i="9"/>
  <c r="Q42" i="3"/>
  <c r="P42" i="9"/>
  <c r="Q83" i="3"/>
  <c r="P83" i="9"/>
  <c r="P102" i="9"/>
  <c r="Q110" i="3"/>
  <c r="P110" i="9"/>
  <c r="Q68" i="3"/>
  <c r="P68" i="9"/>
  <c r="Q12" i="3"/>
  <c r="P12" i="9"/>
  <c r="R48" i="3"/>
  <c r="P38" i="9"/>
  <c r="P78" i="9"/>
  <c r="Q78" i="3"/>
  <c r="Q29" i="3"/>
  <c r="P29" i="9"/>
  <c r="Q74" i="3"/>
  <c r="P74" i="9"/>
  <c r="R104" i="3"/>
  <c r="Q99" i="3"/>
  <c r="P99" i="9"/>
  <c r="Q85" i="3"/>
  <c r="P85" i="9"/>
  <c r="S97" i="3"/>
  <c r="R80" i="3"/>
  <c r="Q106" i="3"/>
  <c r="P106" i="9"/>
  <c r="R63" i="3"/>
  <c r="P49" i="9"/>
  <c r="P25" i="9"/>
  <c r="P65" i="9"/>
  <c r="Q79" i="3"/>
  <c r="P79" i="9"/>
  <c r="Q77" i="3"/>
  <c r="P77" i="9"/>
  <c r="P6" i="9"/>
  <c r="Q62" i="3"/>
  <c r="P62" i="9"/>
  <c r="P46" i="9"/>
  <c r="Q52" i="3"/>
  <c r="P52" i="9"/>
  <c r="R102" i="3"/>
  <c r="P57" i="9"/>
  <c r="R38" i="3"/>
  <c r="Q30" i="3"/>
  <c r="P30" i="9"/>
  <c r="Q111" i="3"/>
  <c r="P111" i="9"/>
  <c r="Q100" i="3"/>
  <c r="P100" i="9"/>
  <c r="Q11" i="3"/>
  <c r="P11" i="9"/>
  <c r="P105" i="9"/>
  <c r="P8" i="9"/>
  <c r="Q114" i="3"/>
  <c r="P114" i="9"/>
  <c r="R49" i="3"/>
  <c r="R25" i="3"/>
  <c r="Q92" i="3"/>
  <c r="P92" i="9"/>
  <c r="Q107" i="3"/>
  <c r="P107" i="9"/>
  <c r="R5" i="3"/>
  <c r="Q60" i="3"/>
  <c r="P60" i="9"/>
  <c r="R46" i="3"/>
  <c r="Q53" i="3"/>
  <c r="P53" i="9"/>
  <c r="Q94" i="3"/>
  <c r="P94" i="9"/>
  <c r="Q9" i="3"/>
  <c r="P9" i="9"/>
  <c r="S81" i="3"/>
  <c r="R57" i="3"/>
  <c r="R24" i="3"/>
  <c r="Q54" i="3"/>
  <c r="P54" i="9"/>
  <c r="R40" i="3"/>
  <c r="P88" i="9"/>
  <c r="P31" i="9"/>
  <c r="Q58" i="3"/>
  <c r="P58" i="9"/>
  <c r="R105" i="3"/>
  <c r="P93" i="9"/>
  <c r="Q93" i="3"/>
  <c r="Q115" i="3"/>
  <c r="P115" i="9"/>
  <c r="R8" i="3"/>
  <c r="Q44" i="3"/>
  <c r="P44" i="9"/>
  <c r="Q43" i="3"/>
  <c r="P43" i="9"/>
  <c r="Q109" i="3"/>
  <c r="P109" i="9"/>
  <c r="Q13" i="3"/>
  <c r="P13" i="9"/>
  <c r="Q87" i="3"/>
  <c r="P87" i="9"/>
  <c r="P91" i="9"/>
  <c r="Q91" i="3"/>
  <c r="Q101" i="3"/>
  <c r="P101" i="9"/>
  <c r="P23" i="9"/>
  <c r="P14" i="9"/>
  <c r="Q19" i="3"/>
  <c r="P19" i="9"/>
  <c r="Q20" i="3"/>
  <c r="P20" i="9"/>
  <c r="P24" i="9"/>
  <c r="P47" i="9"/>
  <c r="P40" i="9"/>
  <c r="R88" i="3"/>
  <c r="R31" i="3"/>
  <c r="P103" i="9"/>
  <c r="P32" i="9"/>
  <c r="Q90" i="3"/>
  <c r="P90" i="9"/>
  <c r="P36" i="9"/>
  <c r="Q36" i="3"/>
  <c r="Q59" i="3"/>
  <c r="P59" i="9"/>
  <c r="P28" i="9"/>
  <c r="Q28" i="3"/>
  <c r="R72" i="3"/>
  <c r="P3" i="9"/>
  <c r="R56" i="3"/>
  <c r="Q86" i="3"/>
  <c r="P86" i="9"/>
  <c r="P71" i="9"/>
  <c r="Q71" i="3"/>
  <c r="Q70" i="3"/>
  <c r="P70" i="9"/>
  <c r="Q61" i="3"/>
  <c r="P61" i="9"/>
  <c r="P72" i="9"/>
  <c r="R23" i="3"/>
  <c r="Q69" i="3"/>
  <c r="P69" i="9"/>
  <c r="S113" i="3"/>
  <c r="R14" i="3"/>
  <c r="R47" i="3"/>
  <c r="P56" i="9"/>
  <c r="R103" i="3"/>
  <c r="R32" i="3"/>
  <c r="Q18" i="3"/>
  <c r="P18" i="9"/>
  <c r="S64" i="3"/>
  <c r="Q26" i="3"/>
  <c r="P26" i="9"/>
  <c r="P4" i="9"/>
  <c r="Q7" i="3"/>
  <c r="P7" i="9"/>
  <c r="R7" i="3" l="1"/>
  <c r="Q7" i="9"/>
  <c r="S6" i="3"/>
  <c r="Q55" i="9"/>
  <c r="S32" i="3"/>
  <c r="R61" i="3"/>
  <c r="Q61" i="9"/>
  <c r="S56" i="3"/>
  <c r="Q36" i="9"/>
  <c r="R36" i="3"/>
  <c r="Q88" i="9"/>
  <c r="R19" i="3"/>
  <c r="Q19" i="9"/>
  <c r="R87" i="3"/>
  <c r="Q87" i="9"/>
  <c r="R44" i="3"/>
  <c r="Q44" i="9"/>
  <c r="S105" i="3"/>
  <c r="R54" i="3"/>
  <c r="Q54" i="9"/>
  <c r="R9" i="3"/>
  <c r="Q9" i="9"/>
  <c r="R60" i="3"/>
  <c r="Q60" i="9"/>
  <c r="S25" i="3"/>
  <c r="R11" i="3"/>
  <c r="Q11" i="9"/>
  <c r="Q38" i="9"/>
  <c r="R62" i="3"/>
  <c r="Q62" i="9"/>
  <c r="T97" i="3"/>
  <c r="R74" i="3"/>
  <c r="Q74" i="9"/>
  <c r="R83" i="3"/>
  <c r="Q83" i="9"/>
  <c r="T73" i="3"/>
  <c r="Q96" i="9"/>
  <c r="R2" i="3"/>
  <c r="R47" i="9" s="1"/>
  <c r="Q2" i="9"/>
  <c r="Q73" i="9"/>
  <c r="Q41" i="9"/>
  <c r="Q64" i="9"/>
  <c r="Q113" i="9"/>
  <c r="Q81" i="9"/>
  <c r="Q89" i="9"/>
  <c r="Q97" i="9"/>
  <c r="Q33" i="9"/>
  <c r="R95" i="3"/>
  <c r="Q95" i="9"/>
  <c r="S55" i="3"/>
  <c r="Q56" i="9"/>
  <c r="S38" i="3"/>
  <c r="Q8" i="9"/>
  <c r="Q24" i="9"/>
  <c r="Q5" i="9"/>
  <c r="Q49" i="9"/>
  <c r="Q63" i="9"/>
  <c r="R12" i="3"/>
  <c r="Q12" i="9"/>
  <c r="R51" i="3"/>
  <c r="Q51" i="9"/>
  <c r="S96" i="3"/>
  <c r="R16" i="3"/>
  <c r="Q16" i="9"/>
  <c r="R21" i="3"/>
  <c r="Q21" i="9"/>
  <c r="S88" i="3"/>
  <c r="R26" i="3"/>
  <c r="Q26" i="9"/>
  <c r="S103" i="3"/>
  <c r="R70" i="3"/>
  <c r="Q70" i="9"/>
  <c r="Q72" i="9"/>
  <c r="R13" i="3"/>
  <c r="Q13" i="9"/>
  <c r="S8" i="3"/>
  <c r="R58" i="3"/>
  <c r="Q58" i="9"/>
  <c r="S24" i="3"/>
  <c r="R94" i="3"/>
  <c r="Q94" i="9"/>
  <c r="S5" i="3"/>
  <c r="S49" i="3"/>
  <c r="R100" i="3"/>
  <c r="Q100" i="9"/>
  <c r="Q102" i="9"/>
  <c r="S63" i="3"/>
  <c r="R85" i="3"/>
  <c r="Q85" i="9"/>
  <c r="R29" i="3"/>
  <c r="Q29" i="9"/>
  <c r="R42" i="3"/>
  <c r="Q42" i="9"/>
  <c r="R84" i="3"/>
  <c r="Q84" i="9"/>
  <c r="R22" i="3"/>
  <c r="Q22" i="9"/>
  <c r="R66" i="3"/>
  <c r="Q66" i="9"/>
  <c r="T41" i="3"/>
  <c r="Q3" i="9"/>
  <c r="R98" i="3"/>
  <c r="Q98" i="9"/>
  <c r="S48" i="3"/>
  <c r="Q76" i="9"/>
  <c r="R76" i="3"/>
  <c r="R71" i="3"/>
  <c r="Q71" i="9"/>
  <c r="Q57" i="9"/>
  <c r="S102" i="3"/>
  <c r="R77" i="3"/>
  <c r="Q77" i="9"/>
  <c r="Q78" i="9"/>
  <c r="R78" i="3"/>
  <c r="R68" i="3"/>
  <c r="Q68" i="9"/>
  <c r="Q65" i="9"/>
  <c r="R34" i="3"/>
  <c r="Q34" i="9"/>
  <c r="S3" i="3"/>
  <c r="Q4" i="9"/>
  <c r="Q25" i="9"/>
  <c r="R69" i="3"/>
  <c r="Q69" i="9"/>
  <c r="S72" i="3"/>
  <c r="R90" i="3"/>
  <c r="Q90" i="9"/>
  <c r="T64" i="3"/>
  <c r="Q47" i="9"/>
  <c r="Q23" i="9"/>
  <c r="R28" i="3"/>
  <c r="Q28" i="9"/>
  <c r="R101" i="3"/>
  <c r="Q101" i="9"/>
  <c r="R109" i="3"/>
  <c r="Q109" i="9"/>
  <c r="R115" i="3"/>
  <c r="Q115" i="9"/>
  <c r="S57" i="3"/>
  <c r="R53" i="3"/>
  <c r="Q53" i="9"/>
  <c r="R107" i="3"/>
  <c r="Q107" i="9"/>
  <c r="R114" i="3"/>
  <c r="Q114" i="9"/>
  <c r="R111" i="3"/>
  <c r="Q111" i="9"/>
  <c r="R106" i="3"/>
  <c r="Q106" i="9"/>
  <c r="R99" i="3"/>
  <c r="Q99" i="9"/>
  <c r="R27" i="3"/>
  <c r="Q27" i="9"/>
  <c r="S65" i="3"/>
  <c r="R75" i="3"/>
  <c r="Q75" i="9"/>
  <c r="R108" i="3"/>
  <c r="Q108" i="9"/>
  <c r="R37" i="3"/>
  <c r="Q37" i="9"/>
  <c r="S4" i="3"/>
  <c r="S14" i="3"/>
  <c r="R59" i="3"/>
  <c r="Q59" i="9"/>
  <c r="S31" i="3"/>
  <c r="Q105" i="9"/>
  <c r="S112" i="3"/>
  <c r="Q103" i="9"/>
  <c r="R93" i="3"/>
  <c r="Q93" i="9"/>
  <c r="S40" i="3"/>
  <c r="Q46" i="9"/>
  <c r="R52" i="3"/>
  <c r="Q52" i="9"/>
  <c r="R79" i="3"/>
  <c r="Q79" i="9"/>
  <c r="Q80" i="9"/>
  <c r="Q104" i="9"/>
  <c r="R110" i="3"/>
  <c r="Q110" i="9"/>
  <c r="R10" i="3"/>
  <c r="Q10" i="9"/>
  <c r="R82" i="3"/>
  <c r="Q82" i="9"/>
  <c r="Q39" i="9"/>
  <c r="R35" i="3"/>
  <c r="Q35" i="9"/>
  <c r="Q32" i="9"/>
  <c r="T33" i="3"/>
  <c r="T113" i="3"/>
  <c r="S47" i="3"/>
  <c r="S23" i="3"/>
  <c r="R91" i="3"/>
  <c r="Q91" i="9"/>
  <c r="R18" i="3"/>
  <c r="Q18" i="9"/>
  <c r="Q14" i="9"/>
  <c r="R86" i="3"/>
  <c r="Q86" i="9"/>
  <c r="Q31" i="9"/>
  <c r="R20" i="3"/>
  <c r="Q20" i="9"/>
  <c r="R43" i="3"/>
  <c r="Q43" i="9"/>
  <c r="Q40" i="9"/>
  <c r="T81" i="3"/>
  <c r="S46" i="3"/>
  <c r="R92" i="3"/>
  <c r="Q92" i="9"/>
  <c r="R30" i="3"/>
  <c r="Q30" i="9"/>
  <c r="S80" i="3"/>
  <c r="S104" i="3"/>
  <c r="Q48" i="9"/>
  <c r="T89" i="3"/>
  <c r="R17" i="3"/>
  <c r="Q17" i="9"/>
  <c r="Q112" i="9"/>
  <c r="S39" i="3"/>
  <c r="R50" i="3"/>
  <c r="Q50" i="9"/>
  <c r="R45" i="3"/>
  <c r="Q45" i="9"/>
  <c r="Q6" i="9"/>
  <c r="R15" i="3"/>
  <c r="Q15" i="9"/>
  <c r="R67" i="3"/>
  <c r="Q67" i="9"/>
  <c r="R63" i="9" l="1"/>
  <c r="R32" i="9"/>
  <c r="S35" i="3"/>
  <c r="R35" i="9"/>
  <c r="T8" i="3"/>
  <c r="R96" i="9"/>
  <c r="S61" i="3"/>
  <c r="R61" i="9"/>
  <c r="S17" i="3"/>
  <c r="R17" i="9"/>
  <c r="T47" i="3"/>
  <c r="S68" i="3"/>
  <c r="R68" i="9"/>
  <c r="S84" i="3"/>
  <c r="R84" i="9"/>
  <c r="T63" i="3"/>
  <c r="S26" i="3"/>
  <c r="R26" i="9"/>
  <c r="T96" i="3"/>
  <c r="S95" i="3"/>
  <c r="R95" i="9"/>
  <c r="S11" i="3"/>
  <c r="R11" i="9"/>
  <c r="S54" i="3"/>
  <c r="R54" i="9"/>
  <c r="S19" i="3"/>
  <c r="R19" i="9"/>
  <c r="T80" i="3"/>
  <c r="S98" i="3"/>
  <c r="R98" i="9"/>
  <c r="T5" i="3"/>
  <c r="S45" i="3"/>
  <c r="R45" i="9"/>
  <c r="S59" i="3"/>
  <c r="R59" i="9"/>
  <c r="S13" i="3"/>
  <c r="R13" i="9"/>
  <c r="S74" i="3"/>
  <c r="R74" i="9"/>
  <c r="R25" i="9"/>
  <c r="R105" i="9"/>
  <c r="T32" i="3"/>
  <c r="S37" i="3"/>
  <c r="R37" i="9"/>
  <c r="S114" i="3"/>
  <c r="R114" i="9"/>
  <c r="S30" i="3"/>
  <c r="R30" i="9"/>
  <c r="S43" i="3"/>
  <c r="R43" i="9"/>
  <c r="S82" i="3"/>
  <c r="R82" i="9"/>
  <c r="R14" i="9"/>
  <c r="R3" i="9"/>
  <c r="R76" i="9"/>
  <c r="S76" i="3"/>
  <c r="S42" i="3"/>
  <c r="R42" i="9"/>
  <c r="T88" i="3"/>
  <c r="S51" i="3"/>
  <c r="R51" i="9"/>
  <c r="R38" i="9"/>
  <c r="R2" i="9"/>
  <c r="S2" i="3"/>
  <c r="R33" i="9"/>
  <c r="R64" i="9"/>
  <c r="R89" i="9"/>
  <c r="R81" i="9"/>
  <c r="R73" i="9"/>
  <c r="R97" i="9"/>
  <c r="R41" i="9"/>
  <c r="R113" i="9"/>
  <c r="T25" i="3"/>
  <c r="T105" i="3"/>
  <c r="S36" i="3"/>
  <c r="R36" i="9"/>
  <c r="U81" i="3"/>
  <c r="S83" i="3"/>
  <c r="R83" i="9"/>
  <c r="S108" i="3"/>
  <c r="R108" i="9"/>
  <c r="R71" i="9"/>
  <c r="S71" i="3"/>
  <c r="R24" i="9"/>
  <c r="T14" i="3"/>
  <c r="S100" i="3"/>
  <c r="R100" i="9"/>
  <c r="T24" i="3"/>
  <c r="T38" i="3"/>
  <c r="U97" i="3"/>
  <c r="R6" i="9"/>
  <c r="T31" i="3"/>
  <c r="S27" i="3"/>
  <c r="R27" i="9"/>
  <c r="S69" i="3"/>
  <c r="R69" i="9"/>
  <c r="S93" i="3"/>
  <c r="R93" i="9"/>
  <c r="S107" i="3"/>
  <c r="R107" i="9"/>
  <c r="S109" i="3"/>
  <c r="R109" i="9"/>
  <c r="S78" i="3"/>
  <c r="R78" i="9"/>
  <c r="S94" i="3"/>
  <c r="R94" i="9"/>
  <c r="U89" i="3"/>
  <c r="U113" i="3"/>
  <c r="S79" i="3"/>
  <c r="R79" i="9"/>
  <c r="S50" i="3"/>
  <c r="R50" i="9"/>
  <c r="S92" i="3"/>
  <c r="R92" i="9"/>
  <c r="R112" i="9"/>
  <c r="S75" i="3"/>
  <c r="R75" i="9"/>
  <c r="S106" i="3"/>
  <c r="R106" i="9"/>
  <c r="S53" i="3"/>
  <c r="R53" i="9"/>
  <c r="S101" i="3"/>
  <c r="R101" i="9"/>
  <c r="S90" i="3"/>
  <c r="R90" i="9"/>
  <c r="T3" i="3"/>
  <c r="S67" i="3"/>
  <c r="R67" i="9"/>
  <c r="R39" i="9"/>
  <c r="R104" i="9"/>
  <c r="R46" i="9"/>
  <c r="S20" i="3"/>
  <c r="R20" i="9"/>
  <c r="S91" i="3"/>
  <c r="R91" i="9"/>
  <c r="U33" i="3"/>
  <c r="S10" i="3"/>
  <c r="R10" i="9"/>
  <c r="R52" i="9"/>
  <c r="S52" i="3"/>
  <c r="T112" i="3"/>
  <c r="R4" i="9"/>
  <c r="R65" i="9"/>
  <c r="R57" i="9"/>
  <c r="R72" i="9"/>
  <c r="S77" i="3"/>
  <c r="R77" i="9"/>
  <c r="R48" i="9"/>
  <c r="R66" i="9"/>
  <c r="S66" i="3"/>
  <c r="S29" i="3"/>
  <c r="R29" i="9"/>
  <c r="R49" i="9"/>
  <c r="S70" i="3"/>
  <c r="R70" i="9"/>
  <c r="S21" i="3"/>
  <c r="R21" i="9"/>
  <c r="S12" i="3"/>
  <c r="R12" i="9"/>
  <c r="R60" i="9"/>
  <c r="S60" i="3"/>
  <c r="S44" i="3"/>
  <c r="R44" i="9"/>
  <c r="R56" i="9"/>
  <c r="T6" i="3"/>
  <c r="S86" i="3"/>
  <c r="R86" i="9"/>
  <c r="T40" i="3"/>
  <c r="S115" i="3"/>
  <c r="R115" i="9"/>
  <c r="U64" i="3"/>
  <c r="R88" i="9"/>
  <c r="S18" i="3"/>
  <c r="R18" i="9"/>
  <c r="T104" i="3"/>
  <c r="R23" i="9"/>
  <c r="T4" i="3"/>
  <c r="T65" i="3"/>
  <c r="S111" i="3"/>
  <c r="R111" i="9"/>
  <c r="T57" i="3"/>
  <c r="S28" i="3"/>
  <c r="R28" i="9"/>
  <c r="T72" i="3"/>
  <c r="S34" i="3"/>
  <c r="R34" i="9"/>
  <c r="R102" i="9"/>
  <c r="T48" i="3"/>
  <c r="T49" i="3"/>
  <c r="S58" i="3"/>
  <c r="R58" i="9"/>
  <c r="R103" i="9"/>
  <c r="R55" i="9"/>
  <c r="U73" i="3"/>
  <c r="S62" i="3"/>
  <c r="R62" i="9"/>
  <c r="T56" i="3"/>
  <c r="S99" i="3"/>
  <c r="R99" i="9"/>
  <c r="U41" i="3"/>
  <c r="T39" i="3"/>
  <c r="T46" i="3"/>
  <c r="S15" i="3"/>
  <c r="R15" i="9"/>
  <c r="R80" i="9"/>
  <c r="T23" i="3"/>
  <c r="S110" i="3"/>
  <c r="R110" i="9"/>
  <c r="R40" i="9"/>
  <c r="R31" i="9"/>
  <c r="T102" i="3"/>
  <c r="S22" i="3"/>
  <c r="R22" i="9"/>
  <c r="S85" i="3"/>
  <c r="R85" i="9"/>
  <c r="R5" i="9"/>
  <c r="R8" i="9"/>
  <c r="T103" i="3"/>
  <c r="S16" i="3"/>
  <c r="S6" i="9" s="1"/>
  <c r="R16" i="9"/>
  <c r="T55" i="3"/>
  <c r="S9" i="3"/>
  <c r="R9" i="9"/>
  <c r="S87" i="3"/>
  <c r="R87" i="9"/>
  <c r="S7" i="3"/>
  <c r="R7" i="9"/>
  <c r="S80" i="9" l="1"/>
  <c r="S4" i="9"/>
  <c r="S23" i="9"/>
  <c r="T7" i="3"/>
  <c r="S7" i="9"/>
  <c r="U88" i="3"/>
  <c r="T82" i="3"/>
  <c r="S82" i="9"/>
  <c r="T37" i="3"/>
  <c r="S37" i="9"/>
  <c r="T13" i="3"/>
  <c r="S13" i="9"/>
  <c r="T98" i="3"/>
  <c r="S98" i="9"/>
  <c r="T11" i="3"/>
  <c r="S11" i="9"/>
  <c r="U63" i="3"/>
  <c r="T17" i="3"/>
  <c r="S17" i="9"/>
  <c r="S103" i="9"/>
  <c r="S102" i="9"/>
  <c r="V41" i="3"/>
  <c r="V73" i="3"/>
  <c r="U48" i="3"/>
  <c r="S57" i="9"/>
  <c r="T21" i="3"/>
  <c r="S21" i="9"/>
  <c r="U112" i="3"/>
  <c r="S91" i="9"/>
  <c r="T91" i="3"/>
  <c r="S3" i="9"/>
  <c r="T50" i="3"/>
  <c r="S50" i="9"/>
  <c r="T94" i="3"/>
  <c r="S94" i="9"/>
  <c r="T93" i="3"/>
  <c r="S93" i="9"/>
  <c r="S14" i="9"/>
  <c r="T83" i="3"/>
  <c r="S83" i="9"/>
  <c r="U25" i="3"/>
  <c r="S32" i="9"/>
  <c r="V33" i="3"/>
  <c r="T22" i="3"/>
  <c r="S22" i="9"/>
  <c r="U3" i="3"/>
  <c r="T106" i="3"/>
  <c r="S106" i="9"/>
  <c r="V97" i="3"/>
  <c r="U14" i="3"/>
  <c r="S2" i="9"/>
  <c r="T2" i="3"/>
  <c r="S81" i="9"/>
  <c r="S73" i="9"/>
  <c r="S33" i="9"/>
  <c r="S41" i="9"/>
  <c r="S113" i="9"/>
  <c r="S97" i="9"/>
  <c r="S89" i="9"/>
  <c r="S64" i="9"/>
  <c r="T42" i="3"/>
  <c r="S42" i="9"/>
  <c r="T43" i="3"/>
  <c r="S43" i="9"/>
  <c r="U32" i="3"/>
  <c r="T59" i="3"/>
  <c r="S59" i="9"/>
  <c r="U80" i="3"/>
  <c r="T95" i="3"/>
  <c r="S95" i="9"/>
  <c r="T84" i="3"/>
  <c r="S84" i="9"/>
  <c r="T61" i="3"/>
  <c r="S61" i="9"/>
  <c r="T12" i="3"/>
  <c r="S12" i="9"/>
  <c r="U104" i="3"/>
  <c r="S40" i="9"/>
  <c r="T44" i="3"/>
  <c r="S44" i="9"/>
  <c r="T70" i="3"/>
  <c r="S70" i="9"/>
  <c r="S77" i="9"/>
  <c r="T77" i="3"/>
  <c r="T20" i="3"/>
  <c r="S20" i="9"/>
  <c r="T79" i="3"/>
  <c r="S79" i="9"/>
  <c r="T78" i="3"/>
  <c r="S78" i="9"/>
  <c r="S69" i="9"/>
  <c r="T69" i="3"/>
  <c r="S38" i="9"/>
  <c r="V81" i="3"/>
  <c r="T76" i="3"/>
  <c r="S76" i="9"/>
  <c r="S96" i="9"/>
  <c r="T16" i="3"/>
  <c r="S16" i="9"/>
  <c r="S48" i="9"/>
  <c r="U6" i="3"/>
  <c r="T100" i="3"/>
  <c r="S100" i="9"/>
  <c r="T52" i="3"/>
  <c r="S52" i="9"/>
  <c r="S46" i="9"/>
  <c r="U56" i="3"/>
  <c r="T34" i="3"/>
  <c r="S34" i="9"/>
  <c r="T111" i="3"/>
  <c r="S111" i="9"/>
  <c r="U40" i="3"/>
  <c r="S60" i="9"/>
  <c r="T60" i="3"/>
  <c r="T90" i="3"/>
  <c r="S90" i="9"/>
  <c r="T75" i="3"/>
  <c r="S75" i="9"/>
  <c r="U38" i="3"/>
  <c r="T71" i="3"/>
  <c r="S71" i="9"/>
  <c r="S30" i="9"/>
  <c r="T30" i="3"/>
  <c r="T45" i="3"/>
  <c r="S45" i="9"/>
  <c r="T19" i="3"/>
  <c r="S19" i="9"/>
  <c r="U96" i="3"/>
  <c r="T68" i="3"/>
  <c r="S68" i="9"/>
  <c r="S8" i="9"/>
  <c r="T28" i="3"/>
  <c r="S28" i="9"/>
  <c r="U4" i="3"/>
  <c r="V64" i="3"/>
  <c r="S112" i="9"/>
  <c r="T67" i="3"/>
  <c r="S67" i="9"/>
  <c r="T53" i="3"/>
  <c r="S53" i="9"/>
  <c r="S25" i="9"/>
  <c r="T87" i="3"/>
  <c r="S87" i="9"/>
  <c r="U103" i="3"/>
  <c r="U102" i="3"/>
  <c r="T15" i="3"/>
  <c r="S15" i="9"/>
  <c r="T9" i="3"/>
  <c r="S9" i="9"/>
  <c r="S56" i="9"/>
  <c r="S72" i="9"/>
  <c r="T10" i="3"/>
  <c r="S10" i="9"/>
  <c r="V113" i="3"/>
  <c r="T109" i="3"/>
  <c r="S109" i="9"/>
  <c r="T27" i="3"/>
  <c r="S27" i="9"/>
  <c r="S24" i="9"/>
  <c r="T36" i="3"/>
  <c r="S36" i="9"/>
  <c r="S5" i="9"/>
  <c r="S47" i="9"/>
  <c r="U8" i="3"/>
  <c r="U39" i="3"/>
  <c r="S62" i="9"/>
  <c r="T62" i="3"/>
  <c r="S66" i="9"/>
  <c r="T66" i="3"/>
  <c r="U23" i="3"/>
  <c r="U57" i="3"/>
  <c r="S104" i="9"/>
  <c r="T115" i="3"/>
  <c r="S115" i="9"/>
  <c r="T99" i="3"/>
  <c r="S99" i="9"/>
  <c r="S55" i="9"/>
  <c r="U46" i="3"/>
  <c r="T58" i="3"/>
  <c r="S58" i="9"/>
  <c r="S65" i="9"/>
  <c r="T18" i="3"/>
  <c r="S18" i="9"/>
  <c r="U55" i="3"/>
  <c r="T85" i="3"/>
  <c r="S85" i="9"/>
  <c r="T110" i="3"/>
  <c r="S110" i="9"/>
  <c r="S39" i="9"/>
  <c r="S49" i="9"/>
  <c r="U72" i="3"/>
  <c r="U65" i="3"/>
  <c r="T86" i="3"/>
  <c r="S86" i="9"/>
  <c r="T29" i="3"/>
  <c r="S29" i="9"/>
  <c r="T101" i="3"/>
  <c r="S101" i="9"/>
  <c r="S31" i="9"/>
  <c r="U24" i="3"/>
  <c r="S105" i="9"/>
  <c r="T51" i="3"/>
  <c r="S51" i="9"/>
  <c r="T114" i="3"/>
  <c r="S114" i="9"/>
  <c r="T74" i="3"/>
  <c r="S74" i="9"/>
  <c r="U5" i="3"/>
  <c r="T54" i="3"/>
  <c r="S54" i="9"/>
  <c r="T26" i="3"/>
  <c r="S26" i="9"/>
  <c r="U47" i="3"/>
  <c r="U49" i="3"/>
  <c r="T92" i="3"/>
  <c r="S92" i="9"/>
  <c r="V89" i="3"/>
  <c r="S107" i="9"/>
  <c r="T107" i="3"/>
  <c r="U31" i="3"/>
  <c r="T108" i="3"/>
  <c r="S108" i="9"/>
  <c r="U105" i="3"/>
  <c r="S88" i="9"/>
  <c r="S63" i="9"/>
  <c r="T35" i="3"/>
  <c r="S35" i="9"/>
  <c r="T5" i="9" l="1"/>
  <c r="T80" i="9"/>
  <c r="T47" i="9"/>
  <c r="T55" i="9"/>
  <c r="T48" i="9"/>
  <c r="T25" i="9"/>
  <c r="T24" i="9"/>
  <c r="T65" i="9"/>
  <c r="V49" i="3"/>
  <c r="T4" i="9"/>
  <c r="V96" i="3"/>
  <c r="U71" i="3"/>
  <c r="T71" i="9"/>
  <c r="V56" i="3"/>
  <c r="U20" i="3"/>
  <c r="T20" i="9"/>
  <c r="T104" i="9"/>
  <c r="T63" i="9"/>
  <c r="U58" i="3"/>
  <c r="T58" i="9"/>
  <c r="T31" i="9"/>
  <c r="U35" i="3"/>
  <c r="T35" i="9"/>
  <c r="V31" i="3"/>
  <c r="T49" i="9"/>
  <c r="V5" i="3"/>
  <c r="U86" i="3"/>
  <c r="T86" i="9"/>
  <c r="U110" i="3"/>
  <c r="T110" i="9"/>
  <c r="U115" i="3"/>
  <c r="T115" i="9"/>
  <c r="T62" i="9"/>
  <c r="U62" i="3"/>
  <c r="W113" i="3"/>
  <c r="U15" i="3"/>
  <c r="T15" i="9"/>
  <c r="V4" i="3"/>
  <c r="T38" i="9"/>
  <c r="T40" i="9"/>
  <c r="T69" i="9"/>
  <c r="U69" i="3"/>
  <c r="U77" i="3"/>
  <c r="T77" i="9"/>
  <c r="V104" i="3"/>
  <c r="U95" i="3"/>
  <c r="T95" i="9"/>
  <c r="U43" i="3"/>
  <c r="T43" i="9"/>
  <c r="W97" i="3"/>
  <c r="W33" i="3"/>
  <c r="U93" i="3"/>
  <c r="T93" i="9"/>
  <c r="T112" i="9"/>
  <c r="W73" i="3"/>
  <c r="V63" i="3"/>
  <c r="U37" i="3"/>
  <c r="T37" i="9"/>
  <c r="U36" i="3"/>
  <c r="T36" i="9"/>
  <c r="T102" i="9"/>
  <c r="U53" i="3"/>
  <c r="T53" i="9"/>
  <c r="U19" i="3"/>
  <c r="T19" i="9"/>
  <c r="V38" i="3"/>
  <c r="V40" i="3"/>
  <c r="U16" i="3"/>
  <c r="T16" i="9"/>
  <c r="V112" i="3"/>
  <c r="V47" i="3"/>
  <c r="U74" i="3"/>
  <c r="T74" i="9"/>
  <c r="V65" i="3"/>
  <c r="U85" i="3"/>
  <c r="T85" i="9"/>
  <c r="T46" i="9"/>
  <c r="T57" i="9"/>
  <c r="T39" i="9"/>
  <c r="U10" i="3"/>
  <c r="T10" i="9"/>
  <c r="V102" i="3"/>
  <c r="U28" i="3"/>
  <c r="T28" i="9"/>
  <c r="U52" i="3"/>
  <c r="T52" i="9"/>
  <c r="U12" i="3"/>
  <c r="T12" i="9"/>
  <c r="V80" i="3"/>
  <c r="U42" i="3"/>
  <c r="T42" i="9"/>
  <c r="U106" i="3"/>
  <c r="T106" i="9"/>
  <c r="U94" i="3"/>
  <c r="T94" i="9"/>
  <c r="W41" i="3"/>
  <c r="U11" i="3"/>
  <c r="T11" i="9"/>
  <c r="U82" i="3"/>
  <c r="T82" i="9"/>
  <c r="T72" i="9"/>
  <c r="V46" i="3"/>
  <c r="V57" i="3"/>
  <c r="V39" i="3"/>
  <c r="T103" i="9"/>
  <c r="U67" i="3"/>
  <c r="T67" i="9"/>
  <c r="U45" i="3"/>
  <c r="T45" i="9"/>
  <c r="U75" i="3"/>
  <c r="T75" i="9"/>
  <c r="U111" i="3"/>
  <c r="T111" i="9"/>
  <c r="U78" i="3"/>
  <c r="T78" i="9"/>
  <c r="U70" i="3"/>
  <c r="T70" i="9"/>
  <c r="U2" i="3"/>
  <c r="U14" i="9" s="1"/>
  <c r="T2" i="9"/>
  <c r="T89" i="9"/>
  <c r="T33" i="9"/>
  <c r="T41" i="9"/>
  <c r="T113" i="9"/>
  <c r="T81" i="9"/>
  <c r="T73" i="9"/>
  <c r="T97" i="9"/>
  <c r="T64" i="9"/>
  <c r="T3" i="9"/>
  <c r="V25" i="3"/>
  <c r="T21" i="9"/>
  <c r="U21" i="3"/>
  <c r="T88" i="9"/>
  <c r="T105" i="9"/>
  <c r="V105" i="3"/>
  <c r="W89" i="3"/>
  <c r="U26" i="3"/>
  <c r="T26" i="9"/>
  <c r="U114" i="3"/>
  <c r="T114" i="9"/>
  <c r="U101" i="3"/>
  <c r="T101" i="9"/>
  <c r="V72" i="3"/>
  <c r="V55" i="3"/>
  <c r="T23" i="9"/>
  <c r="T8" i="9"/>
  <c r="T27" i="9"/>
  <c r="U27" i="3"/>
  <c r="V103" i="3"/>
  <c r="U30" i="3"/>
  <c r="T30" i="9"/>
  <c r="U100" i="3"/>
  <c r="T100" i="9"/>
  <c r="U76" i="3"/>
  <c r="T76" i="9"/>
  <c r="U61" i="3"/>
  <c r="T61" i="9"/>
  <c r="U59" i="3"/>
  <c r="T59" i="9"/>
  <c r="V3" i="3"/>
  <c r="U50" i="3"/>
  <c r="T50" i="9"/>
  <c r="U98" i="3"/>
  <c r="T98" i="9"/>
  <c r="V88" i="3"/>
  <c r="U107" i="3"/>
  <c r="T107" i="9"/>
  <c r="V24" i="3"/>
  <c r="U68" i="3"/>
  <c r="T68" i="9"/>
  <c r="U90" i="3"/>
  <c r="T90" i="9"/>
  <c r="U34" i="3"/>
  <c r="T34" i="9"/>
  <c r="T6" i="9"/>
  <c r="U79" i="3"/>
  <c r="T79" i="9"/>
  <c r="U44" i="3"/>
  <c r="T44" i="9"/>
  <c r="T32" i="9"/>
  <c r="T14" i="9"/>
  <c r="U83" i="3"/>
  <c r="T83" i="9"/>
  <c r="V23" i="3"/>
  <c r="U23" i="9"/>
  <c r="V8" i="3"/>
  <c r="U108" i="3"/>
  <c r="T108" i="9"/>
  <c r="U92" i="3"/>
  <c r="T92" i="9"/>
  <c r="U54" i="3"/>
  <c r="T54" i="9"/>
  <c r="U51" i="3"/>
  <c r="T51" i="9"/>
  <c r="U29" i="3"/>
  <c r="T29" i="9"/>
  <c r="U18" i="3"/>
  <c r="T18" i="9"/>
  <c r="U99" i="3"/>
  <c r="T99" i="9"/>
  <c r="U66" i="3"/>
  <c r="T66" i="9"/>
  <c r="U109" i="3"/>
  <c r="T109" i="9"/>
  <c r="U9" i="3"/>
  <c r="T9" i="9"/>
  <c r="U87" i="3"/>
  <c r="T87" i="9"/>
  <c r="W64" i="3"/>
  <c r="T96" i="9"/>
  <c r="T60" i="9"/>
  <c r="U60" i="3"/>
  <c r="T56" i="9"/>
  <c r="V6" i="3"/>
  <c r="W81" i="3"/>
  <c r="U84" i="3"/>
  <c r="T84" i="9"/>
  <c r="V32" i="3"/>
  <c r="V14" i="3"/>
  <c r="U22" i="3"/>
  <c r="T22" i="9"/>
  <c r="U91" i="3"/>
  <c r="T91" i="9"/>
  <c r="V48" i="3"/>
  <c r="U17" i="3"/>
  <c r="T17" i="9"/>
  <c r="U13" i="3"/>
  <c r="T13" i="9"/>
  <c r="U7" i="3"/>
  <c r="U6" i="9" s="1"/>
  <c r="T7" i="9"/>
  <c r="U56" i="9" l="1"/>
  <c r="U5" i="9"/>
  <c r="U46" i="9"/>
  <c r="V86" i="3"/>
  <c r="U86" i="9"/>
  <c r="V17" i="3"/>
  <c r="U17" i="9"/>
  <c r="W14" i="3"/>
  <c r="W6" i="3"/>
  <c r="V87" i="3"/>
  <c r="U87" i="9"/>
  <c r="V99" i="3"/>
  <c r="U99" i="9"/>
  <c r="V54" i="3"/>
  <c r="U54" i="9"/>
  <c r="W23" i="3"/>
  <c r="V79" i="3"/>
  <c r="U79" i="9"/>
  <c r="U24" i="9"/>
  <c r="U27" i="9"/>
  <c r="V27" i="3"/>
  <c r="U105" i="9"/>
  <c r="V111" i="3"/>
  <c r="U111" i="9"/>
  <c r="U39" i="9"/>
  <c r="V82" i="3"/>
  <c r="U82" i="9"/>
  <c r="V106" i="3"/>
  <c r="U106" i="9"/>
  <c r="V52" i="3"/>
  <c r="U52" i="9"/>
  <c r="U47" i="9"/>
  <c r="U38" i="9"/>
  <c r="V36" i="3"/>
  <c r="U36" i="9"/>
  <c r="V62" i="3"/>
  <c r="U62" i="9"/>
  <c r="W24" i="3"/>
  <c r="V50" i="3"/>
  <c r="U50" i="9"/>
  <c r="V76" i="3"/>
  <c r="U76" i="9"/>
  <c r="V101" i="3"/>
  <c r="U101" i="9"/>
  <c r="W105" i="3"/>
  <c r="W39" i="3"/>
  <c r="W47" i="3"/>
  <c r="W38" i="3"/>
  <c r="V93" i="3"/>
  <c r="U93" i="9"/>
  <c r="V95" i="3"/>
  <c r="U95" i="9"/>
  <c r="W5" i="3"/>
  <c r="V58" i="3"/>
  <c r="U58" i="9"/>
  <c r="V71" i="3"/>
  <c r="U71" i="9"/>
  <c r="W48" i="3"/>
  <c r="W32" i="3"/>
  <c r="V60" i="3"/>
  <c r="U60" i="9"/>
  <c r="V9" i="3"/>
  <c r="U9" i="9"/>
  <c r="V18" i="3"/>
  <c r="U18" i="9"/>
  <c r="V92" i="3"/>
  <c r="U92" i="9"/>
  <c r="V83" i="3"/>
  <c r="U83" i="9"/>
  <c r="U3" i="9"/>
  <c r="V2" i="3"/>
  <c r="U2" i="9"/>
  <c r="U81" i="9"/>
  <c r="U64" i="9"/>
  <c r="U89" i="9"/>
  <c r="U41" i="9"/>
  <c r="U73" i="9"/>
  <c r="U33" i="9"/>
  <c r="U97" i="9"/>
  <c r="U113" i="9"/>
  <c r="V75" i="3"/>
  <c r="U75" i="9"/>
  <c r="U57" i="9"/>
  <c r="V11" i="3"/>
  <c r="U11" i="9"/>
  <c r="V42" i="3"/>
  <c r="U42" i="9"/>
  <c r="V28" i="3"/>
  <c r="U28" i="9"/>
  <c r="U112" i="9"/>
  <c r="V37" i="3"/>
  <c r="U37" i="9"/>
  <c r="X33" i="3"/>
  <c r="U104" i="9"/>
  <c r="U4" i="9"/>
  <c r="U96" i="9"/>
  <c r="V98" i="3"/>
  <c r="U98" i="9"/>
  <c r="W72" i="3"/>
  <c r="V74" i="3"/>
  <c r="U74" i="9"/>
  <c r="V43" i="3"/>
  <c r="U43" i="9"/>
  <c r="V34" i="3"/>
  <c r="U34" i="9"/>
  <c r="V107" i="3"/>
  <c r="U107" i="9"/>
  <c r="W3" i="3"/>
  <c r="V100" i="3"/>
  <c r="U100" i="9"/>
  <c r="V114" i="3"/>
  <c r="U114" i="9"/>
  <c r="W57" i="3"/>
  <c r="U80" i="9"/>
  <c r="U102" i="9"/>
  <c r="V85" i="3"/>
  <c r="U85" i="9"/>
  <c r="W112" i="3"/>
  <c r="V19" i="3"/>
  <c r="U19" i="9"/>
  <c r="U63" i="9"/>
  <c r="W104" i="3"/>
  <c r="W4" i="3"/>
  <c r="V115" i="3"/>
  <c r="U115" i="9"/>
  <c r="U31" i="9"/>
  <c r="W96" i="3"/>
  <c r="V61" i="3"/>
  <c r="U61" i="9"/>
  <c r="W25" i="3"/>
  <c r="X113" i="3"/>
  <c r="U32" i="9"/>
  <c r="V109" i="3"/>
  <c r="U109" i="9"/>
  <c r="V29" i="3"/>
  <c r="U29" i="9"/>
  <c r="V108" i="3"/>
  <c r="U108" i="9"/>
  <c r="U88" i="9"/>
  <c r="U55" i="9"/>
  <c r="U21" i="9"/>
  <c r="V21" i="3"/>
  <c r="V70" i="3"/>
  <c r="U70" i="9"/>
  <c r="V45" i="3"/>
  <c r="U45" i="9"/>
  <c r="X41" i="3"/>
  <c r="W80" i="3"/>
  <c r="W102" i="3"/>
  <c r="U65" i="9"/>
  <c r="W63" i="3"/>
  <c r="W31" i="3"/>
  <c r="V7" i="3"/>
  <c r="U7" i="9"/>
  <c r="V84" i="3"/>
  <c r="U84" i="9"/>
  <c r="X64" i="3"/>
  <c r="U8" i="9"/>
  <c r="V90" i="3"/>
  <c r="U90" i="9"/>
  <c r="W88" i="3"/>
  <c r="V59" i="3"/>
  <c r="U59" i="9"/>
  <c r="V30" i="3"/>
  <c r="U30" i="9"/>
  <c r="W55" i="3"/>
  <c r="V26" i="3"/>
  <c r="U26" i="9"/>
  <c r="W46" i="3"/>
  <c r="W65" i="3"/>
  <c r="V16" i="3"/>
  <c r="U16" i="9"/>
  <c r="V53" i="3"/>
  <c r="U53" i="9"/>
  <c r="X97" i="3"/>
  <c r="V77" i="3"/>
  <c r="U77" i="9"/>
  <c r="V15" i="3"/>
  <c r="U15" i="9"/>
  <c r="V110" i="3"/>
  <c r="U110" i="9"/>
  <c r="V20" i="3"/>
  <c r="U20" i="9"/>
  <c r="U49" i="9"/>
  <c r="V68" i="3"/>
  <c r="U68" i="9"/>
  <c r="W103" i="3"/>
  <c r="X89" i="3"/>
  <c r="W40" i="3"/>
  <c r="U48" i="9"/>
  <c r="V91" i="3"/>
  <c r="U91" i="9"/>
  <c r="V13" i="3"/>
  <c r="U13" i="9"/>
  <c r="V22" i="3"/>
  <c r="U22" i="9"/>
  <c r="X81" i="3"/>
  <c r="V66" i="3"/>
  <c r="U66" i="9"/>
  <c r="V51" i="3"/>
  <c r="U51" i="9"/>
  <c r="W8" i="3"/>
  <c r="V44" i="3"/>
  <c r="U44" i="9"/>
  <c r="U103" i="9"/>
  <c r="U72" i="9"/>
  <c r="U25" i="9"/>
  <c r="V78" i="3"/>
  <c r="U78" i="9"/>
  <c r="V67" i="3"/>
  <c r="U67" i="9"/>
  <c r="V94" i="3"/>
  <c r="U94" i="9"/>
  <c r="V12" i="3"/>
  <c r="U12" i="9"/>
  <c r="V10" i="3"/>
  <c r="U10" i="9"/>
  <c r="U40" i="9"/>
  <c r="X73" i="3"/>
  <c r="U69" i="9"/>
  <c r="V69" i="3"/>
  <c r="V35" i="3"/>
  <c r="U35" i="9"/>
  <c r="W56" i="3"/>
  <c r="W49" i="3"/>
  <c r="V112" i="9" l="1"/>
  <c r="W69" i="3"/>
  <c r="V69" i="9"/>
  <c r="W12" i="3"/>
  <c r="V12" i="9"/>
  <c r="V104" i="9"/>
  <c r="W85" i="3"/>
  <c r="V85" i="9"/>
  <c r="W100" i="3"/>
  <c r="V100" i="9"/>
  <c r="W43" i="3"/>
  <c r="V43" i="9"/>
  <c r="W28" i="3"/>
  <c r="V28" i="9"/>
  <c r="W18" i="3"/>
  <c r="V18" i="9"/>
  <c r="W95" i="3"/>
  <c r="V95" i="9"/>
  <c r="V6" i="9"/>
  <c r="W66" i="3"/>
  <c r="V66" i="9"/>
  <c r="V91" i="9"/>
  <c r="W91" i="3"/>
  <c r="W15" i="3"/>
  <c r="V15" i="9"/>
  <c r="W16" i="3"/>
  <c r="V16" i="9"/>
  <c r="X55" i="3"/>
  <c r="W90" i="3"/>
  <c r="V90" i="9"/>
  <c r="V31" i="9"/>
  <c r="X80" i="3"/>
  <c r="W109" i="3"/>
  <c r="V109" i="9"/>
  <c r="V96" i="9"/>
  <c r="X104" i="3"/>
  <c r="V3" i="9"/>
  <c r="W2" i="3"/>
  <c r="W8" i="9" s="1"/>
  <c r="V2" i="9"/>
  <c r="V113" i="9"/>
  <c r="V89" i="9"/>
  <c r="V64" i="9"/>
  <c r="V73" i="9"/>
  <c r="V81" i="9"/>
  <c r="V97" i="9"/>
  <c r="V33" i="9"/>
  <c r="V41" i="9"/>
  <c r="V105" i="9"/>
  <c r="V24" i="9"/>
  <c r="W111" i="3"/>
  <c r="V111" i="9"/>
  <c r="X23" i="3"/>
  <c r="X6" i="3"/>
  <c r="V55" i="9"/>
  <c r="W21" i="3"/>
  <c r="V21" i="9"/>
  <c r="X48" i="3"/>
  <c r="X39" i="3"/>
  <c r="V23" i="9"/>
  <c r="V49" i="9"/>
  <c r="W94" i="3"/>
  <c r="V94" i="9"/>
  <c r="W68" i="3"/>
  <c r="V68" i="9"/>
  <c r="V65" i="9"/>
  <c r="X31" i="3"/>
  <c r="X96" i="3"/>
  <c r="X3" i="3"/>
  <c r="W74" i="3"/>
  <c r="V74" i="9"/>
  <c r="Y33" i="3"/>
  <c r="W42" i="3"/>
  <c r="V42" i="9"/>
  <c r="W9" i="3"/>
  <c r="V9" i="9"/>
  <c r="W71" i="3"/>
  <c r="V71" i="9"/>
  <c r="W93" i="3"/>
  <c r="V93" i="9"/>
  <c r="X105" i="3"/>
  <c r="X24" i="3"/>
  <c r="W52" i="3"/>
  <c r="V52" i="9"/>
  <c r="V14" i="9"/>
  <c r="W50" i="3"/>
  <c r="V50" i="9"/>
  <c r="Y73" i="3"/>
  <c r="V40" i="9"/>
  <c r="W77" i="3"/>
  <c r="V77" i="9"/>
  <c r="X65" i="3"/>
  <c r="W30" i="3"/>
  <c r="V30" i="9"/>
  <c r="Y64" i="3"/>
  <c r="V63" i="9"/>
  <c r="Y41" i="3"/>
  <c r="V57" i="9"/>
  <c r="V72" i="9"/>
  <c r="V38" i="9"/>
  <c r="V27" i="9"/>
  <c r="W27" i="3"/>
  <c r="W54" i="3"/>
  <c r="V54" i="9"/>
  <c r="X14" i="3"/>
  <c r="V80" i="9"/>
  <c r="Y81" i="3"/>
  <c r="V56" i="9"/>
  <c r="W67" i="3"/>
  <c r="V67" i="9"/>
  <c r="V8" i="9"/>
  <c r="X40" i="3"/>
  <c r="V46" i="9"/>
  <c r="X63" i="3"/>
  <c r="Y113" i="3"/>
  <c r="W19" i="3"/>
  <c r="V19" i="9"/>
  <c r="X57" i="3"/>
  <c r="W107" i="3"/>
  <c r="V107" i="9"/>
  <c r="X72" i="3"/>
  <c r="W11" i="3"/>
  <c r="V11" i="9"/>
  <c r="W83" i="3"/>
  <c r="V83" i="9"/>
  <c r="W60" i="3"/>
  <c r="V60" i="9"/>
  <c r="W58" i="3"/>
  <c r="V58" i="9"/>
  <c r="X38" i="3"/>
  <c r="W101" i="3"/>
  <c r="V101" i="9"/>
  <c r="W62" i="3"/>
  <c r="V62" i="9"/>
  <c r="W106" i="3"/>
  <c r="V106" i="9"/>
  <c r="W61" i="3"/>
  <c r="V61" i="9"/>
  <c r="X49" i="3"/>
  <c r="W44" i="3"/>
  <c r="V44" i="9"/>
  <c r="X56" i="3"/>
  <c r="X8" i="3"/>
  <c r="W22" i="3"/>
  <c r="V22" i="9"/>
  <c r="W20" i="3"/>
  <c r="V20" i="9"/>
  <c r="Y97" i="3"/>
  <c r="X46" i="3"/>
  <c r="W59" i="3"/>
  <c r="V59" i="9"/>
  <c r="W45" i="3"/>
  <c r="V45" i="9"/>
  <c r="W108" i="3"/>
  <c r="V108" i="9"/>
  <c r="V25" i="9"/>
  <c r="W115" i="3"/>
  <c r="V115" i="9"/>
  <c r="W37" i="3"/>
  <c r="V37" i="9"/>
  <c r="V32" i="9"/>
  <c r="V5" i="9"/>
  <c r="V47" i="9"/>
  <c r="W99" i="3"/>
  <c r="V99" i="9"/>
  <c r="W17" i="3"/>
  <c r="V17" i="9"/>
  <c r="X103" i="3"/>
  <c r="W7" i="3"/>
  <c r="V7" i="9"/>
  <c r="W10" i="3"/>
  <c r="V10" i="9"/>
  <c r="V78" i="9"/>
  <c r="W78" i="3"/>
  <c r="Y89" i="3"/>
  <c r="V88" i="9"/>
  <c r="W84" i="3"/>
  <c r="V84" i="9"/>
  <c r="V102" i="9"/>
  <c r="X25" i="3"/>
  <c r="V4" i="9"/>
  <c r="X112" i="3"/>
  <c r="W114" i="3"/>
  <c r="V114" i="9"/>
  <c r="W34" i="3"/>
  <c r="V34" i="9"/>
  <c r="W98" i="3"/>
  <c r="V98" i="9"/>
  <c r="W92" i="3"/>
  <c r="V92" i="9"/>
  <c r="X32" i="3"/>
  <c r="X5" i="3"/>
  <c r="X47" i="3"/>
  <c r="W76" i="3"/>
  <c r="V76" i="9"/>
  <c r="W36" i="3"/>
  <c r="V36" i="9"/>
  <c r="W82" i="3"/>
  <c r="V82" i="9"/>
  <c r="W35" i="3"/>
  <c r="V35" i="9"/>
  <c r="W51" i="3"/>
  <c r="V51" i="9"/>
  <c r="W13" i="3"/>
  <c r="W46" i="9" s="1"/>
  <c r="V13" i="9"/>
  <c r="V103" i="9"/>
  <c r="W110" i="3"/>
  <c r="V110" i="9"/>
  <c r="W53" i="3"/>
  <c r="V53" i="9"/>
  <c r="W26" i="3"/>
  <c r="V26" i="9"/>
  <c r="X88" i="3"/>
  <c r="W88" i="9"/>
  <c r="X102" i="3"/>
  <c r="W70" i="3"/>
  <c r="V70" i="9"/>
  <c r="W29" i="3"/>
  <c r="V29" i="9"/>
  <c r="X4" i="3"/>
  <c r="V75" i="9"/>
  <c r="W75" i="3"/>
  <c r="V48" i="9"/>
  <c r="V39" i="9"/>
  <c r="W79" i="3"/>
  <c r="V79" i="9"/>
  <c r="W87" i="3"/>
  <c r="V87" i="9"/>
  <c r="W86" i="3"/>
  <c r="V86" i="9"/>
  <c r="W4" i="9" l="1"/>
  <c r="W55" i="9"/>
  <c r="W32" i="9"/>
  <c r="W5" i="9"/>
  <c r="X87" i="3"/>
  <c r="W87" i="9"/>
  <c r="Y4" i="3"/>
  <c r="X10" i="3"/>
  <c r="W10" i="9"/>
  <c r="X99" i="3"/>
  <c r="W99" i="9"/>
  <c r="Y38" i="3"/>
  <c r="X19" i="3"/>
  <c r="W19" i="9"/>
  <c r="Y65" i="3"/>
  <c r="W39" i="9"/>
  <c r="Y80" i="3"/>
  <c r="W13" i="9"/>
  <c r="X13" i="3"/>
  <c r="X36" i="3"/>
  <c r="W36" i="9"/>
  <c r="Y32" i="3"/>
  <c r="X114" i="3"/>
  <c r="W114" i="9"/>
  <c r="X84" i="3"/>
  <c r="W84" i="9"/>
  <c r="Z97" i="3"/>
  <c r="W56" i="9"/>
  <c r="W72" i="9"/>
  <c r="Z113" i="3"/>
  <c r="Y39" i="3"/>
  <c r="Y23" i="3"/>
  <c r="X15" i="3"/>
  <c r="W15" i="9"/>
  <c r="Y8" i="3"/>
  <c r="X29" i="3"/>
  <c r="W29" i="9"/>
  <c r="Y56" i="3"/>
  <c r="Y72" i="3"/>
  <c r="X67" i="3"/>
  <c r="W67" i="9"/>
  <c r="X54" i="3"/>
  <c r="W54" i="9"/>
  <c r="W77" i="9"/>
  <c r="X77" i="3"/>
  <c r="X52" i="3"/>
  <c r="W52" i="9"/>
  <c r="X71" i="3"/>
  <c r="W71" i="9"/>
  <c r="X74" i="3"/>
  <c r="W74" i="9"/>
  <c r="W48" i="9"/>
  <c r="W23" i="9"/>
  <c r="W104" i="9"/>
  <c r="X91" i="3"/>
  <c r="W91" i="9"/>
  <c r="X18" i="3"/>
  <c r="W18" i="9"/>
  <c r="X85" i="3"/>
  <c r="W85" i="9"/>
  <c r="Y14" i="3"/>
  <c r="X93" i="3"/>
  <c r="W93" i="9"/>
  <c r="X100" i="3"/>
  <c r="W100" i="9"/>
  <c r="X108" i="3"/>
  <c r="W108" i="9"/>
  <c r="X51" i="3"/>
  <c r="W51" i="9"/>
  <c r="X92" i="3"/>
  <c r="W92" i="9"/>
  <c r="Y112" i="3"/>
  <c r="Z89" i="3"/>
  <c r="W103" i="9"/>
  <c r="W63" i="9"/>
  <c r="X27" i="3"/>
  <c r="W27" i="9"/>
  <c r="Z64" i="3"/>
  <c r="W24" i="9"/>
  <c r="W3" i="9"/>
  <c r="W68" i="9"/>
  <c r="X68" i="3"/>
  <c r="Y48" i="3"/>
  <c r="Y104" i="3"/>
  <c r="X90" i="3"/>
  <c r="W90" i="9"/>
  <c r="Y46" i="3"/>
  <c r="X79" i="3"/>
  <c r="W79" i="9"/>
  <c r="X26" i="3"/>
  <c r="W26" i="9"/>
  <c r="X106" i="3"/>
  <c r="W106" i="9"/>
  <c r="X76" i="3"/>
  <c r="W76" i="9"/>
  <c r="X70" i="3"/>
  <c r="W70" i="9"/>
  <c r="X53" i="3"/>
  <c r="W53" i="9"/>
  <c r="W47" i="9"/>
  <c r="Y103" i="3"/>
  <c r="X45" i="3"/>
  <c r="W45" i="9"/>
  <c r="X20" i="3"/>
  <c r="W20" i="9"/>
  <c r="X44" i="3"/>
  <c r="W44" i="9"/>
  <c r="X62" i="3"/>
  <c r="W62" i="9"/>
  <c r="X60" i="3"/>
  <c r="W60" i="9"/>
  <c r="X107" i="3"/>
  <c r="W107" i="9"/>
  <c r="Y63" i="3"/>
  <c r="Z81" i="3"/>
  <c r="Z73" i="3"/>
  <c r="Y24" i="3"/>
  <c r="X9" i="3"/>
  <c r="W9" i="9"/>
  <c r="Y3" i="3"/>
  <c r="X111" i="3"/>
  <c r="W111" i="9"/>
  <c r="X28" i="3"/>
  <c r="W28" i="9"/>
  <c r="X82" i="3"/>
  <c r="W82" i="9"/>
  <c r="X34" i="3"/>
  <c r="W34" i="9"/>
  <c r="X115" i="3"/>
  <c r="W115" i="9"/>
  <c r="Y88" i="3"/>
  <c r="W61" i="9"/>
  <c r="X61" i="3"/>
  <c r="X11" i="3"/>
  <c r="W11" i="9"/>
  <c r="Z41" i="3"/>
  <c r="Y6" i="3"/>
  <c r="X2" i="3"/>
  <c r="W2" i="9"/>
  <c r="W89" i="9"/>
  <c r="W64" i="9"/>
  <c r="W97" i="9"/>
  <c r="W33" i="9"/>
  <c r="W113" i="9"/>
  <c r="W41" i="9"/>
  <c r="W81" i="9"/>
  <c r="W73" i="9"/>
  <c r="W112" i="9"/>
  <c r="X75" i="3"/>
  <c r="W75" i="9"/>
  <c r="W102" i="9"/>
  <c r="X35" i="3"/>
  <c r="W35" i="9"/>
  <c r="Y47" i="3"/>
  <c r="X98" i="3"/>
  <c r="W98" i="9"/>
  <c r="W25" i="9"/>
  <c r="X78" i="3"/>
  <c r="W78" i="9"/>
  <c r="X37" i="3"/>
  <c r="W37" i="9"/>
  <c r="W49" i="9"/>
  <c r="W57" i="9"/>
  <c r="W105" i="9"/>
  <c r="W96" i="9"/>
  <c r="X94" i="3"/>
  <c r="W94" i="9"/>
  <c r="X21" i="3"/>
  <c r="W21" i="9"/>
  <c r="Y55" i="3"/>
  <c r="X66" i="3"/>
  <c r="W66" i="9"/>
  <c r="X12" i="3"/>
  <c r="W12" i="9"/>
  <c r="Y31" i="3"/>
  <c r="X95" i="3"/>
  <c r="W95" i="9"/>
  <c r="X7" i="3"/>
  <c r="W7" i="9"/>
  <c r="X58" i="3"/>
  <c r="W58" i="9"/>
  <c r="X86" i="3"/>
  <c r="W86" i="9"/>
  <c r="Y102" i="3"/>
  <c r="X110" i="3"/>
  <c r="W110" i="9"/>
  <c r="Y5" i="3"/>
  <c r="Y25" i="3"/>
  <c r="X17" i="3"/>
  <c r="W17" i="9"/>
  <c r="X59" i="3"/>
  <c r="W59" i="9"/>
  <c r="X22" i="3"/>
  <c r="W22" i="9"/>
  <c r="Y49" i="3"/>
  <c r="X101" i="3"/>
  <c r="W101" i="9"/>
  <c r="X83" i="3"/>
  <c r="W83" i="9"/>
  <c r="Y57" i="3"/>
  <c r="W40" i="9"/>
  <c r="W30" i="9"/>
  <c r="X30" i="3"/>
  <c r="Y105" i="3"/>
  <c r="X42" i="3"/>
  <c r="W42" i="9"/>
  <c r="Y96" i="3"/>
  <c r="X109" i="3"/>
  <c r="W109" i="9"/>
  <c r="X43" i="3"/>
  <c r="W43" i="9"/>
  <c r="W38" i="9"/>
  <c r="Y40" i="3"/>
  <c r="W14" i="9"/>
  <c r="W65" i="9"/>
  <c r="X50" i="3"/>
  <c r="W50" i="9"/>
  <c r="Z33" i="3"/>
  <c r="W31" i="9"/>
  <c r="W6" i="9"/>
  <c r="W80" i="9"/>
  <c r="X16" i="3"/>
  <c r="W16" i="9"/>
  <c r="X69" i="3"/>
  <c r="W69" i="9"/>
  <c r="X4" i="9" l="1"/>
  <c r="Z5" i="3"/>
  <c r="X67" i="9"/>
  <c r="Y67" i="3"/>
  <c r="X8" i="9"/>
  <c r="X114" i="9"/>
  <c r="Y114" i="3"/>
  <c r="X80" i="9"/>
  <c r="X40" i="9"/>
  <c r="X57" i="9"/>
  <c r="X22" i="9"/>
  <c r="Y22" i="3"/>
  <c r="X5" i="9"/>
  <c r="X58" i="9"/>
  <c r="Y58" i="3"/>
  <c r="X12" i="9"/>
  <c r="Y12" i="3"/>
  <c r="X94" i="9"/>
  <c r="Y94" i="3"/>
  <c r="X78" i="9"/>
  <c r="Y78" i="3"/>
  <c r="AA41" i="3"/>
  <c r="X70" i="9"/>
  <c r="Y70" i="3"/>
  <c r="X79" i="9"/>
  <c r="Y79" i="3"/>
  <c r="X48" i="9"/>
  <c r="X27" i="9"/>
  <c r="Y27" i="3"/>
  <c r="X92" i="9"/>
  <c r="Y92" i="3"/>
  <c r="X93" i="9"/>
  <c r="Y93" i="3"/>
  <c r="X91" i="9"/>
  <c r="Y91" i="3"/>
  <c r="Z72" i="3"/>
  <c r="Z32" i="3"/>
  <c r="X99" i="9"/>
  <c r="Y99" i="3"/>
  <c r="X16" i="9"/>
  <c r="Y16" i="3"/>
  <c r="X109" i="9"/>
  <c r="Y109" i="3"/>
  <c r="Z25" i="3"/>
  <c r="Z31" i="3"/>
  <c r="Z40" i="3"/>
  <c r="X6" i="9"/>
  <c r="X28" i="9"/>
  <c r="Y28" i="3"/>
  <c r="X107" i="9"/>
  <c r="Y107" i="3"/>
  <c r="X20" i="9"/>
  <c r="Y20" i="3"/>
  <c r="X115" i="9"/>
  <c r="Y115" i="3"/>
  <c r="X111" i="9"/>
  <c r="Y111" i="3"/>
  <c r="AA73" i="3"/>
  <c r="X60" i="9"/>
  <c r="Y60" i="3"/>
  <c r="X45" i="9"/>
  <c r="Y45" i="3"/>
  <c r="Z46" i="3"/>
  <c r="X68" i="9"/>
  <c r="Y68" i="3"/>
  <c r="Z14" i="3"/>
  <c r="X52" i="9"/>
  <c r="Y52" i="3"/>
  <c r="X72" i="9"/>
  <c r="X15" i="9"/>
  <c r="Y15" i="3"/>
  <c r="X32" i="9"/>
  <c r="Z65" i="3"/>
  <c r="Z48" i="3"/>
  <c r="Z105" i="3"/>
  <c r="X83" i="9"/>
  <c r="Y83" i="3"/>
  <c r="X59" i="9"/>
  <c r="Y59" i="3"/>
  <c r="X110" i="9"/>
  <c r="Y110" i="3"/>
  <c r="X7" i="9"/>
  <c r="Y7" i="3"/>
  <c r="X66" i="9"/>
  <c r="Y66" i="3"/>
  <c r="X75" i="9"/>
  <c r="Y75" i="3"/>
  <c r="Z3" i="3"/>
  <c r="Z103" i="3"/>
  <c r="X76" i="9"/>
  <c r="Y76" i="3"/>
  <c r="X46" i="9"/>
  <c r="X51" i="9"/>
  <c r="Y51" i="3"/>
  <c r="X14" i="9"/>
  <c r="X77" i="9"/>
  <c r="Y77" i="3"/>
  <c r="Z56" i="3"/>
  <c r="Z23" i="3"/>
  <c r="AA97" i="3"/>
  <c r="X65" i="9"/>
  <c r="X10" i="9"/>
  <c r="Y10" i="3"/>
  <c r="Z49" i="3"/>
  <c r="X96" i="9"/>
  <c r="X35" i="9"/>
  <c r="Y35" i="3"/>
  <c r="X24" i="9"/>
  <c r="X71" i="9"/>
  <c r="Y71" i="3"/>
  <c r="AA33" i="3"/>
  <c r="X42" i="9"/>
  <c r="Y42" i="3"/>
  <c r="X43" i="9"/>
  <c r="Y43" i="3"/>
  <c r="Z102" i="3"/>
  <c r="Z55" i="3"/>
  <c r="X98" i="9"/>
  <c r="Y98" i="3"/>
  <c r="X11" i="9"/>
  <c r="Y11" i="3"/>
  <c r="X34" i="9"/>
  <c r="Y34" i="3"/>
  <c r="X3" i="9"/>
  <c r="AA81" i="3"/>
  <c r="X62" i="9"/>
  <c r="Y62" i="3"/>
  <c r="X103" i="9"/>
  <c r="X56" i="9"/>
  <c r="X23" i="9"/>
  <c r="X36" i="9"/>
  <c r="Y36" i="3"/>
  <c r="Z4" i="3"/>
  <c r="Z57" i="3"/>
  <c r="X88" i="9"/>
  <c r="X69" i="9"/>
  <c r="Y69" i="3"/>
  <c r="X105" i="9"/>
  <c r="X50" i="9"/>
  <c r="Y50" i="3"/>
  <c r="X30" i="9"/>
  <c r="Y30" i="3"/>
  <c r="X101" i="9"/>
  <c r="Y101" i="3"/>
  <c r="X17" i="9"/>
  <c r="Y17" i="3"/>
  <c r="X102" i="9"/>
  <c r="X95" i="9"/>
  <c r="Y95" i="3"/>
  <c r="X55" i="9"/>
  <c r="Z47" i="3"/>
  <c r="X61" i="9"/>
  <c r="Y61" i="3"/>
  <c r="Z63" i="3"/>
  <c r="X106" i="9"/>
  <c r="Y106" i="3"/>
  <c r="X90" i="9"/>
  <c r="Y90" i="3"/>
  <c r="AA89" i="3"/>
  <c r="X108" i="9"/>
  <c r="Y108" i="3"/>
  <c r="X85" i="9"/>
  <c r="Y85" i="3"/>
  <c r="Z39" i="3"/>
  <c r="X13" i="9"/>
  <c r="Y13" i="3"/>
  <c r="X19" i="9"/>
  <c r="Y19" i="3"/>
  <c r="X2" i="9"/>
  <c r="Y2" i="3"/>
  <c r="X73" i="9"/>
  <c r="X81" i="9"/>
  <c r="X33" i="9"/>
  <c r="X64" i="9"/>
  <c r="X89" i="9"/>
  <c r="X113" i="9"/>
  <c r="X97" i="9"/>
  <c r="X41" i="9"/>
  <c r="X82" i="9"/>
  <c r="Y82" i="3"/>
  <c r="X9" i="9"/>
  <c r="Y9" i="3"/>
  <c r="Y80" i="9" s="1"/>
  <c r="X44" i="9"/>
  <c r="Y44" i="3"/>
  <c r="Z104" i="3"/>
  <c r="AA64" i="3"/>
  <c r="Z112" i="3"/>
  <c r="X74" i="9"/>
  <c r="Y74" i="3"/>
  <c r="X54" i="9"/>
  <c r="Y54" i="3"/>
  <c r="X29" i="9"/>
  <c r="Y29" i="3"/>
  <c r="X39" i="9"/>
  <c r="X84" i="9"/>
  <c r="Y84" i="3"/>
  <c r="Z38" i="3"/>
  <c r="X47" i="9"/>
  <c r="X63" i="9"/>
  <c r="Z96" i="3"/>
  <c r="X49" i="9"/>
  <c r="X25" i="9"/>
  <c r="X86" i="9"/>
  <c r="Y86" i="3"/>
  <c r="X31" i="9"/>
  <c r="X21" i="9"/>
  <c r="Y21" i="3"/>
  <c r="X37" i="9"/>
  <c r="Y37" i="3"/>
  <c r="Z6" i="3"/>
  <c r="Z88" i="3"/>
  <c r="Z24" i="3"/>
  <c r="X53" i="9"/>
  <c r="Y53" i="3"/>
  <c r="X26" i="9"/>
  <c r="Y26" i="3"/>
  <c r="X104" i="9"/>
  <c r="X112" i="9"/>
  <c r="X100" i="9"/>
  <c r="Y100" i="3"/>
  <c r="X18" i="9"/>
  <c r="Y18" i="3"/>
  <c r="Z8" i="3"/>
  <c r="AA113" i="3"/>
  <c r="Z80" i="3"/>
  <c r="X38" i="9"/>
  <c r="X87" i="9"/>
  <c r="Y87" i="3"/>
  <c r="Y6" i="9" l="1"/>
  <c r="Y24" i="9"/>
  <c r="Y105" i="9"/>
  <c r="Y15" i="9"/>
  <c r="Z15" i="3"/>
  <c r="Y25" i="9"/>
  <c r="Y92" i="9"/>
  <c r="Z92" i="3"/>
  <c r="AB64" i="3"/>
  <c r="AA39" i="3"/>
  <c r="Y47" i="9"/>
  <c r="Y102" i="9"/>
  <c r="Z77" i="3"/>
  <c r="Y77" i="9"/>
  <c r="AA103" i="3"/>
  <c r="Z7" i="3"/>
  <c r="Y7" i="9"/>
  <c r="AA46" i="3"/>
  <c r="Z111" i="3"/>
  <c r="Y111" i="9"/>
  <c r="Y28" i="9"/>
  <c r="Z28" i="3"/>
  <c r="AA25" i="3"/>
  <c r="AA32" i="3"/>
  <c r="AB41" i="3"/>
  <c r="Z58" i="3"/>
  <c r="Y58" i="9"/>
  <c r="Z114" i="3"/>
  <c r="Y114" i="9"/>
  <c r="Z21" i="3"/>
  <c r="Y21" i="9"/>
  <c r="Y39" i="9"/>
  <c r="Y90" i="9"/>
  <c r="Z90" i="3"/>
  <c r="Y34" i="9"/>
  <c r="Z34" i="3"/>
  <c r="AB73" i="3"/>
  <c r="Y54" i="9"/>
  <c r="Z54" i="3"/>
  <c r="AA104" i="3"/>
  <c r="Y2" i="9"/>
  <c r="Z2" i="3"/>
  <c r="Y64" i="9"/>
  <c r="Y97" i="9"/>
  <c r="Y89" i="9"/>
  <c r="Y81" i="9"/>
  <c r="Y33" i="9"/>
  <c r="Y41" i="9"/>
  <c r="Y73" i="9"/>
  <c r="Y113" i="9"/>
  <c r="Z85" i="3"/>
  <c r="Y85" i="9"/>
  <c r="Y106" i="9"/>
  <c r="Z106" i="3"/>
  <c r="Z30" i="3"/>
  <c r="Y30" i="9"/>
  <c r="AA57" i="3"/>
  <c r="Y11" i="9"/>
  <c r="Z11" i="3"/>
  <c r="Z43" i="3"/>
  <c r="Y43" i="9"/>
  <c r="Y103" i="9"/>
  <c r="AA105" i="3"/>
  <c r="Y46" i="9"/>
  <c r="Y109" i="9"/>
  <c r="Z109" i="3"/>
  <c r="Y72" i="9"/>
  <c r="Y27" i="9"/>
  <c r="Z27" i="3"/>
  <c r="Z100" i="3"/>
  <c r="Y100" i="9"/>
  <c r="Y29" i="9"/>
  <c r="Z29" i="3"/>
  <c r="AA47" i="3"/>
  <c r="AA24" i="3"/>
  <c r="AB113" i="3"/>
  <c r="Y88" i="9"/>
  <c r="Y86" i="9"/>
  <c r="Z86" i="3"/>
  <c r="AA38" i="3"/>
  <c r="Y104" i="9"/>
  <c r="Z95" i="3"/>
  <c r="Y95" i="9"/>
  <c r="Y57" i="9"/>
  <c r="Y62" i="9"/>
  <c r="Z62" i="3"/>
  <c r="Y35" i="9"/>
  <c r="Z35" i="3"/>
  <c r="AA3" i="3"/>
  <c r="Z110" i="3"/>
  <c r="Y110" i="9"/>
  <c r="AA48" i="3"/>
  <c r="Y52" i="9"/>
  <c r="Z52" i="3"/>
  <c r="Y45" i="9"/>
  <c r="Z45" i="3"/>
  <c r="Y115" i="9"/>
  <c r="Z115" i="3"/>
  <c r="AA72" i="3"/>
  <c r="Y78" i="9"/>
  <c r="Z78" i="3"/>
  <c r="Y101" i="9"/>
  <c r="Z101" i="3"/>
  <c r="Y56" i="9"/>
  <c r="Y32" i="9"/>
  <c r="AA88" i="3"/>
  <c r="Y8" i="9"/>
  <c r="Z26" i="3"/>
  <c r="Y26" i="9"/>
  <c r="Y38" i="9"/>
  <c r="Y74" i="9"/>
  <c r="Z74" i="3"/>
  <c r="Z44" i="3"/>
  <c r="Y44" i="9"/>
  <c r="Y19" i="9"/>
  <c r="Z19" i="3"/>
  <c r="Y108" i="9"/>
  <c r="Z108" i="3"/>
  <c r="Y63" i="9"/>
  <c r="Z50" i="3"/>
  <c r="Y50" i="9"/>
  <c r="AA4" i="3"/>
  <c r="Y98" i="9"/>
  <c r="Z98" i="3"/>
  <c r="Y42" i="9"/>
  <c r="Z42" i="3"/>
  <c r="AB97" i="3"/>
  <c r="Y51" i="9"/>
  <c r="Z51" i="3"/>
  <c r="Y3" i="9"/>
  <c r="Y48" i="9"/>
  <c r="AA40" i="3"/>
  <c r="Z16" i="3"/>
  <c r="Y16" i="9"/>
  <c r="Y91" i="9"/>
  <c r="Z91" i="3"/>
  <c r="Y22" i="9"/>
  <c r="Z22" i="3"/>
  <c r="Z67" i="3"/>
  <c r="Y67" i="9"/>
  <c r="AA96" i="3"/>
  <c r="Y82" i="9"/>
  <c r="Z82" i="3"/>
  <c r="AA80" i="3"/>
  <c r="Z87" i="3"/>
  <c r="Y87" i="9"/>
  <c r="AA8" i="3"/>
  <c r="Y84" i="9"/>
  <c r="Z84" i="3"/>
  <c r="AA63" i="3"/>
  <c r="Y4" i="9"/>
  <c r="AA23" i="3"/>
  <c r="Z75" i="3"/>
  <c r="Y75" i="9"/>
  <c r="Z59" i="3"/>
  <c r="Y59" i="9"/>
  <c r="Y65" i="9"/>
  <c r="Y14" i="9"/>
  <c r="Z60" i="3"/>
  <c r="Y60" i="9"/>
  <c r="Y20" i="9"/>
  <c r="Z20" i="3"/>
  <c r="Y40" i="9"/>
  <c r="Y79" i="9"/>
  <c r="Z79" i="3"/>
  <c r="Z94" i="3"/>
  <c r="Y94" i="9"/>
  <c r="AA6" i="3"/>
  <c r="Y18" i="9"/>
  <c r="Z18" i="3"/>
  <c r="Z53" i="3"/>
  <c r="Y53" i="9"/>
  <c r="Y37" i="9"/>
  <c r="Z37" i="3"/>
  <c r="Y112" i="9"/>
  <c r="Y9" i="9"/>
  <c r="Z9" i="3"/>
  <c r="Y13" i="9"/>
  <c r="Z13" i="3"/>
  <c r="AB89" i="3"/>
  <c r="Y61" i="9"/>
  <c r="Z61" i="3"/>
  <c r="Z17" i="3"/>
  <c r="Y17" i="9"/>
  <c r="Y36" i="9"/>
  <c r="Z36" i="3"/>
  <c r="AB81" i="3"/>
  <c r="Y55" i="9"/>
  <c r="AB33" i="3"/>
  <c r="Y49" i="9"/>
  <c r="Y23" i="9"/>
  <c r="AA65" i="3"/>
  <c r="AA14" i="3"/>
  <c r="Y31" i="9"/>
  <c r="Y99" i="9"/>
  <c r="Z99" i="3"/>
  <c r="Z93" i="3"/>
  <c r="Y93" i="9"/>
  <c r="AA5" i="3"/>
  <c r="AA102" i="3"/>
  <c r="Y71" i="9"/>
  <c r="Z71" i="3"/>
  <c r="Y10" i="9"/>
  <c r="Z10" i="3"/>
  <c r="Y96" i="9"/>
  <c r="AA112" i="3"/>
  <c r="Z69" i="3"/>
  <c r="Y69" i="9"/>
  <c r="AA55" i="3"/>
  <c r="AA49" i="3"/>
  <c r="AA56" i="3"/>
  <c r="Z76" i="3"/>
  <c r="Y76" i="9"/>
  <c r="Z66" i="3"/>
  <c r="Y66" i="9"/>
  <c r="Y83" i="9"/>
  <c r="Z83" i="3"/>
  <c r="Z68" i="3"/>
  <c r="Y68" i="9"/>
  <c r="Y107" i="9"/>
  <c r="Z107" i="3"/>
  <c r="AA31" i="3"/>
  <c r="Y70" i="9"/>
  <c r="Z70" i="3"/>
  <c r="Y12" i="9"/>
  <c r="Z12" i="3"/>
  <c r="Y5" i="9"/>
  <c r="Z57" i="9" l="1"/>
  <c r="Z102" i="9"/>
  <c r="Z103" i="9"/>
  <c r="AA61" i="3"/>
  <c r="Z61" i="9"/>
  <c r="AB6" i="3"/>
  <c r="AC97" i="3"/>
  <c r="Z34" i="9"/>
  <c r="AA34" i="3"/>
  <c r="Z56" i="9"/>
  <c r="AB102" i="3"/>
  <c r="AA60" i="3"/>
  <c r="Z60" i="9"/>
  <c r="Z23" i="9"/>
  <c r="Z40" i="9"/>
  <c r="AA42" i="3"/>
  <c r="Z42" i="9"/>
  <c r="AA110" i="3"/>
  <c r="Z110" i="9"/>
  <c r="Z105" i="9"/>
  <c r="AB57" i="3"/>
  <c r="AA28" i="3"/>
  <c r="Z28" i="9"/>
  <c r="AB103" i="3"/>
  <c r="AB8" i="3"/>
  <c r="AA114" i="3"/>
  <c r="Z114" i="9"/>
  <c r="Z112" i="9"/>
  <c r="Z14" i="9"/>
  <c r="Z37" i="9"/>
  <c r="AA37" i="3"/>
  <c r="AA68" i="3"/>
  <c r="Z68" i="9"/>
  <c r="AB56" i="3"/>
  <c r="AB112" i="3"/>
  <c r="Z5" i="9"/>
  <c r="AB14" i="3"/>
  <c r="AA94" i="3"/>
  <c r="Z94" i="9"/>
  <c r="AA87" i="3"/>
  <c r="Z87" i="9"/>
  <c r="Z67" i="9"/>
  <c r="AA67" i="3"/>
  <c r="AB40" i="3"/>
  <c r="AA108" i="3"/>
  <c r="Z108" i="9"/>
  <c r="AA101" i="3"/>
  <c r="Z101" i="9"/>
  <c r="AA45" i="3"/>
  <c r="Z45" i="9"/>
  <c r="Z3" i="9"/>
  <c r="AA95" i="3"/>
  <c r="Z95" i="9"/>
  <c r="AC113" i="3"/>
  <c r="AA100" i="3"/>
  <c r="Z100" i="9"/>
  <c r="AB105" i="3"/>
  <c r="AB104" i="3"/>
  <c r="AA90" i="3"/>
  <c r="Z90" i="9"/>
  <c r="AA58" i="3"/>
  <c r="Z58" i="9"/>
  <c r="AC64" i="3"/>
  <c r="AB96" i="3"/>
  <c r="Z74" i="9"/>
  <c r="AA74" i="3"/>
  <c r="AA2" i="3"/>
  <c r="Z2" i="9"/>
  <c r="Z73" i="9"/>
  <c r="Z33" i="9"/>
  <c r="Z89" i="9"/>
  <c r="Z81" i="9"/>
  <c r="Z113" i="9"/>
  <c r="Z97" i="9"/>
  <c r="Z41" i="9"/>
  <c r="Z64" i="9"/>
  <c r="Z7" i="9"/>
  <c r="AA7" i="3"/>
  <c r="AA12" i="3"/>
  <c r="Z12" i="9"/>
  <c r="AB5" i="3"/>
  <c r="AB65" i="3"/>
  <c r="AC81" i="3"/>
  <c r="AC89" i="3"/>
  <c r="AA79" i="3"/>
  <c r="Z79" i="9"/>
  <c r="Z63" i="9"/>
  <c r="Z80" i="9"/>
  <c r="AA22" i="3"/>
  <c r="Z22" i="9"/>
  <c r="Z98" i="9"/>
  <c r="AA98" i="3"/>
  <c r="AB3" i="3"/>
  <c r="Z24" i="9"/>
  <c r="AA27" i="3"/>
  <c r="Z27" i="9"/>
  <c r="AA30" i="3"/>
  <c r="Z30" i="9"/>
  <c r="Z104" i="9"/>
  <c r="AC41" i="3"/>
  <c r="AA92" i="3"/>
  <c r="Z92" i="9"/>
  <c r="AA69" i="3"/>
  <c r="Z69" i="9"/>
  <c r="AC33" i="3"/>
  <c r="AB23" i="3"/>
  <c r="Z70" i="9"/>
  <c r="AA70" i="3"/>
  <c r="AA83" i="3"/>
  <c r="Z83" i="9"/>
  <c r="Z49" i="9"/>
  <c r="AB49" i="3"/>
  <c r="Z10" i="9"/>
  <c r="AA10" i="3"/>
  <c r="Z65" i="9"/>
  <c r="AA36" i="3"/>
  <c r="Z36" i="9"/>
  <c r="Z13" i="9"/>
  <c r="AA13" i="3"/>
  <c r="AA53" i="3"/>
  <c r="Z53" i="9"/>
  <c r="AB63" i="3"/>
  <c r="AB80" i="3"/>
  <c r="Z19" i="9"/>
  <c r="AA19" i="3"/>
  <c r="AA26" i="3"/>
  <c r="Z26" i="9"/>
  <c r="AA78" i="3"/>
  <c r="Z78" i="9"/>
  <c r="Z52" i="9"/>
  <c r="AA52" i="3"/>
  <c r="AA35" i="3"/>
  <c r="Z35" i="9"/>
  <c r="AB38" i="3"/>
  <c r="AB24" i="3"/>
  <c r="AA106" i="3"/>
  <c r="Z106" i="9"/>
  <c r="AA54" i="3"/>
  <c r="Z54" i="9"/>
  <c r="AA111" i="3"/>
  <c r="Z111" i="9"/>
  <c r="AA77" i="3"/>
  <c r="Z77" i="9"/>
  <c r="AA107" i="3"/>
  <c r="Z107" i="9"/>
  <c r="Z16" i="9"/>
  <c r="AA16" i="3"/>
  <c r="Z50" i="9"/>
  <c r="AA50" i="3"/>
  <c r="AA115" i="3"/>
  <c r="Z115" i="9"/>
  <c r="Z25" i="9"/>
  <c r="Z31" i="9"/>
  <c r="Z55" i="9"/>
  <c r="Z59" i="9"/>
  <c r="AA59" i="3"/>
  <c r="AA84" i="3"/>
  <c r="Z84" i="9"/>
  <c r="AA82" i="3"/>
  <c r="Z82" i="9"/>
  <c r="AA91" i="3"/>
  <c r="Z91" i="9"/>
  <c r="AA51" i="3"/>
  <c r="Z51" i="9"/>
  <c r="Z4" i="9"/>
  <c r="Z38" i="9"/>
  <c r="Z47" i="9"/>
  <c r="Z43" i="9"/>
  <c r="AA43" i="3"/>
  <c r="Z32" i="9"/>
  <c r="Z46" i="9"/>
  <c r="AA76" i="3"/>
  <c r="Z76" i="9"/>
  <c r="AB39" i="3"/>
  <c r="AA93" i="3"/>
  <c r="Z93" i="9"/>
  <c r="Z18" i="9"/>
  <c r="AA18" i="3"/>
  <c r="AB31" i="3"/>
  <c r="AA66" i="3"/>
  <c r="Z66" i="9"/>
  <c r="AB55" i="3"/>
  <c r="AA71" i="3"/>
  <c r="Z71" i="9"/>
  <c r="Z99" i="9"/>
  <c r="AA99" i="3"/>
  <c r="Z9" i="9"/>
  <c r="AA9" i="3"/>
  <c r="Z20" i="9"/>
  <c r="AA20" i="3"/>
  <c r="AB4" i="3"/>
  <c r="Z88" i="9"/>
  <c r="Z72" i="9"/>
  <c r="Z48" i="9"/>
  <c r="AA62" i="3"/>
  <c r="Z62" i="9"/>
  <c r="AA86" i="3"/>
  <c r="Z86" i="9"/>
  <c r="AB47" i="3"/>
  <c r="AA109" i="3"/>
  <c r="Z109" i="9"/>
  <c r="AA11" i="3"/>
  <c r="Z11" i="9"/>
  <c r="AC73" i="3"/>
  <c r="AA21" i="3"/>
  <c r="Z21" i="9"/>
  <c r="AB32" i="3"/>
  <c r="AB46" i="3"/>
  <c r="AA15" i="3"/>
  <c r="Z15" i="9"/>
  <c r="AA17" i="3"/>
  <c r="Z17" i="9"/>
  <c r="Z6" i="9"/>
  <c r="AA75" i="3"/>
  <c r="Z75" i="9"/>
  <c r="Z8" i="9"/>
  <c r="Z96" i="9"/>
  <c r="Z44" i="9"/>
  <c r="AA44" i="3"/>
  <c r="AB88" i="3"/>
  <c r="AB72" i="3"/>
  <c r="AB48" i="3"/>
  <c r="AA29" i="3"/>
  <c r="AA72" i="9" s="1"/>
  <c r="Z29" i="9"/>
  <c r="AA85" i="3"/>
  <c r="Z85" i="9"/>
  <c r="AB25" i="3"/>
  <c r="Z39" i="9"/>
  <c r="AA5" i="9" l="1"/>
  <c r="AB11" i="3"/>
  <c r="AA11" i="9"/>
  <c r="AA39" i="9"/>
  <c r="AB82" i="3"/>
  <c r="AA82" i="9"/>
  <c r="AA24" i="9"/>
  <c r="AA70" i="9"/>
  <c r="AB70" i="3"/>
  <c r="AB45" i="3"/>
  <c r="AA45" i="9"/>
  <c r="AB34" i="3"/>
  <c r="AA34" i="9"/>
  <c r="AA25" i="9"/>
  <c r="AC72" i="3"/>
  <c r="AB75" i="3"/>
  <c r="AA75" i="9"/>
  <c r="AA32" i="9"/>
  <c r="AB66" i="3"/>
  <c r="AA66" i="9"/>
  <c r="AC39" i="3"/>
  <c r="AB115" i="3"/>
  <c r="AA115" i="9"/>
  <c r="AB77" i="3"/>
  <c r="AA77" i="9"/>
  <c r="AC24" i="3"/>
  <c r="AB78" i="3"/>
  <c r="AA78" i="9"/>
  <c r="AC63" i="3"/>
  <c r="AA10" i="9"/>
  <c r="AB10" i="3"/>
  <c r="AA92" i="9"/>
  <c r="AB92" i="3"/>
  <c r="AC65" i="3"/>
  <c r="AB2" i="3"/>
  <c r="AA2" i="9"/>
  <c r="AA73" i="9"/>
  <c r="AA97" i="9"/>
  <c r="AA33" i="9"/>
  <c r="AA41" i="9"/>
  <c r="AA89" i="9"/>
  <c r="AA81" i="9"/>
  <c r="AA64" i="9"/>
  <c r="AA113" i="9"/>
  <c r="AB58" i="3"/>
  <c r="AA58" i="9"/>
  <c r="AB100" i="3"/>
  <c r="AA100" i="9"/>
  <c r="AC112" i="3"/>
  <c r="AB28" i="3"/>
  <c r="AA28" i="9"/>
  <c r="AA63" i="9"/>
  <c r="AB99" i="3"/>
  <c r="AA99" i="9"/>
  <c r="AA31" i="9"/>
  <c r="AA84" i="9"/>
  <c r="AB84" i="3"/>
  <c r="AB50" i="3"/>
  <c r="AA50" i="9"/>
  <c r="AC38" i="3"/>
  <c r="AC23" i="3"/>
  <c r="AA3" i="9"/>
  <c r="AB74" i="3"/>
  <c r="AA74" i="9"/>
  <c r="AB101" i="3"/>
  <c r="AA101" i="9"/>
  <c r="AB87" i="3"/>
  <c r="AA87" i="9"/>
  <c r="AC56" i="3"/>
  <c r="AC57" i="3"/>
  <c r="AC25" i="3"/>
  <c r="AB9" i="3"/>
  <c r="AB40" i="9" s="1"/>
  <c r="AA9" i="9"/>
  <c r="AC47" i="3"/>
  <c r="AC31" i="3"/>
  <c r="AB76" i="3"/>
  <c r="AA76" i="9"/>
  <c r="AB59" i="3"/>
  <c r="AA59" i="9"/>
  <c r="AB111" i="3"/>
  <c r="AA111" i="9"/>
  <c r="AA38" i="9"/>
  <c r="AB26" i="3"/>
  <c r="AA26" i="9"/>
  <c r="AA53" i="9"/>
  <c r="AB53" i="3"/>
  <c r="AA49" i="9"/>
  <c r="AA23" i="9"/>
  <c r="AD41" i="3"/>
  <c r="AC3" i="3"/>
  <c r="AB79" i="3"/>
  <c r="AA79" i="9"/>
  <c r="AC5" i="3"/>
  <c r="AB90" i="3"/>
  <c r="AA90" i="9"/>
  <c r="AD113" i="3"/>
  <c r="AA56" i="9"/>
  <c r="AB114" i="3"/>
  <c r="AA114" i="9"/>
  <c r="AA57" i="9"/>
  <c r="AD97" i="3"/>
  <c r="AA65" i="9"/>
  <c r="AB44" i="3"/>
  <c r="AA44" i="9"/>
  <c r="AA17" i="9"/>
  <c r="AB17" i="3"/>
  <c r="AB103" i="9" s="1"/>
  <c r="AB21" i="3"/>
  <c r="AA21" i="9"/>
  <c r="AA47" i="9"/>
  <c r="AC4" i="3"/>
  <c r="AA18" i="9"/>
  <c r="AB18" i="3"/>
  <c r="AB51" i="3"/>
  <c r="AA51" i="9"/>
  <c r="AB16" i="3"/>
  <c r="AA16" i="9"/>
  <c r="AB19" i="3"/>
  <c r="AA19" i="9"/>
  <c r="AB13" i="3"/>
  <c r="AA13" i="9"/>
  <c r="AC49" i="3"/>
  <c r="AB98" i="3"/>
  <c r="AA98" i="9"/>
  <c r="AD89" i="3"/>
  <c r="AA96" i="9"/>
  <c r="AA104" i="9"/>
  <c r="AB108" i="3"/>
  <c r="AA108" i="9"/>
  <c r="AB94" i="3"/>
  <c r="AA94" i="9"/>
  <c r="AA8" i="9"/>
  <c r="AB60" i="3"/>
  <c r="AA60" i="9"/>
  <c r="AA6" i="9"/>
  <c r="AC46" i="3"/>
  <c r="AA62" i="9"/>
  <c r="AB62" i="3"/>
  <c r="AB27" i="3"/>
  <c r="AA27" i="9"/>
  <c r="AA112" i="9"/>
  <c r="AA88" i="9"/>
  <c r="AC32" i="3"/>
  <c r="AB109" i="3"/>
  <c r="AA109" i="9"/>
  <c r="AB85" i="3"/>
  <c r="AA85" i="9"/>
  <c r="AC88" i="3"/>
  <c r="AA4" i="9"/>
  <c r="AB71" i="3"/>
  <c r="AA71" i="9"/>
  <c r="AB54" i="3"/>
  <c r="AA54" i="9"/>
  <c r="AB35" i="3"/>
  <c r="AA35" i="9"/>
  <c r="AD33" i="3"/>
  <c r="AB12" i="3"/>
  <c r="AA12" i="9"/>
  <c r="AC96" i="3"/>
  <c r="AC104" i="3"/>
  <c r="AA95" i="9"/>
  <c r="AB95" i="3"/>
  <c r="AA40" i="9"/>
  <c r="AC14" i="3"/>
  <c r="AB68" i="3"/>
  <c r="AA68" i="9"/>
  <c r="AC8" i="3"/>
  <c r="AA102" i="9"/>
  <c r="AC6" i="3"/>
  <c r="AB42" i="3"/>
  <c r="AA42" i="9"/>
  <c r="AB29" i="3"/>
  <c r="AA29" i="9"/>
  <c r="AA48" i="9"/>
  <c r="AA15" i="9"/>
  <c r="AB15" i="3"/>
  <c r="AD73" i="3"/>
  <c r="AB86" i="3"/>
  <c r="AA86" i="9"/>
  <c r="AA20" i="9"/>
  <c r="AB20" i="3"/>
  <c r="AA55" i="9"/>
  <c r="AA43" i="9"/>
  <c r="AB43" i="3"/>
  <c r="AB91" i="3"/>
  <c r="AA91" i="9"/>
  <c r="AA52" i="9"/>
  <c r="AB52" i="3"/>
  <c r="AA80" i="9"/>
  <c r="AA30" i="9"/>
  <c r="AB30" i="3"/>
  <c r="AD81" i="3"/>
  <c r="AA7" i="9"/>
  <c r="AB7" i="3"/>
  <c r="AA105" i="9"/>
  <c r="AC40" i="3"/>
  <c r="AA14" i="9"/>
  <c r="AB37" i="3"/>
  <c r="AA37" i="9"/>
  <c r="AA103" i="9"/>
  <c r="AA110" i="9"/>
  <c r="AB110" i="3"/>
  <c r="AC102" i="3"/>
  <c r="AC48" i="3"/>
  <c r="AA46" i="9"/>
  <c r="AC55" i="3"/>
  <c r="AB93" i="3"/>
  <c r="AA93" i="9"/>
  <c r="AB107" i="3"/>
  <c r="AA107" i="9"/>
  <c r="AB106" i="3"/>
  <c r="AA106" i="9"/>
  <c r="AC80" i="3"/>
  <c r="AB36" i="3"/>
  <c r="AA36" i="9"/>
  <c r="AB83" i="3"/>
  <c r="AA83" i="9"/>
  <c r="AB69" i="3"/>
  <c r="AA69" i="9"/>
  <c r="AA22" i="9"/>
  <c r="AB22" i="3"/>
  <c r="AD64" i="3"/>
  <c r="AC105" i="3"/>
  <c r="AB67" i="3"/>
  <c r="AA67" i="9"/>
  <c r="AC103" i="3"/>
  <c r="AB61" i="3"/>
  <c r="AA61" i="9"/>
  <c r="AB80" i="9" l="1"/>
  <c r="AB24" i="9"/>
  <c r="AC60" i="3"/>
  <c r="AB60" i="9"/>
  <c r="AB4" i="9"/>
  <c r="AB25" i="9"/>
  <c r="AB63" i="9"/>
  <c r="AC75" i="3"/>
  <c r="AB75" i="9"/>
  <c r="AC70" i="3"/>
  <c r="AB70" i="9"/>
  <c r="AD103" i="3"/>
  <c r="AD80" i="3"/>
  <c r="AD55" i="3"/>
  <c r="AC86" i="3"/>
  <c r="AB86" i="9"/>
  <c r="AC68" i="3"/>
  <c r="AB68" i="9"/>
  <c r="AB96" i="9"/>
  <c r="AB85" i="9"/>
  <c r="AC85" i="3"/>
  <c r="AC27" i="3"/>
  <c r="AB27" i="9"/>
  <c r="AE89" i="3"/>
  <c r="AC19" i="3"/>
  <c r="AB19" i="9"/>
  <c r="AD4" i="3"/>
  <c r="AE113" i="3"/>
  <c r="AD3" i="3"/>
  <c r="AC26" i="3"/>
  <c r="AB26" i="9"/>
  <c r="AB31" i="9"/>
  <c r="AB57" i="9"/>
  <c r="AC50" i="3"/>
  <c r="AB50" i="9"/>
  <c r="AC28" i="3"/>
  <c r="AB28" i="9"/>
  <c r="AC2" i="3"/>
  <c r="AB2" i="9"/>
  <c r="AB81" i="9"/>
  <c r="AB64" i="9"/>
  <c r="AB89" i="9"/>
  <c r="AB73" i="9"/>
  <c r="AB33" i="9"/>
  <c r="AB97" i="9"/>
  <c r="AB113" i="9"/>
  <c r="AB41" i="9"/>
  <c r="AD63" i="3"/>
  <c r="AB115" i="9"/>
  <c r="AC115" i="3"/>
  <c r="AB72" i="9"/>
  <c r="AB3" i="9"/>
  <c r="AC76" i="3"/>
  <c r="AB76" i="9"/>
  <c r="AC91" i="3"/>
  <c r="AB91" i="9"/>
  <c r="AC42" i="3"/>
  <c r="AB42" i="9"/>
  <c r="AD14" i="3"/>
  <c r="AD96" i="3"/>
  <c r="AC54" i="3"/>
  <c r="AB54" i="9"/>
  <c r="AC62" i="3"/>
  <c r="AB62" i="9"/>
  <c r="AD31" i="3"/>
  <c r="AD57" i="3"/>
  <c r="AC74" i="3"/>
  <c r="AB74" i="9"/>
  <c r="AC84" i="3"/>
  <c r="AB84" i="9"/>
  <c r="AB112" i="9"/>
  <c r="AB65" i="9"/>
  <c r="AB39" i="9"/>
  <c r="AD72" i="3"/>
  <c r="AC44" i="3"/>
  <c r="AB44" i="9"/>
  <c r="AC67" i="3"/>
  <c r="AB67" i="9"/>
  <c r="AC69" i="3"/>
  <c r="AB69" i="9"/>
  <c r="AC106" i="3"/>
  <c r="AB106" i="9"/>
  <c r="AB48" i="9"/>
  <c r="AC37" i="3"/>
  <c r="AB37" i="9"/>
  <c r="AE81" i="3"/>
  <c r="AC43" i="3"/>
  <c r="AB43" i="9"/>
  <c r="AE73" i="3"/>
  <c r="AB6" i="9"/>
  <c r="AB14" i="9"/>
  <c r="AC109" i="3"/>
  <c r="AB109" i="9"/>
  <c r="AC94" i="3"/>
  <c r="AB94" i="9"/>
  <c r="AC98" i="3"/>
  <c r="AB98" i="9"/>
  <c r="AC16" i="3"/>
  <c r="AB16" i="9"/>
  <c r="AE97" i="3"/>
  <c r="AC90" i="3"/>
  <c r="AB90" i="9"/>
  <c r="AE41" i="3"/>
  <c r="AB47" i="9"/>
  <c r="AB56" i="9"/>
  <c r="AD112" i="3"/>
  <c r="AD65" i="3"/>
  <c r="AC78" i="3"/>
  <c r="AB78" i="9"/>
  <c r="AD39" i="3"/>
  <c r="AC35" i="3"/>
  <c r="AB35" i="9"/>
  <c r="AB30" i="9"/>
  <c r="AC30" i="3"/>
  <c r="AC15" i="3"/>
  <c r="AB15" i="9"/>
  <c r="AD6" i="3"/>
  <c r="AB12" i="9"/>
  <c r="AC12" i="3"/>
  <c r="AC71" i="3"/>
  <c r="AB71" i="9"/>
  <c r="AB32" i="9"/>
  <c r="AD46" i="3"/>
  <c r="AB49" i="9"/>
  <c r="AC21" i="3"/>
  <c r="AB21" i="9"/>
  <c r="AB5" i="9"/>
  <c r="AC111" i="3"/>
  <c r="AB111" i="9"/>
  <c r="AD47" i="3"/>
  <c r="AD56" i="3"/>
  <c r="AD23" i="3"/>
  <c r="AC92" i="3"/>
  <c r="AB92" i="9"/>
  <c r="AC82" i="3"/>
  <c r="AB82" i="9"/>
  <c r="AC22" i="3"/>
  <c r="AB22" i="9"/>
  <c r="AB55" i="9"/>
  <c r="AC7" i="3"/>
  <c r="AB7" i="9"/>
  <c r="AC29" i="3"/>
  <c r="AB29" i="9"/>
  <c r="AD104" i="3"/>
  <c r="AC101" i="3"/>
  <c r="AB101" i="9"/>
  <c r="AB105" i="9"/>
  <c r="AD48" i="3"/>
  <c r="AD105" i="3"/>
  <c r="AC83" i="3"/>
  <c r="AB83" i="9"/>
  <c r="AC107" i="3"/>
  <c r="AB107" i="9"/>
  <c r="AB102" i="9"/>
  <c r="AD40" i="3"/>
  <c r="AC95" i="3"/>
  <c r="AB95" i="9"/>
  <c r="AD32" i="3"/>
  <c r="AB46" i="9"/>
  <c r="AC108" i="3"/>
  <c r="AB108" i="9"/>
  <c r="AD49" i="3"/>
  <c r="AC51" i="3"/>
  <c r="AB51" i="9"/>
  <c r="AC17" i="3"/>
  <c r="AB17" i="9"/>
  <c r="AD5" i="3"/>
  <c r="AB23" i="9"/>
  <c r="AC100" i="3"/>
  <c r="AB100" i="9"/>
  <c r="AD24" i="3"/>
  <c r="AC66" i="3"/>
  <c r="AB66" i="9"/>
  <c r="AC34" i="3"/>
  <c r="AB34" i="9"/>
  <c r="AB8" i="9"/>
  <c r="AE33" i="3"/>
  <c r="AB88" i="9"/>
  <c r="AB18" i="9"/>
  <c r="AC18" i="3"/>
  <c r="AC114" i="3"/>
  <c r="AB114" i="9"/>
  <c r="AC53" i="3"/>
  <c r="AB53" i="9"/>
  <c r="AC59" i="3"/>
  <c r="AB59" i="9"/>
  <c r="AB9" i="9"/>
  <c r="AC9" i="3"/>
  <c r="AC87" i="3"/>
  <c r="AB87" i="9"/>
  <c r="AB38" i="9"/>
  <c r="AC99" i="3"/>
  <c r="AB99" i="9"/>
  <c r="AC10" i="3"/>
  <c r="AB10" i="9"/>
  <c r="AD102" i="3"/>
  <c r="AC20" i="3"/>
  <c r="AB20" i="9"/>
  <c r="AC61" i="3"/>
  <c r="AB61" i="9"/>
  <c r="AE64" i="3"/>
  <c r="AC36" i="3"/>
  <c r="AB36" i="9"/>
  <c r="AC93" i="3"/>
  <c r="AB93" i="9"/>
  <c r="AC110" i="3"/>
  <c r="AB110" i="9"/>
  <c r="AC52" i="3"/>
  <c r="AB52" i="9"/>
  <c r="AD8" i="3"/>
  <c r="AB104" i="9"/>
  <c r="AD88" i="3"/>
  <c r="AC13" i="3"/>
  <c r="AB13" i="9"/>
  <c r="AC79" i="3"/>
  <c r="AB79" i="9"/>
  <c r="AD25" i="3"/>
  <c r="AD38" i="3"/>
  <c r="AC58" i="3"/>
  <c r="AB58" i="9"/>
  <c r="AC77" i="3"/>
  <c r="AB77" i="9"/>
  <c r="AC45" i="3"/>
  <c r="AB45" i="9"/>
  <c r="AB11" i="9"/>
  <c r="AC11" i="3"/>
  <c r="AC80" i="9" l="1"/>
  <c r="AC48" i="9"/>
  <c r="AC96" i="9"/>
  <c r="AC38" i="9"/>
  <c r="AD110" i="3"/>
  <c r="AC110" i="9"/>
  <c r="AD51" i="3"/>
  <c r="AC51" i="9"/>
  <c r="AD83" i="3"/>
  <c r="AC83" i="9"/>
  <c r="AC104" i="9"/>
  <c r="AD22" i="3"/>
  <c r="AC22" i="9"/>
  <c r="AE56" i="3"/>
  <c r="AC6" i="9"/>
  <c r="AC39" i="9"/>
  <c r="AD67" i="3"/>
  <c r="AC67" i="9"/>
  <c r="AD115" i="3"/>
  <c r="AC115" i="9"/>
  <c r="AD86" i="3"/>
  <c r="AC86" i="9"/>
  <c r="AD70" i="3"/>
  <c r="AC70" i="9"/>
  <c r="AD11" i="3"/>
  <c r="AC11" i="9"/>
  <c r="AC88" i="9"/>
  <c r="AD61" i="3"/>
  <c r="AC61" i="9"/>
  <c r="AD99" i="3"/>
  <c r="AC99" i="9"/>
  <c r="AE38" i="3"/>
  <c r="AE88" i="3"/>
  <c r="AD53" i="3"/>
  <c r="AC53" i="9"/>
  <c r="AD100" i="3"/>
  <c r="AC100" i="9"/>
  <c r="AC49" i="9"/>
  <c r="AD95" i="3"/>
  <c r="AC95" i="9"/>
  <c r="AC105" i="9"/>
  <c r="AE104" i="3"/>
  <c r="AC47" i="9"/>
  <c r="AC46" i="9"/>
  <c r="AE6" i="3"/>
  <c r="AE39" i="3"/>
  <c r="AD16" i="3"/>
  <c r="AC16" i="9"/>
  <c r="AD37" i="3"/>
  <c r="AC37" i="9"/>
  <c r="AD84" i="3"/>
  <c r="AC84" i="9"/>
  <c r="AD62" i="3"/>
  <c r="AC62" i="9"/>
  <c r="AD42" i="3"/>
  <c r="AC42" i="9"/>
  <c r="AD50" i="3"/>
  <c r="AC50" i="9"/>
  <c r="AF113" i="3"/>
  <c r="AD27" i="3"/>
  <c r="AC27" i="9"/>
  <c r="AC55" i="9"/>
  <c r="AD93" i="3"/>
  <c r="AC93" i="9"/>
  <c r="AD20" i="3"/>
  <c r="AC20" i="9"/>
  <c r="AE49" i="3"/>
  <c r="AC40" i="9"/>
  <c r="AE105" i="3"/>
  <c r="AD82" i="3"/>
  <c r="AC82" i="9"/>
  <c r="AE47" i="3"/>
  <c r="AE46" i="3"/>
  <c r="AD44" i="3"/>
  <c r="AC44" i="9"/>
  <c r="AC63" i="9"/>
  <c r="AC4" i="9"/>
  <c r="AD85" i="3"/>
  <c r="AC85" i="9"/>
  <c r="AE55" i="3"/>
  <c r="AD75" i="3"/>
  <c r="AC75" i="9"/>
  <c r="AE25" i="3"/>
  <c r="AD45" i="3"/>
  <c r="AC45" i="9"/>
  <c r="AC25" i="9"/>
  <c r="AC8" i="9"/>
  <c r="AC102" i="9"/>
  <c r="AD87" i="3"/>
  <c r="AC87" i="9"/>
  <c r="AD114" i="3"/>
  <c r="AC114" i="9"/>
  <c r="AD34" i="3"/>
  <c r="AC34" i="9"/>
  <c r="AC5" i="9"/>
  <c r="AE40" i="3"/>
  <c r="AD29" i="3"/>
  <c r="AC29" i="9"/>
  <c r="AC15" i="9"/>
  <c r="AD15" i="3"/>
  <c r="AD78" i="3"/>
  <c r="AC78" i="9"/>
  <c r="AF41" i="3"/>
  <c r="AD98" i="3"/>
  <c r="AC98" i="9"/>
  <c r="AF73" i="3"/>
  <c r="AC72" i="9"/>
  <c r="AD74" i="3"/>
  <c r="AC74" i="9"/>
  <c r="AD54" i="3"/>
  <c r="AC54" i="9"/>
  <c r="AD91" i="3"/>
  <c r="AC91" i="9"/>
  <c r="AE63" i="3"/>
  <c r="AE4" i="3"/>
  <c r="AE8" i="3"/>
  <c r="AD36" i="3"/>
  <c r="AC36" i="9"/>
  <c r="AE102" i="3"/>
  <c r="AC9" i="9"/>
  <c r="AD9" i="3"/>
  <c r="AC18" i="9"/>
  <c r="AD18" i="3"/>
  <c r="AE5" i="3"/>
  <c r="AD108" i="3"/>
  <c r="AC108" i="9"/>
  <c r="AE48" i="3"/>
  <c r="AD92" i="3"/>
  <c r="AC92" i="9"/>
  <c r="AD111" i="3"/>
  <c r="AC111" i="9"/>
  <c r="AC30" i="9"/>
  <c r="AD30" i="3"/>
  <c r="AC65" i="9"/>
  <c r="AD106" i="3"/>
  <c r="AC106" i="9"/>
  <c r="AE72" i="3"/>
  <c r="AC57" i="9"/>
  <c r="AE80" i="3"/>
  <c r="AD77" i="3"/>
  <c r="AC77" i="9"/>
  <c r="AD79" i="3"/>
  <c r="AC79" i="9"/>
  <c r="AD66" i="3"/>
  <c r="AC66" i="9"/>
  <c r="AD7" i="3"/>
  <c r="AC7" i="9"/>
  <c r="AE23" i="3"/>
  <c r="AD71" i="3"/>
  <c r="AC71" i="9"/>
  <c r="AE65" i="3"/>
  <c r="AD90" i="3"/>
  <c r="AC90" i="9"/>
  <c r="AC94" i="9"/>
  <c r="AD94" i="3"/>
  <c r="AD43" i="3"/>
  <c r="AC43" i="9"/>
  <c r="AE57" i="3"/>
  <c r="AE96" i="3"/>
  <c r="AD76" i="3"/>
  <c r="AC76" i="9"/>
  <c r="AD2" i="3"/>
  <c r="AC2" i="9"/>
  <c r="AC33" i="9"/>
  <c r="AC64" i="9"/>
  <c r="AC41" i="9"/>
  <c r="AC97" i="9"/>
  <c r="AC73" i="9"/>
  <c r="AC81" i="9"/>
  <c r="AC113" i="9"/>
  <c r="AC89" i="9"/>
  <c r="AD26" i="3"/>
  <c r="AC26" i="9"/>
  <c r="AC19" i="9"/>
  <c r="AD19" i="3"/>
  <c r="AC103" i="9"/>
  <c r="AC24" i="9"/>
  <c r="AD17" i="3"/>
  <c r="AC17" i="9"/>
  <c r="AC32" i="9"/>
  <c r="AD107" i="3"/>
  <c r="AC107" i="9"/>
  <c r="AC23" i="9"/>
  <c r="AD12" i="3"/>
  <c r="AC12" i="9"/>
  <c r="AE112" i="3"/>
  <c r="AD69" i="3"/>
  <c r="AC69" i="9"/>
  <c r="AC31" i="9"/>
  <c r="AC14" i="9"/>
  <c r="AC3" i="9"/>
  <c r="AD68" i="3"/>
  <c r="AC68" i="9"/>
  <c r="AE103" i="3"/>
  <c r="AD52" i="3"/>
  <c r="AC52" i="9"/>
  <c r="AF64" i="3"/>
  <c r="AD10" i="3"/>
  <c r="AC10" i="9"/>
  <c r="AD58" i="3"/>
  <c r="AC58" i="9"/>
  <c r="AD13" i="3"/>
  <c r="AC13" i="9"/>
  <c r="AD59" i="3"/>
  <c r="AC59" i="9"/>
  <c r="AF33" i="3"/>
  <c r="AE24" i="3"/>
  <c r="AE32" i="3"/>
  <c r="AD101" i="3"/>
  <c r="AC101" i="9"/>
  <c r="AC56" i="9"/>
  <c r="AD21" i="3"/>
  <c r="AC21" i="9"/>
  <c r="AD35" i="3"/>
  <c r="AC35" i="9"/>
  <c r="AC112" i="9"/>
  <c r="AF97" i="3"/>
  <c r="AD109" i="3"/>
  <c r="AC109" i="9"/>
  <c r="AF81" i="3"/>
  <c r="AE31" i="3"/>
  <c r="AE14" i="3"/>
  <c r="AD28" i="3"/>
  <c r="AC28" i="9"/>
  <c r="AE3" i="3"/>
  <c r="AF89" i="3"/>
  <c r="AD60" i="3"/>
  <c r="AC60" i="9"/>
  <c r="AD32" i="9" l="1"/>
  <c r="AD31" i="9"/>
  <c r="AD3" i="9"/>
  <c r="AD104" i="9"/>
  <c r="AD14" i="9"/>
  <c r="AE12" i="3"/>
  <c r="AD12" i="9"/>
  <c r="AE76" i="3"/>
  <c r="AD76" i="9"/>
  <c r="AF23" i="3"/>
  <c r="AE77" i="3"/>
  <c r="AD77" i="9"/>
  <c r="AF48" i="3"/>
  <c r="AD4" i="9"/>
  <c r="AE74" i="3"/>
  <c r="AD74" i="9"/>
  <c r="AD55" i="9"/>
  <c r="AD46" i="9"/>
  <c r="AD39" i="9"/>
  <c r="AD88" i="9"/>
  <c r="AE115" i="3"/>
  <c r="AD115" i="9"/>
  <c r="AE22" i="3"/>
  <c r="AD22" i="9"/>
  <c r="AE60" i="3"/>
  <c r="AD60" i="9"/>
  <c r="AF14" i="3"/>
  <c r="AG97" i="3"/>
  <c r="AE101" i="3"/>
  <c r="AD101" i="9"/>
  <c r="AE59" i="3"/>
  <c r="AD59" i="9"/>
  <c r="AG64" i="3"/>
  <c r="AE19" i="3"/>
  <c r="AD19" i="9"/>
  <c r="AD96" i="9"/>
  <c r="AD80" i="9"/>
  <c r="AD30" i="9"/>
  <c r="AE30" i="3"/>
  <c r="AD102" i="9"/>
  <c r="AD63" i="9"/>
  <c r="AE78" i="3"/>
  <c r="AD78" i="9"/>
  <c r="AF55" i="3"/>
  <c r="AF46" i="3"/>
  <c r="AD49" i="9"/>
  <c r="AE27" i="3"/>
  <c r="AD27" i="9"/>
  <c r="AE62" i="3"/>
  <c r="AD62" i="9"/>
  <c r="AF39" i="3"/>
  <c r="AF88" i="3"/>
  <c r="AF96" i="3"/>
  <c r="AE90" i="3"/>
  <c r="AD90" i="9"/>
  <c r="AE7" i="3"/>
  <c r="AD7" i="9"/>
  <c r="AF80" i="3"/>
  <c r="AE108" i="3"/>
  <c r="AD108" i="9"/>
  <c r="AF102" i="3"/>
  <c r="AF63" i="3"/>
  <c r="AE15" i="3"/>
  <c r="AD15" i="9"/>
  <c r="AE34" i="3"/>
  <c r="AD34" i="9"/>
  <c r="AD47" i="9"/>
  <c r="AF49" i="3"/>
  <c r="AD6" i="9"/>
  <c r="AE95" i="3"/>
  <c r="AD95" i="9"/>
  <c r="AD38" i="9"/>
  <c r="AD11" i="9"/>
  <c r="AE11" i="3"/>
  <c r="AE67" i="3"/>
  <c r="AD67" i="9"/>
  <c r="AG89" i="3"/>
  <c r="AF32" i="3"/>
  <c r="AE13" i="3"/>
  <c r="AD13" i="9"/>
  <c r="AE52" i="3"/>
  <c r="AD52" i="9"/>
  <c r="AE107" i="3"/>
  <c r="AD107" i="9"/>
  <c r="AD57" i="9"/>
  <c r="AD65" i="9"/>
  <c r="AD5" i="9"/>
  <c r="AG73" i="3"/>
  <c r="AE45" i="3"/>
  <c r="AD45" i="9"/>
  <c r="AE85" i="3"/>
  <c r="AD85" i="9"/>
  <c r="AF47" i="3"/>
  <c r="AG113" i="3"/>
  <c r="AE84" i="3"/>
  <c r="AD84" i="9"/>
  <c r="AF6" i="3"/>
  <c r="AF38" i="3"/>
  <c r="AE83" i="3"/>
  <c r="AD83" i="9"/>
  <c r="AF31" i="3"/>
  <c r="AE35" i="3"/>
  <c r="AD35" i="9"/>
  <c r="AD24" i="9"/>
  <c r="AD103" i="9"/>
  <c r="AE69" i="3"/>
  <c r="AD69" i="9"/>
  <c r="AE26" i="3"/>
  <c r="AD26" i="9"/>
  <c r="AF57" i="3"/>
  <c r="AF65" i="3"/>
  <c r="AE66" i="3"/>
  <c r="AD66" i="9"/>
  <c r="AD72" i="9"/>
  <c r="AE111" i="3"/>
  <c r="AD111" i="9"/>
  <c r="AF5" i="3"/>
  <c r="AE36" i="3"/>
  <c r="AD36" i="9"/>
  <c r="AE91" i="3"/>
  <c r="AD91" i="9"/>
  <c r="AE114" i="3"/>
  <c r="AD114" i="9"/>
  <c r="AD25" i="9"/>
  <c r="AE20" i="3"/>
  <c r="AD20" i="9"/>
  <c r="AE70" i="3"/>
  <c r="AD70" i="9"/>
  <c r="AF3" i="3"/>
  <c r="AF24" i="3"/>
  <c r="AE58" i="3"/>
  <c r="AD58" i="9"/>
  <c r="AF103" i="3"/>
  <c r="AD112" i="9"/>
  <c r="AF72" i="3"/>
  <c r="AE18" i="3"/>
  <c r="AD18" i="9"/>
  <c r="AD8" i="9"/>
  <c r="AE98" i="3"/>
  <c r="AD98" i="9"/>
  <c r="AE29" i="3"/>
  <c r="AD29" i="9"/>
  <c r="AF25" i="3"/>
  <c r="AE82" i="3"/>
  <c r="AD82" i="9"/>
  <c r="AE50" i="3"/>
  <c r="AD50" i="9"/>
  <c r="AE37" i="3"/>
  <c r="AD37" i="9"/>
  <c r="AE100" i="3"/>
  <c r="AD100" i="9"/>
  <c r="AE99" i="3"/>
  <c r="AD99" i="9"/>
  <c r="AD56" i="9"/>
  <c r="AE51" i="3"/>
  <c r="AD51" i="9"/>
  <c r="AE43" i="3"/>
  <c r="AD43" i="9"/>
  <c r="AE71" i="3"/>
  <c r="AD71" i="9"/>
  <c r="AE92" i="3"/>
  <c r="AD92" i="9"/>
  <c r="AF8" i="3"/>
  <c r="AD54" i="9"/>
  <c r="AE54" i="3"/>
  <c r="AD40" i="9"/>
  <c r="AE87" i="3"/>
  <c r="AD87" i="9"/>
  <c r="AD105" i="9"/>
  <c r="AE93" i="3"/>
  <c r="AD93" i="9"/>
  <c r="AE86" i="3"/>
  <c r="AD86" i="9"/>
  <c r="AF56" i="3"/>
  <c r="AG81" i="3"/>
  <c r="AE21" i="3"/>
  <c r="AD21" i="9"/>
  <c r="AF112" i="3"/>
  <c r="AE17" i="3"/>
  <c r="AD17" i="9"/>
  <c r="AE2" i="3"/>
  <c r="AD2" i="9"/>
  <c r="AD89" i="9"/>
  <c r="AD81" i="9"/>
  <c r="AD97" i="9"/>
  <c r="AD64" i="9"/>
  <c r="AD73" i="9"/>
  <c r="AD41" i="9"/>
  <c r="AD33" i="9"/>
  <c r="AD113" i="9"/>
  <c r="AE79" i="3"/>
  <c r="AD79" i="9"/>
  <c r="AE28" i="3"/>
  <c r="AD28" i="9"/>
  <c r="AE109" i="3"/>
  <c r="AD109" i="9"/>
  <c r="AG33" i="3"/>
  <c r="AE10" i="3"/>
  <c r="AD10" i="9"/>
  <c r="AE68" i="3"/>
  <c r="AD68" i="9"/>
  <c r="AE94" i="3"/>
  <c r="AD94" i="9"/>
  <c r="AD23" i="9"/>
  <c r="AE106" i="3"/>
  <c r="AD106" i="9"/>
  <c r="AD48" i="9"/>
  <c r="AE9" i="3"/>
  <c r="AD9" i="9"/>
  <c r="AF4" i="3"/>
  <c r="AG41" i="3"/>
  <c r="AF40" i="3"/>
  <c r="AE75" i="3"/>
  <c r="AD75" i="9"/>
  <c r="AE44" i="3"/>
  <c r="AD44" i="9"/>
  <c r="AF105" i="3"/>
  <c r="AE42" i="3"/>
  <c r="AD42" i="9"/>
  <c r="AE16" i="3"/>
  <c r="AD16" i="9"/>
  <c r="AF104" i="3"/>
  <c r="AE53" i="3"/>
  <c r="AD53" i="9"/>
  <c r="AE61" i="3"/>
  <c r="AD61" i="9"/>
  <c r="AE110" i="3"/>
  <c r="AD110" i="9"/>
  <c r="AE105" i="9" l="1"/>
  <c r="AG104" i="3"/>
  <c r="AF44" i="3"/>
  <c r="AE44" i="9"/>
  <c r="AG4" i="3"/>
  <c r="AF94" i="3"/>
  <c r="AE94" i="9"/>
  <c r="AF109" i="3"/>
  <c r="AE109" i="9"/>
  <c r="AF17" i="3"/>
  <c r="AE17" i="9"/>
  <c r="AG56" i="3"/>
  <c r="AF71" i="3"/>
  <c r="AE71" i="9"/>
  <c r="AE25" i="9"/>
  <c r="AF18" i="3"/>
  <c r="AE18" i="9"/>
  <c r="AE24" i="9"/>
  <c r="AG5" i="3"/>
  <c r="AE57" i="9"/>
  <c r="AE6" i="9"/>
  <c r="AG32" i="3"/>
  <c r="AE80" i="9"/>
  <c r="AE88" i="9"/>
  <c r="AH64" i="3"/>
  <c r="AG14" i="3"/>
  <c r="AH41" i="3"/>
  <c r="AE112" i="9"/>
  <c r="AF54" i="3"/>
  <c r="AE54" i="9"/>
  <c r="AF100" i="3"/>
  <c r="AE100" i="9"/>
  <c r="AG25" i="3"/>
  <c r="AE72" i="9"/>
  <c r="AG24" i="3"/>
  <c r="AG57" i="3"/>
  <c r="AF35" i="3"/>
  <c r="AE35" i="9"/>
  <c r="AG6" i="3"/>
  <c r="AF85" i="3"/>
  <c r="AE85" i="9"/>
  <c r="AF95" i="3"/>
  <c r="AE95" i="9"/>
  <c r="AF15" i="3"/>
  <c r="AE15" i="9"/>
  <c r="AG80" i="3"/>
  <c r="AG88" i="3"/>
  <c r="AE46" i="9"/>
  <c r="AF30" i="3"/>
  <c r="AE30" i="9"/>
  <c r="AE77" i="9"/>
  <c r="AF77" i="3"/>
  <c r="AG105" i="3"/>
  <c r="AF110" i="3"/>
  <c r="AE110" i="9"/>
  <c r="AF16" i="3"/>
  <c r="AE16" i="9"/>
  <c r="AF75" i="3"/>
  <c r="AE75" i="9"/>
  <c r="AF9" i="3"/>
  <c r="AE9" i="9"/>
  <c r="AE68" i="9"/>
  <c r="AF68" i="3"/>
  <c r="AF28" i="3"/>
  <c r="AE28" i="9"/>
  <c r="AG112" i="3"/>
  <c r="AF86" i="3"/>
  <c r="AE86" i="9"/>
  <c r="AF43" i="3"/>
  <c r="AE43" i="9"/>
  <c r="AG72" i="3"/>
  <c r="AE3" i="9"/>
  <c r="AE114" i="9"/>
  <c r="AF114" i="3"/>
  <c r="AF111" i="3"/>
  <c r="AE111" i="9"/>
  <c r="AE31" i="9"/>
  <c r="AF107" i="3"/>
  <c r="AE107" i="9"/>
  <c r="AH89" i="3"/>
  <c r="AE63" i="9"/>
  <c r="AE39" i="9"/>
  <c r="AG46" i="3"/>
  <c r="AF59" i="3"/>
  <c r="AE59" i="9"/>
  <c r="AF60" i="3"/>
  <c r="AE60" i="9"/>
  <c r="AE23" i="9"/>
  <c r="AE8" i="9"/>
  <c r="AF37" i="3"/>
  <c r="AE37" i="9"/>
  <c r="AF29" i="3"/>
  <c r="AE29" i="9"/>
  <c r="AG3" i="3"/>
  <c r="AF26" i="3"/>
  <c r="AE26" i="9"/>
  <c r="AG31" i="3"/>
  <c r="AF84" i="3"/>
  <c r="AE84" i="9"/>
  <c r="AF45" i="3"/>
  <c r="AE45" i="9"/>
  <c r="AG49" i="3"/>
  <c r="AG63" i="3"/>
  <c r="AF7" i="3"/>
  <c r="AE7" i="9"/>
  <c r="AG39" i="3"/>
  <c r="AE55" i="9"/>
  <c r="AG23" i="3"/>
  <c r="AE40" i="9"/>
  <c r="AF61" i="3"/>
  <c r="AE61" i="9"/>
  <c r="AF42" i="3"/>
  <c r="AE42" i="9"/>
  <c r="AG40" i="3"/>
  <c r="AF10" i="3"/>
  <c r="AE10" i="9"/>
  <c r="AF79" i="3"/>
  <c r="AE79" i="9"/>
  <c r="AF21" i="3"/>
  <c r="AE21" i="9"/>
  <c r="AF93" i="3"/>
  <c r="AE93" i="9"/>
  <c r="AG8" i="3"/>
  <c r="AF51" i="3"/>
  <c r="AE51" i="9"/>
  <c r="AE103" i="9"/>
  <c r="AF91" i="3"/>
  <c r="AE91" i="9"/>
  <c r="AF52" i="3"/>
  <c r="AE52" i="9"/>
  <c r="AF67" i="3"/>
  <c r="AE67" i="9"/>
  <c r="AE49" i="9"/>
  <c r="AE102" i="9"/>
  <c r="AG55" i="3"/>
  <c r="AF101" i="3"/>
  <c r="AE101" i="9"/>
  <c r="AF22" i="3"/>
  <c r="AE22" i="9"/>
  <c r="AF74" i="3"/>
  <c r="AE74" i="9"/>
  <c r="AF106" i="3"/>
  <c r="AE106" i="9"/>
  <c r="AH81" i="3"/>
  <c r="AF50" i="3"/>
  <c r="AE50" i="9"/>
  <c r="AF98" i="3"/>
  <c r="AE98" i="9"/>
  <c r="AG103" i="3"/>
  <c r="AF70" i="3"/>
  <c r="AE70" i="9"/>
  <c r="AF66" i="3"/>
  <c r="AE66" i="9"/>
  <c r="AF69" i="3"/>
  <c r="AE69" i="9"/>
  <c r="AF83" i="3"/>
  <c r="AE83" i="9"/>
  <c r="AH113" i="3"/>
  <c r="AH73" i="3"/>
  <c r="AF11" i="3"/>
  <c r="AE11" i="9"/>
  <c r="AG102" i="3"/>
  <c r="AF90" i="3"/>
  <c r="AE90" i="9"/>
  <c r="AF62" i="3"/>
  <c r="AE62" i="9"/>
  <c r="AF76" i="3"/>
  <c r="AE76" i="9"/>
  <c r="AE53" i="9"/>
  <c r="AF53" i="3"/>
  <c r="AH33" i="3"/>
  <c r="AF2" i="3"/>
  <c r="AE2" i="9"/>
  <c r="AE33" i="9"/>
  <c r="AE41" i="9"/>
  <c r="AE81" i="9"/>
  <c r="AE89" i="9"/>
  <c r="AE97" i="9"/>
  <c r="AE113" i="9"/>
  <c r="AE73" i="9"/>
  <c r="AE64" i="9"/>
  <c r="AF36" i="3"/>
  <c r="AE36" i="9"/>
  <c r="AE65" i="9"/>
  <c r="AE38" i="9"/>
  <c r="AE47" i="9"/>
  <c r="AF13" i="3"/>
  <c r="AE13" i="9"/>
  <c r="AE96" i="9"/>
  <c r="AF78" i="3"/>
  <c r="AE78" i="9"/>
  <c r="AF19" i="3"/>
  <c r="AE19" i="9"/>
  <c r="AH97" i="3"/>
  <c r="AF115" i="3"/>
  <c r="AE115" i="9"/>
  <c r="AE48" i="9"/>
  <c r="AF92" i="3"/>
  <c r="AE92" i="9"/>
  <c r="AE104" i="9"/>
  <c r="AE4" i="9"/>
  <c r="AE56" i="9"/>
  <c r="AF87" i="3"/>
  <c r="AE87" i="9"/>
  <c r="AF99" i="3"/>
  <c r="AE99" i="9"/>
  <c r="AF82" i="3"/>
  <c r="AE82" i="9"/>
  <c r="AF58" i="3"/>
  <c r="AE58" i="9"/>
  <c r="AF20" i="3"/>
  <c r="AE20" i="9"/>
  <c r="AE5" i="9"/>
  <c r="AG65" i="3"/>
  <c r="AG38" i="3"/>
  <c r="AG47" i="3"/>
  <c r="AE32" i="9"/>
  <c r="AF34" i="3"/>
  <c r="AE34" i="9"/>
  <c r="AF108" i="3"/>
  <c r="AE108" i="9"/>
  <c r="AG96" i="3"/>
  <c r="AF27" i="3"/>
  <c r="AE27" i="9"/>
  <c r="AE14" i="9"/>
  <c r="AG48" i="3"/>
  <c r="AF12" i="3"/>
  <c r="AE12" i="9"/>
  <c r="AF4" i="9" l="1"/>
  <c r="AF38" i="9"/>
  <c r="AG21" i="3"/>
  <c r="AF21" i="9"/>
  <c r="AG42" i="3"/>
  <c r="AF42" i="9"/>
  <c r="AH39" i="3"/>
  <c r="AG45" i="3"/>
  <c r="AF45" i="9"/>
  <c r="AF3" i="9"/>
  <c r="AG60" i="3"/>
  <c r="AF60" i="9"/>
  <c r="AI89" i="3"/>
  <c r="AH112" i="3"/>
  <c r="AG75" i="3"/>
  <c r="AF75" i="9"/>
  <c r="AH25" i="3"/>
  <c r="AF14" i="9"/>
  <c r="AF78" i="9"/>
  <c r="AG78" i="3"/>
  <c r="AG36" i="3"/>
  <c r="AF36" i="9"/>
  <c r="AG76" i="3"/>
  <c r="AF76" i="9"/>
  <c r="AF11" i="9"/>
  <c r="AG11" i="3"/>
  <c r="AG69" i="3"/>
  <c r="AF69" i="9"/>
  <c r="AG98" i="3"/>
  <c r="AF98" i="9"/>
  <c r="AG74" i="3"/>
  <c r="AF74" i="9"/>
  <c r="AF72" i="9"/>
  <c r="AG15" i="3"/>
  <c r="AF15" i="9"/>
  <c r="AG35" i="3"/>
  <c r="AF35" i="9"/>
  <c r="AH14" i="3"/>
  <c r="AG71" i="3"/>
  <c r="AF71" i="9"/>
  <c r="AF94" i="9"/>
  <c r="AG94" i="3"/>
  <c r="AG34" i="3"/>
  <c r="AF34" i="9"/>
  <c r="AG99" i="3"/>
  <c r="AF99" i="9"/>
  <c r="AG51" i="3"/>
  <c r="AF51" i="9"/>
  <c r="AG79" i="3"/>
  <c r="AF79" i="9"/>
  <c r="AG61" i="3"/>
  <c r="AF61" i="9"/>
  <c r="AG7" i="3"/>
  <c r="AF7" i="9"/>
  <c r="AG84" i="3"/>
  <c r="AF84" i="9"/>
  <c r="AG29" i="3"/>
  <c r="AF29" i="9"/>
  <c r="AG59" i="3"/>
  <c r="AF59" i="9"/>
  <c r="AG107" i="3"/>
  <c r="AF107" i="9"/>
  <c r="AH72" i="3"/>
  <c r="AG28" i="3"/>
  <c r="AF28" i="9"/>
  <c r="AG16" i="3"/>
  <c r="AF16" i="9"/>
  <c r="AG30" i="3"/>
  <c r="AF30" i="9"/>
  <c r="AF57" i="9"/>
  <c r="AG100" i="3"/>
  <c r="AF100" i="9"/>
  <c r="AF5" i="9"/>
  <c r="AF56" i="9"/>
  <c r="AH65" i="3"/>
  <c r="AG92" i="3"/>
  <c r="AF92" i="9"/>
  <c r="AG27" i="3"/>
  <c r="AF27" i="9"/>
  <c r="AF47" i="9"/>
  <c r="AG20" i="3"/>
  <c r="AF20" i="9"/>
  <c r="AG87" i="3"/>
  <c r="AF87" i="9"/>
  <c r="AG115" i="3"/>
  <c r="AF115" i="9"/>
  <c r="AG2" i="3"/>
  <c r="AF2" i="9"/>
  <c r="AF64" i="9"/>
  <c r="AF97" i="9"/>
  <c r="AF33" i="9"/>
  <c r="AF41" i="9"/>
  <c r="AF73" i="9"/>
  <c r="AF113" i="9"/>
  <c r="AF89" i="9"/>
  <c r="AF81" i="9"/>
  <c r="AG62" i="3"/>
  <c r="AF62" i="9"/>
  <c r="AI73" i="3"/>
  <c r="AG66" i="3"/>
  <c r="AF66" i="9"/>
  <c r="AG50" i="3"/>
  <c r="AF50" i="9"/>
  <c r="AG22" i="3"/>
  <c r="AF22" i="9"/>
  <c r="AG67" i="3"/>
  <c r="AF67" i="9"/>
  <c r="AF8" i="9"/>
  <c r="AF63" i="9"/>
  <c r="AF31" i="9"/>
  <c r="AF46" i="9"/>
  <c r="AG68" i="3"/>
  <c r="AF68" i="9"/>
  <c r="AG95" i="3"/>
  <c r="AF95" i="9"/>
  <c r="AH57" i="3"/>
  <c r="AI64" i="3"/>
  <c r="AH5" i="3"/>
  <c r="AH56" i="3"/>
  <c r="AH4" i="3"/>
  <c r="AH48" i="3"/>
  <c r="AG13" i="3"/>
  <c r="AF13" i="9"/>
  <c r="AH8" i="3"/>
  <c r="AG10" i="3"/>
  <c r="AF10" i="9"/>
  <c r="AF23" i="9"/>
  <c r="AH63" i="3"/>
  <c r="AH31" i="3"/>
  <c r="AG37" i="3"/>
  <c r="AF37" i="9"/>
  <c r="AH46" i="3"/>
  <c r="AG43" i="3"/>
  <c r="AF43" i="9"/>
  <c r="AG110" i="3"/>
  <c r="AF110" i="9"/>
  <c r="AF88" i="9"/>
  <c r="AF24" i="9"/>
  <c r="AG54" i="3"/>
  <c r="AF54" i="9"/>
  <c r="AF96" i="9"/>
  <c r="AH47" i="3"/>
  <c r="AH96" i="3"/>
  <c r="AG58" i="3"/>
  <c r="AF58" i="9"/>
  <c r="AI97" i="3"/>
  <c r="AI33" i="3"/>
  <c r="AG90" i="3"/>
  <c r="AF90" i="9"/>
  <c r="AI113" i="3"/>
  <c r="AG70" i="3"/>
  <c r="AF70" i="9"/>
  <c r="AI81" i="3"/>
  <c r="AG101" i="3"/>
  <c r="AF101" i="9"/>
  <c r="AG52" i="3"/>
  <c r="AF52" i="9"/>
  <c r="AF40" i="9"/>
  <c r="AH23" i="3"/>
  <c r="AF49" i="9"/>
  <c r="AG111" i="3"/>
  <c r="AF111" i="9"/>
  <c r="AF105" i="9"/>
  <c r="AH88" i="3"/>
  <c r="AG85" i="3"/>
  <c r="AF85" i="9"/>
  <c r="AH24" i="3"/>
  <c r="AF17" i="9"/>
  <c r="AG17" i="3"/>
  <c r="AG44" i="3"/>
  <c r="AF44" i="9"/>
  <c r="AG12" i="3"/>
  <c r="AF12" i="9"/>
  <c r="AG53" i="3"/>
  <c r="AF53" i="9"/>
  <c r="AF103" i="9"/>
  <c r="AF55" i="9"/>
  <c r="AG93" i="3"/>
  <c r="AF93" i="9"/>
  <c r="AH40" i="3"/>
  <c r="AH49" i="3"/>
  <c r="AG26" i="3"/>
  <c r="AF26" i="9"/>
  <c r="AG114" i="3"/>
  <c r="AF114" i="9"/>
  <c r="AG86" i="3"/>
  <c r="AF86" i="9"/>
  <c r="AG9" i="3"/>
  <c r="AF9" i="9"/>
  <c r="AH105" i="3"/>
  <c r="AF80" i="9"/>
  <c r="AF6" i="9"/>
  <c r="AH32" i="3"/>
  <c r="AG18" i="3"/>
  <c r="AF18" i="9"/>
  <c r="AF104" i="9"/>
  <c r="AH38" i="3"/>
  <c r="AF102" i="9"/>
  <c r="AF48" i="9"/>
  <c r="AG108" i="3"/>
  <c r="AF108" i="9"/>
  <c r="AF65" i="9"/>
  <c r="AG82" i="3"/>
  <c r="AF82" i="9"/>
  <c r="AG19" i="3"/>
  <c r="AF19" i="9"/>
  <c r="AH102" i="3"/>
  <c r="AG83" i="3"/>
  <c r="AF83" i="9"/>
  <c r="AH103" i="3"/>
  <c r="AG106" i="3"/>
  <c r="AF106" i="9"/>
  <c r="AH55" i="3"/>
  <c r="AG91" i="3"/>
  <c r="AF91" i="9"/>
  <c r="AF39" i="9"/>
  <c r="AH3" i="3"/>
  <c r="AF112" i="9"/>
  <c r="AF77" i="9"/>
  <c r="AG77" i="3"/>
  <c r="AH80" i="3"/>
  <c r="AH6" i="3"/>
  <c r="AF25" i="9"/>
  <c r="AI41" i="3"/>
  <c r="AF32" i="9"/>
  <c r="AG109" i="3"/>
  <c r="AF109" i="9"/>
  <c r="AH104" i="3"/>
  <c r="AG6" i="9" l="1"/>
  <c r="AG104" i="9"/>
  <c r="AG39" i="9"/>
  <c r="AG80" i="9"/>
  <c r="AG31" i="9"/>
  <c r="AG103" i="9"/>
  <c r="AG3" i="9"/>
  <c r="AJ41" i="3"/>
  <c r="AH82" i="3"/>
  <c r="AG82" i="9"/>
  <c r="AI105" i="3"/>
  <c r="AI80" i="3"/>
  <c r="AG49" i="9"/>
  <c r="AG24" i="9"/>
  <c r="AH111" i="3"/>
  <c r="AG111" i="9"/>
  <c r="AH101" i="3"/>
  <c r="AG101" i="9"/>
  <c r="AH90" i="3"/>
  <c r="AG90" i="9"/>
  <c r="AI96" i="3"/>
  <c r="AI8" i="3"/>
  <c r="AI56" i="3"/>
  <c r="AH95" i="3"/>
  <c r="AG95" i="9"/>
  <c r="AH67" i="3"/>
  <c r="AG67" i="9"/>
  <c r="AJ73" i="3"/>
  <c r="AH87" i="3"/>
  <c r="AG87" i="9"/>
  <c r="AG65" i="9"/>
  <c r="AH30" i="3"/>
  <c r="AG30" i="9"/>
  <c r="AH107" i="3"/>
  <c r="AG107" i="9"/>
  <c r="AH7" i="3"/>
  <c r="AG7" i="9"/>
  <c r="AH99" i="3"/>
  <c r="AG99" i="9"/>
  <c r="AI14" i="3"/>
  <c r="AH75" i="3"/>
  <c r="AG75" i="9"/>
  <c r="AI104" i="3"/>
  <c r="AI6" i="3"/>
  <c r="AI103" i="3"/>
  <c r="AH109" i="3"/>
  <c r="AG109" i="9"/>
  <c r="AH18" i="3"/>
  <c r="AG18" i="9"/>
  <c r="AH9" i="3"/>
  <c r="AG9" i="9"/>
  <c r="AI49" i="3"/>
  <c r="AH53" i="3"/>
  <c r="AG53" i="9"/>
  <c r="AI24" i="3"/>
  <c r="AG47" i="9"/>
  <c r="AH110" i="3"/>
  <c r="AG110" i="9"/>
  <c r="AI31" i="3"/>
  <c r="AG5" i="9"/>
  <c r="AI65" i="3"/>
  <c r="AH98" i="3"/>
  <c r="AG98" i="9"/>
  <c r="AH36" i="3"/>
  <c r="AG36" i="9"/>
  <c r="AG112" i="9"/>
  <c r="AH45" i="3"/>
  <c r="AG45" i="9"/>
  <c r="AH91" i="3"/>
  <c r="AG91" i="9"/>
  <c r="AH83" i="3"/>
  <c r="AG83" i="9"/>
  <c r="AH77" i="3"/>
  <c r="AG77" i="9"/>
  <c r="AG55" i="9"/>
  <c r="AG102" i="9"/>
  <c r="AH108" i="3"/>
  <c r="AG108" i="9"/>
  <c r="AG32" i="9"/>
  <c r="AG40" i="9"/>
  <c r="AG23" i="9"/>
  <c r="AJ81" i="3"/>
  <c r="AJ33" i="3"/>
  <c r="AI47" i="3"/>
  <c r="AG63" i="9"/>
  <c r="AG13" i="9"/>
  <c r="AH13" i="3"/>
  <c r="AI5" i="3"/>
  <c r="AH68" i="3"/>
  <c r="AG68" i="9"/>
  <c r="AH22" i="3"/>
  <c r="AG22" i="9"/>
  <c r="AH62" i="3"/>
  <c r="AG62" i="9"/>
  <c r="AH20" i="3"/>
  <c r="AG20" i="9"/>
  <c r="AH16" i="3"/>
  <c r="AG16" i="9"/>
  <c r="AH59" i="3"/>
  <c r="AG59" i="9"/>
  <c r="AH61" i="3"/>
  <c r="AG61" i="9"/>
  <c r="AG34" i="9"/>
  <c r="AH34" i="3"/>
  <c r="AH35" i="3"/>
  <c r="AG35" i="9"/>
  <c r="AG78" i="9"/>
  <c r="AH78" i="3"/>
  <c r="AI112" i="3"/>
  <c r="AI55" i="3"/>
  <c r="AI102" i="3"/>
  <c r="AI32" i="3"/>
  <c r="AH86" i="3"/>
  <c r="AG86" i="9"/>
  <c r="AI40" i="3"/>
  <c r="AG12" i="9"/>
  <c r="AH12" i="3"/>
  <c r="AH85" i="3"/>
  <c r="AG85" i="9"/>
  <c r="AI23" i="3"/>
  <c r="AH43" i="3"/>
  <c r="AG43" i="9"/>
  <c r="AI63" i="3"/>
  <c r="AG48" i="9"/>
  <c r="AH94" i="3"/>
  <c r="AG94" i="9"/>
  <c r="AH69" i="3"/>
  <c r="AG69" i="9"/>
  <c r="AI39" i="3"/>
  <c r="AG88" i="9"/>
  <c r="AH70" i="3"/>
  <c r="AG70" i="9"/>
  <c r="AJ97" i="3"/>
  <c r="AG46" i="9"/>
  <c r="AI48" i="3"/>
  <c r="AJ64" i="3"/>
  <c r="AH50" i="3"/>
  <c r="AG50" i="9"/>
  <c r="AH2" i="3"/>
  <c r="AG2" i="9"/>
  <c r="AG89" i="9"/>
  <c r="AG41" i="9"/>
  <c r="AG81" i="9"/>
  <c r="AG113" i="9"/>
  <c r="AG33" i="9"/>
  <c r="AG97" i="9"/>
  <c r="AG64" i="9"/>
  <c r="AG73" i="9"/>
  <c r="AH28" i="3"/>
  <c r="AG28" i="9"/>
  <c r="AH29" i="3"/>
  <c r="AG29" i="9"/>
  <c r="AH79" i="3"/>
  <c r="AG79" i="9"/>
  <c r="AH15" i="3"/>
  <c r="AG15" i="9"/>
  <c r="AH11" i="3"/>
  <c r="AG11" i="9"/>
  <c r="AJ89" i="3"/>
  <c r="AI3" i="3"/>
  <c r="AH106" i="3"/>
  <c r="AG106" i="9"/>
  <c r="AH19" i="3"/>
  <c r="AG19" i="9"/>
  <c r="AG38" i="9"/>
  <c r="AH114" i="3"/>
  <c r="AG114" i="9"/>
  <c r="AH93" i="3"/>
  <c r="AG93" i="9"/>
  <c r="AH44" i="3"/>
  <c r="AG44" i="9"/>
  <c r="AI88" i="3"/>
  <c r="AH54" i="3"/>
  <c r="AG54" i="9"/>
  <c r="AI46" i="3"/>
  <c r="AG4" i="9"/>
  <c r="AG57" i="9"/>
  <c r="AH27" i="3"/>
  <c r="AG27" i="9"/>
  <c r="AH100" i="3"/>
  <c r="AG100" i="9"/>
  <c r="AG72" i="9"/>
  <c r="AG25" i="9"/>
  <c r="AH42" i="3"/>
  <c r="AG42" i="9"/>
  <c r="AI38" i="3"/>
  <c r="AG105" i="9"/>
  <c r="AH17" i="3"/>
  <c r="AG17" i="9"/>
  <c r="AH52" i="3"/>
  <c r="AG52" i="9"/>
  <c r="AJ113" i="3"/>
  <c r="AH58" i="3"/>
  <c r="AG58" i="9"/>
  <c r="AH10" i="3"/>
  <c r="AG10" i="9"/>
  <c r="AI4" i="3"/>
  <c r="AI57" i="3"/>
  <c r="AH66" i="3"/>
  <c r="AG66" i="9"/>
  <c r="AH115" i="3"/>
  <c r="AG115" i="9"/>
  <c r="AI72" i="3"/>
  <c r="AH84" i="3"/>
  <c r="AG84" i="9"/>
  <c r="AH51" i="3"/>
  <c r="AG51" i="9"/>
  <c r="AH71" i="3"/>
  <c r="AG71" i="9"/>
  <c r="AI25" i="3"/>
  <c r="AH60" i="3"/>
  <c r="AG60" i="9"/>
  <c r="AH26" i="3"/>
  <c r="AG26" i="9"/>
  <c r="AG96" i="9"/>
  <c r="AH37" i="3"/>
  <c r="AG37" i="9"/>
  <c r="AG8" i="9"/>
  <c r="AG56" i="9"/>
  <c r="AH92" i="3"/>
  <c r="AG92" i="9"/>
  <c r="AG14" i="9"/>
  <c r="AH74" i="3"/>
  <c r="AG74" i="9"/>
  <c r="AH76" i="3"/>
  <c r="AG76" i="9"/>
  <c r="AH21" i="3"/>
  <c r="AG21" i="9"/>
  <c r="AH72" i="9" l="1"/>
  <c r="AH38" i="9"/>
  <c r="AH25" i="9"/>
  <c r="AH8" i="9"/>
  <c r="AI71" i="3"/>
  <c r="AH71" i="9"/>
  <c r="AI115" i="3"/>
  <c r="AH115" i="9"/>
  <c r="AI10" i="3"/>
  <c r="AH10" i="9"/>
  <c r="AI17" i="3"/>
  <c r="AH17" i="9"/>
  <c r="AJ3" i="3"/>
  <c r="AI79" i="3"/>
  <c r="AH79" i="9"/>
  <c r="AI50" i="3"/>
  <c r="AH50" i="9"/>
  <c r="AI94" i="3"/>
  <c r="AH94" i="9"/>
  <c r="AH32" i="9"/>
  <c r="AI78" i="3"/>
  <c r="AH78" i="9"/>
  <c r="AI36" i="3"/>
  <c r="AH36" i="9"/>
  <c r="AJ49" i="3"/>
  <c r="AJ103" i="3"/>
  <c r="AJ14" i="3"/>
  <c r="AI30" i="3"/>
  <c r="AH30" i="9"/>
  <c r="AH80" i="9"/>
  <c r="AI74" i="3"/>
  <c r="AH74" i="9"/>
  <c r="AI100" i="3"/>
  <c r="AH100" i="9"/>
  <c r="AI54" i="3"/>
  <c r="AH54" i="9"/>
  <c r="AI114" i="3"/>
  <c r="AH114" i="9"/>
  <c r="AI70" i="3"/>
  <c r="AH70" i="9"/>
  <c r="AI85" i="3"/>
  <c r="AH85" i="9"/>
  <c r="AJ32" i="3"/>
  <c r="AI59" i="3"/>
  <c r="AH59" i="9"/>
  <c r="AI22" i="3"/>
  <c r="AH22" i="9"/>
  <c r="AH47" i="9"/>
  <c r="AI83" i="3"/>
  <c r="AH83" i="9"/>
  <c r="AI110" i="3"/>
  <c r="AH110" i="9"/>
  <c r="AH6" i="9"/>
  <c r="AI95" i="3"/>
  <c r="AH95" i="9"/>
  <c r="AI90" i="3"/>
  <c r="AH90" i="9"/>
  <c r="AJ80" i="3"/>
  <c r="AK89" i="3"/>
  <c r="AI29" i="3"/>
  <c r="AH29" i="9"/>
  <c r="AI12" i="3"/>
  <c r="AH12" i="9"/>
  <c r="AH102" i="9"/>
  <c r="AJ47" i="3"/>
  <c r="AI98" i="3"/>
  <c r="AH98" i="9"/>
  <c r="AI9" i="3"/>
  <c r="AH9" i="9"/>
  <c r="AJ6" i="3"/>
  <c r="AI99" i="3"/>
  <c r="AH99" i="9"/>
  <c r="AH56" i="9"/>
  <c r="AH105" i="9"/>
  <c r="AI26" i="3"/>
  <c r="AH26" i="9"/>
  <c r="AH88" i="9"/>
  <c r="AK64" i="3"/>
  <c r="AH63" i="9"/>
  <c r="AI92" i="3"/>
  <c r="AH92" i="9"/>
  <c r="AH57" i="9"/>
  <c r="AJ38" i="3"/>
  <c r="AI27" i="3"/>
  <c r="AH27" i="9"/>
  <c r="AJ88" i="3"/>
  <c r="AH48" i="9"/>
  <c r="AH39" i="9"/>
  <c r="AJ63" i="3"/>
  <c r="AJ102" i="3"/>
  <c r="AI35" i="3"/>
  <c r="AH35" i="9"/>
  <c r="AI16" i="3"/>
  <c r="AH16" i="9"/>
  <c r="AI68" i="3"/>
  <c r="AH68" i="9"/>
  <c r="AK33" i="3"/>
  <c r="AI108" i="3"/>
  <c r="AH108" i="9"/>
  <c r="AI91" i="3"/>
  <c r="AH91" i="9"/>
  <c r="AH65" i="9"/>
  <c r="AH24" i="9"/>
  <c r="AH104" i="9"/>
  <c r="AI87" i="3"/>
  <c r="AH87" i="9"/>
  <c r="AJ56" i="3"/>
  <c r="AI101" i="3"/>
  <c r="AH101" i="9"/>
  <c r="AJ105" i="3"/>
  <c r="AI51" i="3"/>
  <c r="AH51" i="9"/>
  <c r="AI66" i="3"/>
  <c r="AH66" i="9"/>
  <c r="AI58" i="3"/>
  <c r="AH58" i="9"/>
  <c r="AI21" i="3"/>
  <c r="AH21" i="9"/>
  <c r="AI60" i="3"/>
  <c r="AH60" i="9"/>
  <c r="AI84" i="3"/>
  <c r="AH84" i="9"/>
  <c r="AJ57" i="3"/>
  <c r="AK113" i="3"/>
  <c r="AI19" i="3"/>
  <c r="AH19" i="9"/>
  <c r="AI11" i="3"/>
  <c r="AH11" i="9"/>
  <c r="AI28" i="3"/>
  <c r="AH28" i="9"/>
  <c r="AJ48" i="3"/>
  <c r="AJ39" i="3"/>
  <c r="AH40" i="9"/>
  <c r="AH55" i="9"/>
  <c r="AI34" i="3"/>
  <c r="AH34" i="9"/>
  <c r="AH5" i="9"/>
  <c r="AJ65" i="3"/>
  <c r="AJ24" i="3"/>
  <c r="AI18" i="3"/>
  <c r="AH18" i="9"/>
  <c r="AJ104" i="3"/>
  <c r="AI7" i="3"/>
  <c r="AH7" i="9"/>
  <c r="AI42" i="3"/>
  <c r="AH42" i="9"/>
  <c r="AI44" i="3"/>
  <c r="AH44" i="9"/>
  <c r="AI43" i="3"/>
  <c r="AH43" i="9"/>
  <c r="AJ40" i="3"/>
  <c r="AJ55" i="3"/>
  <c r="AI20" i="3"/>
  <c r="AH20" i="9"/>
  <c r="AJ5" i="3"/>
  <c r="AI45" i="3"/>
  <c r="AH45" i="9"/>
  <c r="AK73" i="3"/>
  <c r="AJ8" i="3"/>
  <c r="AI111" i="3"/>
  <c r="AH111" i="9"/>
  <c r="AI82" i="3"/>
  <c r="AH82" i="9"/>
  <c r="AH4" i="9"/>
  <c r="AI76" i="3"/>
  <c r="AH76" i="9"/>
  <c r="AJ25" i="3"/>
  <c r="AJ4" i="3"/>
  <c r="AI106" i="3"/>
  <c r="AH106" i="9"/>
  <c r="AI15" i="3"/>
  <c r="AH15" i="9"/>
  <c r="AI2" i="3"/>
  <c r="AH2" i="9"/>
  <c r="AH73" i="9"/>
  <c r="AH113" i="9"/>
  <c r="AH89" i="9"/>
  <c r="AH64" i="9"/>
  <c r="AH97" i="9"/>
  <c r="AH41" i="9"/>
  <c r="AH33" i="9"/>
  <c r="AH81" i="9"/>
  <c r="AI69" i="3"/>
  <c r="AH69" i="9"/>
  <c r="AH23" i="9"/>
  <c r="AH112" i="9"/>
  <c r="AI13" i="3"/>
  <c r="AH13" i="9"/>
  <c r="AK81" i="3"/>
  <c r="AH31" i="9"/>
  <c r="AI53" i="3"/>
  <c r="AH53" i="9"/>
  <c r="AI109" i="3"/>
  <c r="AH109" i="9"/>
  <c r="AI75" i="3"/>
  <c r="AH75" i="9"/>
  <c r="AI107" i="3"/>
  <c r="AH107" i="9"/>
  <c r="AH96" i="9"/>
  <c r="AJ72" i="3"/>
  <c r="AI52" i="3"/>
  <c r="AH52" i="9"/>
  <c r="AH46" i="9"/>
  <c r="AI37" i="3"/>
  <c r="AH37" i="9"/>
  <c r="AJ46" i="3"/>
  <c r="AI93" i="3"/>
  <c r="AH93" i="9"/>
  <c r="AH3" i="9"/>
  <c r="AK97" i="3"/>
  <c r="AJ23" i="3"/>
  <c r="AI86" i="3"/>
  <c r="AH86" i="9"/>
  <c r="AJ112" i="3"/>
  <c r="AI61" i="3"/>
  <c r="AH61" i="9"/>
  <c r="AI62" i="3"/>
  <c r="AH62" i="9"/>
  <c r="AI77" i="3"/>
  <c r="AH77" i="9"/>
  <c r="AJ31" i="3"/>
  <c r="AH49" i="9"/>
  <c r="AH103" i="9"/>
  <c r="AH14" i="9"/>
  <c r="AI67" i="3"/>
  <c r="AH67" i="9"/>
  <c r="AJ96" i="3"/>
  <c r="AK41" i="3"/>
  <c r="AI112" i="9" l="1"/>
  <c r="AL97" i="3"/>
  <c r="AJ2" i="3"/>
  <c r="AI2" i="9"/>
  <c r="AI41" i="9"/>
  <c r="AI97" i="9"/>
  <c r="AI81" i="9"/>
  <c r="AI73" i="9"/>
  <c r="AI33" i="9"/>
  <c r="AI113" i="9"/>
  <c r="AI64" i="9"/>
  <c r="AI89" i="9"/>
  <c r="AK25" i="3"/>
  <c r="AI8" i="9"/>
  <c r="AJ34" i="3"/>
  <c r="AI34" i="9"/>
  <c r="AJ28" i="3"/>
  <c r="AI28" i="9"/>
  <c r="AK57" i="3"/>
  <c r="AJ58" i="3"/>
  <c r="AI58" i="9"/>
  <c r="AJ101" i="3"/>
  <c r="AI101" i="9"/>
  <c r="AJ26" i="3"/>
  <c r="AI26" i="9"/>
  <c r="AJ9" i="3"/>
  <c r="AI9" i="9"/>
  <c r="AK103" i="3"/>
  <c r="AJ75" i="3"/>
  <c r="AI75" i="9"/>
  <c r="AK8" i="3"/>
  <c r="AJ20" i="3"/>
  <c r="AI20" i="9"/>
  <c r="AJ44" i="3"/>
  <c r="AI44" i="9"/>
  <c r="AJ18" i="3"/>
  <c r="AI18" i="9"/>
  <c r="AI56" i="9"/>
  <c r="AJ91" i="3"/>
  <c r="AI91" i="9"/>
  <c r="AJ16" i="3"/>
  <c r="AI16" i="9"/>
  <c r="AJ29" i="3"/>
  <c r="AI29" i="9"/>
  <c r="AJ95" i="3"/>
  <c r="AI95" i="9"/>
  <c r="AJ22" i="3"/>
  <c r="AI22" i="9"/>
  <c r="AJ70" i="3"/>
  <c r="AI70" i="9"/>
  <c r="AI74" i="9"/>
  <c r="AJ74" i="3"/>
  <c r="AI49" i="9"/>
  <c r="AJ94" i="3"/>
  <c r="AI94" i="9"/>
  <c r="AI17" i="9"/>
  <c r="AJ17" i="3"/>
  <c r="AK31" i="3"/>
  <c r="AJ52" i="3"/>
  <c r="AI52" i="9"/>
  <c r="AJ13" i="3"/>
  <c r="AI13" i="9"/>
  <c r="AJ15" i="3"/>
  <c r="AI15" i="9"/>
  <c r="AJ76" i="3"/>
  <c r="AI76" i="9"/>
  <c r="AI55" i="9"/>
  <c r="AK24" i="3"/>
  <c r="AJ11" i="3"/>
  <c r="AI11" i="9"/>
  <c r="AJ84" i="3"/>
  <c r="AI84" i="9"/>
  <c r="AJ66" i="3"/>
  <c r="AI66" i="9"/>
  <c r="AK56" i="3"/>
  <c r="AI88" i="9"/>
  <c r="AJ92" i="3"/>
  <c r="AI92" i="9"/>
  <c r="AJ98" i="3"/>
  <c r="AI98" i="9"/>
  <c r="AK49" i="3"/>
  <c r="AL41" i="3"/>
  <c r="AK96" i="3"/>
  <c r="AJ93" i="3"/>
  <c r="AI93" i="9"/>
  <c r="AI72" i="9"/>
  <c r="AJ109" i="3"/>
  <c r="AI109" i="9"/>
  <c r="AL73" i="3"/>
  <c r="AK55" i="3"/>
  <c r="AJ42" i="3"/>
  <c r="AI42" i="9"/>
  <c r="AI24" i="9"/>
  <c r="AI39" i="9"/>
  <c r="AJ108" i="3"/>
  <c r="AI108" i="9"/>
  <c r="AJ35" i="3"/>
  <c r="AI35" i="9"/>
  <c r="AK88" i="3"/>
  <c r="AI47" i="9"/>
  <c r="AL89" i="3"/>
  <c r="AJ59" i="3"/>
  <c r="AI59" i="9"/>
  <c r="AJ114" i="3"/>
  <c r="AI114" i="9"/>
  <c r="AJ50" i="3"/>
  <c r="AI50" i="9"/>
  <c r="AJ10" i="3"/>
  <c r="AI10" i="9"/>
  <c r="AJ62" i="3"/>
  <c r="AI62" i="9"/>
  <c r="AJ61" i="3"/>
  <c r="AI61" i="9"/>
  <c r="AK112" i="3"/>
  <c r="AJ77" i="3"/>
  <c r="AI77" i="9"/>
  <c r="AJ86" i="3"/>
  <c r="AI86" i="9"/>
  <c r="AI46" i="9"/>
  <c r="AK72" i="3"/>
  <c r="AJ106" i="3"/>
  <c r="AI106" i="9"/>
  <c r="AI40" i="9"/>
  <c r="AI65" i="9"/>
  <c r="AK39" i="3"/>
  <c r="AJ19" i="3"/>
  <c r="AI19" i="9"/>
  <c r="AJ60" i="3"/>
  <c r="AI60" i="9"/>
  <c r="AJ51" i="3"/>
  <c r="AI51" i="9"/>
  <c r="AJ87" i="3"/>
  <c r="AI87" i="9"/>
  <c r="AI102" i="9"/>
  <c r="AJ99" i="3"/>
  <c r="AI99" i="9"/>
  <c r="AK47" i="3"/>
  <c r="AI80" i="9"/>
  <c r="AJ110" i="3"/>
  <c r="AI110" i="9"/>
  <c r="AI32" i="9"/>
  <c r="AJ30" i="3"/>
  <c r="AI30" i="9"/>
  <c r="AJ36" i="3"/>
  <c r="AI36" i="9"/>
  <c r="AI31" i="9"/>
  <c r="AI96" i="9"/>
  <c r="AJ67" i="3"/>
  <c r="AI67" i="9"/>
  <c r="AI23" i="9"/>
  <c r="AK46" i="3"/>
  <c r="AJ53" i="3"/>
  <c r="AI53" i="9"/>
  <c r="AK4" i="3"/>
  <c r="AJ82" i="3"/>
  <c r="AI82" i="9"/>
  <c r="AJ45" i="3"/>
  <c r="AI45" i="9"/>
  <c r="AK40" i="3"/>
  <c r="AJ7" i="3"/>
  <c r="AJ25" i="9" s="1"/>
  <c r="AI7" i="9"/>
  <c r="AK65" i="3"/>
  <c r="AI48" i="9"/>
  <c r="AI105" i="9"/>
  <c r="AL33" i="3"/>
  <c r="AK102" i="3"/>
  <c r="AJ27" i="3"/>
  <c r="AI27" i="9"/>
  <c r="AL64" i="3"/>
  <c r="AI6" i="9"/>
  <c r="AK80" i="3"/>
  <c r="AK32" i="3"/>
  <c r="AJ54" i="3"/>
  <c r="AI54" i="9"/>
  <c r="AI14" i="9"/>
  <c r="AJ79" i="3"/>
  <c r="AI79" i="9"/>
  <c r="AJ115" i="3"/>
  <c r="AI115" i="9"/>
  <c r="AJ69" i="3"/>
  <c r="AI69" i="9"/>
  <c r="AI4" i="9"/>
  <c r="AI5" i="9"/>
  <c r="AI104" i="9"/>
  <c r="AK48" i="3"/>
  <c r="AL113" i="3"/>
  <c r="AJ21" i="3"/>
  <c r="AI21" i="9"/>
  <c r="AK105" i="3"/>
  <c r="AI63" i="9"/>
  <c r="AI38" i="9"/>
  <c r="AK6" i="3"/>
  <c r="AJ83" i="3"/>
  <c r="AI83" i="9"/>
  <c r="AK14" i="3"/>
  <c r="AJ78" i="3"/>
  <c r="AI78" i="9"/>
  <c r="AI3" i="9"/>
  <c r="AK23" i="3"/>
  <c r="AJ37" i="3"/>
  <c r="AI37" i="9"/>
  <c r="AJ107" i="3"/>
  <c r="AI107" i="9"/>
  <c r="AL81" i="3"/>
  <c r="AI25" i="9"/>
  <c r="AJ111" i="3"/>
  <c r="AI111" i="9"/>
  <c r="AK5" i="3"/>
  <c r="AJ43" i="3"/>
  <c r="AI43" i="9"/>
  <c r="AK104" i="3"/>
  <c r="AI57" i="9"/>
  <c r="AJ68" i="3"/>
  <c r="AI68" i="9"/>
  <c r="AK63" i="3"/>
  <c r="AK38" i="3"/>
  <c r="AJ12" i="3"/>
  <c r="AI12" i="9"/>
  <c r="AJ90" i="3"/>
  <c r="AI90" i="9"/>
  <c r="AJ85" i="3"/>
  <c r="AI85" i="9"/>
  <c r="AJ100" i="3"/>
  <c r="AI100" i="9"/>
  <c r="AI103" i="9"/>
  <c r="AK3" i="3"/>
  <c r="AJ71" i="3"/>
  <c r="AI71" i="9"/>
  <c r="AJ3" i="9" l="1"/>
  <c r="AJ32" i="9"/>
  <c r="AL3" i="3"/>
  <c r="AK111" i="3"/>
  <c r="AJ111" i="9"/>
  <c r="AJ23" i="9"/>
  <c r="AK83" i="3"/>
  <c r="AJ83" i="9"/>
  <c r="AK21" i="3"/>
  <c r="AJ21" i="9"/>
  <c r="AK54" i="3"/>
  <c r="AJ54" i="9"/>
  <c r="AJ65" i="9"/>
  <c r="AK30" i="3"/>
  <c r="AJ30" i="9"/>
  <c r="AK99" i="3"/>
  <c r="AJ99" i="9"/>
  <c r="AJ72" i="9"/>
  <c r="AL112" i="3"/>
  <c r="AK50" i="3"/>
  <c r="AJ50" i="9"/>
  <c r="AJ88" i="9"/>
  <c r="AL49" i="3"/>
  <c r="AK52" i="3"/>
  <c r="AJ52" i="9"/>
  <c r="AK74" i="3"/>
  <c r="AJ74" i="9"/>
  <c r="AJ18" i="9"/>
  <c r="AK18" i="3"/>
  <c r="AK75" i="3"/>
  <c r="AJ75" i="9"/>
  <c r="AK101" i="3"/>
  <c r="AJ101" i="9"/>
  <c r="AK34" i="3"/>
  <c r="AJ34" i="9"/>
  <c r="AK68" i="3"/>
  <c r="AJ68" i="9"/>
  <c r="AL23" i="3"/>
  <c r="AJ6" i="9"/>
  <c r="AK69" i="3"/>
  <c r="AJ69" i="9"/>
  <c r="AK27" i="3"/>
  <c r="AJ27" i="9"/>
  <c r="AL65" i="3"/>
  <c r="AK82" i="3"/>
  <c r="AJ82" i="9"/>
  <c r="AK19" i="3"/>
  <c r="AJ19" i="9"/>
  <c r="AL72" i="3"/>
  <c r="AL88" i="3"/>
  <c r="AK42" i="3"/>
  <c r="AJ42" i="9"/>
  <c r="AK66" i="3"/>
  <c r="AJ66" i="9"/>
  <c r="AJ31" i="9"/>
  <c r="AK29" i="3"/>
  <c r="AJ29" i="9"/>
  <c r="AJ103" i="9"/>
  <c r="AK12" i="3"/>
  <c r="AJ12" i="9"/>
  <c r="AJ104" i="9"/>
  <c r="AJ38" i="9"/>
  <c r="AL104" i="3"/>
  <c r="AL6" i="3"/>
  <c r="AM113" i="3"/>
  <c r="AL32" i="3"/>
  <c r="AJ102" i="9"/>
  <c r="AL4" i="3"/>
  <c r="AK67" i="3"/>
  <c r="AJ67" i="9"/>
  <c r="AJ39" i="9"/>
  <c r="AK61" i="3"/>
  <c r="AJ61" i="9"/>
  <c r="AK114" i="3"/>
  <c r="AJ114" i="9"/>
  <c r="AJ55" i="9"/>
  <c r="AK93" i="3"/>
  <c r="AJ93" i="9"/>
  <c r="AK98" i="3"/>
  <c r="AJ98" i="9"/>
  <c r="AK76" i="3"/>
  <c r="AJ76" i="9"/>
  <c r="AL31" i="3"/>
  <c r="AK44" i="3"/>
  <c r="AJ44" i="9"/>
  <c r="AL103" i="3"/>
  <c r="AK58" i="3"/>
  <c r="AJ58" i="9"/>
  <c r="AK90" i="3"/>
  <c r="AJ90" i="9"/>
  <c r="AM81" i="3"/>
  <c r="AJ48" i="9"/>
  <c r="AK115" i="3"/>
  <c r="AJ115" i="9"/>
  <c r="AJ80" i="9"/>
  <c r="AL102" i="3"/>
  <c r="AK7" i="3"/>
  <c r="AJ7" i="9"/>
  <c r="AJ4" i="9"/>
  <c r="AK110" i="3"/>
  <c r="AJ110" i="9"/>
  <c r="AK87" i="3"/>
  <c r="AJ87" i="9"/>
  <c r="AL39" i="3"/>
  <c r="AK35" i="3"/>
  <c r="AJ35" i="9"/>
  <c r="AL55" i="3"/>
  <c r="AJ96" i="9"/>
  <c r="AK84" i="3"/>
  <c r="AJ84" i="9"/>
  <c r="AK17" i="3"/>
  <c r="AJ17" i="9"/>
  <c r="AK70" i="3"/>
  <c r="AJ70" i="9"/>
  <c r="AK16" i="3"/>
  <c r="AJ16" i="9"/>
  <c r="AJ57" i="9"/>
  <c r="AL25" i="3"/>
  <c r="AK37" i="3"/>
  <c r="AJ37" i="9"/>
  <c r="AK100" i="3"/>
  <c r="AJ100" i="9"/>
  <c r="AL38" i="3"/>
  <c r="AJ63" i="9"/>
  <c r="AK43" i="3"/>
  <c r="AJ43" i="9"/>
  <c r="AK78" i="3"/>
  <c r="AJ78" i="9"/>
  <c r="AL48" i="3"/>
  <c r="AL80" i="3"/>
  <c r="AJ40" i="9"/>
  <c r="AK86" i="3"/>
  <c r="AJ86" i="9"/>
  <c r="AK62" i="3"/>
  <c r="AJ62" i="9"/>
  <c r="AK59" i="3"/>
  <c r="AJ59" i="9"/>
  <c r="AL96" i="3"/>
  <c r="AK92" i="3"/>
  <c r="AJ92" i="9"/>
  <c r="AK15" i="3"/>
  <c r="AJ15" i="9"/>
  <c r="AK20" i="3"/>
  <c r="AJ20" i="9"/>
  <c r="AK9" i="3"/>
  <c r="AJ9" i="9"/>
  <c r="AL57" i="3"/>
  <c r="AK85" i="3"/>
  <c r="AJ85" i="9"/>
  <c r="AL63" i="3"/>
  <c r="AJ5" i="9"/>
  <c r="AK107" i="3"/>
  <c r="AJ107" i="9"/>
  <c r="AJ14" i="9"/>
  <c r="AJ105" i="9"/>
  <c r="AK79" i="3"/>
  <c r="AJ79" i="9"/>
  <c r="AM33" i="3"/>
  <c r="AL40" i="3"/>
  <c r="AK53" i="3"/>
  <c r="AJ53" i="9"/>
  <c r="AJ47" i="9"/>
  <c r="AK51" i="3"/>
  <c r="AJ51" i="9"/>
  <c r="AK108" i="3"/>
  <c r="AJ108" i="9"/>
  <c r="AM73" i="3"/>
  <c r="AK11" i="3"/>
  <c r="AK56" i="9" s="1"/>
  <c r="AJ11" i="9"/>
  <c r="AK22" i="3"/>
  <c r="AJ22" i="9"/>
  <c r="AK91" i="3"/>
  <c r="AJ91" i="9"/>
  <c r="AJ8" i="9"/>
  <c r="AK2" i="3"/>
  <c r="AJ2" i="9"/>
  <c r="AJ97" i="9"/>
  <c r="AJ113" i="9"/>
  <c r="AJ64" i="9"/>
  <c r="AJ33" i="9"/>
  <c r="AJ89" i="9"/>
  <c r="AJ73" i="9"/>
  <c r="AJ41" i="9"/>
  <c r="AJ81" i="9"/>
  <c r="AK71" i="3"/>
  <c r="AJ71" i="9"/>
  <c r="AL5" i="3"/>
  <c r="AL14" i="3"/>
  <c r="AL105" i="3"/>
  <c r="AJ46" i="9"/>
  <c r="AK36" i="3"/>
  <c r="AJ36" i="9"/>
  <c r="AL47" i="3"/>
  <c r="AK77" i="3"/>
  <c r="AJ77" i="9"/>
  <c r="AK10" i="3"/>
  <c r="AJ10" i="9"/>
  <c r="AM89" i="3"/>
  <c r="AM41" i="3"/>
  <c r="AJ56" i="9"/>
  <c r="AJ24" i="9"/>
  <c r="AK13" i="3"/>
  <c r="AJ13" i="9"/>
  <c r="AK94" i="3"/>
  <c r="AJ94" i="9"/>
  <c r="AL8" i="3"/>
  <c r="AK26" i="3"/>
  <c r="AJ26" i="9"/>
  <c r="AK28" i="3"/>
  <c r="AJ28" i="9"/>
  <c r="AM64" i="3"/>
  <c r="AK45" i="3"/>
  <c r="AJ45" i="9"/>
  <c r="AL46" i="3"/>
  <c r="AK60" i="3"/>
  <c r="AJ60" i="9"/>
  <c r="AK106" i="3"/>
  <c r="AJ106" i="9"/>
  <c r="AJ112" i="9"/>
  <c r="AK109" i="3"/>
  <c r="AJ109" i="9"/>
  <c r="AJ49" i="9"/>
  <c r="AL56" i="3"/>
  <c r="AL24" i="3"/>
  <c r="AK95" i="3"/>
  <c r="AJ95" i="9"/>
  <c r="AM97" i="3"/>
  <c r="AK24" i="9" l="1"/>
  <c r="AK46" i="9"/>
  <c r="AK3" i="9"/>
  <c r="AM46" i="3"/>
  <c r="AL26" i="3"/>
  <c r="AK26" i="9"/>
  <c r="AN73" i="3"/>
  <c r="AK40" i="9"/>
  <c r="AM57" i="3"/>
  <c r="AL92" i="3"/>
  <c r="AK92" i="9"/>
  <c r="AL86" i="3"/>
  <c r="AK86" i="9"/>
  <c r="AL37" i="3"/>
  <c r="AK37" i="9"/>
  <c r="AL35" i="3"/>
  <c r="AK35" i="9"/>
  <c r="AN113" i="3"/>
  <c r="AL12" i="3"/>
  <c r="AK12" i="9"/>
  <c r="AL42" i="3"/>
  <c r="AK42" i="9"/>
  <c r="AL82" i="3"/>
  <c r="AK82" i="9"/>
  <c r="AK23" i="9"/>
  <c r="AK49" i="9"/>
  <c r="AL21" i="3"/>
  <c r="AK21" i="9"/>
  <c r="AN97" i="3"/>
  <c r="AL77" i="3"/>
  <c r="AK77" i="9"/>
  <c r="AK14" i="9"/>
  <c r="AL109" i="3"/>
  <c r="AK109" i="9"/>
  <c r="AK8" i="9"/>
  <c r="AK47" i="9"/>
  <c r="AM14" i="3"/>
  <c r="AM40" i="3"/>
  <c r="AL107" i="3"/>
  <c r="AK107" i="9"/>
  <c r="AK96" i="9"/>
  <c r="AL43" i="3"/>
  <c r="AK43" i="9"/>
  <c r="AK25" i="9"/>
  <c r="AL17" i="3"/>
  <c r="AK17" i="9"/>
  <c r="AK39" i="9"/>
  <c r="AL7" i="3"/>
  <c r="AK7" i="9"/>
  <c r="AN81" i="3"/>
  <c r="AL44" i="3"/>
  <c r="AK44" i="9"/>
  <c r="AL93" i="3"/>
  <c r="AK93" i="9"/>
  <c r="AL67" i="3"/>
  <c r="AK67" i="9"/>
  <c r="AM6" i="3"/>
  <c r="AK88" i="9"/>
  <c r="AK65" i="9"/>
  <c r="AM23" i="3"/>
  <c r="AL75" i="3"/>
  <c r="AK75" i="9"/>
  <c r="AM49" i="3"/>
  <c r="AL99" i="3"/>
  <c r="AK99" i="9"/>
  <c r="AL95" i="3"/>
  <c r="AK95" i="9"/>
  <c r="AL45" i="3"/>
  <c r="AK45" i="9"/>
  <c r="AM8" i="3"/>
  <c r="AN41" i="3"/>
  <c r="AM47" i="3"/>
  <c r="AK5" i="9"/>
  <c r="AL91" i="3"/>
  <c r="AK91" i="9"/>
  <c r="AL108" i="3"/>
  <c r="AK108" i="9"/>
  <c r="AL9" i="3"/>
  <c r="AK9" i="9"/>
  <c r="AM96" i="3"/>
  <c r="AK80" i="9"/>
  <c r="AM25" i="3"/>
  <c r="AM39" i="3"/>
  <c r="AK102" i="9"/>
  <c r="AK31" i="9"/>
  <c r="AK4" i="9"/>
  <c r="AK6" i="9"/>
  <c r="AM88" i="3"/>
  <c r="AM65" i="3"/>
  <c r="AL18" i="3"/>
  <c r="AK18" i="9"/>
  <c r="AL83" i="3"/>
  <c r="AK83" i="9"/>
  <c r="AM5" i="3"/>
  <c r="AN33" i="3"/>
  <c r="AK63" i="9"/>
  <c r="AM80" i="3"/>
  <c r="AK38" i="9"/>
  <c r="AL84" i="3"/>
  <c r="AK84" i="9"/>
  <c r="AM102" i="3"/>
  <c r="AL90" i="3"/>
  <c r="AK90" i="9"/>
  <c r="AM31" i="3"/>
  <c r="AM4" i="3"/>
  <c r="AK104" i="9"/>
  <c r="AL29" i="3"/>
  <c r="AK29" i="9"/>
  <c r="AK72" i="9"/>
  <c r="AL68" i="3"/>
  <c r="AK68" i="9"/>
  <c r="AL30" i="3"/>
  <c r="AK30" i="9"/>
  <c r="AL106" i="3"/>
  <c r="AK106" i="9"/>
  <c r="AN64" i="3"/>
  <c r="AL94" i="3"/>
  <c r="AK94" i="9"/>
  <c r="AN89" i="3"/>
  <c r="AL36" i="3"/>
  <c r="AK36" i="9"/>
  <c r="AL22" i="3"/>
  <c r="AK22" i="9"/>
  <c r="AL51" i="3"/>
  <c r="AK51" i="9"/>
  <c r="AM63" i="3"/>
  <c r="AK20" i="9"/>
  <c r="AL20" i="3"/>
  <c r="AL59" i="3"/>
  <c r="AK59" i="9"/>
  <c r="AK48" i="9"/>
  <c r="AM38" i="3"/>
  <c r="AL87" i="3"/>
  <c r="AK87" i="9"/>
  <c r="AL114" i="3"/>
  <c r="AK114" i="9"/>
  <c r="AM104" i="3"/>
  <c r="AM72" i="3"/>
  <c r="AL27" i="3"/>
  <c r="AK27" i="9"/>
  <c r="AL50" i="3"/>
  <c r="AK50" i="9"/>
  <c r="AM24" i="3"/>
  <c r="AL71" i="3"/>
  <c r="AK71" i="9"/>
  <c r="AL79" i="3"/>
  <c r="AK79" i="9"/>
  <c r="AM48" i="3"/>
  <c r="AL16" i="3"/>
  <c r="AK16" i="9"/>
  <c r="AK55" i="9"/>
  <c r="AL58" i="3"/>
  <c r="AK58" i="9"/>
  <c r="AL76" i="3"/>
  <c r="AK76" i="9"/>
  <c r="AK32" i="9"/>
  <c r="AL34" i="3"/>
  <c r="AK34" i="9"/>
  <c r="AL74" i="3"/>
  <c r="AK74" i="9"/>
  <c r="AK112" i="9"/>
  <c r="AL111" i="3"/>
  <c r="AK111" i="9"/>
  <c r="AM56" i="3"/>
  <c r="AL60" i="3"/>
  <c r="AK60" i="9"/>
  <c r="AL28" i="3"/>
  <c r="AK28" i="9"/>
  <c r="AL13" i="3"/>
  <c r="AK13" i="9"/>
  <c r="AL10" i="3"/>
  <c r="AK10" i="9"/>
  <c r="AK105" i="9"/>
  <c r="AL11" i="3"/>
  <c r="AK11" i="9"/>
  <c r="AL85" i="3"/>
  <c r="AK85" i="9"/>
  <c r="AL15" i="3"/>
  <c r="AK15" i="9"/>
  <c r="AL62" i="3"/>
  <c r="AK62" i="9"/>
  <c r="AL100" i="3"/>
  <c r="AK100" i="9"/>
  <c r="AM55" i="3"/>
  <c r="AL110" i="3"/>
  <c r="AK110" i="9"/>
  <c r="AL115" i="3"/>
  <c r="AK115" i="9"/>
  <c r="AK103" i="9"/>
  <c r="AL61" i="3"/>
  <c r="AK61" i="9"/>
  <c r="AM32" i="3"/>
  <c r="AL66" i="3"/>
  <c r="AK66" i="9"/>
  <c r="AL19" i="3"/>
  <c r="AK19" i="9"/>
  <c r="AL69" i="3"/>
  <c r="AK69" i="9"/>
  <c r="AM112" i="3"/>
  <c r="AL54" i="3"/>
  <c r="AK54" i="9"/>
  <c r="AM105" i="3"/>
  <c r="AL2" i="3"/>
  <c r="AK2" i="9"/>
  <c r="AK97" i="9"/>
  <c r="AK64" i="9"/>
  <c r="AK41" i="9"/>
  <c r="AK89" i="9"/>
  <c r="AK73" i="9"/>
  <c r="AK33" i="9"/>
  <c r="AK81" i="9"/>
  <c r="AK113" i="9"/>
  <c r="AL53" i="3"/>
  <c r="AK53" i="9"/>
  <c r="AK57" i="9"/>
  <c r="AL78" i="3"/>
  <c r="AK78" i="9"/>
  <c r="AL70" i="3"/>
  <c r="AK70" i="9"/>
  <c r="AM103" i="3"/>
  <c r="AL98" i="3"/>
  <c r="AK98" i="9"/>
  <c r="AL101" i="3"/>
  <c r="AK101" i="9"/>
  <c r="AL52" i="3"/>
  <c r="AK52" i="9"/>
  <c r="AM3" i="3"/>
  <c r="AL105" i="9" l="1"/>
  <c r="AL103" i="9"/>
  <c r="AL49" i="9"/>
  <c r="AL31" i="9"/>
  <c r="AM100" i="3"/>
  <c r="AL100" i="9"/>
  <c r="AM98" i="3"/>
  <c r="AL98" i="9"/>
  <c r="AL3" i="9"/>
  <c r="AM53" i="3"/>
  <c r="AL53" i="9"/>
  <c r="AN112" i="3"/>
  <c r="AN32" i="3"/>
  <c r="AL55" i="9"/>
  <c r="AM13" i="3"/>
  <c r="AL13" i="9"/>
  <c r="AM111" i="3"/>
  <c r="AL111" i="9"/>
  <c r="AM76" i="3"/>
  <c r="AL76" i="9"/>
  <c r="AM36" i="3"/>
  <c r="AL36" i="9"/>
  <c r="AM106" i="3"/>
  <c r="AL106" i="9"/>
  <c r="AN102" i="3"/>
  <c r="AO33" i="3"/>
  <c r="AN65" i="3"/>
  <c r="AN39" i="3"/>
  <c r="AO41" i="3"/>
  <c r="AM99" i="3"/>
  <c r="AL99" i="9"/>
  <c r="AM44" i="3"/>
  <c r="AL44" i="9"/>
  <c r="AL14" i="9"/>
  <c r="AM77" i="3"/>
  <c r="AL77" i="9"/>
  <c r="AM82" i="3"/>
  <c r="AL82" i="9"/>
  <c r="AM35" i="3"/>
  <c r="AL35" i="9"/>
  <c r="AN57" i="3"/>
  <c r="AM74" i="3"/>
  <c r="AL74" i="9"/>
  <c r="AM101" i="3"/>
  <c r="AL101" i="9"/>
  <c r="AN3" i="3"/>
  <c r="AN55" i="3"/>
  <c r="AM85" i="3"/>
  <c r="AL85" i="9"/>
  <c r="AM79" i="3"/>
  <c r="AL79" i="9"/>
  <c r="AM27" i="3"/>
  <c r="AL27" i="9"/>
  <c r="AM87" i="3"/>
  <c r="AL87" i="9"/>
  <c r="AL63" i="9"/>
  <c r="AL4" i="9"/>
  <c r="AL5" i="9"/>
  <c r="AL88" i="9"/>
  <c r="AL25" i="9"/>
  <c r="AM108" i="3"/>
  <c r="AL108" i="9"/>
  <c r="AL8" i="9"/>
  <c r="AN6" i="3"/>
  <c r="AN14" i="3"/>
  <c r="AN103" i="3"/>
  <c r="AM2" i="3"/>
  <c r="AL2" i="9"/>
  <c r="AL113" i="9"/>
  <c r="AL73" i="9"/>
  <c r="AL64" i="9"/>
  <c r="AL89" i="9"/>
  <c r="AL33" i="9"/>
  <c r="AL41" i="9"/>
  <c r="AL97" i="9"/>
  <c r="AL81" i="9"/>
  <c r="AM69" i="3"/>
  <c r="AL69" i="9"/>
  <c r="AM61" i="3"/>
  <c r="AL61" i="9"/>
  <c r="AM28" i="3"/>
  <c r="AL28" i="9"/>
  <c r="AM58" i="3"/>
  <c r="AL58" i="9"/>
  <c r="AL72" i="9"/>
  <c r="AL38" i="9"/>
  <c r="AN63" i="3"/>
  <c r="AO89" i="3"/>
  <c r="AL30" i="9"/>
  <c r="AM30" i="3"/>
  <c r="AN4" i="3"/>
  <c r="AM84" i="3"/>
  <c r="AL84" i="9"/>
  <c r="AN5" i="3"/>
  <c r="AN88" i="3"/>
  <c r="AN25" i="3"/>
  <c r="AN8" i="3"/>
  <c r="AN49" i="3"/>
  <c r="AL6" i="9"/>
  <c r="AO81" i="3"/>
  <c r="AM43" i="3"/>
  <c r="AL43" i="9"/>
  <c r="AO97" i="3"/>
  <c r="AM42" i="3"/>
  <c r="AL42" i="9"/>
  <c r="AM37" i="3"/>
  <c r="AL37" i="9"/>
  <c r="AM70" i="3"/>
  <c r="AL70" i="9"/>
  <c r="AL71" i="9"/>
  <c r="AM71" i="3"/>
  <c r="AN72" i="3"/>
  <c r="AN38" i="3"/>
  <c r="AM91" i="3"/>
  <c r="AL91" i="9"/>
  <c r="AO73" i="3"/>
  <c r="AM52" i="3"/>
  <c r="AL52" i="9"/>
  <c r="AM11" i="3"/>
  <c r="AL11" i="9"/>
  <c r="AN105" i="3"/>
  <c r="AM19" i="3"/>
  <c r="AL19" i="9"/>
  <c r="AM60" i="3"/>
  <c r="AL60" i="9"/>
  <c r="AL24" i="9"/>
  <c r="AL104" i="9"/>
  <c r="AM51" i="3"/>
  <c r="AL51" i="9"/>
  <c r="AM94" i="3"/>
  <c r="AL94" i="9"/>
  <c r="AM68" i="3"/>
  <c r="AL68" i="9"/>
  <c r="AN31" i="3"/>
  <c r="AL80" i="9"/>
  <c r="AM83" i="3"/>
  <c r="AL83" i="9"/>
  <c r="AL96" i="9"/>
  <c r="AM45" i="3"/>
  <c r="AL45" i="9"/>
  <c r="AL75" i="9"/>
  <c r="AM75" i="3"/>
  <c r="AM67" i="3"/>
  <c r="AL67" i="9"/>
  <c r="AM7" i="3"/>
  <c r="AL7" i="9"/>
  <c r="AM21" i="3"/>
  <c r="AL21" i="9"/>
  <c r="AM12" i="3"/>
  <c r="AL12" i="9"/>
  <c r="AM86" i="3"/>
  <c r="AL86" i="9"/>
  <c r="AM115" i="3"/>
  <c r="AL115" i="9"/>
  <c r="AM62" i="3"/>
  <c r="AL62" i="9"/>
  <c r="AL56" i="9"/>
  <c r="AM34" i="3"/>
  <c r="AL34" i="9"/>
  <c r="AM16" i="3"/>
  <c r="AL16" i="9"/>
  <c r="AN24" i="3"/>
  <c r="AN104" i="3"/>
  <c r="AN80" i="3"/>
  <c r="AN96" i="3"/>
  <c r="AL47" i="9"/>
  <c r="AL23" i="9"/>
  <c r="AM107" i="3"/>
  <c r="AL107" i="9"/>
  <c r="AM109" i="3"/>
  <c r="AL109" i="9"/>
  <c r="AM26" i="3"/>
  <c r="AL26" i="9"/>
  <c r="AM54" i="3"/>
  <c r="AL54" i="9"/>
  <c r="AM66" i="3"/>
  <c r="AL66" i="9"/>
  <c r="AM10" i="3"/>
  <c r="AL10" i="9"/>
  <c r="AN56" i="3"/>
  <c r="AL48" i="9"/>
  <c r="AM59" i="3"/>
  <c r="AL59" i="9"/>
  <c r="AM22" i="3"/>
  <c r="AL22" i="9"/>
  <c r="AO64" i="3"/>
  <c r="AM90" i="3"/>
  <c r="AL90" i="9"/>
  <c r="AM18" i="3"/>
  <c r="AL18" i="9"/>
  <c r="AN47" i="3"/>
  <c r="AM95" i="3"/>
  <c r="AL95" i="9"/>
  <c r="AN23" i="3"/>
  <c r="AM93" i="3"/>
  <c r="AL93" i="9"/>
  <c r="AL40" i="9"/>
  <c r="AO113" i="3"/>
  <c r="AM92" i="3"/>
  <c r="AL92" i="9"/>
  <c r="AL46" i="9"/>
  <c r="AM78" i="3"/>
  <c r="AL78" i="9"/>
  <c r="AL112" i="9"/>
  <c r="AL32" i="9"/>
  <c r="AM110" i="3"/>
  <c r="AL110" i="9"/>
  <c r="AM15" i="3"/>
  <c r="AL15" i="9"/>
  <c r="AN48" i="3"/>
  <c r="AM50" i="3"/>
  <c r="AL50" i="9"/>
  <c r="AM114" i="3"/>
  <c r="AL114" i="9"/>
  <c r="AL20" i="9"/>
  <c r="AM20" i="3"/>
  <c r="AM29" i="3"/>
  <c r="AL29" i="9"/>
  <c r="AL102" i="9"/>
  <c r="AL65" i="9"/>
  <c r="AL39" i="9"/>
  <c r="AM9" i="3"/>
  <c r="AL9" i="9"/>
  <c r="AM17" i="3"/>
  <c r="AL17" i="9"/>
  <c r="AN40" i="3"/>
  <c r="AL57" i="9"/>
  <c r="AN46" i="3"/>
  <c r="AM24" i="9" l="1"/>
  <c r="AM40" i="9"/>
  <c r="AM57" i="9"/>
  <c r="AO46" i="3"/>
  <c r="AN9" i="3"/>
  <c r="AM9" i="9"/>
  <c r="AN92" i="3"/>
  <c r="AM92" i="9"/>
  <c r="AO56" i="3"/>
  <c r="AN26" i="3"/>
  <c r="AM26" i="9"/>
  <c r="AO96" i="3"/>
  <c r="AN16" i="3"/>
  <c r="AM16" i="9"/>
  <c r="AN83" i="3"/>
  <c r="AM83" i="9"/>
  <c r="AM105" i="9"/>
  <c r="AO8" i="3"/>
  <c r="AN84" i="3"/>
  <c r="AM84" i="9"/>
  <c r="AO63" i="3"/>
  <c r="AN61" i="3"/>
  <c r="AM61" i="9"/>
  <c r="AO14" i="3"/>
  <c r="AN79" i="3"/>
  <c r="AM79" i="9"/>
  <c r="AN101" i="3"/>
  <c r="AM101" i="9"/>
  <c r="AN82" i="3"/>
  <c r="AM82" i="9"/>
  <c r="AM102" i="9"/>
  <c r="AO112" i="3"/>
  <c r="AM46" i="9"/>
  <c r="AN114" i="3"/>
  <c r="AM114" i="9"/>
  <c r="AN110" i="3"/>
  <c r="AM110" i="9"/>
  <c r="AN95" i="3"/>
  <c r="AM95" i="9"/>
  <c r="AP64" i="3"/>
  <c r="AM80" i="9"/>
  <c r="AN86" i="3"/>
  <c r="AM86" i="9"/>
  <c r="AN67" i="3"/>
  <c r="AM67" i="9"/>
  <c r="AN51" i="3"/>
  <c r="AM51" i="9"/>
  <c r="AO105" i="3"/>
  <c r="AN91" i="3"/>
  <c r="AM91" i="9"/>
  <c r="AN70" i="3"/>
  <c r="AM70" i="9"/>
  <c r="AN43" i="3"/>
  <c r="AM43" i="9"/>
  <c r="AM25" i="9"/>
  <c r="AM4" i="9"/>
  <c r="AO6" i="3"/>
  <c r="AP41" i="3"/>
  <c r="AO102" i="3"/>
  <c r="AN111" i="3"/>
  <c r="AM111" i="9"/>
  <c r="AP113" i="3"/>
  <c r="AM47" i="9"/>
  <c r="AN10" i="3"/>
  <c r="AM10" i="9"/>
  <c r="AN109" i="3"/>
  <c r="AM109" i="9"/>
  <c r="AO80" i="3"/>
  <c r="AN34" i="3"/>
  <c r="AM34" i="9"/>
  <c r="AN75" i="3"/>
  <c r="AM75" i="9"/>
  <c r="AM31" i="9"/>
  <c r="AM38" i="9"/>
  <c r="AO25" i="3"/>
  <c r="AO4" i="3"/>
  <c r="AN69" i="3"/>
  <c r="AM69" i="9"/>
  <c r="AM6" i="9"/>
  <c r="AN85" i="3"/>
  <c r="AM85" i="9"/>
  <c r="AN74" i="3"/>
  <c r="AM74" i="9"/>
  <c r="AN77" i="3"/>
  <c r="AM77" i="9"/>
  <c r="AM39" i="9"/>
  <c r="AN53" i="3"/>
  <c r="AM53" i="9"/>
  <c r="AO47" i="3"/>
  <c r="AN22" i="3"/>
  <c r="AM22" i="9"/>
  <c r="AM104" i="9"/>
  <c r="AN12" i="3"/>
  <c r="AM12" i="9"/>
  <c r="AO31" i="3"/>
  <c r="AN11" i="3"/>
  <c r="AM11" i="9"/>
  <c r="AO38" i="3"/>
  <c r="AN37" i="3"/>
  <c r="AM37" i="9"/>
  <c r="AP81" i="3"/>
  <c r="AM88" i="9"/>
  <c r="AN30" i="3"/>
  <c r="AM30" i="9"/>
  <c r="AM55" i="9"/>
  <c r="AO39" i="3"/>
  <c r="AN106" i="3"/>
  <c r="AM106" i="9"/>
  <c r="AN13" i="3"/>
  <c r="AM13" i="9"/>
  <c r="AN50" i="3"/>
  <c r="AM50" i="9"/>
  <c r="AO40" i="3"/>
  <c r="AM48" i="9"/>
  <c r="AN66" i="3"/>
  <c r="AM66" i="9"/>
  <c r="AO104" i="3"/>
  <c r="AM72" i="9"/>
  <c r="AO88" i="3"/>
  <c r="AN58" i="3"/>
  <c r="AM58" i="9"/>
  <c r="AN2" i="3"/>
  <c r="AM2" i="9"/>
  <c r="AM41" i="9"/>
  <c r="AM33" i="9"/>
  <c r="AM113" i="9"/>
  <c r="AM64" i="9"/>
  <c r="AM73" i="9"/>
  <c r="AM97" i="9"/>
  <c r="AM81" i="9"/>
  <c r="AM89" i="9"/>
  <c r="AN87" i="3"/>
  <c r="AM87" i="9"/>
  <c r="AO55" i="3"/>
  <c r="AO57" i="3"/>
  <c r="AM65" i="9"/>
  <c r="AN107" i="3"/>
  <c r="AM107" i="9"/>
  <c r="AN29" i="3"/>
  <c r="AM29" i="9"/>
  <c r="AO48" i="3"/>
  <c r="AN78" i="3"/>
  <c r="AM78" i="9"/>
  <c r="AN93" i="3"/>
  <c r="AM93" i="9"/>
  <c r="AN18" i="3"/>
  <c r="AM18" i="9"/>
  <c r="AN59" i="3"/>
  <c r="AM59" i="9"/>
  <c r="AN62" i="3"/>
  <c r="AM62" i="9"/>
  <c r="AN21" i="3"/>
  <c r="AM21" i="9"/>
  <c r="AN45" i="3"/>
  <c r="AM45" i="9"/>
  <c r="AN68" i="3"/>
  <c r="AM68" i="9"/>
  <c r="AN60" i="3"/>
  <c r="AM60" i="9"/>
  <c r="AN52" i="3"/>
  <c r="AM52" i="9"/>
  <c r="AO72" i="3"/>
  <c r="AN42" i="3"/>
  <c r="AM42" i="9"/>
  <c r="AM49" i="9"/>
  <c r="AM5" i="9"/>
  <c r="AM103" i="9"/>
  <c r="AN108" i="3"/>
  <c r="AM108" i="9"/>
  <c r="AO3" i="3"/>
  <c r="AN44" i="3"/>
  <c r="AM44" i="9"/>
  <c r="AO65" i="3"/>
  <c r="AN36" i="3"/>
  <c r="AM36" i="9"/>
  <c r="AM32" i="9"/>
  <c r="AN98" i="3"/>
  <c r="AM98" i="9"/>
  <c r="AM23" i="9"/>
  <c r="AN54" i="3"/>
  <c r="AM54" i="9"/>
  <c r="AO24" i="3"/>
  <c r="AN71" i="3"/>
  <c r="AM71" i="9"/>
  <c r="AO49" i="3"/>
  <c r="AO5" i="3"/>
  <c r="AP89" i="3"/>
  <c r="AN28" i="3"/>
  <c r="AM28" i="9"/>
  <c r="AO103" i="3"/>
  <c r="AN27" i="3"/>
  <c r="AM27" i="9"/>
  <c r="AM3" i="9"/>
  <c r="AN35" i="3"/>
  <c r="AM35" i="9"/>
  <c r="AO32" i="3"/>
  <c r="AN17" i="3"/>
  <c r="AM17" i="9"/>
  <c r="AM20" i="9"/>
  <c r="AN20" i="3"/>
  <c r="AN15" i="3"/>
  <c r="AM15" i="9"/>
  <c r="AO23" i="3"/>
  <c r="AN90" i="3"/>
  <c r="AM90" i="9"/>
  <c r="AM56" i="9"/>
  <c r="AM96" i="9"/>
  <c r="AN115" i="3"/>
  <c r="AM115" i="9"/>
  <c r="AN7" i="3"/>
  <c r="AM7" i="9"/>
  <c r="AN94" i="3"/>
  <c r="AM94" i="9"/>
  <c r="AN19" i="3"/>
  <c r="AM19" i="9"/>
  <c r="AP73" i="3"/>
  <c r="AP97" i="3"/>
  <c r="AM8" i="9"/>
  <c r="AM63" i="9"/>
  <c r="AM14" i="9"/>
  <c r="AN99" i="3"/>
  <c r="AM99" i="9"/>
  <c r="AP33" i="3"/>
  <c r="AN76" i="3"/>
  <c r="AM76" i="9"/>
  <c r="AM112" i="9"/>
  <c r="AN100" i="3"/>
  <c r="AM100" i="9"/>
  <c r="AN23" i="9" l="1"/>
  <c r="AN48" i="9"/>
  <c r="AN56" i="9"/>
  <c r="AN5" i="9"/>
  <c r="AN65" i="9"/>
  <c r="AO52" i="3"/>
  <c r="AN52" i="9"/>
  <c r="AO21" i="3"/>
  <c r="AN21" i="9"/>
  <c r="AO93" i="3"/>
  <c r="AN93" i="9"/>
  <c r="AO107" i="3"/>
  <c r="AN107" i="9"/>
  <c r="AP104" i="3"/>
  <c r="AO30" i="3"/>
  <c r="AN30" i="9"/>
  <c r="AO22" i="3"/>
  <c r="AN22" i="9"/>
  <c r="AP4" i="3"/>
  <c r="AO34" i="3"/>
  <c r="AN34" i="9"/>
  <c r="AN6" i="9"/>
  <c r="AO110" i="3"/>
  <c r="AN110" i="9"/>
  <c r="AO82" i="3"/>
  <c r="AN82" i="9"/>
  <c r="AO61" i="3"/>
  <c r="AN61" i="9"/>
  <c r="AO27" i="3"/>
  <c r="AN27" i="9"/>
  <c r="AP5" i="3"/>
  <c r="AO54" i="3"/>
  <c r="AN54" i="9"/>
  <c r="AP65" i="3"/>
  <c r="AO2" i="3"/>
  <c r="AN2" i="9"/>
  <c r="AN33" i="9"/>
  <c r="AN97" i="9"/>
  <c r="AN73" i="9"/>
  <c r="AN89" i="9"/>
  <c r="AN81" i="9"/>
  <c r="AN113" i="9"/>
  <c r="AN41" i="9"/>
  <c r="AN64" i="9"/>
  <c r="AO13" i="3"/>
  <c r="AN13" i="9"/>
  <c r="AO11" i="3"/>
  <c r="AN11" i="9"/>
  <c r="AN47" i="9"/>
  <c r="AO74" i="3"/>
  <c r="AN74" i="9"/>
  <c r="AN25" i="9"/>
  <c r="AN80" i="9"/>
  <c r="AQ113" i="3"/>
  <c r="AP6" i="3"/>
  <c r="AO91" i="3"/>
  <c r="AN91" i="9"/>
  <c r="AO86" i="3"/>
  <c r="AN86" i="9"/>
  <c r="AN63" i="9"/>
  <c r="AO83" i="3"/>
  <c r="AN83" i="9"/>
  <c r="AP56" i="3"/>
  <c r="AO94" i="3"/>
  <c r="AN94" i="9"/>
  <c r="AO90" i="3"/>
  <c r="AN90" i="9"/>
  <c r="AO17" i="3"/>
  <c r="AN17" i="9"/>
  <c r="AN103" i="9"/>
  <c r="AN49" i="9"/>
  <c r="AO60" i="3"/>
  <c r="AN60" i="9"/>
  <c r="AO62" i="3"/>
  <c r="AN62" i="9"/>
  <c r="AO78" i="3"/>
  <c r="AN78" i="9"/>
  <c r="AN57" i="9"/>
  <c r="AO66" i="3"/>
  <c r="AN66" i="9"/>
  <c r="AN31" i="9"/>
  <c r="AP47" i="3"/>
  <c r="AP25" i="3"/>
  <c r="AP80" i="3"/>
  <c r="AN105" i="9"/>
  <c r="AO114" i="3"/>
  <c r="AN114" i="9"/>
  <c r="AO101" i="3"/>
  <c r="AN101" i="9"/>
  <c r="AP63" i="3"/>
  <c r="AN32" i="9"/>
  <c r="AP103" i="3"/>
  <c r="AP49" i="3"/>
  <c r="AO44" i="3"/>
  <c r="AN44" i="9"/>
  <c r="AP57" i="3"/>
  <c r="AO58" i="3"/>
  <c r="AN58" i="9"/>
  <c r="AO106" i="3"/>
  <c r="AN106" i="9"/>
  <c r="AQ81" i="3"/>
  <c r="AP31" i="3"/>
  <c r="AO85" i="3"/>
  <c r="AN85" i="9"/>
  <c r="AO111" i="3"/>
  <c r="AN111" i="9"/>
  <c r="AP105" i="3"/>
  <c r="AQ64" i="3"/>
  <c r="AO16" i="3"/>
  <c r="AN16" i="9"/>
  <c r="AO92" i="3"/>
  <c r="AN92" i="9"/>
  <c r="AO99" i="3"/>
  <c r="AN99" i="9"/>
  <c r="AO100" i="3"/>
  <c r="AN100" i="9"/>
  <c r="AQ97" i="3"/>
  <c r="AO7" i="3"/>
  <c r="AN7" i="9"/>
  <c r="AP23" i="3"/>
  <c r="AP32" i="3"/>
  <c r="AO98" i="3"/>
  <c r="AN98" i="9"/>
  <c r="AN3" i="9"/>
  <c r="AO42" i="3"/>
  <c r="AN42" i="9"/>
  <c r="AO68" i="3"/>
  <c r="AN68" i="9"/>
  <c r="AO59" i="3"/>
  <c r="AN59" i="9"/>
  <c r="AP48" i="3"/>
  <c r="AN55" i="9"/>
  <c r="AN88" i="9"/>
  <c r="AN40" i="9"/>
  <c r="AN39" i="9"/>
  <c r="AO53" i="3"/>
  <c r="AN53" i="9"/>
  <c r="AO109" i="3"/>
  <c r="AN109" i="9"/>
  <c r="AN102" i="9"/>
  <c r="AN112" i="9"/>
  <c r="AO79" i="3"/>
  <c r="AN79" i="9"/>
  <c r="AO84" i="3"/>
  <c r="AN84" i="9"/>
  <c r="AN96" i="9"/>
  <c r="AO19" i="3"/>
  <c r="AN19" i="9"/>
  <c r="AO76" i="3"/>
  <c r="AN76" i="9"/>
  <c r="AQ33" i="3"/>
  <c r="AO28" i="3"/>
  <c r="AN28" i="9"/>
  <c r="AO71" i="3"/>
  <c r="AN71" i="9"/>
  <c r="AP3" i="3"/>
  <c r="AN72" i="9"/>
  <c r="AP55" i="3"/>
  <c r="AP88" i="3"/>
  <c r="AP40" i="3"/>
  <c r="AP39" i="3"/>
  <c r="AO37" i="3"/>
  <c r="AN37" i="9"/>
  <c r="AO12" i="3"/>
  <c r="AN12" i="9"/>
  <c r="AP102" i="3"/>
  <c r="AO43" i="3"/>
  <c r="AN43" i="9"/>
  <c r="AO51" i="3"/>
  <c r="AN51" i="9"/>
  <c r="AP112" i="3"/>
  <c r="AN14" i="9"/>
  <c r="AN8" i="9"/>
  <c r="AP96" i="3"/>
  <c r="AO9" i="3"/>
  <c r="AN9" i="9"/>
  <c r="AQ73" i="3"/>
  <c r="AO115" i="3"/>
  <c r="AN115" i="9"/>
  <c r="AO15" i="3"/>
  <c r="AN15" i="9"/>
  <c r="AO35" i="3"/>
  <c r="AN35" i="9"/>
  <c r="AN24" i="9"/>
  <c r="AP72" i="3"/>
  <c r="AO45" i="3"/>
  <c r="AN45" i="9"/>
  <c r="AO18" i="3"/>
  <c r="AN18" i="9"/>
  <c r="AO29" i="3"/>
  <c r="AN29" i="9"/>
  <c r="AN38" i="9"/>
  <c r="AO69" i="3"/>
  <c r="AN69" i="9"/>
  <c r="AO75" i="3"/>
  <c r="AN75" i="9"/>
  <c r="AO10" i="3"/>
  <c r="AN10" i="9"/>
  <c r="AO95" i="3"/>
  <c r="AN95" i="9"/>
  <c r="AP14" i="3"/>
  <c r="AP8" i="3"/>
  <c r="AN46" i="9"/>
  <c r="AO20" i="3"/>
  <c r="AN20" i="9"/>
  <c r="AQ89" i="3"/>
  <c r="AP24" i="3"/>
  <c r="AO36" i="3"/>
  <c r="AN36" i="9"/>
  <c r="AO108" i="3"/>
  <c r="AN108" i="9"/>
  <c r="AO87" i="3"/>
  <c r="AN87" i="9"/>
  <c r="AN104" i="9"/>
  <c r="AO50" i="3"/>
  <c r="AN50" i="9"/>
  <c r="AP38" i="3"/>
  <c r="AO77" i="3"/>
  <c r="AN77" i="9"/>
  <c r="AN4" i="9"/>
  <c r="AQ41" i="3"/>
  <c r="AO70" i="3"/>
  <c r="AN70" i="9"/>
  <c r="AO67" i="3"/>
  <c r="AN67" i="9"/>
  <c r="AO26" i="3"/>
  <c r="AN26" i="9"/>
  <c r="AP46" i="3"/>
  <c r="AO103" i="9" l="1"/>
  <c r="AO88" i="9"/>
  <c r="AO112" i="9"/>
  <c r="AO5" i="9"/>
  <c r="AQ46" i="3"/>
  <c r="AR41" i="3"/>
  <c r="AQ24" i="3"/>
  <c r="AO14" i="9"/>
  <c r="AP45" i="3"/>
  <c r="AO45" i="9"/>
  <c r="AO102" i="9"/>
  <c r="AO40" i="9"/>
  <c r="AQ3" i="3"/>
  <c r="AP76" i="3"/>
  <c r="AO76" i="9"/>
  <c r="AQ23" i="3"/>
  <c r="AP99" i="3"/>
  <c r="AO99" i="9"/>
  <c r="AQ105" i="3"/>
  <c r="AR81" i="3"/>
  <c r="AP44" i="3"/>
  <c r="AO44" i="9"/>
  <c r="AQ25" i="3"/>
  <c r="AP78" i="3"/>
  <c r="AO78" i="9"/>
  <c r="AP17" i="3"/>
  <c r="AO17" i="9"/>
  <c r="AP83" i="3"/>
  <c r="AO83" i="9"/>
  <c r="AP11" i="3"/>
  <c r="AO11" i="9"/>
  <c r="AO54" i="9"/>
  <c r="AP54" i="3"/>
  <c r="AP82" i="3"/>
  <c r="AO82" i="9"/>
  <c r="AQ14" i="3"/>
  <c r="AP69" i="3"/>
  <c r="AO69" i="9"/>
  <c r="AQ72" i="3"/>
  <c r="AP115" i="3"/>
  <c r="AO115" i="9"/>
  <c r="AQ102" i="3"/>
  <c r="AQ40" i="3"/>
  <c r="AP42" i="3"/>
  <c r="AO42" i="9"/>
  <c r="AO49" i="9"/>
  <c r="AP101" i="3"/>
  <c r="AO101" i="9"/>
  <c r="AO47" i="9"/>
  <c r="AR113" i="3"/>
  <c r="AP22" i="3"/>
  <c r="AO22" i="9"/>
  <c r="AP93" i="3"/>
  <c r="AO93" i="9"/>
  <c r="AP26" i="3"/>
  <c r="AO26" i="9"/>
  <c r="AP87" i="3"/>
  <c r="AO87" i="9"/>
  <c r="AR89" i="3"/>
  <c r="AO72" i="9"/>
  <c r="AP71" i="3"/>
  <c r="AO71" i="9"/>
  <c r="AP19" i="3"/>
  <c r="AO19" i="9"/>
  <c r="AO48" i="9"/>
  <c r="AP7" i="3"/>
  <c r="AO7" i="9"/>
  <c r="AP92" i="3"/>
  <c r="AO92" i="9"/>
  <c r="AP111" i="3"/>
  <c r="AO111" i="9"/>
  <c r="AP106" i="3"/>
  <c r="AO106" i="9"/>
  <c r="AQ49" i="3"/>
  <c r="AQ47" i="3"/>
  <c r="AP62" i="3"/>
  <c r="AO62" i="9"/>
  <c r="AP90" i="3"/>
  <c r="AO90" i="9"/>
  <c r="AP13" i="3"/>
  <c r="AO13" i="9"/>
  <c r="AQ5" i="3"/>
  <c r="AP110" i="3"/>
  <c r="AO110" i="9"/>
  <c r="AP77" i="3"/>
  <c r="AO77" i="9"/>
  <c r="AP95" i="3"/>
  <c r="AO95" i="9"/>
  <c r="AR73" i="3"/>
  <c r="AQ112" i="3"/>
  <c r="AP12" i="3"/>
  <c r="AO12" i="9"/>
  <c r="AQ88" i="3"/>
  <c r="AP109" i="3"/>
  <c r="AO109" i="9"/>
  <c r="AQ48" i="3"/>
  <c r="AP114" i="3"/>
  <c r="AO114" i="9"/>
  <c r="AP86" i="3"/>
  <c r="AO86" i="9"/>
  <c r="AP30" i="3"/>
  <c r="AO30" i="9"/>
  <c r="AP21" i="3"/>
  <c r="AO21" i="9"/>
  <c r="AP67" i="3"/>
  <c r="AO67" i="9"/>
  <c r="AO38" i="9"/>
  <c r="AP108" i="3"/>
  <c r="AO108" i="9"/>
  <c r="AP20" i="3"/>
  <c r="AO20" i="9"/>
  <c r="AP29" i="3"/>
  <c r="AO29" i="9"/>
  <c r="AO55" i="9"/>
  <c r="AP28" i="3"/>
  <c r="AO28" i="9"/>
  <c r="AP98" i="3"/>
  <c r="AO98" i="9"/>
  <c r="AR97" i="3"/>
  <c r="AP16" i="3"/>
  <c r="AO16" i="9"/>
  <c r="AP85" i="3"/>
  <c r="AO85" i="9"/>
  <c r="AP58" i="3"/>
  <c r="AO58" i="9"/>
  <c r="AQ103" i="3"/>
  <c r="AP60" i="3"/>
  <c r="AO60" i="9"/>
  <c r="AP94" i="3"/>
  <c r="AO94" i="9"/>
  <c r="AP2" i="3"/>
  <c r="AO2" i="9"/>
  <c r="AO41" i="9"/>
  <c r="AO89" i="9"/>
  <c r="AO73" i="9"/>
  <c r="AO64" i="9"/>
  <c r="AO33" i="9"/>
  <c r="AO97" i="9"/>
  <c r="AO81" i="9"/>
  <c r="AO113" i="9"/>
  <c r="AP27" i="3"/>
  <c r="AO27" i="9"/>
  <c r="AO104" i="9"/>
  <c r="AQ38" i="3"/>
  <c r="AP10" i="3"/>
  <c r="AO10" i="9"/>
  <c r="AP35" i="3"/>
  <c r="AO35" i="9"/>
  <c r="AP9" i="3"/>
  <c r="AO9" i="9"/>
  <c r="AP51" i="3"/>
  <c r="AO51" i="9"/>
  <c r="AP37" i="3"/>
  <c r="AO37" i="9"/>
  <c r="AQ55" i="3"/>
  <c r="AP84" i="3"/>
  <c r="AO84" i="9"/>
  <c r="AP53" i="3"/>
  <c r="AO53" i="9"/>
  <c r="AP59" i="3"/>
  <c r="AO59" i="9"/>
  <c r="AQ32" i="3"/>
  <c r="AO31" i="9"/>
  <c r="AO57" i="9"/>
  <c r="AO80" i="9"/>
  <c r="AP66" i="3"/>
  <c r="AO66" i="9"/>
  <c r="AO56" i="9"/>
  <c r="AP91" i="3"/>
  <c r="AO91" i="9"/>
  <c r="AP74" i="3"/>
  <c r="AO74" i="9"/>
  <c r="AO65" i="9"/>
  <c r="AP34" i="3"/>
  <c r="AO34" i="9"/>
  <c r="AQ104" i="3"/>
  <c r="AP52" i="3"/>
  <c r="AO52" i="9"/>
  <c r="AP70" i="3"/>
  <c r="AO70" i="9"/>
  <c r="AO36" i="9"/>
  <c r="AP36" i="3"/>
  <c r="AO8" i="9"/>
  <c r="AP18" i="3"/>
  <c r="AO18" i="9"/>
  <c r="AO96" i="9"/>
  <c r="AO39" i="9"/>
  <c r="AR33" i="3"/>
  <c r="AO32" i="9"/>
  <c r="AP100" i="3"/>
  <c r="AO100" i="9"/>
  <c r="AR64" i="3"/>
  <c r="AQ31" i="3"/>
  <c r="AQ57" i="3"/>
  <c r="AO63" i="9"/>
  <c r="AQ80" i="3"/>
  <c r="AQ56" i="3"/>
  <c r="AO6" i="9"/>
  <c r="AQ65" i="3"/>
  <c r="AP61" i="3"/>
  <c r="AO61" i="9"/>
  <c r="AO4" i="9"/>
  <c r="AO46" i="9"/>
  <c r="AP50" i="3"/>
  <c r="AO50" i="9"/>
  <c r="AO24" i="9"/>
  <c r="AQ8" i="3"/>
  <c r="AP75" i="3"/>
  <c r="AO75" i="9"/>
  <c r="AP15" i="3"/>
  <c r="AO15" i="9"/>
  <c r="AQ96" i="3"/>
  <c r="AP43" i="3"/>
  <c r="AO43" i="9"/>
  <c r="AQ39" i="3"/>
  <c r="AO3" i="9"/>
  <c r="AP79" i="3"/>
  <c r="AO79" i="9"/>
  <c r="AP68" i="3"/>
  <c r="AO68" i="9"/>
  <c r="AO23" i="9"/>
  <c r="AO105" i="9"/>
  <c r="AQ63" i="3"/>
  <c r="AO25" i="9"/>
  <c r="AQ6" i="3"/>
  <c r="AQ4" i="3"/>
  <c r="AP107" i="3"/>
  <c r="AO107" i="9"/>
  <c r="AP63" i="9" l="1"/>
  <c r="AP56" i="9"/>
  <c r="AP57" i="9"/>
  <c r="AP48" i="9"/>
  <c r="AP31" i="9"/>
  <c r="AR63" i="3"/>
  <c r="AP39" i="9"/>
  <c r="AP80" i="9"/>
  <c r="AS64" i="3"/>
  <c r="AQ52" i="3"/>
  <c r="AP52" i="9"/>
  <c r="AP32" i="9"/>
  <c r="AP55" i="9"/>
  <c r="AQ27" i="3"/>
  <c r="AP27" i="9"/>
  <c r="AR103" i="3"/>
  <c r="AS97" i="3"/>
  <c r="AQ21" i="3"/>
  <c r="AP21" i="9"/>
  <c r="AR112" i="3"/>
  <c r="AQ110" i="3"/>
  <c r="AP110" i="9"/>
  <c r="AQ62" i="3"/>
  <c r="AP62" i="9"/>
  <c r="AQ111" i="3"/>
  <c r="AP111" i="9"/>
  <c r="AQ26" i="3"/>
  <c r="AP26" i="9"/>
  <c r="AR102" i="3"/>
  <c r="AR14" i="3"/>
  <c r="AQ83" i="3"/>
  <c r="AP83" i="9"/>
  <c r="AQ44" i="3"/>
  <c r="AP44" i="9"/>
  <c r="AR23" i="3"/>
  <c r="AQ45" i="3"/>
  <c r="AP45" i="9"/>
  <c r="AR39" i="3"/>
  <c r="AQ75" i="3"/>
  <c r="AP75" i="9"/>
  <c r="AR80" i="3"/>
  <c r="AQ18" i="3"/>
  <c r="AP18" i="9"/>
  <c r="AP104" i="9"/>
  <c r="AQ91" i="3"/>
  <c r="AP91" i="9"/>
  <c r="AR32" i="3"/>
  <c r="AR55" i="3"/>
  <c r="AQ35" i="3"/>
  <c r="AP35" i="9"/>
  <c r="AQ20" i="3"/>
  <c r="AP20" i="9"/>
  <c r="AP5" i="9"/>
  <c r="AP47" i="9"/>
  <c r="AQ71" i="3"/>
  <c r="AP71" i="9"/>
  <c r="AQ101" i="3"/>
  <c r="AP101" i="9"/>
  <c r="AR96" i="3"/>
  <c r="AP4" i="9"/>
  <c r="AP8" i="9"/>
  <c r="AQ61" i="3"/>
  <c r="AP61" i="9"/>
  <c r="AQ100" i="3"/>
  <c r="AP100" i="9"/>
  <c r="AR104" i="3"/>
  <c r="AQ2" i="3"/>
  <c r="AP2" i="9"/>
  <c r="AP81" i="9"/>
  <c r="AP41" i="9"/>
  <c r="AP64" i="9"/>
  <c r="AP33" i="9"/>
  <c r="AP97" i="9"/>
  <c r="AP73" i="9"/>
  <c r="AP89" i="9"/>
  <c r="AP113" i="9"/>
  <c r="AQ58" i="3"/>
  <c r="AP58" i="9"/>
  <c r="AQ98" i="3"/>
  <c r="AP98" i="9"/>
  <c r="AQ30" i="3"/>
  <c r="AP30" i="9"/>
  <c r="AQ109" i="3"/>
  <c r="AP109" i="9"/>
  <c r="AS73" i="3"/>
  <c r="AR5" i="3"/>
  <c r="AR47" i="3"/>
  <c r="AQ92" i="3"/>
  <c r="AP92" i="9"/>
  <c r="AQ93" i="3"/>
  <c r="AP93" i="9"/>
  <c r="AQ115" i="3"/>
  <c r="AP115" i="9"/>
  <c r="AQ82" i="3"/>
  <c r="AP82" i="9"/>
  <c r="AQ17" i="3"/>
  <c r="AP17" i="9"/>
  <c r="AS81" i="3"/>
  <c r="AQ76" i="3"/>
  <c r="AP76" i="9"/>
  <c r="AP24" i="9"/>
  <c r="AP65" i="9"/>
  <c r="AQ36" i="3"/>
  <c r="AP36" i="9"/>
  <c r="AQ59" i="3"/>
  <c r="AP59" i="9"/>
  <c r="AQ37" i="3"/>
  <c r="AP37" i="9"/>
  <c r="AQ10" i="3"/>
  <c r="AP10" i="9"/>
  <c r="AQ108" i="3"/>
  <c r="AP108" i="9"/>
  <c r="AP88" i="9"/>
  <c r="AP49" i="9"/>
  <c r="AP72" i="9"/>
  <c r="AQ54" i="3"/>
  <c r="AP54" i="9"/>
  <c r="AP105" i="9"/>
  <c r="AP3" i="9"/>
  <c r="AR24" i="3"/>
  <c r="AR6" i="3"/>
  <c r="AQ107" i="3"/>
  <c r="AP107" i="9"/>
  <c r="AR4" i="3"/>
  <c r="AQ43" i="3"/>
  <c r="AP43" i="9"/>
  <c r="AR8" i="3"/>
  <c r="AP6" i="9"/>
  <c r="AQ68" i="3"/>
  <c r="AP68" i="9"/>
  <c r="AP96" i="9"/>
  <c r="AR65" i="3"/>
  <c r="AR57" i="3"/>
  <c r="AP34" i="9"/>
  <c r="AQ34" i="3"/>
  <c r="AQ66" i="3"/>
  <c r="AP66" i="9"/>
  <c r="AP38" i="9"/>
  <c r="AQ94" i="3"/>
  <c r="AP94" i="9"/>
  <c r="AQ85" i="3"/>
  <c r="AP85" i="9"/>
  <c r="AQ28" i="3"/>
  <c r="AP28" i="9"/>
  <c r="AQ86" i="3"/>
  <c r="AP86" i="9"/>
  <c r="AR88" i="3"/>
  <c r="AQ95" i="3"/>
  <c r="AP95" i="9"/>
  <c r="AQ13" i="3"/>
  <c r="AP13" i="9"/>
  <c r="AR49" i="3"/>
  <c r="AQ7" i="3"/>
  <c r="AP7" i="9"/>
  <c r="AS89" i="3"/>
  <c r="AQ22" i="3"/>
  <c r="AP22" i="9"/>
  <c r="AP42" i="9"/>
  <c r="AQ42" i="3"/>
  <c r="AR72" i="3"/>
  <c r="AQ78" i="3"/>
  <c r="AP78" i="9"/>
  <c r="AR105" i="3"/>
  <c r="AR3" i="3"/>
  <c r="AQ53" i="3"/>
  <c r="AP53" i="9"/>
  <c r="AQ51" i="3"/>
  <c r="AP51" i="9"/>
  <c r="AR38" i="3"/>
  <c r="AP40" i="9"/>
  <c r="AP25" i="9"/>
  <c r="AS41" i="3"/>
  <c r="AS33" i="3"/>
  <c r="AQ79" i="3"/>
  <c r="AP79" i="9"/>
  <c r="AQ50" i="3"/>
  <c r="AP50" i="9"/>
  <c r="AR31" i="3"/>
  <c r="AQ70" i="3"/>
  <c r="AP70" i="9"/>
  <c r="AQ60" i="3"/>
  <c r="AP60" i="9"/>
  <c r="AQ16" i="3"/>
  <c r="AP16" i="9"/>
  <c r="AQ67" i="3"/>
  <c r="AP67" i="9"/>
  <c r="AQ114" i="3"/>
  <c r="AP114" i="9"/>
  <c r="AQ12" i="3"/>
  <c r="AP12" i="9"/>
  <c r="AQ77" i="3"/>
  <c r="AP77" i="9"/>
  <c r="AQ90" i="3"/>
  <c r="AP90" i="9"/>
  <c r="AQ106" i="3"/>
  <c r="AP106" i="9"/>
  <c r="AQ87" i="3"/>
  <c r="AP87" i="9"/>
  <c r="AS113" i="3"/>
  <c r="AR40" i="3"/>
  <c r="AQ69" i="3"/>
  <c r="AP69" i="9"/>
  <c r="AQ11" i="3"/>
  <c r="AP11" i="9"/>
  <c r="AR25" i="3"/>
  <c r="AQ99" i="3"/>
  <c r="AP99" i="9"/>
  <c r="AP46" i="9"/>
  <c r="AQ15" i="3"/>
  <c r="AP15" i="9"/>
  <c r="AR56" i="3"/>
  <c r="AQ74" i="3"/>
  <c r="AP74" i="9"/>
  <c r="AQ84" i="3"/>
  <c r="AP84" i="9"/>
  <c r="AQ9" i="3"/>
  <c r="AP9" i="9"/>
  <c r="AP103" i="9"/>
  <c r="AQ29" i="3"/>
  <c r="AP29" i="9"/>
  <c r="AR48" i="3"/>
  <c r="AP112" i="9"/>
  <c r="AQ19" i="3"/>
  <c r="AP19" i="9"/>
  <c r="AP102" i="9"/>
  <c r="AP14" i="9"/>
  <c r="AP23" i="9"/>
  <c r="AR46" i="3"/>
  <c r="AQ32" i="9" l="1"/>
  <c r="AR19" i="3"/>
  <c r="AQ19" i="9"/>
  <c r="AR9" i="3"/>
  <c r="AQ9" i="9"/>
  <c r="AR15" i="3"/>
  <c r="AQ15" i="9"/>
  <c r="AR69" i="3"/>
  <c r="AQ69" i="9"/>
  <c r="AR106" i="3"/>
  <c r="AQ106" i="9"/>
  <c r="AR114" i="3"/>
  <c r="AQ114" i="9"/>
  <c r="AR70" i="3"/>
  <c r="AQ70" i="9"/>
  <c r="AT33" i="3"/>
  <c r="AR51" i="3"/>
  <c r="AQ51" i="9"/>
  <c r="AR78" i="3"/>
  <c r="AQ78" i="9"/>
  <c r="AT89" i="3"/>
  <c r="AR95" i="3"/>
  <c r="AQ95" i="9"/>
  <c r="AR85" i="3"/>
  <c r="AQ85" i="9"/>
  <c r="AS57" i="3"/>
  <c r="AQ8" i="9"/>
  <c r="AQ6" i="9"/>
  <c r="AR37" i="3"/>
  <c r="AQ37" i="9"/>
  <c r="AR76" i="3"/>
  <c r="AQ76" i="9"/>
  <c r="AR115" i="3"/>
  <c r="AQ115" i="9"/>
  <c r="AS5" i="3"/>
  <c r="AR98" i="3"/>
  <c r="AQ98" i="9"/>
  <c r="AR100" i="3"/>
  <c r="AQ100" i="9"/>
  <c r="AR101" i="3"/>
  <c r="AQ101" i="9"/>
  <c r="AR35" i="3"/>
  <c r="AQ35" i="9"/>
  <c r="AQ14" i="9"/>
  <c r="AQ40" i="9"/>
  <c r="AQ57" i="9"/>
  <c r="AS8" i="3"/>
  <c r="AS6" i="3"/>
  <c r="AQ55" i="9"/>
  <c r="AR18" i="3"/>
  <c r="AQ18" i="9"/>
  <c r="AR45" i="3"/>
  <c r="AQ45" i="9"/>
  <c r="AS14" i="3"/>
  <c r="AR62" i="3"/>
  <c r="AQ62" i="9"/>
  <c r="AT97" i="3"/>
  <c r="AR52" i="3"/>
  <c r="AQ52" i="9"/>
  <c r="AQ46" i="9"/>
  <c r="AQ48" i="9"/>
  <c r="AR84" i="3"/>
  <c r="AQ84" i="9"/>
  <c r="AQ31" i="9"/>
  <c r="AQ72" i="9"/>
  <c r="AQ88" i="9"/>
  <c r="AS46" i="3"/>
  <c r="AS48" i="3"/>
  <c r="AR99" i="3"/>
  <c r="AQ99" i="9"/>
  <c r="AS40" i="3"/>
  <c r="AR90" i="3"/>
  <c r="AQ90" i="9"/>
  <c r="AR67" i="3"/>
  <c r="AQ67" i="9"/>
  <c r="AS31" i="3"/>
  <c r="AT41" i="3"/>
  <c r="AR53" i="3"/>
  <c r="AQ53" i="9"/>
  <c r="AS72" i="3"/>
  <c r="AR7" i="3"/>
  <c r="AQ7" i="9"/>
  <c r="AS88" i="3"/>
  <c r="AR94" i="3"/>
  <c r="AQ94" i="9"/>
  <c r="AQ65" i="9"/>
  <c r="AQ24" i="9"/>
  <c r="AR59" i="3"/>
  <c r="AQ59" i="9"/>
  <c r="AT81" i="3"/>
  <c r="AR93" i="3"/>
  <c r="AQ93" i="9"/>
  <c r="AT73" i="3"/>
  <c r="AR58" i="3"/>
  <c r="AQ58" i="9"/>
  <c r="AR61" i="3"/>
  <c r="AQ61" i="9"/>
  <c r="AR71" i="3"/>
  <c r="AQ71" i="9"/>
  <c r="AS55" i="3"/>
  <c r="AQ80" i="9"/>
  <c r="AQ23" i="9"/>
  <c r="AQ102" i="9"/>
  <c r="AQ103" i="9"/>
  <c r="AR74" i="3"/>
  <c r="AQ74" i="9"/>
  <c r="AQ25" i="9"/>
  <c r="AQ3" i="9"/>
  <c r="AR42" i="3"/>
  <c r="AQ42" i="9"/>
  <c r="AQ49" i="9"/>
  <c r="AS65" i="3"/>
  <c r="AR43" i="3"/>
  <c r="AQ43" i="9"/>
  <c r="AS24" i="3"/>
  <c r="AS80" i="3"/>
  <c r="AS23" i="3"/>
  <c r="AS102" i="3"/>
  <c r="AR110" i="3"/>
  <c r="AQ110" i="9"/>
  <c r="AS103" i="3"/>
  <c r="AT64" i="3"/>
  <c r="AR29" i="3"/>
  <c r="AQ29" i="9"/>
  <c r="AQ56" i="9"/>
  <c r="AS25" i="3"/>
  <c r="AT113" i="3"/>
  <c r="AR77" i="3"/>
  <c r="AQ77" i="9"/>
  <c r="AR16" i="3"/>
  <c r="AQ16" i="9"/>
  <c r="AR50" i="3"/>
  <c r="AQ50" i="9"/>
  <c r="AS3" i="3"/>
  <c r="AS49" i="3"/>
  <c r="AR86" i="3"/>
  <c r="AQ86" i="9"/>
  <c r="AQ4" i="9"/>
  <c r="AR108" i="3"/>
  <c r="AQ108" i="9"/>
  <c r="AR36" i="3"/>
  <c r="AQ36" i="9"/>
  <c r="AR17" i="3"/>
  <c r="AQ17" i="9"/>
  <c r="AR92" i="3"/>
  <c r="AQ92" i="9"/>
  <c r="AR109" i="3"/>
  <c r="AQ109" i="9"/>
  <c r="AR2" i="3"/>
  <c r="AQ2" i="9"/>
  <c r="AQ97" i="9"/>
  <c r="AQ64" i="9"/>
  <c r="AQ113" i="9"/>
  <c r="AQ41" i="9"/>
  <c r="AQ33" i="9"/>
  <c r="AQ89" i="9"/>
  <c r="AQ81" i="9"/>
  <c r="AQ73" i="9"/>
  <c r="AS32" i="3"/>
  <c r="AQ112" i="9"/>
  <c r="AQ38" i="9"/>
  <c r="AQ105" i="9"/>
  <c r="AR66" i="3"/>
  <c r="AQ66" i="9"/>
  <c r="AS4" i="3"/>
  <c r="AQ47" i="9"/>
  <c r="AQ104" i="9"/>
  <c r="AQ96" i="9"/>
  <c r="AR75" i="3"/>
  <c r="AQ75" i="9"/>
  <c r="AR44" i="3"/>
  <c r="AQ44" i="9"/>
  <c r="AR26" i="3"/>
  <c r="AQ26" i="9"/>
  <c r="AS112" i="3"/>
  <c r="AR27" i="3"/>
  <c r="AQ27" i="9"/>
  <c r="AS56" i="3"/>
  <c r="AR11" i="3"/>
  <c r="AQ11" i="9"/>
  <c r="AR87" i="3"/>
  <c r="AQ87" i="9"/>
  <c r="AR12" i="3"/>
  <c r="AQ12" i="9"/>
  <c r="AR60" i="3"/>
  <c r="AQ60" i="9"/>
  <c r="AR79" i="3"/>
  <c r="AQ79" i="9"/>
  <c r="AS38" i="3"/>
  <c r="AS105" i="3"/>
  <c r="AQ22" i="9"/>
  <c r="AR22" i="3"/>
  <c r="AR13" i="3"/>
  <c r="AQ13" i="9"/>
  <c r="AR28" i="3"/>
  <c r="AQ28" i="9"/>
  <c r="AR34" i="3"/>
  <c r="AQ34" i="9"/>
  <c r="AR68" i="3"/>
  <c r="AQ68" i="9"/>
  <c r="AR10" i="3"/>
  <c r="AQ10" i="9"/>
  <c r="AR82" i="3"/>
  <c r="AQ82" i="9"/>
  <c r="AS47" i="3"/>
  <c r="AR30" i="3"/>
  <c r="AQ30" i="9"/>
  <c r="AS104" i="3"/>
  <c r="AS96" i="3"/>
  <c r="AR20" i="3"/>
  <c r="AQ20" i="9"/>
  <c r="AR91" i="3"/>
  <c r="AQ91" i="9"/>
  <c r="AQ39" i="9"/>
  <c r="AQ63" i="9"/>
  <c r="AR107" i="3"/>
  <c r="AQ107" i="9"/>
  <c r="AR54" i="3"/>
  <c r="AQ54" i="9"/>
  <c r="AQ5" i="9"/>
  <c r="AS39" i="3"/>
  <c r="AR83" i="3"/>
  <c r="AQ83" i="9"/>
  <c r="AR111" i="3"/>
  <c r="AQ111" i="9"/>
  <c r="AR21" i="3"/>
  <c r="AQ21" i="9"/>
  <c r="AS63" i="3"/>
  <c r="AR8" i="9" l="1"/>
  <c r="AR104" i="9"/>
  <c r="AR102" i="9"/>
  <c r="AR47" i="9"/>
  <c r="AR105" i="9"/>
  <c r="AS66" i="3"/>
  <c r="AR66" i="9"/>
  <c r="AT3" i="3"/>
  <c r="AU113" i="3"/>
  <c r="AR103" i="9"/>
  <c r="AR80" i="9"/>
  <c r="AS61" i="3"/>
  <c r="AR61" i="9"/>
  <c r="AU81" i="3"/>
  <c r="AT88" i="3"/>
  <c r="AU41" i="3"/>
  <c r="AT40" i="3"/>
  <c r="AS54" i="3"/>
  <c r="AR54" i="9"/>
  <c r="AS20" i="3"/>
  <c r="AR20" i="9"/>
  <c r="AT47" i="3"/>
  <c r="AS34" i="3"/>
  <c r="AR34" i="9"/>
  <c r="AT105" i="3"/>
  <c r="AS12" i="3"/>
  <c r="AR12" i="9"/>
  <c r="AS27" i="3"/>
  <c r="AR27" i="9"/>
  <c r="AS75" i="3"/>
  <c r="AR75" i="9"/>
  <c r="AS109" i="3"/>
  <c r="AR109" i="9"/>
  <c r="AS108" i="3"/>
  <c r="AR108" i="9"/>
  <c r="AR25" i="9"/>
  <c r="AT103" i="3"/>
  <c r="AT80" i="3"/>
  <c r="AR31" i="9"/>
  <c r="AU97" i="3"/>
  <c r="AS18" i="3"/>
  <c r="AR18" i="9"/>
  <c r="AS98" i="3"/>
  <c r="AR98" i="9"/>
  <c r="AS37" i="3"/>
  <c r="AR37" i="9"/>
  <c r="AS95" i="3"/>
  <c r="AR95" i="9"/>
  <c r="AU33" i="3"/>
  <c r="AS69" i="3"/>
  <c r="AR69" i="9"/>
  <c r="AR112" i="9"/>
  <c r="AS50" i="3"/>
  <c r="AR50" i="9"/>
  <c r="AT25" i="3"/>
  <c r="AR24" i="9"/>
  <c r="AS42" i="3"/>
  <c r="AR42" i="9"/>
  <c r="AS58" i="3"/>
  <c r="AR58" i="9"/>
  <c r="AS59" i="3"/>
  <c r="AR59" i="9"/>
  <c r="AS7" i="3"/>
  <c r="AR7" i="9"/>
  <c r="AT31" i="3"/>
  <c r="AS99" i="3"/>
  <c r="AR99" i="9"/>
  <c r="AR5" i="9"/>
  <c r="AR96" i="9"/>
  <c r="AR38" i="9"/>
  <c r="AS107" i="3"/>
  <c r="AR107" i="9"/>
  <c r="AT96" i="3"/>
  <c r="AS82" i="3"/>
  <c r="AR82" i="9"/>
  <c r="AR28" i="9"/>
  <c r="AS28" i="3"/>
  <c r="AT38" i="3"/>
  <c r="AS87" i="3"/>
  <c r="AR87" i="9"/>
  <c r="AT112" i="3"/>
  <c r="AS92" i="3"/>
  <c r="AR92" i="9"/>
  <c r="AS110" i="3"/>
  <c r="AR110" i="9"/>
  <c r="AT24" i="3"/>
  <c r="AR55" i="9"/>
  <c r="AU73" i="3"/>
  <c r="AR72" i="9"/>
  <c r="AR48" i="9"/>
  <c r="AS84" i="3"/>
  <c r="AR84" i="9"/>
  <c r="AS62" i="3"/>
  <c r="AR62" i="9"/>
  <c r="AR6" i="9"/>
  <c r="AS35" i="3"/>
  <c r="AR35" i="9"/>
  <c r="AT5" i="3"/>
  <c r="AU89" i="3"/>
  <c r="AS70" i="3"/>
  <c r="AR70" i="9"/>
  <c r="AS15" i="3"/>
  <c r="AR15" i="9"/>
  <c r="AS86" i="3"/>
  <c r="AR86" i="9"/>
  <c r="AS16" i="3"/>
  <c r="AR16" i="9"/>
  <c r="AT55" i="3"/>
  <c r="AT72" i="3"/>
  <c r="AS67" i="3"/>
  <c r="AR67" i="9"/>
  <c r="AT48" i="3"/>
  <c r="AR14" i="9"/>
  <c r="AT6" i="3"/>
  <c r="AR57" i="9"/>
  <c r="AR32" i="9"/>
  <c r="AR63" i="9"/>
  <c r="AR39" i="9"/>
  <c r="AT104" i="3"/>
  <c r="AS10" i="3"/>
  <c r="AR10" i="9"/>
  <c r="AS13" i="3"/>
  <c r="AR13" i="9"/>
  <c r="AS79" i="3"/>
  <c r="AR79" i="9"/>
  <c r="AS11" i="3"/>
  <c r="AR11" i="9"/>
  <c r="AS26" i="3"/>
  <c r="AR26" i="9"/>
  <c r="AR4" i="9"/>
  <c r="AT32" i="3"/>
  <c r="AS17" i="3"/>
  <c r="AR17" i="9"/>
  <c r="AR49" i="9"/>
  <c r="AS29" i="3"/>
  <c r="AR29" i="9"/>
  <c r="AT102" i="3"/>
  <c r="AS43" i="3"/>
  <c r="AR43" i="9"/>
  <c r="AR46" i="9"/>
  <c r="AT14" i="3"/>
  <c r="AS101" i="3"/>
  <c r="AR101" i="9"/>
  <c r="AS115" i="3"/>
  <c r="AR115" i="9"/>
  <c r="AT57" i="3"/>
  <c r="AS78" i="3"/>
  <c r="AR78" i="9"/>
  <c r="AS114" i="3"/>
  <c r="AR114" i="9"/>
  <c r="AS9" i="3"/>
  <c r="AR9" i="9"/>
  <c r="AS21" i="3"/>
  <c r="AR21" i="9"/>
  <c r="AS22" i="3"/>
  <c r="AR22" i="9"/>
  <c r="AT4" i="3"/>
  <c r="AT49" i="3"/>
  <c r="AS77" i="3"/>
  <c r="AR77" i="9"/>
  <c r="AR23" i="9"/>
  <c r="AR65" i="9"/>
  <c r="AS74" i="3"/>
  <c r="AR74" i="9"/>
  <c r="AS71" i="3"/>
  <c r="AR71" i="9"/>
  <c r="AS93" i="3"/>
  <c r="AR93" i="9"/>
  <c r="AS94" i="3"/>
  <c r="AR94" i="9"/>
  <c r="AS53" i="3"/>
  <c r="AR53" i="9"/>
  <c r="AS90" i="3"/>
  <c r="AR90" i="9"/>
  <c r="AT46" i="3"/>
  <c r="AT8" i="3"/>
  <c r="AS111" i="3"/>
  <c r="AR111" i="9"/>
  <c r="AS83" i="3"/>
  <c r="AR83" i="9"/>
  <c r="AT63" i="3"/>
  <c r="AT39" i="3"/>
  <c r="AR56" i="9"/>
  <c r="AS91" i="3"/>
  <c r="AR91" i="9"/>
  <c r="AS30" i="3"/>
  <c r="AR30" i="9"/>
  <c r="AS68" i="3"/>
  <c r="AR68" i="9"/>
  <c r="AS60" i="3"/>
  <c r="AR60" i="9"/>
  <c r="AT56" i="3"/>
  <c r="AS44" i="3"/>
  <c r="AR44" i="9"/>
  <c r="AS2" i="3"/>
  <c r="AR2" i="9"/>
  <c r="AR89" i="9"/>
  <c r="AR113" i="9"/>
  <c r="AR64" i="9"/>
  <c r="AR73" i="9"/>
  <c r="AR81" i="9"/>
  <c r="AR41" i="9"/>
  <c r="AR33" i="9"/>
  <c r="AR97" i="9"/>
  <c r="AS36" i="3"/>
  <c r="AR36" i="9"/>
  <c r="AR3" i="9"/>
  <c r="AU64" i="3"/>
  <c r="AT23" i="3"/>
  <c r="AT65" i="3"/>
  <c r="AR88" i="9"/>
  <c r="AR40" i="9"/>
  <c r="AS52" i="3"/>
  <c r="AR52" i="9"/>
  <c r="AS45" i="3"/>
  <c r="AR45" i="9"/>
  <c r="AS100" i="3"/>
  <c r="AR100" i="9"/>
  <c r="AS76" i="3"/>
  <c r="AR76" i="9"/>
  <c r="AS85" i="3"/>
  <c r="AR85" i="9"/>
  <c r="AS51" i="3"/>
  <c r="AR51" i="9"/>
  <c r="AS106" i="3"/>
  <c r="AR106" i="9"/>
  <c r="AS19" i="3"/>
  <c r="AR19" i="9"/>
  <c r="AS23" i="9" l="1"/>
  <c r="AS3" i="9"/>
  <c r="AT111" i="3"/>
  <c r="AS111" i="9"/>
  <c r="AT53" i="3"/>
  <c r="AS53" i="9"/>
  <c r="AT74" i="3"/>
  <c r="AS74" i="9"/>
  <c r="AU4" i="3"/>
  <c r="AT114" i="3"/>
  <c r="AS114" i="9"/>
  <c r="AT101" i="3"/>
  <c r="AS101" i="9"/>
  <c r="AS6" i="9"/>
  <c r="AU72" i="3"/>
  <c r="AT15" i="3"/>
  <c r="AS15" i="9"/>
  <c r="AT35" i="3"/>
  <c r="AS35" i="9"/>
  <c r="AT92" i="3"/>
  <c r="AS92" i="9"/>
  <c r="AS25" i="9"/>
  <c r="AS88" i="9"/>
  <c r="AS65" i="9"/>
  <c r="AT36" i="3"/>
  <c r="AS36" i="9"/>
  <c r="AS60" i="9"/>
  <c r="AT60" i="3"/>
  <c r="AS39" i="9"/>
  <c r="AS8" i="9"/>
  <c r="AS14" i="9"/>
  <c r="AT29" i="3"/>
  <c r="AS29" i="9"/>
  <c r="AT26" i="3"/>
  <c r="AS26" i="9"/>
  <c r="AT10" i="3"/>
  <c r="AS10" i="9"/>
  <c r="AU6" i="3"/>
  <c r="AS55" i="9"/>
  <c r="AV73" i="3"/>
  <c r="AS112" i="9"/>
  <c r="AT59" i="3"/>
  <c r="AS59" i="9"/>
  <c r="AT95" i="3"/>
  <c r="AS95" i="9"/>
  <c r="AV97" i="3"/>
  <c r="AT108" i="3"/>
  <c r="AS108" i="9"/>
  <c r="AT12" i="3"/>
  <c r="AS12" i="9"/>
  <c r="AT20" i="3"/>
  <c r="AS20" i="9"/>
  <c r="AU88" i="3"/>
  <c r="AV113" i="3"/>
  <c r="AU39" i="3"/>
  <c r="AU8" i="3"/>
  <c r="AT94" i="3"/>
  <c r="AS94" i="9"/>
  <c r="AT22" i="3"/>
  <c r="AS22" i="9"/>
  <c r="AT78" i="3"/>
  <c r="AS78" i="9"/>
  <c r="AU14" i="3"/>
  <c r="AS104" i="9"/>
  <c r="AU55" i="3"/>
  <c r="AT70" i="3"/>
  <c r="AS70" i="9"/>
  <c r="AU112" i="3"/>
  <c r="AT82" i="3"/>
  <c r="AS82" i="9"/>
  <c r="AT50" i="3"/>
  <c r="AS50" i="9"/>
  <c r="AS105" i="9"/>
  <c r="AT2" i="3"/>
  <c r="AS2" i="9"/>
  <c r="AS41" i="9"/>
  <c r="AS81" i="9"/>
  <c r="AS113" i="9"/>
  <c r="AS64" i="9"/>
  <c r="AS73" i="9"/>
  <c r="AS89" i="9"/>
  <c r="AS33" i="9"/>
  <c r="AS97" i="9"/>
  <c r="AT68" i="3"/>
  <c r="AS68" i="9"/>
  <c r="AS63" i="9"/>
  <c r="AS46" i="9"/>
  <c r="AS57" i="9"/>
  <c r="AT11" i="3"/>
  <c r="AS11" i="9"/>
  <c r="AU104" i="3"/>
  <c r="AS48" i="9"/>
  <c r="AT62" i="3"/>
  <c r="AS62" i="9"/>
  <c r="AS24" i="9"/>
  <c r="AS96" i="9"/>
  <c r="AT99" i="3"/>
  <c r="AS99" i="9"/>
  <c r="AT58" i="3"/>
  <c r="AS58" i="9"/>
  <c r="AT37" i="3"/>
  <c r="AS37" i="9"/>
  <c r="AS80" i="9"/>
  <c r="AT109" i="3"/>
  <c r="AS109" i="9"/>
  <c r="AU105" i="3"/>
  <c r="AT54" i="3"/>
  <c r="AS54" i="9"/>
  <c r="AV81" i="3"/>
  <c r="AU3" i="3"/>
  <c r="AU63" i="3"/>
  <c r="AU46" i="3"/>
  <c r="AT93" i="3"/>
  <c r="AS93" i="9"/>
  <c r="AT77" i="3"/>
  <c r="AS77" i="9"/>
  <c r="AT21" i="3"/>
  <c r="AS21" i="9"/>
  <c r="AU57" i="3"/>
  <c r="AT17" i="3"/>
  <c r="AS17" i="9"/>
  <c r="AU48" i="3"/>
  <c r="AT16" i="3"/>
  <c r="AS16" i="9"/>
  <c r="AV89" i="3"/>
  <c r="AU24" i="3"/>
  <c r="AT87" i="3"/>
  <c r="AS87" i="9"/>
  <c r="AU96" i="3"/>
  <c r="AS31" i="9"/>
  <c r="AU80" i="3"/>
  <c r="AS40" i="9"/>
  <c r="AT19" i="3"/>
  <c r="AS19" i="9"/>
  <c r="AT76" i="3"/>
  <c r="AS76" i="9"/>
  <c r="AU65" i="3"/>
  <c r="AT51" i="3"/>
  <c r="AS51" i="9"/>
  <c r="AU23" i="3"/>
  <c r="AT44" i="3"/>
  <c r="AS44" i="9"/>
  <c r="AT30" i="3"/>
  <c r="AS30" i="9"/>
  <c r="AS49" i="9"/>
  <c r="AT43" i="3"/>
  <c r="AS43" i="9"/>
  <c r="AS32" i="9"/>
  <c r="AT79" i="3"/>
  <c r="AS79" i="9"/>
  <c r="AS5" i="9"/>
  <c r="AT84" i="3"/>
  <c r="AS84" i="9"/>
  <c r="AS38" i="9"/>
  <c r="AU31" i="3"/>
  <c r="AT42" i="3"/>
  <c r="AS42" i="9"/>
  <c r="AT69" i="3"/>
  <c r="AS69" i="9"/>
  <c r="AT98" i="3"/>
  <c r="AS98" i="9"/>
  <c r="AS103" i="9"/>
  <c r="AT75" i="3"/>
  <c r="AS75" i="9"/>
  <c r="AT34" i="3"/>
  <c r="AS34" i="9"/>
  <c r="AU40" i="3"/>
  <c r="AT61" i="3"/>
  <c r="AS61" i="9"/>
  <c r="AT66" i="3"/>
  <c r="AS66" i="9"/>
  <c r="AT106" i="3"/>
  <c r="AS106" i="9"/>
  <c r="AT100" i="3"/>
  <c r="AS100" i="9"/>
  <c r="AT45" i="3"/>
  <c r="AS45" i="9"/>
  <c r="AT85" i="3"/>
  <c r="AS85" i="9"/>
  <c r="AT52" i="3"/>
  <c r="AS52" i="9"/>
  <c r="AV64" i="3"/>
  <c r="AS56" i="9"/>
  <c r="AT83" i="3"/>
  <c r="AS83" i="9"/>
  <c r="AT90" i="3"/>
  <c r="AS90" i="9"/>
  <c r="AT71" i="3"/>
  <c r="AS71" i="9"/>
  <c r="AU49" i="3"/>
  <c r="AT9" i="3"/>
  <c r="AS9" i="9"/>
  <c r="AT115" i="3"/>
  <c r="AS115" i="9"/>
  <c r="AS102" i="9"/>
  <c r="AU32" i="3"/>
  <c r="AT67" i="3"/>
  <c r="AS67" i="9"/>
  <c r="AT86" i="3"/>
  <c r="AS86" i="9"/>
  <c r="AU5" i="3"/>
  <c r="AT110" i="3"/>
  <c r="AS110" i="9"/>
  <c r="AU38" i="3"/>
  <c r="AT107" i="3"/>
  <c r="AS107" i="9"/>
  <c r="AU103" i="3"/>
  <c r="AS47" i="9"/>
  <c r="AU56" i="3"/>
  <c r="AT91" i="3"/>
  <c r="AS91" i="9"/>
  <c r="AS4" i="9"/>
  <c r="AU102" i="3"/>
  <c r="AT13" i="3"/>
  <c r="AS13" i="9"/>
  <c r="AS72" i="9"/>
  <c r="AT28" i="3"/>
  <c r="AS28" i="9"/>
  <c r="AT7" i="3"/>
  <c r="AS7" i="9"/>
  <c r="AU25" i="3"/>
  <c r="AV33" i="3"/>
  <c r="AT18" i="3"/>
  <c r="AT103" i="9" s="1"/>
  <c r="AS18" i="9"/>
  <c r="AT27" i="3"/>
  <c r="AS27" i="9"/>
  <c r="AU47" i="3"/>
  <c r="AV41" i="3"/>
  <c r="AT102" i="9" l="1"/>
  <c r="AT39" i="9"/>
  <c r="AT112" i="9"/>
  <c r="AV25" i="3"/>
  <c r="AT49" i="9"/>
  <c r="AT47" i="9"/>
  <c r="AT25" i="9"/>
  <c r="AU13" i="3"/>
  <c r="AT13" i="9"/>
  <c r="AU110" i="3"/>
  <c r="AT110" i="9"/>
  <c r="AV32" i="3"/>
  <c r="AW64" i="3"/>
  <c r="AU100" i="3"/>
  <c r="AT100" i="9"/>
  <c r="AV40" i="3"/>
  <c r="AU84" i="3"/>
  <c r="AT84" i="9"/>
  <c r="AT65" i="9"/>
  <c r="AV80" i="3"/>
  <c r="AT57" i="9"/>
  <c r="AT46" i="9"/>
  <c r="AU37" i="3"/>
  <c r="AT37" i="9"/>
  <c r="AU62" i="3"/>
  <c r="AT62" i="9"/>
  <c r="AU94" i="3"/>
  <c r="AT94" i="9"/>
  <c r="AV88" i="3"/>
  <c r="AW97" i="3"/>
  <c r="AU29" i="3"/>
  <c r="AT29" i="9"/>
  <c r="AU15" i="3"/>
  <c r="AT15" i="9"/>
  <c r="AT4" i="9"/>
  <c r="AU71" i="3"/>
  <c r="AT71" i="9"/>
  <c r="AU69" i="3"/>
  <c r="AT69" i="9"/>
  <c r="AU30" i="3"/>
  <c r="AT30" i="9"/>
  <c r="AV65" i="3"/>
  <c r="AW89" i="3"/>
  <c r="AV57" i="3"/>
  <c r="AV46" i="3"/>
  <c r="AU54" i="3"/>
  <c r="AT54" i="9"/>
  <c r="AU82" i="3"/>
  <c r="AT82" i="9"/>
  <c r="AT14" i="9"/>
  <c r="AT8" i="9"/>
  <c r="AT6" i="9"/>
  <c r="AT72" i="9"/>
  <c r="AV4" i="3"/>
  <c r="AT5" i="9"/>
  <c r="AV102" i="3"/>
  <c r="AV103" i="3"/>
  <c r="AV5" i="3"/>
  <c r="AU52" i="3"/>
  <c r="AT52" i="9"/>
  <c r="AU106" i="3"/>
  <c r="AT106" i="9"/>
  <c r="AU34" i="3"/>
  <c r="AT34" i="9"/>
  <c r="AT96" i="9"/>
  <c r="AT63" i="9"/>
  <c r="AT105" i="9"/>
  <c r="AU58" i="3"/>
  <c r="AT58" i="9"/>
  <c r="AT104" i="9"/>
  <c r="AU68" i="3"/>
  <c r="AT68" i="9"/>
  <c r="AV14" i="3"/>
  <c r="AV8" i="3"/>
  <c r="AU20" i="3"/>
  <c r="AT20" i="9"/>
  <c r="AU95" i="3"/>
  <c r="AT95" i="9"/>
  <c r="AV6" i="3"/>
  <c r="AV72" i="3"/>
  <c r="AU115" i="3"/>
  <c r="AT115" i="9"/>
  <c r="AU90" i="3"/>
  <c r="AT90" i="9"/>
  <c r="AU42" i="3"/>
  <c r="AT42" i="9"/>
  <c r="AU79" i="3"/>
  <c r="AT79" i="9"/>
  <c r="AU44" i="3"/>
  <c r="AT44" i="9"/>
  <c r="AU76" i="3"/>
  <c r="AT76" i="9"/>
  <c r="AV96" i="3"/>
  <c r="AU16" i="3"/>
  <c r="AT16" i="9"/>
  <c r="AU21" i="3"/>
  <c r="AT21" i="9"/>
  <c r="AV63" i="3"/>
  <c r="AV105" i="3"/>
  <c r="AV104" i="3"/>
  <c r="AV112" i="3"/>
  <c r="AU74" i="3"/>
  <c r="AT74" i="9"/>
  <c r="AU27" i="3"/>
  <c r="AT27" i="9"/>
  <c r="AU7" i="3"/>
  <c r="AT7" i="9"/>
  <c r="AU107" i="3"/>
  <c r="AT107" i="9"/>
  <c r="AU86" i="3"/>
  <c r="AT86" i="9"/>
  <c r="AU85" i="3"/>
  <c r="AT85" i="9"/>
  <c r="AU66" i="3"/>
  <c r="AT66" i="9"/>
  <c r="AU75" i="3"/>
  <c r="AT75" i="9"/>
  <c r="AT31" i="9"/>
  <c r="AT23" i="9"/>
  <c r="AT48" i="9"/>
  <c r="AV3" i="3"/>
  <c r="AU99" i="3"/>
  <c r="AT99" i="9"/>
  <c r="AU2" i="3"/>
  <c r="AT2" i="9"/>
  <c r="AT41" i="9"/>
  <c r="AT33" i="9"/>
  <c r="AT64" i="9"/>
  <c r="AT89" i="9"/>
  <c r="AT81" i="9"/>
  <c r="AT113" i="9"/>
  <c r="AT97" i="9"/>
  <c r="AT73" i="9"/>
  <c r="AU78" i="3"/>
  <c r="AT78" i="9"/>
  <c r="AV39" i="3"/>
  <c r="AU12" i="3"/>
  <c r="AT12" i="9"/>
  <c r="AU59" i="3"/>
  <c r="AT59" i="9"/>
  <c r="AU10" i="3"/>
  <c r="AT10" i="9"/>
  <c r="AU60" i="3"/>
  <c r="AT60" i="9"/>
  <c r="AU92" i="3"/>
  <c r="AT92" i="9"/>
  <c r="AU18" i="3"/>
  <c r="AT18" i="9"/>
  <c r="AU28" i="3"/>
  <c r="AT28" i="9"/>
  <c r="AU91" i="3"/>
  <c r="AT91" i="9"/>
  <c r="AT38" i="9"/>
  <c r="AU9" i="3"/>
  <c r="AT9" i="9"/>
  <c r="AU83" i="3"/>
  <c r="AT83" i="9"/>
  <c r="AV31" i="3"/>
  <c r="AV23" i="3"/>
  <c r="AU19" i="3"/>
  <c r="AT19" i="9"/>
  <c r="AU87" i="3"/>
  <c r="AT87" i="9"/>
  <c r="AV48" i="3"/>
  <c r="AU77" i="3"/>
  <c r="AT77" i="9"/>
  <c r="AT3" i="9"/>
  <c r="AU109" i="3"/>
  <c r="AT109" i="9"/>
  <c r="AU11" i="3"/>
  <c r="AT11" i="9"/>
  <c r="AU70" i="3"/>
  <c r="AT70" i="9"/>
  <c r="AU101" i="3"/>
  <c r="AT101" i="9"/>
  <c r="AU53" i="3"/>
  <c r="AT53" i="9"/>
  <c r="AV47" i="3"/>
  <c r="AU61" i="3"/>
  <c r="AT61" i="9"/>
  <c r="AU43" i="3"/>
  <c r="AT43" i="9"/>
  <c r="AT24" i="9"/>
  <c r="AT55" i="9"/>
  <c r="AU22" i="3"/>
  <c r="AT22" i="9"/>
  <c r="AW113" i="3"/>
  <c r="AU108" i="3"/>
  <c r="AT108" i="9"/>
  <c r="AU26" i="3"/>
  <c r="AT26" i="9"/>
  <c r="AU35" i="3"/>
  <c r="AT35" i="9"/>
  <c r="AT56" i="9"/>
  <c r="AV38" i="3"/>
  <c r="AU67" i="3"/>
  <c r="AT67" i="9"/>
  <c r="AU45" i="3"/>
  <c r="AT45" i="9"/>
  <c r="AW41" i="3"/>
  <c r="AW33" i="3"/>
  <c r="AV56" i="3"/>
  <c r="AT32" i="9"/>
  <c r="AV49" i="3"/>
  <c r="AT40" i="9"/>
  <c r="AU98" i="3"/>
  <c r="AT98" i="9"/>
  <c r="AU51" i="3"/>
  <c r="AT51" i="9"/>
  <c r="AT80" i="9"/>
  <c r="AV24" i="3"/>
  <c r="AU17" i="3"/>
  <c r="AT17" i="9"/>
  <c r="AU93" i="3"/>
  <c r="AT93" i="9"/>
  <c r="AW81" i="3"/>
  <c r="AU50" i="3"/>
  <c r="AT50" i="9"/>
  <c r="AV55" i="3"/>
  <c r="AT88" i="9"/>
  <c r="AW73" i="3"/>
  <c r="AU36" i="3"/>
  <c r="AT36" i="9"/>
  <c r="AU114" i="3"/>
  <c r="AT114" i="9"/>
  <c r="AU111" i="3"/>
  <c r="AT111" i="9"/>
  <c r="AU47" i="9" l="1"/>
  <c r="AU32" i="9"/>
  <c r="AV50" i="3"/>
  <c r="AU50" i="9"/>
  <c r="AV22" i="3"/>
  <c r="AU22" i="9"/>
  <c r="AV93" i="3"/>
  <c r="AU93" i="9"/>
  <c r="AU38" i="9"/>
  <c r="AV108" i="3"/>
  <c r="AU108" i="9"/>
  <c r="AV43" i="3"/>
  <c r="AU43" i="9"/>
  <c r="AV101" i="3"/>
  <c r="AU101" i="9"/>
  <c r="AU23" i="9"/>
  <c r="AV92" i="3"/>
  <c r="AU92" i="9"/>
  <c r="AV12" i="3"/>
  <c r="AU12" i="9"/>
  <c r="AV99" i="3"/>
  <c r="AU99" i="9"/>
  <c r="AU104" i="9"/>
  <c r="AU72" i="9"/>
  <c r="AU8" i="9"/>
  <c r="AV58" i="3"/>
  <c r="AU58" i="9"/>
  <c r="AV82" i="3"/>
  <c r="AU82" i="9"/>
  <c r="AX89" i="3"/>
  <c r="AV71" i="3"/>
  <c r="AU71" i="9"/>
  <c r="AU88" i="9"/>
  <c r="AW40" i="3"/>
  <c r="AV110" i="3"/>
  <c r="AU110" i="9"/>
  <c r="AU55" i="9"/>
  <c r="AV98" i="3"/>
  <c r="AU98" i="9"/>
  <c r="AX33" i="3"/>
  <c r="AW38" i="3"/>
  <c r="AV77" i="3"/>
  <c r="AU77" i="9"/>
  <c r="AW23" i="3"/>
  <c r="AU39" i="9"/>
  <c r="AU3" i="9"/>
  <c r="AV66" i="3"/>
  <c r="AU66" i="9"/>
  <c r="AV7" i="3"/>
  <c r="AU7" i="9"/>
  <c r="AW104" i="3"/>
  <c r="AV16" i="3"/>
  <c r="AU16" i="9"/>
  <c r="AV79" i="3"/>
  <c r="AU79" i="9"/>
  <c r="AW72" i="3"/>
  <c r="AW8" i="3"/>
  <c r="AV52" i="3"/>
  <c r="AU52" i="9"/>
  <c r="AU4" i="9"/>
  <c r="AU65" i="9"/>
  <c r="AW88" i="3"/>
  <c r="AV11" i="3"/>
  <c r="AU11" i="9"/>
  <c r="AV111" i="3"/>
  <c r="AU111" i="9"/>
  <c r="AW55" i="3"/>
  <c r="AV17" i="3"/>
  <c r="AU17" i="9"/>
  <c r="AX113" i="3"/>
  <c r="AV61" i="3"/>
  <c r="AU61" i="9"/>
  <c r="AV70" i="3"/>
  <c r="AU70" i="9"/>
  <c r="AU48" i="9"/>
  <c r="AU31" i="9"/>
  <c r="AV91" i="3"/>
  <c r="AU91" i="9"/>
  <c r="AV60" i="3"/>
  <c r="AU60" i="9"/>
  <c r="AW39" i="3"/>
  <c r="AW3" i="3"/>
  <c r="AU105" i="9"/>
  <c r="AU96" i="9"/>
  <c r="AU6" i="9"/>
  <c r="AU14" i="9"/>
  <c r="AU5" i="9"/>
  <c r="AW4" i="3"/>
  <c r="AV54" i="3"/>
  <c r="AU54" i="9"/>
  <c r="AW65" i="3"/>
  <c r="AU80" i="9"/>
  <c r="AV100" i="3"/>
  <c r="AU100" i="9"/>
  <c r="AV13" i="3"/>
  <c r="AU13" i="9"/>
  <c r="AW24" i="3"/>
  <c r="AW47" i="3"/>
  <c r="AV36" i="3"/>
  <c r="AU36" i="9"/>
  <c r="AV114" i="3"/>
  <c r="AU114" i="9"/>
  <c r="AU24" i="9"/>
  <c r="AU49" i="9"/>
  <c r="AX41" i="3"/>
  <c r="AW48" i="3"/>
  <c r="AW31" i="3"/>
  <c r="AV85" i="3"/>
  <c r="AU85" i="9"/>
  <c r="AV27" i="3"/>
  <c r="AU27" i="9"/>
  <c r="AW105" i="3"/>
  <c r="AW96" i="3"/>
  <c r="AV42" i="3"/>
  <c r="AU42" i="9"/>
  <c r="AW6" i="3"/>
  <c r="AW14" i="3"/>
  <c r="AW5" i="3"/>
  <c r="AU46" i="9"/>
  <c r="AV15" i="3"/>
  <c r="AU15" i="9"/>
  <c r="AV94" i="3"/>
  <c r="AU94" i="9"/>
  <c r="AW80" i="3"/>
  <c r="AV35" i="3"/>
  <c r="AU35" i="9"/>
  <c r="AV28" i="3"/>
  <c r="AU28" i="9"/>
  <c r="AV10" i="3"/>
  <c r="AU10" i="9"/>
  <c r="AV78" i="3"/>
  <c r="AU78" i="9"/>
  <c r="AU63" i="9"/>
  <c r="AU103" i="9"/>
  <c r="AW46" i="3"/>
  <c r="AV30" i="3"/>
  <c r="AU30" i="9"/>
  <c r="AX64" i="3"/>
  <c r="AV45" i="3"/>
  <c r="AU45" i="9"/>
  <c r="AV87" i="3"/>
  <c r="AU87" i="9"/>
  <c r="AV83" i="3"/>
  <c r="AU83" i="9"/>
  <c r="AV86" i="3"/>
  <c r="AU86" i="9"/>
  <c r="AV74" i="3"/>
  <c r="AU74" i="9"/>
  <c r="AW63" i="3"/>
  <c r="AV76" i="3"/>
  <c r="AU76" i="9"/>
  <c r="AV90" i="3"/>
  <c r="AU90" i="9"/>
  <c r="AV95" i="3"/>
  <c r="AU95" i="9"/>
  <c r="AV68" i="3"/>
  <c r="AU68" i="9"/>
  <c r="AV34" i="3"/>
  <c r="AU34" i="9"/>
  <c r="AW103" i="3"/>
  <c r="AU57" i="9"/>
  <c r="AV29" i="3"/>
  <c r="AU29" i="9"/>
  <c r="AV62" i="3"/>
  <c r="AU62" i="9"/>
  <c r="AW49" i="3"/>
  <c r="AV53" i="3"/>
  <c r="AU53" i="9"/>
  <c r="AV109" i="3"/>
  <c r="AU109" i="9"/>
  <c r="AV18" i="3"/>
  <c r="AU18" i="9"/>
  <c r="AV59" i="3"/>
  <c r="AU59" i="9"/>
  <c r="AV2" i="3"/>
  <c r="AU2" i="9"/>
  <c r="AU97" i="9"/>
  <c r="AU64" i="9"/>
  <c r="AU33" i="9"/>
  <c r="AU41" i="9"/>
  <c r="AU73" i="9"/>
  <c r="AU81" i="9"/>
  <c r="AU113" i="9"/>
  <c r="AU89" i="9"/>
  <c r="AU112" i="9"/>
  <c r="AU102" i="9"/>
  <c r="AW57" i="3"/>
  <c r="AV69" i="3"/>
  <c r="AU69" i="9"/>
  <c r="AV84" i="3"/>
  <c r="AU84" i="9"/>
  <c r="AW32" i="3"/>
  <c r="AU25" i="9"/>
  <c r="AX81" i="3"/>
  <c r="AU56" i="9"/>
  <c r="AV26" i="3"/>
  <c r="AU26" i="9"/>
  <c r="AX73" i="3"/>
  <c r="AV51" i="3"/>
  <c r="AU51" i="9"/>
  <c r="AW56" i="3"/>
  <c r="AV67" i="3"/>
  <c r="AU67" i="9"/>
  <c r="AV19" i="3"/>
  <c r="AU19" i="9"/>
  <c r="AV9" i="3"/>
  <c r="AU9" i="9"/>
  <c r="AV75" i="3"/>
  <c r="AU75" i="9"/>
  <c r="AV107" i="3"/>
  <c r="AU107" i="9"/>
  <c r="AW112" i="3"/>
  <c r="AV21" i="3"/>
  <c r="AU21" i="9"/>
  <c r="AV44" i="3"/>
  <c r="AU44" i="9"/>
  <c r="AV115" i="3"/>
  <c r="AU115" i="9"/>
  <c r="AV20" i="3"/>
  <c r="AU20" i="9"/>
  <c r="AV106" i="3"/>
  <c r="AU106" i="9"/>
  <c r="AW102" i="3"/>
  <c r="AX97" i="3"/>
  <c r="AV37" i="3"/>
  <c r="AU37" i="9"/>
  <c r="AU40" i="9"/>
  <c r="AW25" i="3"/>
  <c r="AV32" i="9" l="1"/>
  <c r="AV112" i="9"/>
  <c r="AV72" i="9"/>
  <c r="AY81" i="3"/>
  <c r="AW106" i="3"/>
  <c r="AV106" i="9"/>
  <c r="AW21" i="3"/>
  <c r="AV21" i="9"/>
  <c r="AW9" i="3"/>
  <c r="AV9" i="9"/>
  <c r="AW51" i="3"/>
  <c r="AV51" i="9"/>
  <c r="AX57" i="3"/>
  <c r="AW18" i="3"/>
  <c r="AV18" i="9"/>
  <c r="AW62" i="3"/>
  <c r="AV62" i="9"/>
  <c r="AV63" i="9"/>
  <c r="AV46" i="9"/>
  <c r="AX6" i="3"/>
  <c r="AW27" i="3"/>
  <c r="AV27" i="9"/>
  <c r="AY41" i="3"/>
  <c r="AX47" i="3"/>
  <c r="AV65" i="9"/>
  <c r="AW60" i="3"/>
  <c r="AV60" i="9"/>
  <c r="AW61" i="3"/>
  <c r="AV61" i="9"/>
  <c r="AW111" i="3"/>
  <c r="AV111" i="9"/>
  <c r="AW52" i="3"/>
  <c r="AV52" i="9"/>
  <c r="AW16" i="3"/>
  <c r="AV16" i="9"/>
  <c r="AY33" i="3"/>
  <c r="AW58" i="3"/>
  <c r="AV58" i="9"/>
  <c r="AW108" i="3"/>
  <c r="AV108" i="9"/>
  <c r="AW68" i="3"/>
  <c r="AV68" i="9"/>
  <c r="AX63" i="3"/>
  <c r="AW87" i="3"/>
  <c r="AV87" i="9"/>
  <c r="AX46" i="3"/>
  <c r="AW28" i="3"/>
  <c r="AV28" i="9"/>
  <c r="AW15" i="3"/>
  <c r="AV15" i="9"/>
  <c r="AV24" i="9"/>
  <c r="AX65" i="3"/>
  <c r="AV8" i="9"/>
  <c r="AV104" i="9"/>
  <c r="AV23" i="9"/>
  <c r="AW92" i="3"/>
  <c r="AV92" i="9"/>
  <c r="AW37" i="3"/>
  <c r="AV37" i="9"/>
  <c r="AX112" i="3"/>
  <c r="AW19" i="3"/>
  <c r="AV19" i="9"/>
  <c r="AY73" i="3"/>
  <c r="AX32" i="3"/>
  <c r="AW109" i="3"/>
  <c r="AV109" i="9"/>
  <c r="AW29" i="3"/>
  <c r="AV29" i="9"/>
  <c r="AW42" i="3"/>
  <c r="AV42" i="9"/>
  <c r="AW85" i="3"/>
  <c r="AV85" i="9"/>
  <c r="AX24" i="3"/>
  <c r="AW91" i="3"/>
  <c r="AV91" i="9"/>
  <c r="AY113" i="3"/>
  <c r="AW11" i="3"/>
  <c r="AV11" i="9"/>
  <c r="AX8" i="3"/>
  <c r="AX104" i="3"/>
  <c r="AX23" i="3"/>
  <c r="AW98" i="3"/>
  <c r="AV98" i="9"/>
  <c r="AW71" i="3"/>
  <c r="AV71" i="9"/>
  <c r="AW35" i="3"/>
  <c r="AV35" i="9"/>
  <c r="AV5" i="9"/>
  <c r="AV96" i="9"/>
  <c r="AV31" i="9"/>
  <c r="AW54" i="3"/>
  <c r="AV54" i="9"/>
  <c r="AV3" i="9"/>
  <c r="AV88" i="9"/>
  <c r="AW93" i="3"/>
  <c r="AV93" i="9"/>
  <c r="AX25" i="3"/>
  <c r="AW95" i="3"/>
  <c r="AV95" i="9"/>
  <c r="AV74" i="9"/>
  <c r="AW74" i="3"/>
  <c r="AW45" i="3"/>
  <c r="AV45" i="9"/>
  <c r="AY97" i="3"/>
  <c r="AW115" i="3"/>
  <c r="AV115" i="9"/>
  <c r="AW107" i="3"/>
  <c r="AV107" i="9"/>
  <c r="AW67" i="3"/>
  <c r="AV67" i="9"/>
  <c r="AW26" i="3"/>
  <c r="AV26" i="9"/>
  <c r="AW84" i="3"/>
  <c r="AV84" i="9"/>
  <c r="AW2" i="3"/>
  <c r="AV2" i="9"/>
  <c r="AV89" i="9"/>
  <c r="AV73" i="9"/>
  <c r="AV97" i="9"/>
  <c r="AV64" i="9"/>
  <c r="AV41" i="9"/>
  <c r="AV113" i="9"/>
  <c r="AV33" i="9"/>
  <c r="AV81" i="9"/>
  <c r="AW53" i="3"/>
  <c r="AV53" i="9"/>
  <c r="AV103" i="9"/>
  <c r="AV80" i="9"/>
  <c r="AX5" i="3"/>
  <c r="AX96" i="3"/>
  <c r="AX31" i="3"/>
  <c r="AW114" i="3"/>
  <c r="AV114" i="9"/>
  <c r="AW13" i="3"/>
  <c r="AV13" i="9"/>
  <c r="AV4" i="9"/>
  <c r="AX3" i="3"/>
  <c r="AW17" i="3"/>
  <c r="AV17" i="9"/>
  <c r="AX88" i="3"/>
  <c r="AX72" i="3"/>
  <c r="AW7" i="3"/>
  <c r="AV7" i="9"/>
  <c r="AW77" i="3"/>
  <c r="AV77" i="9"/>
  <c r="AY89" i="3"/>
  <c r="AW101" i="3"/>
  <c r="AV101" i="9"/>
  <c r="AV102" i="9"/>
  <c r="AV49" i="9"/>
  <c r="AX103" i="3"/>
  <c r="AW90" i="3"/>
  <c r="AV90" i="9"/>
  <c r="AW86" i="3"/>
  <c r="AV86" i="9"/>
  <c r="AY64" i="3"/>
  <c r="AW78" i="3"/>
  <c r="AV78" i="9"/>
  <c r="AX80" i="3"/>
  <c r="AV14" i="9"/>
  <c r="AV105" i="9"/>
  <c r="AV48" i="9"/>
  <c r="AX4" i="3"/>
  <c r="AV39" i="9"/>
  <c r="AV55" i="9"/>
  <c r="AV38" i="9"/>
  <c r="AW110" i="3"/>
  <c r="AV110" i="9"/>
  <c r="AW99" i="3"/>
  <c r="AV99" i="9"/>
  <c r="AW22" i="3"/>
  <c r="AV22" i="9"/>
  <c r="AW20" i="3"/>
  <c r="AV20" i="9"/>
  <c r="AV56" i="9"/>
  <c r="AV25" i="9"/>
  <c r="AX102" i="3"/>
  <c r="AW44" i="3"/>
  <c r="AV44" i="9"/>
  <c r="AW75" i="3"/>
  <c r="AV75" i="9"/>
  <c r="AX56" i="3"/>
  <c r="AW69" i="3"/>
  <c r="AV69" i="9"/>
  <c r="AW59" i="3"/>
  <c r="AV59" i="9"/>
  <c r="AX49" i="3"/>
  <c r="AX14" i="3"/>
  <c r="AX105" i="3"/>
  <c r="AX48" i="3"/>
  <c r="AW36" i="3"/>
  <c r="AV36" i="9"/>
  <c r="AW100" i="3"/>
  <c r="AV100" i="9"/>
  <c r="AX39" i="3"/>
  <c r="AW70" i="3"/>
  <c r="AV70" i="9"/>
  <c r="AX55" i="3"/>
  <c r="AW79" i="3"/>
  <c r="AV79" i="9"/>
  <c r="AW66" i="3"/>
  <c r="AV66" i="9"/>
  <c r="AX38" i="3"/>
  <c r="AV40" i="9"/>
  <c r="AW82" i="3"/>
  <c r="AV82" i="9"/>
  <c r="AW43" i="3"/>
  <c r="AV43" i="9"/>
  <c r="AV57" i="9"/>
  <c r="AW34" i="3"/>
  <c r="AV34" i="9"/>
  <c r="AW76" i="3"/>
  <c r="AV76" i="9"/>
  <c r="AW83" i="3"/>
  <c r="AV83" i="9"/>
  <c r="AW30" i="3"/>
  <c r="AV30" i="9"/>
  <c r="AW10" i="3"/>
  <c r="AV10" i="9"/>
  <c r="AW94" i="3"/>
  <c r="AV94" i="9"/>
  <c r="AV6" i="9"/>
  <c r="AV47" i="9"/>
  <c r="AX40" i="3"/>
  <c r="AW12" i="3"/>
  <c r="AV12" i="9"/>
  <c r="AW50" i="3"/>
  <c r="AV50" i="9"/>
  <c r="AW103" i="9" l="1"/>
  <c r="AW40" i="9"/>
  <c r="AW56" i="9"/>
  <c r="AW57" i="9"/>
  <c r="AX82" i="3"/>
  <c r="AW82" i="9"/>
  <c r="AW55" i="9"/>
  <c r="AW49" i="9"/>
  <c r="AX50" i="3"/>
  <c r="AW50" i="9"/>
  <c r="AX94" i="3"/>
  <c r="AW94" i="9"/>
  <c r="AX76" i="3"/>
  <c r="AW76" i="9"/>
  <c r="AY55" i="3"/>
  <c r="AX36" i="3"/>
  <c r="AW36" i="9"/>
  <c r="AY49" i="3"/>
  <c r="AX75" i="3"/>
  <c r="AW75" i="9"/>
  <c r="AX20" i="3"/>
  <c r="AW20" i="9"/>
  <c r="AY80" i="3"/>
  <c r="AX90" i="3"/>
  <c r="AW90" i="9"/>
  <c r="AZ89" i="3"/>
  <c r="AY88" i="3"/>
  <c r="AW25" i="9"/>
  <c r="AX98" i="3"/>
  <c r="AW98" i="9"/>
  <c r="AX11" i="3"/>
  <c r="AW11" i="9"/>
  <c r="AX85" i="3"/>
  <c r="AW85" i="9"/>
  <c r="AY32" i="3"/>
  <c r="AX37" i="3"/>
  <c r="AW37" i="9"/>
  <c r="AX87" i="3"/>
  <c r="AW87" i="9"/>
  <c r="AX58" i="3"/>
  <c r="AW58" i="9"/>
  <c r="AX111" i="3"/>
  <c r="AW111" i="9"/>
  <c r="AW38" i="9"/>
  <c r="AW48" i="9"/>
  <c r="AX114" i="3"/>
  <c r="AW114" i="9"/>
  <c r="AX26" i="3"/>
  <c r="AW26" i="9"/>
  <c r="AZ97" i="3"/>
  <c r="AY25" i="3"/>
  <c r="AW23" i="9"/>
  <c r="AW63" i="9"/>
  <c r="AZ41" i="3"/>
  <c r="AX62" i="3"/>
  <c r="AW62" i="9"/>
  <c r="AX9" i="3"/>
  <c r="AW9" i="9"/>
  <c r="AX12" i="3"/>
  <c r="AW12" i="9"/>
  <c r="AX10" i="3"/>
  <c r="AW10" i="9"/>
  <c r="AX34" i="3"/>
  <c r="AW34" i="9"/>
  <c r="AY38" i="3"/>
  <c r="AX70" i="3"/>
  <c r="AW70" i="9"/>
  <c r="AY48" i="3"/>
  <c r="AX59" i="3"/>
  <c r="AW59" i="9"/>
  <c r="AX44" i="3"/>
  <c r="AW44" i="9"/>
  <c r="AX22" i="3"/>
  <c r="AW22" i="9"/>
  <c r="AW4" i="9"/>
  <c r="AX78" i="3"/>
  <c r="AW78" i="9"/>
  <c r="AY103" i="3"/>
  <c r="AX77" i="3"/>
  <c r="AW77" i="9"/>
  <c r="AX17" i="3"/>
  <c r="AW17" i="9"/>
  <c r="AW31" i="9"/>
  <c r="AY23" i="3"/>
  <c r="AZ113" i="3"/>
  <c r="AX42" i="3"/>
  <c r="AW42" i="9"/>
  <c r="AZ73" i="3"/>
  <c r="AX92" i="3"/>
  <c r="AW92" i="9"/>
  <c r="AX15" i="3"/>
  <c r="AW15" i="9"/>
  <c r="AY63" i="3"/>
  <c r="AZ33" i="3"/>
  <c r="AX61" i="3"/>
  <c r="AW61" i="9"/>
  <c r="AW105" i="9"/>
  <c r="AW102" i="9"/>
  <c r="AY4" i="3"/>
  <c r="AW3" i="9"/>
  <c r="AY31" i="3"/>
  <c r="AX53" i="3"/>
  <c r="AW53" i="9"/>
  <c r="AX67" i="3"/>
  <c r="AW67" i="9"/>
  <c r="AX45" i="3"/>
  <c r="AW45" i="9"/>
  <c r="AX93" i="3"/>
  <c r="AW93" i="9"/>
  <c r="AW104" i="9"/>
  <c r="AX27" i="3"/>
  <c r="AW27" i="9"/>
  <c r="AX18" i="3"/>
  <c r="AW18" i="9"/>
  <c r="AX21" i="3"/>
  <c r="AW21" i="9"/>
  <c r="AW39" i="9"/>
  <c r="AY40" i="3"/>
  <c r="AX30" i="3"/>
  <c r="AW30" i="9"/>
  <c r="AX66" i="3"/>
  <c r="AW66" i="9"/>
  <c r="AY39" i="3"/>
  <c r="AY105" i="3"/>
  <c r="AX69" i="3"/>
  <c r="AW69" i="9"/>
  <c r="AY102" i="3"/>
  <c r="AX99" i="3"/>
  <c r="AW99" i="9"/>
  <c r="AZ64" i="3"/>
  <c r="AX7" i="3"/>
  <c r="AW7" i="9"/>
  <c r="AY3" i="3"/>
  <c r="AW96" i="9"/>
  <c r="AX74" i="3"/>
  <c r="AW74" i="9"/>
  <c r="AX35" i="3"/>
  <c r="AW35" i="9"/>
  <c r="AY104" i="3"/>
  <c r="AX91" i="3"/>
  <c r="AW91" i="9"/>
  <c r="AX29" i="3"/>
  <c r="AW29" i="9"/>
  <c r="AX19" i="3"/>
  <c r="AW19" i="9"/>
  <c r="AX28" i="3"/>
  <c r="AW28" i="9"/>
  <c r="AX68" i="3"/>
  <c r="AW68" i="9"/>
  <c r="AX16" i="3"/>
  <c r="AW16" i="9"/>
  <c r="AX60" i="3"/>
  <c r="AW60" i="9"/>
  <c r="AW6" i="9"/>
  <c r="AW14" i="9"/>
  <c r="AW72" i="9"/>
  <c r="AY96" i="3"/>
  <c r="AX2" i="3"/>
  <c r="AW2" i="9"/>
  <c r="AW33" i="9"/>
  <c r="AW41" i="9"/>
  <c r="AW81" i="9"/>
  <c r="AW97" i="9"/>
  <c r="AW64" i="9"/>
  <c r="AW89" i="9"/>
  <c r="AW73" i="9"/>
  <c r="AW113" i="9"/>
  <c r="AX107" i="3"/>
  <c r="AW107" i="9"/>
  <c r="AW8" i="9"/>
  <c r="AW24" i="9"/>
  <c r="AW112" i="9"/>
  <c r="AW46" i="9"/>
  <c r="AY6" i="3"/>
  <c r="AY57" i="3"/>
  <c r="AX106" i="3"/>
  <c r="AW106" i="9"/>
  <c r="AX43" i="3"/>
  <c r="AW43" i="9"/>
  <c r="AX83" i="3"/>
  <c r="AW83" i="9"/>
  <c r="AX79" i="3"/>
  <c r="AW79" i="9"/>
  <c r="AX100" i="3"/>
  <c r="AW100" i="9"/>
  <c r="AY14" i="3"/>
  <c r="AY56" i="3"/>
  <c r="AX110" i="3"/>
  <c r="AW110" i="9"/>
  <c r="AX86" i="3"/>
  <c r="AW86" i="9"/>
  <c r="AX101" i="3"/>
  <c r="AW101" i="9"/>
  <c r="AY72" i="3"/>
  <c r="AW5" i="9"/>
  <c r="AX71" i="3"/>
  <c r="AW71" i="9"/>
  <c r="AY8" i="3"/>
  <c r="AY24" i="3"/>
  <c r="AX109" i="3"/>
  <c r="AW109" i="9"/>
  <c r="AY112" i="3"/>
  <c r="AW65" i="9"/>
  <c r="AY46" i="3"/>
  <c r="AX108" i="3"/>
  <c r="AW108" i="9"/>
  <c r="AX52" i="3"/>
  <c r="AW52" i="9"/>
  <c r="AW47" i="9"/>
  <c r="AW80" i="9"/>
  <c r="AW88" i="9"/>
  <c r="AX13" i="3"/>
  <c r="AW13" i="9"/>
  <c r="AY5" i="3"/>
  <c r="AX84" i="3"/>
  <c r="AW84" i="9"/>
  <c r="AX115" i="3"/>
  <c r="AX5" i="9" s="1"/>
  <c r="AW115" i="9"/>
  <c r="AX95" i="3"/>
  <c r="AW95" i="9"/>
  <c r="AX54" i="3"/>
  <c r="AW54" i="9"/>
  <c r="AW32" i="9"/>
  <c r="AY65" i="3"/>
  <c r="AX65" i="9"/>
  <c r="AY47" i="3"/>
  <c r="AX51" i="3"/>
  <c r="AW51" i="9"/>
  <c r="AZ81" i="3"/>
  <c r="AX80" i="9" l="1"/>
  <c r="AX57" i="9"/>
  <c r="AX24" i="9"/>
  <c r="AY84" i="3"/>
  <c r="AX84" i="9"/>
  <c r="AZ112" i="3"/>
  <c r="AY71" i="3"/>
  <c r="AX71" i="9"/>
  <c r="AY28" i="3"/>
  <c r="AX28" i="9"/>
  <c r="AZ104" i="3"/>
  <c r="AY18" i="3"/>
  <c r="AX18" i="9"/>
  <c r="AZ4" i="3"/>
  <c r="AZ63" i="3"/>
  <c r="AY42" i="3"/>
  <c r="AX42" i="9"/>
  <c r="AY22" i="3"/>
  <c r="AX22" i="9"/>
  <c r="AY70" i="3"/>
  <c r="AX70" i="9"/>
  <c r="AY12" i="3"/>
  <c r="AX12" i="9"/>
  <c r="AY114" i="3"/>
  <c r="AX114" i="9"/>
  <c r="AY87" i="3"/>
  <c r="AX87" i="9"/>
  <c r="AY11" i="3"/>
  <c r="AX11" i="9"/>
  <c r="AX49" i="9"/>
  <c r="BA81" i="3"/>
  <c r="AZ57" i="3"/>
  <c r="AY7" i="3"/>
  <c r="AX7" i="9"/>
  <c r="AY69" i="3"/>
  <c r="AX69" i="9"/>
  <c r="AY30" i="3"/>
  <c r="AX30" i="9"/>
  <c r="AY67" i="3"/>
  <c r="AX67" i="9"/>
  <c r="AY77" i="3"/>
  <c r="AX77" i="9"/>
  <c r="AX38" i="9"/>
  <c r="AX25" i="9"/>
  <c r="AY90" i="3"/>
  <c r="AX90" i="9"/>
  <c r="AZ49" i="3"/>
  <c r="AY94" i="3"/>
  <c r="AX94" i="9"/>
  <c r="AY52" i="3"/>
  <c r="AX52" i="9"/>
  <c r="AY110" i="3"/>
  <c r="AX110" i="9"/>
  <c r="AY79" i="3"/>
  <c r="AX79" i="9"/>
  <c r="AY107" i="3"/>
  <c r="AX107" i="9"/>
  <c r="AY54" i="3"/>
  <c r="AX54" i="9"/>
  <c r="AZ5" i="3"/>
  <c r="AY109" i="3"/>
  <c r="AX109" i="9"/>
  <c r="AX72" i="9"/>
  <c r="AX56" i="9"/>
  <c r="AX6" i="9"/>
  <c r="AY60" i="3"/>
  <c r="AX60" i="9"/>
  <c r="AY19" i="3"/>
  <c r="AX19" i="9"/>
  <c r="AY35" i="3"/>
  <c r="AX35" i="9"/>
  <c r="AX105" i="9"/>
  <c r="AX40" i="9"/>
  <c r="AY27" i="3"/>
  <c r="AX27" i="9"/>
  <c r="AY15" i="3"/>
  <c r="AX15" i="9"/>
  <c r="BA113" i="3"/>
  <c r="AX103" i="9"/>
  <c r="AY44" i="3"/>
  <c r="AX44" i="9"/>
  <c r="AZ38" i="3"/>
  <c r="AY9" i="3"/>
  <c r="AX9" i="9"/>
  <c r="AZ25" i="3"/>
  <c r="AY37" i="3"/>
  <c r="AX37" i="9"/>
  <c r="AY98" i="3"/>
  <c r="AX98" i="9"/>
  <c r="AZ56" i="3"/>
  <c r="AY83" i="3"/>
  <c r="AX83" i="9"/>
  <c r="AZ6" i="3"/>
  <c r="AY2" i="3"/>
  <c r="AX2" i="9"/>
  <c r="AX89" i="9"/>
  <c r="AX81" i="9"/>
  <c r="AX64" i="9"/>
  <c r="AX33" i="9"/>
  <c r="AX73" i="9"/>
  <c r="AX113" i="9"/>
  <c r="AX41" i="9"/>
  <c r="AX97" i="9"/>
  <c r="BA64" i="3"/>
  <c r="AZ105" i="3"/>
  <c r="AZ40" i="3"/>
  <c r="AY53" i="3"/>
  <c r="AX53" i="9"/>
  <c r="AX23" i="9"/>
  <c r="AZ103" i="3"/>
  <c r="AX32" i="9"/>
  <c r="AZ80" i="3"/>
  <c r="AY36" i="3"/>
  <c r="AX36" i="9"/>
  <c r="AY50" i="3"/>
  <c r="AX50" i="9"/>
  <c r="AY51" i="3"/>
  <c r="AX51" i="9"/>
  <c r="AY108" i="3"/>
  <c r="AX108" i="9"/>
  <c r="AZ72" i="3"/>
  <c r="AX47" i="9"/>
  <c r="AY95" i="3"/>
  <c r="AX95" i="9"/>
  <c r="AY13" i="3"/>
  <c r="AX13" i="9"/>
  <c r="AX46" i="9"/>
  <c r="AZ24" i="3"/>
  <c r="AX14" i="9"/>
  <c r="AX96" i="9"/>
  <c r="AY16" i="3"/>
  <c r="AX16" i="9"/>
  <c r="AY29" i="3"/>
  <c r="AX29" i="9"/>
  <c r="AY74" i="3"/>
  <c r="AX74" i="9"/>
  <c r="AX39" i="9"/>
  <c r="AX31" i="9"/>
  <c r="AY61" i="3"/>
  <c r="AX61" i="9"/>
  <c r="AY92" i="3"/>
  <c r="AX92" i="9"/>
  <c r="AZ23" i="3"/>
  <c r="AY59" i="3"/>
  <c r="AX59" i="9"/>
  <c r="AY34" i="3"/>
  <c r="AX34" i="9"/>
  <c r="AY62" i="3"/>
  <c r="AX62" i="9"/>
  <c r="BA97" i="3"/>
  <c r="AY111" i="3"/>
  <c r="AX111" i="9"/>
  <c r="AZ32" i="3"/>
  <c r="AX88" i="9"/>
  <c r="AX55" i="9"/>
  <c r="AY115" i="3"/>
  <c r="AX115" i="9"/>
  <c r="AZ47" i="3"/>
  <c r="AZ46" i="3"/>
  <c r="AX8" i="9"/>
  <c r="AY101" i="3"/>
  <c r="AX101" i="9"/>
  <c r="AZ14" i="3"/>
  <c r="AY43" i="3"/>
  <c r="AX43" i="9"/>
  <c r="AZ96" i="3"/>
  <c r="AY99" i="3"/>
  <c r="AX99" i="9"/>
  <c r="AZ39" i="3"/>
  <c r="AY93" i="3"/>
  <c r="AX93" i="9"/>
  <c r="AZ31" i="3"/>
  <c r="AY78" i="3"/>
  <c r="AX78" i="9"/>
  <c r="AX48" i="9"/>
  <c r="AZ88" i="3"/>
  <c r="AY20" i="3"/>
  <c r="AX20" i="9"/>
  <c r="AZ55" i="3"/>
  <c r="AZ8" i="3"/>
  <c r="AY68" i="3"/>
  <c r="AX68" i="9"/>
  <c r="AY91" i="3"/>
  <c r="AX91" i="9"/>
  <c r="AX3" i="9"/>
  <c r="AX102" i="9"/>
  <c r="AY21" i="3"/>
  <c r="AX21" i="9"/>
  <c r="BA33" i="3"/>
  <c r="BA73" i="3"/>
  <c r="AZ48" i="3"/>
  <c r="AY10" i="3"/>
  <c r="AY102" i="9" s="1"/>
  <c r="AX10" i="9"/>
  <c r="BA41" i="3"/>
  <c r="AY26" i="3"/>
  <c r="AX26" i="9"/>
  <c r="AY58" i="3"/>
  <c r="AX58" i="9"/>
  <c r="AY85" i="3"/>
  <c r="AX85" i="9"/>
  <c r="AZ65" i="3"/>
  <c r="AX112" i="9"/>
  <c r="AY86" i="3"/>
  <c r="AX86" i="9"/>
  <c r="AY100" i="3"/>
  <c r="AX100" i="9"/>
  <c r="AY106" i="3"/>
  <c r="AX106" i="9"/>
  <c r="AX104" i="9"/>
  <c r="AZ3" i="3"/>
  <c r="AZ102" i="3"/>
  <c r="AY66" i="3"/>
  <c r="AX66" i="9"/>
  <c r="AY45" i="3"/>
  <c r="AX45" i="9"/>
  <c r="AX4" i="9"/>
  <c r="AX63" i="9"/>
  <c r="AY17" i="3"/>
  <c r="AX17" i="9"/>
  <c r="BA89" i="3"/>
  <c r="AY75" i="3"/>
  <c r="AX75" i="9"/>
  <c r="AY76" i="3"/>
  <c r="AX76" i="9"/>
  <c r="AY82" i="3"/>
  <c r="AX82" i="9"/>
  <c r="AY39" i="9" l="1"/>
  <c r="AZ29" i="3"/>
  <c r="AY29" i="9"/>
  <c r="BB89" i="3"/>
  <c r="AZ66" i="3"/>
  <c r="AY66" i="9"/>
  <c r="AZ85" i="3"/>
  <c r="AY85" i="9"/>
  <c r="AZ10" i="3"/>
  <c r="AY10" i="9"/>
  <c r="AZ21" i="3"/>
  <c r="AY21" i="9"/>
  <c r="BA8" i="3"/>
  <c r="AZ115" i="3"/>
  <c r="AY115" i="9"/>
  <c r="BB97" i="3"/>
  <c r="BA23" i="3"/>
  <c r="AZ74" i="3"/>
  <c r="AY74" i="9"/>
  <c r="BA24" i="3"/>
  <c r="BA72" i="3"/>
  <c r="AZ36" i="3"/>
  <c r="AY36" i="9"/>
  <c r="AZ53" i="3"/>
  <c r="AY53" i="9"/>
  <c r="AZ2" i="3"/>
  <c r="AY2" i="9"/>
  <c r="AY89" i="9"/>
  <c r="AY41" i="9"/>
  <c r="AY73" i="9"/>
  <c r="AY33" i="9"/>
  <c r="AY97" i="9"/>
  <c r="AY81" i="9"/>
  <c r="AY64" i="9"/>
  <c r="AY113" i="9"/>
  <c r="AZ98" i="3"/>
  <c r="AY98" i="9"/>
  <c r="BA38" i="3"/>
  <c r="BA5" i="3"/>
  <c r="AZ110" i="3"/>
  <c r="AY110" i="9"/>
  <c r="AZ90" i="3"/>
  <c r="AY90" i="9"/>
  <c r="AZ30" i="3"/>
  <c r="AY30" i="9"/>
  <c r="BB81" i="3"/>
  <c r="AY63" i="9"/>
  <c r="AY48" i="9"/>
  <c r="AY55" i="9"/>
  <c r="AZ78" i="3"/>
  <c r="AY78" i="9"/>
  <c r="AZ99" i="3"/>
  <c r="AY99" i="9"/>
  <c r="AZ101" i="3"/>
  <c r="AY101" i="9"/>
  <c r="AY80" i="9"/>
  <c r="AY40" i="9"/>
  <c r="AY6" i="9"/>
  <c r="AZ27" i="3"/>
  <c r="AY27" i="9"/>
  <c r="AZ60" i="3"/>
  <c r="AY60" i="9"/>
  <c r="AZ12" i="3"/>
  <c r="AY12" i="9"/>
  <c r="BA63" i="3"/>
  <c r="AZ28" i="3"/>
  <c r="AY28" i="9"/>
  <c r="AZ108" i="3"/>
  <c r="AY108" i="9"/>
  <c r="BA80" i="3"/>
  <c r="BA40" i="3"/>
  <c r="BA6" i="3"/>
  <c r="AZ37" i="3"/>
  <c r="AY37" i="9"/>
  <c r="AZ44" i="3"/>
  <c r="AY44" i="9"/>
  <c r="AZ54" i="3"/>
  <c r="AY54" i="9"/>
  <c r="AZ52" i="3"/>
  <c r="AY52" i="9"/>
  <c r="AZ69" i="3"/>
  <c r="AY69" i="9"/>
  <c r="AY4" i="9"/>
  <c r="AZ100" i="3"/>
  <c r="AY100" i="9"/>
  <c r="AZ82" i="3"/>
  <c r="AY82" i="9"/>
  <c r="BA48" i="3"/>
  <c r="BA55" i="3"/>
  <c r="AZ62" i="3"/>
  <c r="AY62" i="9"/>
  <c r="BA31" i="3"/>
  <c r="BA96" i="3"/>
  <c r="AY46" i="9"/>
  <c r="AY32" i="9"/>
  <c r="AZ13" i="3"/>
  <c r="AY13" i="9"/>
  <c r="AY105" i="9"/>
  <c r="AY25" i="9"/>
  <c r="AZ11" i="3"/>
  <c r="AY11" i="9"/>
  <c r="AZ70" i="3"/>
  <c r="AY70" i="9"/>
  <c r="BA4" i="3"/>
  <c r="AZ71" i="3"/>
  <c r="AY71" i="9"/>
  <c r="AY3" i="9"/>
  <c r="AZ86" i="3"/>
  <c r="AY86" i="9"/>
  <c r="AZ76" i="3"/>
  <c r="AY76" i="9"/>
  <c r="BA3" i="3"/>
  <c r="AZ26" i="3"/>
  <c r="AY26" i="9"/>
  <c r="BB73" i="3"/>
  <c r="AZ91" i="3"/>
  <c r="AY91" i="9"/>
  <c r="AZ20" i="3"/>
  <c r="AY20" i="9"/>
  <c r="BA46" i="3"/>
  <c r="BA32" i="3"/>
  <c r="AZ34" i="3"/>
  <c r="AY34" i="9"/>
  <c r="AZ61" i="3"/>
  <c r="AY61" i="9"/>
  <c r="AZ16" i="3"/>
  <c r="AY16" i="9"/>
  <c r="AZ51" i="3"/>
  <c r="AY51" i="9"/>
  <c r="AY103" i="9"/>
  <c r="BA105" i="3"/>
  <c r="AZ83" i="3"/>
  <c r="AY83" i="9"/>
  <c r="BA25" i="3"/>
  <c r="AZ107" i="3"/>
  <c r="AY107" i="9"/>
  <c r="AZ94" i="3"/>
  <c r="AY94" i="9"/>
  <c r="AY77" i="9"/>
  <c r="AZ77" i="3"/>
  <c r="AZ7" i="3"/>
  <c r="AY7" i="9"/>
  <c r="AY112" i="9"/>
  <c r="BA102" i="3"/>
  <c r="AY31" i="9"/>
  <c r="AY88" i="9"/>
  <c r="AZ93" i="3"/>
  <c r="AY93" i="9"/>
  <c r="AZ43" i="3"/>
  <c r="AY43" i="9"/>
  <c r="AY47" i="9"/>
  <c r="AZ95" i="3"/>
  <c r="AY95" i="9"/>
  <c r="BA103" i="3"/>
  <c r="AY56" i="9"/>
  <c r="BB113" i="3"/>
  <c r="AZ35" i="3"/>
  <c r="AY35" i="9"/>
  <c r="AY49" i="9"/>
  <c r="AY57" i="9"/>
  <c r="AZ87" i="3"/>
  <c r="AY87" i="9"/>
  <c r="AZ22" i="3"/>
  <c r="AY22" i="9"/>
  <c r="AZ18" i="3"/>
  <c r="AY18" i="9"/>
  <c r="BA112" i="3"/>
  <c r="AY65" i="9"/>
  <c r="AZ75" i="3"/>
  <c r="AY75" i="9"/>
  <c r="AZ45" i="3"/>
  <c r="AY45" i="9"/>
  <c r="BA65" i="3"/>
  <c r="BB41" i="3"/>
  <c r="BB33" i="3"/>
  <c r="AZ68" i="3"/>
  <c r="AY68" i="9"/>
  <c r="BA88" i="3"/>
  <c r="AY14" i="9"/>
  <c r="BA47" i="3"/>
  <c r="AZ111" i="3"/>
  <c r="AY111" i="9"/>
  <c r="AZ59" i="3"/>
  <c r="AY59" i="9"/>
  <c r="AZ50" i="3"/>
  <c r="AY50" i="9"/>
  <c r="BB64" i="3"/>
  <c r="BA56" i="3"/>
  <c r="AZ9" i="3"/>
  <c r="AY9" i="9"/>
  <c r="AZ109" i="3"/>
  <c r="AY109" i="9"/>
  <c r="AZ79" i="3"/>
  <c r="AY79" i="9"/>
  <c r="BA49" i="3"/>
  <c r="AZ67" i="3"/>
  <c r="AY67" i="9"/>
  <c r="BA57" i="3"/>
  <c r="AY104" i="9"/>
  <c r="AZ17" i="3"/>
  <c r="AY17" i="9"/>
  <c r="AZ58" i="3"/>
  <c r="AY58" i="9"/>
  <c r="AY96" i="9"/>
  <c r="AZ92" i="3"/>
  <c r="AY92" i="9"/>
  <c r="AZ106" i="3"/>
  <c r="AY106" i="9"/>
  <c r="AY8" i="9"/>
  <c r="BA39" i="3"/>
  <c r="BA14" i="3"/>
  <c r="AY23" i="9"/>
  <c r="AY24" i="9"/>
  <c r="AY72" i="9"/>
  <c r="AY38" i="9"/>
  <c r="AZ15" i="3"/>
  <c r="AY15" i="9"/>
  <c r="AZ19" i="3"/>
  <c r="AY19" i="9"/>
  <c r="AY5" i="9"/>
  <c r="AZ114" i="3"/>
  <c r="AY114" i="9"/>
  <c r="AZ42" i="3"/>
  <c r="AY42" i="9"/>
  <c r="BA104" i="3"/>
  <c r="AZ84" i="3"/>
  <c r="AY84" i="9"/>
  <c r="AZ104" i="9" l="1"/>
  <c r="AZ57" i="9"/>
  <c r="AZ48" i="9"/>
  <c r="AZ56" i="9"/>
  <c r="BB88" i="3"/>
  <c r="BA95" i="3"/>
  <c r="AZ95" i="9"/>
  <c r="AZ102" i="9"/>
  <c r="BA94" i="3"/>
  <c r="AZ94" i="9"/>
  <c r="BB105" i="3"/>
  <c r="BB4" i="3"/>
  <c r="BA13" i="3"/>
  <c r="AZ13" i="9"/>
  <c r="BA62" i="3"/>
  <c r="AZ62" i="9"/>
  <c r="BA100" i="3"/>
  <c r="AZ100" i="9"/>
  <c r="AZ80" i="9"/>
  <c r="AZ24" i="9"/>
  <c r="AZ39" i="9"/>
  <c r="BA67" i="3"/>
  <c r="AZ67" i="9"/>
  <c r="BA9" i="3"/>
  <c r="AZ9" i="9"/>
  <c r="BA59" i="3"/>
  <c r="AZ59" i="9"/>
  <c r="BA18" i="3"/>
  <c r="AZ18" i="9"/>
  <c r="BA35" i="3"/>
  <c r="AZ35" i="9"/>
  <c r="BB102" i="3"/>
  <c r="BA34" i="3"/>
  <c r="AZ34" i="9"/>
  <c r="BA91" i="3"/>
  <c r="AZ91" i="9"/>
  <c r="BA76" i="3"/>
  <c r="AZ76" i="9"/>
  <c r="AZ55" i="9"/>
  <c r="BA44" i="3"/>
  <c r="AZ44" i="9"/>
  <c r="BB80" i="3"/>
  <c r="AZ12" i="9"/>
  <c r="BA12" i="3"/>
  <c r="BA110" i="3"/>
  <c r="AZ110" i="9"/>
  <c r="BA2" i="3"/>
  <c r="AZ2" i="9"/>
  <c r="AZ81" i="9"/>
  <c r="AZ97" i="9"/>
  <c r="AZ64" i="9"/>
  <c r="AZ33" i="9"/>
  <c r="AZ41" i="9"/>
  <c r="AZ113" i="9"/>
  <c r="AZ73" i="9"/>
  <c r="AZ89" i="9"/>
  <c r="BB24" i="3"/>
  <c r="BA115" i="3"/>
  <c r="AZ115" i="9"/>
  <c r="BA85" i="3"/>
  <c r="AZ85" i="9"/>
  <c r="BB65" i="3"/>
  <c r="BB104" i="3"/>
  <c r="BB39" i="3"/>
  <c r="AZ49" i="9"/>
  <c r="AZ32" i="9"/>
  <c r="BA70" i="3"/>
  <c r="AZ70" i="9"/>
  <c r="BB55" i="3"/>
  <c r="BA101" i="3"/>
  <c r="AZ101" i="9"/>
  <c r="AZ5" i="9"/>
  <c r="AZ8" i="9"/>
  <c r="BA19" i="3"/>
  <c r="AZ19" i="9"/>
  <c r="BA15" i="3"/>
  <c r="AZ15" i="9"/>
  <c r="BA58" i="3"/>
  <c r="AZ58" i="9"/>
  <c r="BA68" i="3"/>
  <c r="AZ68" i="9"/>
  <c r="BA45" i="3"/>
  <c r="AZ45" i="9"/>
  <c r="BA107" i="3"/>
  <c r="AZ107" i="9"/>
  <c r="BA42" i="3"/>
  <c r="AZ42" i="9"/>
  <c r="BB49" i="3"/>
  <c r="BB56" i="3"/>
  <c r="BA111" i="3"/>
  <c r="AZ111" i="9"/>
  <c r="BA22" i="3"/>
  <c r="AZ22" i="9"/>
  <c r="BC113" i="3"/>
  <c r="BA43" i="3"/>
  <c r="AZ43" i="9"/>
  <c r="AZ25" i="9"/>
  <c r="BA51" i="3"/>
  <c r="AZ51" i="9"/>
  <c r="BB32" i="3"/>
  <c r="BC73" i="3"/>
  <c r="BA86" i="3"/>
  <c r="AZ86" i="9"/>
  <c r="AZ96" i="9"/>
  <c r="BA69" i="3"/>
  <c r="AZ69" i="9"/>
  <c r="BA37" i="3"/>
  <c r="AZ37" i="9"/>
  <c r="BA108" i="3"/>
  <c r="AZ108" i="9"/>
  <c r="BA60" i="3"/>
  <c r="AZ60" i="9"/>
  <c r="BC81" i="3"/>
  <c r="BB5" i="3"/>
  <c r="BA53" i="3"/>
  <c r="AZ53" i="9"/>
  <c r="BA74" i="3"/>
  <c r="AZ74" i="9"/>
  <c r="BB8" i="3"/>
  <c r="BA66" i="3"/>
  <c r="AZ66" i="9"/>
  <c r="BB14" i="3"/>
  <c r="BA17" i="3"/>
  <c r="AZ17" i="9"/>
  <c r="AZ47" i="9"/>
  <c r="BC33" i="3"/>
  <c r="BA75" i="3"/>
  <c r="AZ75" i="9"/>
  <c r="BA7" i="3"/>
  <c r="AZ7" i="9"/>
  <c r="BB25" i="3"/>
  <c r="AZ46" i="9"/>
  <c r="BA11" i="3"/>
  <c r="AZ11" i="9"/>
  <c r="BB96" i="3"/>
  <c r="BB48" i="3"/>
  <c r="AZ6" i="9"/>
  <c r="BA99" i="3"/>
  <c r="AZ99" i="9"/>
  <c r="AZ38" i="9"/>
  <c r="AZ23" i="9"/>
  <c r="BA114" i="3"/>
  <c r="AZ114" i="9"/>
  <c r="BA106" i="3"/>
  <c r="AZ106" i="9"/>
  <c r="BA79" i="3"/>
  <c r="AZ79" i="9"/>
  <c r="BC64" i="3"/>
  <c r="BB47" i="3"/>
  <c r="BA87" i="3"/>
  <c r="AZ87" i="9"/>
  <c r="AZ103" i="9"/>
  <c r="BA93" i="3"/>
  <c r="AZ93" i="9"/>
  <c r="AZ77" i="9"/>
  <c r="BA77" i="3"/>
  <c r="BA16" i="3"/>
  <c r="AZ16" i="9"/>
  <c r="BB46" i="3"/>
  <c r="BA26" i="3"/>
  <c r="AZ26" i="9"/>
  <c r="AZ31" i="9"/>
  <c r="BA52" i="3"/>
  <c r="AZ52" i="9"/>
  <c r="BB6" i="3"/>
  <c r="BA28" i="3"/>
  <c r="AZ28" i="9"/>
  <c r="BA27" i="3"/>
  <c r="AZ27" i="9"/>
  <c r="BA30" i="3"/>
  <c r="AZ30" i="9"/>
  <c r="BB38" i="3"/>
  <c r="BA36" i="3"/>
  <c r="AZ36" i="9"/>
  <c r="BB23" i="3"/>
  <c r="BA21" i="3"/>
  <c r="AZ21" i="9"/>
  <c r="BC89" i="3"/>
  <c r="BC41" i="3"/>
  <c r="AZ112" i="9"/>
  <c r="BB103" i="3"/>
  <c r="BA83" i="3"/>
  <c r="AZ83" i="9"/>
  <c r="AZ3" i="9"/>
  <c r="BA71" i="3"/>
  <c r="AZ71" i="9"/>
  <c r="BB31" i="3"/>
  <c r="BA82" i="3"/>
  <c r="AZ82" i="9"/>
  <c r="AZ40" i="9"/>
  <c r="AZ63" i="9"/>
  <c r="BA78" i="3"/>
  <c r="AZ78" i="9"/>
  <c r="AZ72" i="9"/>
  <c r="BA84" i="3"/>
  <c r="AZ84" i="9"/>
  <c r="AZ14" i="9"/>
  <c r="BA92" i="3"/>
  <c r="AZ92" i="9"/>
  <c r="BB57" i="3"/>
  <c r="BA109" i="3"/>
  <c r="AZ109" i="9"/>
  <c r="BA50" i="3"/>
  <c r="AZ50" i="9"/>
  <c r="AZ88" i="9"/>
  <c r="AZ65" i="9"/>
  <c r="BB112" i="3"/>
  <c r="AZ105" i="9"/>
  <c r="BA61" i="3"/>
  <c r="AZ61" i="9"/>
  <c r="BA20" i="3"/>
  <c r="AZ20" i="9"/>
  <c r="BB3" i="3"/>
  <c r="AZ4" i="9"/>
  <c r="BA54" i="3"/>
  <c r="AZ54" i="9"/>
  <c r="BB40" i="3"/>
  <c r="BB63" i="3"/>
  <c r="BA90" i="3"/>
  <c r="AZ90" i="9"/>
  <c r="BA98" i="3"/>
  <c r="AZ98" i="9"/>
  <c r="BB72" i="3"/>
  <c r="BC97" i="3"/>
  <c r="BA10" i="3"/>
  <c r="AZ10" i="9"/>
  <c r="BA29" i="3"/>
  <c r="AZ29" i="9"/>
  <c r="BA31" i="9" l="1"/>
  <c r="BC103" i="3"/>
  <c r="BB108" i="3"/>
  <c r="BA108" i="9"/>
  <c r="BB2" i="3"/>
  <c r="BA2" i="9"/>
  <c r="BA97" i="9"/>
  <c r="BA41" i="9"/>
  <c r="BA89" i="9"/>
  <c r="BA64" i="9"/>
  <c r="BA33" i="9"/>
  <c r="BA113" i="9"/>
  <c r="BA81" i="9"/>
  <c r="BA73" i="9"/>
  <c r="BC23" i="3"/>
  <c r="BB27" i="3"/>
  <c r="BA27" i="9"/>
  <c r="BD64" i="3"/>
  <c r="BB75" i="3"/>
  <c r="BA75" i="9"/>
  <c r="BA5" i="9"/>
  <c r="BD73" i="3"/>
  <c r="BA49" i="9"/>
  <c r="BC102" i="3"/>
  <c r="BB9" i="3"/>
  <c r="BA9" i="9"/>
  <c r="BB84" i="3"/>
  <c r="BA84" i="9"/>
  <c r="BC65" i="3"/>
  <c r="BA112" i="9"/>
  <c r="BA57" i="9"/>
  <c r="BB26" i="3"/>
  <c r="BA26" i="9"/>
  <c r="BB93" i="3"/>
  <c r="BA93" i="9"/>
  <c r="BB11" i="3"/>
  <c r="BA11" i="9"/>
  <c r="BB66" i="3"/>
  <c r="BA66" i="9"/>
  <c r="BC5" i="3"/>
  <c r="BB37" i="3"/>
  <c r="BA37" i="9"/>
  <c r="BA32" i="9"/>
  <c r="BD113" i="3"/>
  <c r="BC49" i="3"/>
  <c r="BB68" i="3"/>
  <c r="BA68" i="9"/>
  <c r="BB85" i="3"/>
  <c r="BA85" i="9"/>
  <c r="BB110" i="3"/>
  <c r="BA110" i="9"/>
  <c r="BB62" i="3"/>
  <c r="BA62" i="9"/>
  <c r="BB94" i="3"/>
  <c r="BA94" i="9"/>
  <c r="BB61" i="3"/>
  <c r="BA61" i="9"/>
  <c r="BC56" i="3"/>
  <c r="BB70" i="3"/>
  <c r="BA70" i="9"/>
  <c r="BC105" i="3"/>
  <c r="BB10" i="3"/>
  <c r="BA10" i="9"/>
  <c r="BB90" i="3"/>
  <c r="BA90" i="9"/>
  <c r="BA3" i="9"/>
  <c r="BC112" i="3"/>
  <c r="BC57" i="3"/>
  <c r="BB78" i="3"/>
  <c r="BA78" i="9"/>
  <c r="BB71" i="3"/>
  <c r="BA71" i="9"/>
  <c r="BD41" i="3"/>
  <c r="BB36" i="3"/>
  <c r="BA36" i="9"/>
  <c r="BB28" i="3"/>
  <c r="BA28" i="9"/>
  <c r="BA46" i="9"/>
  <c r="BB79" i="3"/>
  <c r="BA79" i="9"/>
  <c r="BB99" i="3"/>
  <c r="BA99" i="9"/>
  <c r="BD33" i="3"/>
  <c r="BA8" i="9"/>
  <c r="BC32" i="3"/>
  <c r="BA39" i="9"/>
  <c r="BB12" i="3"/>
  <c r="BA12" i="9"/>
  <c r="BB76" i="3"/>
  <c r="BA76" i="9"/>
  <c r="BB35" i="3"/>
  <c r="BA35" i="9"/>
  <c r="BB67" i="3"/>
  <c r="BA67" i="9"/>
  <c r="BC96" i="3"/>
  <c r="BB53" i="3"/>
  <c r="BA53" i="9"/>
  <c r="BB43" i="3"/>
  <c r="BA43" i="9"/>
  <c r="BB45" i="3"/>
  <c r="BA45" i="9"/>
  <c r="BA102" i="9"/>
  <c r="BA38" i="9"/>
  <c r="BA6" i="9"/>
  <c r="BC46" i="3"/>
  <c r="BA25" i="9"/>
  <c r="BC8" i="3"/>
  <c r="BD81" i="3"/>
  <c r="BB69" i="3"/>
  <c r="BA69" i="9"/>
  <c r="BB22" i="3"/>
  <c r="BA22" i="9"/>
  <c r="BB42" i="3"/>
  <c r="BA42" i="9"/>
  <c r="BB58" i="3"/>
  <c r="BA58" i="9"/>
  <c r="BB101" i="3"/>
  <c r="BA101" i="9"/>
  <c r="BC39" i="3"/>
  <c r="BB115" i="3"/>
  <c r="BA115" i="9"/>
  <c r="BB13" i="3"/>
  <c r="BA13" i="9"/>
  <c r="BB29" i="3"/>
  <c r="BA29" i="9"/>
  <c r="BB54" i="3"/>
  <c r="BA54" i="9"/>
  <c r="BB109" i="3"/>
  <c r="BA109" i="9"/>
  <c r="BB92" i="3"/>
  <c r="BA92" i="9"/>
  <c r="BD89" i="3"/>
  <c r="BC38" i="3"/>
  <c r="BC6" i="3"/>
  <c r="BB87" i="3"/>
  <c r="BA87" i="9"/>
  <c r="BB106" i="3"/>
  <c r="BA106" i="9"/>
  <c r="BA48" i="9"/>
  <c r="BC25" i="3"/>
  <c r="BB51" i="3"/>
  <c r="BA51" i="9"/>
  <c r="BA55" i="9"/>
  <c r="BA104" i="9"/>
  <c r="BA24" i="9"/>
  <c r="BA80" i="9"/>
  <c r="BB91" i="3"/>
  <c r="BA91" i="9"/>
  <c r="BB18" i="3"/>
  <c r="BA18" i="9"/>
  <c r="BA4" i="9"/>
  <c r="BB95" i="3"/>
  <c r="BA95" i="9"/>
  <c r="BA23" i="9"/>
  <c r="BB44" i="3"/>
  <c r="BA44" i="9"/>
  <c r="BB100" i="3"/>
  <c r="BA100" i="9"/>
  <c r="BB98" i="3"/>
  <c r="BA98" i="9"/>
  <c r="BC31" i="3"/>
  <c r="BC3" i="3"/>
  <c r="BC63" i="3"/>
  <c r="BA72" i="9"/>
  <c r="BA40" i="9"/>
  <c r="BB20" i="3"/>
  <c r="BA20" i="9"/>
  <c r="BB83" i="3"/>
  <c r="BA83" i="9"/>
  <c r="BB16" i="3"/>
  <c r="BA16" i="9"/>
  <c r="BA47" i="9"/>
  <c r="BC48" i="3"/>
  <c r="BB17" i="3"/>
  <c r="BA17" i="9"/>
  <c r="BB74" i="3"/>
  <c r="BA74" i="9"/>
  <c r="BB60" i="3"/>
  <c r="BA60" i="9"/>
  <c r="BB111" i="3"/>
  <c r="BA111" i="9"/>
  <c r="BB107" i="3"/>
  <c r="BA107" i="9"/>
  <c r="BB15" i="3"/>
  <c r="BA15" i="9"/>
  <c r="BC55" i="3"/>
  <c r="BC104" i="3"/>
  <c r="BC24" i="3"/>
  <c r="BC80" i="3"/>
  <c r="BC4" i="3"/>
  <c r="BA88" i="9"/>
  <c r="BC14" i="3"/>
  <c r="BB19" i="3"/>
  <c r="BA19" i="9"/>
  <c r="BA63" i="9"/>
  <c r="BD97" i="3"/>
  <c r="BC72" i="3"/>
  <c r="BC40" i="3"/>
  <c r="BB50" i="3"/>
  <c r="BA50" i="9"/>
  <c r="BB82" i="3"/>
  <c r="BA82" i="9"/>
  <c r="BA103" i="9"/>
  <c r="BB21" i="3"/>
  <c r="BA21" i="9"/>
  <c r="BB30" i="3"/>
  <c r="BA30" i="9"/>
  <c r="BB52" i="3"/>
  <c r="BA52" i="9"/>
  <c r="BB77" i="3"/>
  <c r="BA77" i="9"/>
  <c r="BC47" i="3"/>
  <c r="BB114" i="3"/>
  <c r="BA114" i="9"/>
  <c r="BA96" i="9"/>
  <c r="BB7" i="3"/>
  <c r="BA7" i="9"/>
  <c r="BA14" i="9"/>
  <c r="BB86" i="3"/>
  <c r="BA86" i="9"/>
  <c r="BA56" i="9"/>
  <c r="BA65" i="9"/>
  <c r="BB34" i="3"/>
  <c r="BA34" i="9"/>
  <c r="BB59" i="3"/>
  <c r="BA59" i="9"/>
  <c r="BA105" i="9"/>
  <c r="BC88" i="3"/>
  <c r="BB105" i="9" l="1"/>
  <c r="BB40" i="9"/>
  <c r="BB57" i="9"/>
  <c r="BC98" i="3"/>
  <c r="BB98" i="9"/>
  <c r="BB96" i="9"/>
  <c r="BC36" i="3"/>
  <c r="BB36" i="9"/>
  <c r="BD57" i="3"/>
  <c r="BC37" i="3"/>
  <c r="BB37" i="9"/>
  <c r="BC93" i="3"/>
  <c r="BB93" i="9"/>
  <c r="BC84" i="3"/>
  <c r="BB84" i="9"/>
  <c r="BD23" i="3"/>
  <c r="BD48" i="3"/>
  <c r="BC106" i="3"/>
  <c r="BB106" i="9"/>
  <c r="BC53" i="3"/>
  <c r="BB53" i="9"/>
  <c r="BC77" i="3"/>
  <c r="BB77" i="9"/>
  <c r="BC7" i="3"/>
  <c r="BB7" i="9"/>
  <c r="BC82" i="3"/>
  <c r="BB82" i="9"/>
  <c r="BE97" i="3"/>
  <c r="BD4" i="3"/>
  <c r="BD55" i="3"/>
  <c r="BC60" i="3"/>
  <c r="BB60" i="9"/>
  <c r="BB63" i="9"/>
  <c r="BC87" i="3"/>
  <c r="BB87" i="9"/>
  <c r="BC92" i="3"/>
  <c r="BB92" i="9"/>
  <c r="BC13" i="3"/>
  <c r="BB13" i="9"/>
  <c r="BC58" i="3"/>
  <c r="BB58" i="9"/>
  <c r="BE81" i="3"/>
  <c r="BD96" i="3"/>
  <c r="BC12" i="3"/>
  <c r="BB12" i="9"/>
  <c r="BC99" i="3"/>
  <c r="BB99" i="9"/>
  <c r="BB112" i="9"/>
  <c r="BD105" i="3"/>
  <c r="BC94" i="3"/>
  <c r="BB94" i="9"/>
  <c r="BC68" i="3"/>
  <c r="BB68" i="9"/>
  <c r="BB5" i="9"/>
  <c r="BB80" i="9"/>
  <c r="BC16" i="3"/>
  <c r="BB16" i="9"/>
  <c r="BD63" i="3"/>
  <c r="BC100" i="3"/>
  <c r="BB100" i="9"/>
  <c r="BC18" i="3"/>
  <c r="BB18" i="9"/>
  <c r="BC51" i="3"/>
  <c r="BB51" i="9"/>
  <c r="BB6" i="9"/>
  <c r="BB8" i="9"/>
  <c r="BE41" i="3"/>
  <c r="BD112" i="3"/>
  <c r="BB49" i="9"/>
  <c r="BD5" i="3"/>
  <c r="BC26" i="3"/>
  <c r="BB26" i="9"/>
  <c r="BC9" i="3"/>
  <c r="BB9" i="9"/>
  <c r="BC75" i="3"/>
  <c r="BB75" i="9"/>
  <c r="BC2" i="3"/>
  <c r="BB2" i="9"/>
  <c r="BB97" i="9"/>
  <c r="BB89" i="9"/>
  <c r="BB81" i="9"/>
  <c r="BB73" i="9"/>
  <c r="BB33" i="9"/>
  <c r="BB41" i="9"/>
  <c r="BB113" i="9"/>
  <c r="BB64" i="9"/>
  <c r="BD104" i="3"/>
  <c r="BC61" i="3"/>
  <c r="BB61" i="9"/>
  <c r="BE73" i="3"/>
  <c r="BC52" i="3"/>
  <c r="BB52" i="9"/>
  <c r="BC50" i="3"/>
  <c r="BB50" i="9"/>
  <c r="BD80" i="3"/>
  <c r="BC15" i="3"/>
  <c r="BB15" i="9"/>
  <c r="BC74" i="3"/>
  <c r="BB74" i="9"/>
  <c r="BB3" i="9"/>
  <c r="BB25" i="9"/>
  <c r="BD6" i="3"/>
  <c r="BC109" i="3"/>
  <c r="BB109" i="9"/>
  <c r="BC115" i="3"/>
  <c r="BB115" i="9"/>
  <c r="BC42" i="3"/>
  <c r="BB42" i="9"/>
  <c r="BD8" i="3"/>
  <c r="BC45" i="3"/>
  <c r="BB45" i="9"/>
  <c r="BC67" i="3"/>
  <c r="BB67" i="9"/>
  <c r="BB32" i="9"/>
  <c r="BC79" i="3"/>
  <c r="BB79" i="9"/>
  <c r="BB70" i="9"/>
  <c r="BC70" i="3"/>
  <c r="BC62" i="3"/>
  <c r="BB62" i="9"/>
  <c r="BD49" i="3"/>
  <c r="BB102" i="9"/>
  <c r="BD72" i="3"/>
  <c r="BC111" i="3"/>
  <c r="BB111" i="9"/>
  <c r="BC95" i="3"/>
  <c r="BB95" i="9"/>
  <c r="BC101" i="3"/>
  <c r="BB101" i="9"/>
  <c r="BC85" i="3"/>
  <c r="BB85" i="9"/>
  <c r="BB4" i="9"/>
  <c r="BC34" i="3"/>
  <c r="BB34" i="9"/>
  <c r="BC114" i="3"/>
  <c r="BB114" i="9"/>
  <c r="BC30" i="3"/>
  <c r="BB30" i="9"/>
  <c r="BC19" i="3"/>
  <c r="BB19" i="9"/>
  <c r="BB24" i="9"/>
  <c r="BC83" i="3"/>
  <c r="BB83" i="9"/>
  <c r="BD3" i="3"/>
  <c r="BC44" i="3"/>
  <c r="BB44" i="9"/>
  <c r="BC91" i="3"/>
  <c r="BB91" i="9"/>
  <c r="BD25" i="3"/>
  <c r="BB38" i="9"/>
  <c r="BB39" i="9"/>
  <c r="BD32" i="3"/>
  <c r="BC71" i="3"/>
  <c r="BB71" i="9"/>
  <c r="BB56" i="9"/>
  <c r="BC66" i="3"/>
  <c r="BB66" i="9"/>
  <c r="BD102" i="3"/>
  <c r="BE64" i="3"/>
  <c r="BC108" i="3"/>
  <c r="BB108" i="9"/>
  <c r="BE89" i="3"/>
  <c r="BC29" i="3"/>
  <c r="BB29" i="9"/>
  <c r="BC69" i="3"/>
  <c r="BB69" i="9"/>
  <c r="BC76" i="3"/>
  <c r="BB76" i="9"/>
  <c r="BE33" i="3"/>
  <c r="BC10" i="3"/>
  <c r="BB10" i="9"/>
  <c r="BB23" i="9"/>
  <c r="BC59" i="3"/>
  <c r="BB59" i="9"/>
  <c r="BB55" i="9"/>
  <c r="BB88" i="9"/>
  <c r="BD88" i="3"/>
  <c r="BB47" i="9"/>
  <c r="BD40" i="3"/>
  <c r="BB14" i="9"/>
  <c r="BD24" i="3"/>
  <c r="BC107" i="3"/>
  <c r="BB107" i="9"/>
  <c r="BC17" i="3"/>
  <c r="BB17" i="9"/>
  <c r="BB31" i="9"/>
  <c r="BD38" i="3"/>
  <c r="BC54" i="3"/>
  <c r="BB54" i="9"/>
  <c r="BD39" i="3"/>
  <c r="BC22" i="3"/>
  <c r="BB22" i="9"/>
  <c r="BB46" i="9"/>
  <c r="BC43" i="3"/>
  <c r="BB43" i="9"/>
  <c r="BC35" i="3"/>
  <c r="BB35" i="9"/>
  <c r="BC90" i="3"/>
  <c r="BB90" i="9"/>
  <c r="BD56" i="3"/>
  <c r="BC110" i="3"/>
  <c r="BB110" i="9"/>
  <c r="BE113" i="3"/>
  <c r="BB65" i="9"/>
  <c r="BB103" i="9"/>
  <c r="BC86" i="3"/>
  <c r="BB86" i="9"/>
  <c r="BD47" i="3"/>
  <c r="BC21" i="3"/>
  <c r="BB21" i="9"/>
  <c r="BB72" i="9"/>
  <c r="BD14" i="3"/>
  <c r="BB104" i="9"/>
  <c r="BB48" i="9"/>
  <c r="BC20" i="3"/>
  <c r="BB20" i="9"/>
  <c r="BD31" i="3"/>
  <c r="BD46" i="3"/>
  <c r="BC28" i="3"/>
  <c r="BB28" i="9"/>
  <c r="BC78" i="3"/>
  <c r="BB78" i="9"/>
  <c r="BC11" i="3"/>
  <c r="BB11" i="9"/>
  <c r="BD65" i="3"/>
  <c r="BC27" i="3"/>
  <c r="BB27" i="9"/>
  <c r="BD103" i="3"/>
  <c r="BC39" i="9" l="1"/>
  <c r="BC96" i="9"/>
  <c r="BC102" i="9"/>
  <c r="BC112" i="9"/>
  <c r="BE46" i="3"/>
  <c r="BE103" i="3"/>
  <c r="BD78" i="3"/>
  <c r="BC78" i="9"/>
  <c r="BD20" i="3"/>
  <c r="BC20" i="9"/>
  <c r="BC47" i="9"/>
  <c r="BD54" i="3"/>
  <c r="BC54" i="9"/>
  <c r="BC24" i="9"/>
  <c r="BF33" i="3"/>
  <c r="BF89" i="3"/>
  <c r="BD66" i="3"/>
  <c r="BC66" i="9"/>
  <c r="BC25" i="9"/>
  <c r="BD114" i="3"/>
  <c r="BC114" i="9"/>
  <c r="BE49" i="3"/>
  <c r="BC5" i="9"/>
  <c r="BE63" i="3"/>
  <c r="BD94" i="3"/>
  <c r="BC94" i="9"/>
  <c r="BE55" i="3"/>
  <c r="BD7" i="3"/>
  <c r="BC7" i="9"/>
  <c r="BE48" i="3"/>
  <c r="BD37" i="3"/>
  <c r="BC37" i="9"/>
  <c r="BD27" i="3"/>
  <c r="BC27" i="9"/>
  <c r="BE47" i="3"/>
  <c r="BD110" i="3"/>
  <c r="BC110" i="9"/>
  <c r="BD43" i="3"/>
  <c r="BC43" i="9"/>
  <c r="BC38" i="9"/>
  <c r="BE24" i="3"/>
  <c r="BE25" i="3"/>
  <c r="BD83" i="3"/>
  <c r="BC83" i="9"/>
  <c r="BD95" i="3"/>
  <c r="BC95" i="9"/>
  <c r="BD67" i="3"/>
  <c r="BC67" i="9"/>
  <c r="BD115" i="3"/>
  <c r="BC115" i="9"/>
  <c r="BD74" i="3"/>
  <c r="BC74" i="9"/>
  <c r="BD52" i="3"/>
  <c r="BC52" i="9"/>
  <c r="BD2" i="3"/>
  <c r="BC2" i="9"/>
  <c r="BC73" i="9"/>
  <c r="BC33" i="9"/>
  <c r="BC89" i="9"/>
  <c r="BC113" i="9"/>
  <c r="BC64" i="9"/>
  <c r="BC41" i="9"/>
  <c r="BC97" i="9"/>
  <c r="BC81" i="9"/>
  <c r="BE5" i="3"/>
  <c r="BC105" i="9"/>
  <c r="BE96" i="3"/>
  <c r="BD92" i="3"/>
  <c r="BC92" i="9"/>
  <c r="BC4" i="9"/>
  <c r="BC23" i="9"/>
  <c r="BC57" i="9"/>
  <c r="BC56" i="9"/>
  <c r="BE38" i="3"/>
  <c r="BD76" i="3"/>
  <c r="BC76" i="9"/>
  <c r="BD108" i="3"/>
  <c r="BC108" i="9"/>
  <c r="BD34" i="3"/>
  <c r="BC34" i="9"/>
  <c r="BD62" i="3"/>
  <c r="BC62" i="9"/>
  <c r="BD51" i="3"/>
  <c r="BC51" i="9"/>
  <c r="BD16" i="3"/>
  <c r="BC16" i="9"/>
  <c r="BE105" i="3"/>
  <c r="BE4" i="3"/>
  <c r="BD77" i="3"/>
  <c r="BC77" i="9"/>
  <c r="BE23" i="3"/>
  <c r="BE57" i="3"/>
  <c r="BC65" i="9"/>
  <c r="BC46" i="9"/>
  <c r="BC14" i="9"/>
  <c r="BD86" i="3"/>
  <c r="BC86" i="9"/>
  <c r="BE56" i="3"/>
  <c r="BC40" i="9"/>
  <c r="BD59" i="3"/>
  <c r="BC59" i="9"/>
  <c r="BD71" i="3"/>
  <c r="BC71" i="9"/>
  <c r="BD91" i="3"/>
  <c r="BC91" i="9"/>
  <c r="BD111" i="3"/>
  <c r="BC111" i="9"/>
  <c r="BD70" i="3"/>
  <c r="BC70" i="9"/>
  <c r="BC45" i="9"/>
  <c r="BD45" i="3"/>
  <c r="BD109" i="3"/>
  <c r="BC109" i="9"/>
  <c r="BD15" i="3"/>
  <c r="BC15" i="9"/>
  <c r="BF73" i="3"/>
  <c r="BD75" i="3"/>
  <c r="BC75" i="9"/>
  <c r="BF81" i="3"/>
  <c r="BD87" i="3"/>
  <c r="BC87" i="9"/>
  <c r="BD22" i="3"/>
  <c r="BC22" i="9"/>
  <c r="BE40" i="3"/>
  <c r="BD69" i="3"/>
  <c r="BC69" i="9"/>
  <c r="BF64" i="3"/>
  <c r="BC32" i="9"/>
  <c r="BD19" i="3"/>
  <c r="BC19" i="9"/>
  <c r="BC72" i="9"/>
  <c r="BC8" i="9"/>
  <c r="BC6" i="9"/>
  <c r="BC80" i="9"/>
  <c r="BE112" i="3"/>
  <c r="BD18" i="3"/>
  <c r="BC18" i="9"/>
  <c r="BF97" i="3"/>
  <c r="BD53" i="3"/>
  <c r="BC53" i="9"/>
  <c r="BD84" i="3"/>
  <c r="BC84" i="9"/>
  <c r="BD36" i="3"/>
  <c r="BC36" i="9"/>
  <c r="BD28" i="3"/>
  <c r="BC28" i="9"/>
  <c r="BD90" i="3"/>
  <c r="BC90" i="9"/>
  <c r="BD17" i="3"/>
  <c r="BC17" i="9"/>
  <c r="BE32" i="3"/>
  <c r="BD44" i="3"/>
  <c r="BC44" i="9"/>
  <c r="BD85" i="3"/>
  <c r="BC85" i="9"/>
  <c r="BE72" i="3"/>
  <c r="BE8" i="3"/>
  <c r="BE6" i="3"/>
  <c r="BE80" i="3"/>
  <c r="BD61" i="3"/>
  <c r="BC61" i="9"/>
  <c r="BD9" i="3"/>
  <c r="BC9" i="9"/>
  <c r="BD99" i="3"/>
  <c r="BC99" i="9"/>
  <c r="BD58" i="3"/>
  <c r="BC58" i="9"/>
  <c r="BE65" i="3"/>
  <c r="BE14" i="3"/>
  <c r="BC31" i="9"/>
  <c r="BD11" i="3"/>
  <c r="BC11" i="9"/>
  <c r="BE31" i="3"/>
  <c r="BE39" i="3"/>
  <c r="BC88" i="9"/>
  <c r="BD10" i="3"/>
  <c r="BC10" i="9"/>
  <c r="BD29" i="3"/>
  <c r="BC29" i="9"/>
  <c r="BE102" i="3"/>
  <c r="BC3" i="9"/>
  <c r="BD30" i="3"/>
  <c r="BC30" i="9"/>
  <c r="BD79" i="3"/>
  <c r="BC79" i="9"/>
  <c r="BC104" i="9"/>
  <c r="BF41" i="3"/>
  <c r="BD100" i="3"/>
  <c r="BC100" i="9"/>
  <c r="BD68" i="3"/>
  <c r="BC68" i="9"/>
  <c r="BD60" i="3"/>
  <c r="BC60" i="9"/>
  <c r="BD82" i="3"/>
  <c r="BC82" i="9"/>
  <c r="BD106" i="3"/>
  <c r="BC106" i="9"/>
  <c r="BD93" i="3"/>
  <c r="BC93" i="9"/>
  <c r="BC103" i="9"/>
  <c r="BD21" i="3"/>
  <c r="BC21" i="9"/>
  <c r="BF113" i="3"/>
  <c r="BD35" i="3"/>
  <c r="BC35" i="9"/>
  <c r="BD107" i="3"/>
  <c r="BC107" i="9"/>
  <c r="BE88" i="3"/>
  <c r="BE3" i="3"/>
  <c r="BD101" i="3"/>
  <c r="BC101" i="9"/>
  <c r="BC49" i="9"/>
  <c r="BD42" i="3"/>
  <c r="BC42" i="9"/>
  <c r="BD50" i="3"/>
  <c r="BC50" i="9"/>
  <c r="BE104" i="3"/>
  <c r="BD26" i="3"/>
  <c r="BC26" i="9"/>
  <c r="BC63" i="9"/>
  <c r="BD12" i="3"/>
  <c r="BC12" i="9"/>
  <c r="BD13" i="3"/>
  <c r="BC13" i="9"/>
  <c r="BC55" i="9"/>
  <c r="BC48" i="9"/>
  <c r="BD98" i="3"/>
  <c r="BC98" i="9"/>
  <c r="BD49" i="9" l="1"/>
  <c r="BD88" i="9"/>
  <c r="BD32" i="9"/>
  <c r="BF56" i="3"/>
  <c r="BE98" i="3"/>
  <c r="BD98" i="9"/>
  <c r="BE107" i="3"/>
  <c r="BD107" i="9"/>
  <c r="BE79" i="3"/>
  <c r="BD79" i="9"/>
  <c r="BE11" i="3"/>
  <c r="BD11" i="9"/>
  <c r="BD6" i="9"/>
  <c r="BE69" i="3"/>
  <c r="BD69" i="9"/>
  <c r="BG81" i="3"/>
  <c r="BE109" i="3"/>
  <c r="BD109" i="9"/>
  <c r="BE91" i="3"/>
  <c r="BD91" i="9"/>
  <c r="BF23" i="3"/>
  <c r="BE16" i="3"/>
  <c r="BD16" i="9"/>
  <c r="BE108" i="3"/>
  <c r="BD108" i="9"/>
  <c r="BD24" i="9"/>
  <c r="BF47" i="3"/>
  <c r="BE7" i="3"/>
  <c r="BD7" i="9"/>
  <c r="BG89" i="3"/>
  <c r="BE20" i="3"/>
  <c r="BD20" i="9"/>
  <c r="BE58" i="3"/>
  <c r="BD58" i="9"/>
  <c r="BE90" i="3"/>
  <c r="BD90" i="9"/>
  <c r="BF5" i="3"/>
  <c r="BF25" i="3"/>
  <c r="BE26" i="3"/>
  <c r="BD26" i="9"/>
  <c r="BE93" i="3"/>
  <c r="BD93" i="9"/>
  <c r="BE68" i="3"/>
  <c r="BD68" i="9"/>
  <c r="BE10" i="3"/>
  <c r="BD10" i="9"/>
  <c r="BE99" i="3"/>
  <c r="BD99" i="9"/>
  <c r="BF6" i="3"/>
  <c r="BE44" i="3"/>
  <c r="BD44" i="9"/>
  <c r="BE28" i="3"/>
  <c r="BD28" i="9"/>
  <c r="BG97" i="3"/>
  <c r="BD40" i="9"/>
  <c r="BE45" i="3"/>
  <c r="BD45" i="9"/>
  <c r="BE86" i="3"/>
  <c r="BD86" i="9"/>
  <c r="BE2" i="3"/>
  <c r="BD2" i="9"/>
  <c r="BD89" i="9"/>
  <c r="BD33" i="9"/>
  <c r="BD113" i="9"/>
  <c r="BD41" i="9"/>
  <c r="BD97" i="9"/>
  <c r="BD64" i="9"/>
  <c r="BD81" i="9"/>
  <c r="BD73" i="9"/>
  <c r="BE67" i="3"/>
  <c r="BD67" i="9"/>
  <c r="BF24" i="3"/>
  <c r="BD55" i="9"/>
  <c r="BF49" i="3"/>
  <c r="BE29" i="3"/>
  <c r="BD29" i="9"/>
  <c r="BE85" i="3"/>
  <c r="BD85" i="9"/>
  <c r="BE30" i="3"/>
  <c r="BD30" i="9"/>
  <c r="BD14" i="9"/>
  <c r="BD8" i="9"/>
  <c r="BF40" i="3"/>
  <c r="BE75" i="3"/>
  <c r="BD75" i="9"/>
  <c r="BE71" i="3"/>
  <c r="BD71" i="9"/>
  <c r="BE77" i="3"/>
  <c r="BD77" i="9"/>
  <c r="BE51" i="3"/>
  <c r="BD51" i="9"/>
  <c r="BE76" i="3"/>
  <c r="BD76" i="9"/>
  <c r="BE92" i="3"/>
  <c r="BD92" i="9"/>
  <c r="BE27" i="3"/>
  <c r="BD27" i="9"/>
  <c r="BF55" i="3"/>
  <c r="BG33" i="3"/>
  <c r="BE78" i="3"/>
  <c r="BD78" i="9"/>
  <c r="BF80" i="3"/>
  <c r="BE53" i="3"/>
  <c r="BD53" i="9"/>
  <c r="BE115" i="3"/>
  <c r="BD115" i="9"/>
  <c r="BF104" i="3"/>
  <c r="BD3" i="9"/>
  <c r="BE106" i="3"/>
  <c r="BD106" i="9"/>
  <c r="BE100" i="3"/>
  <c r="BD100" i="9"/>
  <c r="BD39" i="9"/>
  <c r="BF14" i="3"/>
  <c r="BE9" i="3"/>
  <c r="BD9" i="9"/>
  <c r="BF8" i="3"/>
  <c r="BF32" i="3"/>
  <c r="BE36" i="3"/>
  <c r="BD36" i="9"/>
  <c r="BE18" i="3"/>
  <c r="BD18" i="9"/>
  <c r="BE19" i="3"/>
  <c r="BD19" i="9"/>
  <c r="BD4" i="9"/>
  <c r="BD38" i="9"/>
  <c r="BD96" i="9"/>
  <c r="BE52" i="3"/>
  <c r="BD52" i="9"/>
  <c r="BE95" i="3"/>
  <c r="BD95" i="9"/>
  <c r="BE114" i="3"/>
  <c r="BD114" i="9"/>
  <c r="BD103" i="9"/>
  <c r="BE101" i="3"/>
  <c r="BD101" i="9"/>
  <c r="BE13" i="3"/>
  <c r="BD13" i="9"/>
  <c r="BF3" i="3"/>
  <c r="BG113" i="3"/>
  <c r="BD102" i="9"/>
  <c r="BF39" i="3"/>
  <c r="BD65" i="9"/>
  <c r="BD72" i="9"/>
  <c r="BD112" i="9"/>
  <c r="BE22" i="3"/>
  <c r="BD22" i="9"/>
  <c r="BG73" i="3"/>
  <c r="BE70" i="3"/>
  <c r="BD70" i="9"/>
  <c r="BE59" i="3"/>
  <c r="BD59" i="9"/>
  <c r="BF4" i="3"/>
  <c r="BE62" i="3"/>
  <c r="BD62" i="9"/>
  <c r="BF38" i="3"/>
  <c r="BF96" i="3"/>
  <c r="BE43" i="3"/>
  <c r="BD43" i="9"/>
  <c r="BE37" i="3"/>
  <c r="BD37" i="9"/>
  <c r="BE94" i="3"/>
  <c r="BD94" i="9"/>
  <c r="BF103" i="3"/>
  <c r="BE60" i="3"/>
  <c r="BD60" i="9"/>
  <c r="BD23" i="9"/>
  <c r="BD47" i="9"/>
  <c r="BD104" i="9"/>
  <c r="BE35" i="3"/>
  <c r="BD35" i="9"/>
  <c r="BE50" i="3"/>
  <c r="BD50" i="9"/>
  <c r="BE82" i="3"/>
  <c r="BD82" i="9"/>
  <c r="BG41" i="3"/>
  <c r="BF102" i="3"/>
  <c r="BD31" i="9"/>
  <c r="BF65" i="3"/>
  <c r="BE61" i="3"/>
  <c r="BD61" i="9"/>
  <c r="BF72" i="3"/>
  <c r="BE17" i="3"/>
  <c r="BD17" i="9"/>
  <c r="BE84" i="3"/>
  <c r="BD84" i="9"/>
  <c r="BF112" i="3"/>
  <c r="BD57" i="9"/>
  <c r="BD105" i="9"/>
  <c r="BE74" i="3"/>
  <c r="BD74" i="9"/>
  <c r="BE83" i="3"/>
  <c r="BD83" i="9"/>
  <c r="BD48" i="9"/>
  <c r="BD63" i="9"/>
  <c r="BE54" i="3"/>
  <c r="BD54" i="9"/>
  <c r="BD46" i="9"/>
  <c r="BE42" i="3"/>
  <c r="BD42" i="9"/>
  <c r="BE12" i="3"/>
  <c r="BD12" i="9"/>
  <c r="BF88" i="3"/>
  <c r="BE21" i="3"/>
  <c r="BD21" i="9"/>
  <c r="BF31" i="3"/>
  <c r="BD80" i="9"/>
  <c r="BG64" i="3"/>
  <c r="BE87" i="3"/>
  <c r="BD87" i="9"/>
  <c r="BE15" i="3"/>
  <c r="BD15" i="9"/>
  <c r="BE111" i="3"/>
  <c r="BD111" i="9"/>
  <c r="BD56" i="9"/>
  <c r="BF57" i="3"/>
  <c r="BF105" i="3"/>
  <c r="BE34" i="3"/>
  <c r="BD34" i="9"/>
  <c r="BD5" i="9"/>
  <c r="BD25" i="9"/>
  <c r="BE110" i="3"/>
  <c r="BD110" i="9"/>
  <c r="BF48" i="3"/>
  <c r="BF63" i="3"/>
  <c r="BE66" i="3"/>
  <c r="BD66" i="9"/>
  <c r="BF46" i="3"/>
  <c r="BE47" i="9" l="1"/>
  <c r="BE49" i="9"/>
  <c r="BE112" i="9"/>
  <c r="BH41" i="3"/>
  <c r="BG39" i="3"/>
  <c r="BF52" i="3"/>
  <c r="BE52" i="9"/>
  <c r="BE14" i="9"/>
  <c r="BE104" i="9"/>
  <c r="BF86" i="3"/>
  <c r="BE86" i="9"/>
  <c r="BE5" i="9"/>
  <c r="BF108" i="3"/>
  <c r="BE108" i="9"/>
  <c r="BF109" i="3"/>
  <c r="BE109" i="9"/>
  <c r="BH64" i="3"/>
  <c r="BG112" i="3"/>
  <c r="BF61" i="3"/>
  <c r="BE61" i="9"/>
  <c r="BF37" i="3"/>
  <c r="BE37" i="9"/>
  <c r="BF62" i="3"/>
  <c r="BE62" i="9"/>
  <c r="BH73" i="3"/>
  <c r="BF101" i="3"/>
  <c r="BE101" i="9"/>
  <c r="BF36" i="3"/>
  <c r="BE36" i="9"/>
  <c r="BG14" i="3"/>
  <c r="BG104" i="3"/>
  <c r="BF78" i="3"/>
  <c r="BE78" i="9"/>
  <c r="BF92" i="3"/>
  <c r="BE92" i="9"/>
  <c r="BF71" i="3"/>
  <c r="BE71" i="9"/>
  <c r="BF30" i="3"/>
  <c r="BE30" i="9"/>
  <c r="BE24" i="9"/>
  <c r="BF44" i="3"/>
  <c r="BE44" i="9"/>
  <c r="BF68" i="3"/>
  <c r="BE68" i="9"/>
  <c r="BG5" i="3"/>
  <c r="BH89" i="3"/>
  <c r="BF79" i="3"/>
  <c r="BE79" i="9"/>
  <c r="BF12" i="3"/>
  <c r="BE12" i="9"/>
  <c r="BE32" i="9"/>
  <c r="BG24" i="3"/>
  <c r="BF45" i="3"/>
  <c r="BE45" i="9"/>
  <c r="BE6" i="9"/>
  <c r="BF16" i="3"/>
  <c r="BE16" i="9"/>
  <c r="BH81" i="3"/>
  <c r="BE65" i="9"/>
  <c r="BF82" i="3"/>
  <c r="BE82" i="9"/>
  <c r="BE4" i="9"/>
  <c r="BE63" i="9"/>
  <c r="BF111" i="3"/>
  <c r="BE111" i="9"/>
  <c r="BE31" i="9"/>
  <c r="BF83" i="3"/>
  <c r="BE83" i="9"/>
  <c r="BF84" i="3"/>
  <c r="BE84" i="9"/>
  <c r="BG65" i="3"/>
  <c r="BF60" i="3"/>
  <c r="BE60" i="9"/>
  <c r="BF43" i="3"/>
  <c r="BE43" i="9"/>
  <c r="BG4" i="3"/>
  <c r="BF22" i="3"/>
  <c r="BE22" i="9"/>
  <c r="BH113" i="3"/>
  <c r="BG32" i="3"/>
  <c r="BF115" i="3"/>
  <c r="BE115" i="9"/>
  <c r="BH33" i="3"/>
  <c r="BF76" i="3"/>
  <c r="BE76" i="9"/>
  <c r="BF75" i="3"/>
  <c r="BE75" i="9"/>
  <c r="BF85" i="3"/>
  <c r="BE85" i="9"/>
  <c r="BG6" i="3"/>
  <c r="BF93" i="3"/>
  <c r="BE93" i="9"/>
  <c r="BF90" i="3"/>
  <c r="BE90" i="9"/>
  <c r="BF7" i="3"/>
  <c r="BE7" i="9"/>
  <c r="BE23" i="9"/>
  <c r="BF107" i="3"/>
  <c r="BE107" i="9"/>
  <c r="BG63" i="3"/>
  <c r="BF34" i="3"/>
  <c r="BE34" i="9"/>
  <c r="BF50" i="3"/>
  <c r="BE50" i="9"/>
  <c r="BE103" i="9"/>
  <c r="BE96" i="9"/>
  <c r="BE3" i="9"/>
  <c r="BF114" i="3"/>
  <c r="BE114" i="9"/>
  <c r="BE8" i="9"/>
  <c r="BF100" i="3"/>
  <c r="BE100" i="9"/>
  <c r="BE55" i="9"/>
  <c r="BE40" i="9"/>
  <c r="BF67" i="3"/>
  <c r="BE67" i="9"/>
  <c r="BG23" i="3"/>
  <c r="BF69" i="3"/>
  <c r="BE69" i="9"/>
  <c r="BG46" i="3"/>
  <c r="BG88" i="3"/>
  <c r="BF66" i="3"/>
  <c r="BE66" i="9"/>
  <c r="BG31" i="3"/>
  <c r="BF42" i="3"/>
  <c r="BE42" i="9"/>
  <c r="BE48" i="9"/>
  <c r="BE105" i="9"/>
  <c r="BF15" i="3"/>
  <c r="BE15" i="9"/>
  <c r="BF74" i="3"/>
  <c r="BE74" i="9"/>
  <c r="BF17" i="3"/>
  <c r="BE17" i="9"/>
  <c r="BE102" i="9"/>
  <c r="BG103" i="3"/>
  <c r="BG96" i="3"/>
  <c r="BF59" i="3"/>
  <c r="BE59" i="9"/>
  <c r="BG3" i="3"/>
  <c r="BF19" i="3"/>
  <c r="BE19" i="9"/>
  <c r="BG8" i="3"/>
  <c r="BF53" i="3"/>
  <c r="BE53" i="9"/>
  <c r="BG55" i="3"/>
  <c r="BF51" i="3"/>
  <c r="BE51" i="9"/>
  <c r="BG40" i="3"/>
  <c r="BF29" i="3"/>
  <c r="BE29" i="9"/>
  <c r="BH97" i="3"/>
  <c r="BF99" i="3"/>
  <c r="BE99" i="9"/>
  <c r="BF26" i="3"/>
  <c r="BE26" i="9"/>
  <c r="BF58" i="3"/>
  <c r="BE58" i="9"/>
  <c r="BG47" i="3"/>
  <c r="BF98" i="3"/>
  <c r="BE98" i="9"/>
  <c r="BF110" i="3"/>
  <c r="BE110" i="9"/>
  <c r="BG57" i="3"/>
  <c r="BG48" i="3"/>
  <c r="BG105" i="3"/>
  <c r="BF21" i="3"/>
  <c r="BE21" i="9"/>
  <c r="BE38" i="9"/>
  <c r="BF95" i="3"/>
  <c r="BE95" i="9"/>
  <c r="BF106" i="3"/>
  <c r="BE106" i="9"/>
  <c r="BE80" i="9"/>
  <c r="BF2" i="3"/>
  <c r="BE2" i="9"/>
  <c r="BE64" i="9"/>
  <c r="BE41" i="9"/>
  <c r="BE73" i="9"/>
  <c r="BE113" i="9"/>
  <c r="BE33" i="9"/>
  <c r="BE89" i="9"/>
  <c r="BE81" i="9"/>
  <c r="BE97" i="9"/>
  <c r="BE25" i="9"/>
  <c r="BF91" i="3"/>
  <c r="BE91" i="9"/>
  <c r="BE56" i="9"/>
  <c r="BE72" i="9"/>
  <c r="BG102" i="3"/>
  <c r="BF35" i="3"/>
  <c r="BE35" i="9"/>
  <c r="BE46" i="9"/>
  <c r="BE57" i="9"/>
  <c r="BF87" i="3"/>
  <c r="BE87" i="9"/>
  <c r="BE88" i="9"/>
  <c r="BF54" i="3"/>
  <c r="BE54" i="9"/>
  <c r="BG72" i="3"/>
  <c r="BF94" i="3"/>
  <c r="BE94" i="9"/>
  <c r="BG38" i="3"/>
  <c r="BF70" i="3"/>
  <c r="BE70" i="9"/>
  <c r="BE39" i="9"/>
  <c r="BF13" i="3"/>
  <c r="BE13" i="9"/>
  <c r="BF18" i="3"/>
  <c r="BE18" i="9"/>
  <c r="BF9" i="3"/>
  <c r="BE9" i="9"/>
  <c r="BG80" i="3"/>
  <c r="BF27" i="3"/>
  <c r="BE27" i="9"/>
  <c r="BF77" i="3"/>
  <c r="BE77" i="9"/>
  <c r="BG49" i="3"/>
  <c r="BF28" i="3"/>
  <c r="BE28" i="9"/>
  <c r="BF10" i="3"/>
  <c r="BE10" i="9"/>
  <c r="BG25" i="3"/>
  <c r="BF20" i="3"/>
  <c r="BE20" i="9"/>
  <c r="BF11" i="3"/>
  <c r="BE11" i="9"/>
  <c r="BG56" i="3"/>
  <c r="BF56" i="9" l="1"/>
  <c r="BF4" i="9"/>
  <c r="BF72" i="9"/>
  <c r="BF105" i="9"/>
  <c r="BH56" i="3"/>
  <c r="BG27" i="3"/>
  <c r="BF27" i="9"/>
  <c r="BG13" i="3"/>
  <c r="BF13" i="9"/>
  <c r="BG91" i="3"/>
  <c r="BF91" i="9"/>
  <c r="BG95" i="3"/>
  <c r="BF95" i="9"/>
  <c r="BF57" i="9"/>
  <c r="BG17" i="3"/>
  <c r="BF17" i="9"/>
  <c r="BG42" i="3"/>
  <c r="BF42" i="9"/>
  <c r="BH46" i="3"/>
  <c r="BG107" i="3"/>
  <c r="BF107" i="9"/>
  <c r="BF6" i="9"/>
  <c r="BF65" i="9"/>
  <c r="BG111" i="3"/>
  <c r="BF111" i="9"/>
  <c r="BG71" i="3"/>
  <c r="BF71" i="9"/>
  <c r="BH14" i="3"/>
  <c r="BG62" i="3"/>
  <c r="BF62" i="9"/>
  <c r="BI64" i="3"/>
  <c r="BH57" i="3"/>
  <c r="BG58" i="3"/>
  <c r="BF58" i="9"/>
  <c r="BG29" i="3"/>
  <c r="BF29" i="9"/>
  <c r="BG53" i="3"/>
  <c r="BF53" i="9"/>
  <c r="BG59" i="3"/>
  <c r="BF59" i="9"/>
  <c r="BF31" i="9"/>
  <c r="BH6" i="3"/>
  <c r="BI33" i="3"/>
  <c r="BG22" i="3"/>
  <c r="BF22" i="9"/>
  <c r="BH65" i="3"/>
  <c r="BG16" i="3"/>
  <c r="BF16" i="9"/>
  <c r="BG12" i="3"/>
  <c r="BF12" i="9"/>
  <c r="BG68" i="3"/>
  <c r="BF68" i="9"/>
  <c r="BG35" i="3"/>
  <c r="BF35" i="9"/>
  <c r="BF40" i="9"/>
  <c r="BF8" i="9"/>
  <c r="BF96" i="9"/>
  <c r="BG74" i="3"/>
  <c r="BF74" i="9"/>
  <c r="BH31" i="3"/>
  <c r="BG69" i="3"/>
  <c r="BF69" i="9"/>
  <c r="BG100" i="3"/>
  <c r="BF100" i="9"/>
  <c r="BG50" i="3"/>
  <c r="BF50" i="9"/>
  <c r="BG92" i="3"/>
  <c r="BF92" i="9"/>
  <c r="BG36" i="3"/>
  <c r="BF36" i="9"/>
  <c r="BG37" i="3"/>
  <c r="BF37" i="9"/>
  <c r="BG109" i="3"/>
  <c r="BF109" i="9"/>
  <c r="BH72" i="3"/>
  <c r="BF49" i="9"/>
  <c r="BG70" i="3"/>
  <c r="BF70" i="9"/>
  <c r="BG54" i="3"/>
  <c r="BF54" i="9"/>
  <c r="BF102" i="9"/>
  <c r="BG2" i="3"/>
  <c r="BF2" i="9"/>
  <c r="BF41" i="9"/>
  <c r="BF97" i="9"/>
  <c r="BF33" i="9"/>
  <c r="BF113" i="9"/>
  <c r="BF81" i="9"/>
  <c r="BF89" i="9"/>
  <c r="BF73" i="9"/>
  <c r="BF64" i="9"/>
  <c r="BG21" i="3"/>
  <c r="BF21" i="9"/>
  <c r="BG110" i="3"/>
  <c r="BF110" i="9"/>
  <c r="BG26" i="3"/>
  <c r="BF26" i="9"/>
  <c r="BH40" i="3"/>
  <c r="BH8" i="3"/>
  <c r="BH96" i="3"/>
  <c r="BF23" i="9"/>
  <c r="BG7" i="3"/>
  <c r="BF7" i="9"/>
  <c r="BG85" i="3"/>
  <c r="BF85" i="9"/>
  <c r="BG115" i="3"/>
  <c r="BF115" i="9"/>
  <c r="BH4" i="3"/>
  <c r="BG84" i="3"/>
  <c r="BF84" i="9"/>
  <c r="BG79" i="3"/>
  <c r="BF79" i="9"/>
  <c r="BG44" i="3"/>
  <c r="BF44" i="9"/>
  <c r="BG52" i="3"/>
  <c r="BF52" i="9"/>
  <c r="BG10" i="3"/>
  <c r="BF10" i="9"/>
  <c r="BF80" i="9"/>
  <c r="BH102" i="3"/>
  <c r="BF103" i="9"/>
  <c r="BG15" i="3"/>
  <c r="BF15" i="9"/>
  <c r="BG66" i="3"/>
  <c r="BF66" i="9"/>
  <c r="BH23" i="3"/>
  <c r="BG34" i="3"/>
  <c r="BF34" i="9"/>
  <c r="BF32" i="9"/>
  <c r="BG82" i="3"/>
  <c r="BF82" i="9"/>
  <c r="BG45" i="3"/>
  <c r="BF45" i="9"/>
  <c r="BG78" i="3"/>
  <c r="BF78" i="9"/>
  <c r="BG101" i="3"/>
  <c r="BF101" i="9"/>
  <c r="BG61" i="3"/>
  <c r="BF61" i="9"/>
  <c r="BG108" i="3"/>
  <c r="BF108" i="9"/>
  <c r="BF39" i="9"/>
  <c r="BH49" i="3"/>
  <c r="BG9" i="3"/>
  <c r="BF9" i="9"/>
  <c r="BH38" i="3"/>
  <c r="BH105" i="3"/>
  <c r="BG98" i="3"/>
  <c r="BF98" i="9"/>
  <c r="BG99" i="3"/>
  <c r="BF99" i="9"/>
  <c r="BG51" i="3"/>
  <c r="BF51" i="9"/>
  <c r="BG19" i="3"/>
  <c r="BF19" i="9"/>
  <c r="BH103" i="3"/>
  <c r="BF88" i="9"/>
  <c r="BG114" i="3"/>
  <c r="BF114" i="9"/>
  <c r="BF63" i="9"/>
  <c r="BG90" i="3"/>
  <c r="BF90" i="9"/>
  <c r="BG75" i="3"/>
  <c r="BF75" i="9"/>
  <c r="BH32" i="3"/>
  <c r="BG43" i="3"/>
  <c r="BF43" i="9"/>
  <c r="BG83" i="3"/>
  <c r="BF83" i="9"/>
  <c r="BF24" i="9"/>
  <c r="BI89" i="3"/>
  <c r="BF104" i="9"/>
  <c r="BF112" i="9"/>
  <c r="BH39" i="3"/>
  <c r="BG11" i="3"/>
  <c r="BF11" i="9"/>
  <c r="BG28" i="3"/>
  <c r="BF28" i="9"/>
  <c r="BH80" i="3"/>
  <c r="BG20" i="3"/>
  <c r="BF20" i="9"/>
  <c r="BF38" i="9"/>
  <c r="BF25" i="9"/>
  <c r="BH25" i="3"/>
  <c r="BG77" i="3"/>
  <c r="BF77" i="9"/>
  <c r="BG18" i="3"/>
  <c r="BF18" i="9"/>
  <c r="BG87" i="3"/>
  <c r="BF87" i="9"/>
  <c r="BG106" i="3"/>
  <c r="BF106" i="9"/>
  <c r="BF48" i="9"/>
  <c r="BF47" i="9"/>
  <c r="BF55" i="9"/>
  <c r="BF3" i="9"/>
  <c r="BH88" i="3"/>
  <c r="BG67" i="3"/>
  <c r="BF67" i="9"/>
  <c r="BH63" i="3"/>
  <c r="BH24" i="3"/>
  <c r="BF5" i="9"/>
  <c r="BG30" i="3"/>
  <c r="BF30" i="9"/>
  <c r="BH104" i="3"/>
  <c r="BI73" i="3"/>
  <c r="BH112" i="3"/>
  <c r="BG94" i="3"/>
  <c r="BF94" i="9"/>
  <c r="BH48" i="3"/>
  <c r="BH47" i="3"/>
  <c r="BI97" i="3"/>
  <c r="BH55" i="3"/>
  <c r="BH3" i="3"/>
  <c r="BF46" i="9"/>
  <c r="BG93" i="3"/>
  <c r="BF93" i="9"/>
  <c r="BG76" i="3"/>
  <c r="BF76" i="9"/>
  <c r="BI113" i="3"/>
  <c r="BG60" i="3"/>
  <c r="BF60" i="9"/>
  <c r="BI81" i="3"/>
  <c r="BH5" i="3"/>
  <c r="BF14" i="9"/>
  <c r="BG86" i="3"/>
  <c r="BF86" i="9"/>
  <c r="BI41" i="3"/>
  <c r="BG47" i="9" l="1"/>
  <c r="BG80" i="9"/>
  <c r="BH18" i="3"/>
  <c r="BG18" i="9"/>
  <c r="BG38" i="9"/>
  <c r="BH92" i="3"/>
  <c r="BG92" i="9"/>
  <c r="BI46" i="3"/>
  <c r="BH43" i="3"/>
  <c r="BG43" i="9"/>
  <c r="BH51" i="3"/>
  <c r="BG51" i="9"/>
  <c r="BI38" i="3"/>
  <c r="BH66" i="3"/>
  <c r="BG66" i="9"/>
  <c r="BH10" i="3"/>
  <c r="BH5" i="9" s="1"/>
  <c r="BG10" i="9"/>
  <c r="BH84" i="3"/>
  <c r="BG84" i="9"/>
  <c r="BH7" i="3"/>
  <c r="BG7" i="9"/>
  <c r="BH68" i="3"/>
  <c r="BG68" i="9"/>
  <c r="BH22" i="3"/>
  <c r="BG22" i="9"/>
  <c r="BH91" i="3"/>
  <c r="BG91" i="9"/>
  <c r="BH2" i="3"/>
  <c r="BG2" i="9"/>
  <c r="BG64" i="9"/>
  <c r="BG41" i="9"/>
  <c r="BG81" i="9"/>
  <c r="BG113" i="9"/>
  <c r="BG97" i="9"/>
  <c r="BG73" i="9"/>
  <c r="BG89" i="9"/>
  <c r="BG33" i="9"/>
  <c r="BJ73" i="3"/>
  <c r="BG63" i="9"/>
  <c r="BH60" i="3"/>
  <c r="BG60" i="9"/>
  <c r="BG3" i="9"/>
  <c r="BG48" i="9"/>
  <c r="BG104" i="9"/>
  <c r="BI63" i="3"/>
  <c r="BH77" i="3"/>
  <c r="BG77" i="9"/>
  <c r="BI80" i="3"/>
  <c r="BG32" i="9"/>
  <c r="BH114" i="3"/>
  <c r="BG114" i="9"/>
  <c r="BH61" i="3"/>
  <c r="BG61" i="9"/>
  <c r="BH82" i="3"/>
  <c r="BG82" i="9"/>
  <c r="BG4" i="9"/>
  <c r="BH26" i="3"/>
  <c r="BG26" i="9"/>
  <c r="BH109" i="3"/>
  <c r="BG109" i="9"/>
  <c r="BH50" i="3"/>
  <c r="BG50" i="9"/>
  <c r="BH74" i="3"/>
  <c r="BG74" i="9"/>
  <c r="BH53" i="3"/>
  <c r="BG53" i="9"/>
  <c r="BJ64" i="3"/>
  <c r="BH111" i="3"/>
  <c r="BG111" i="9"/>
  <c r="BG42" i="9"/>
  <c r="BH42" i="3"/>
  <c r="BI39" i="3"/>
  <c r="BI31" i="3"/>
  <c r="BI3" i="3"/>
  <c r="BI48" i="3"/>
  <c r="BI104" i="3"/>
  <c r="BG25" i="9"/>
  <c r="BI32" i="3"/>
  <c r="BH99" i="3"/>
  <c r="BG99" i="9"/>
  <c r="BH9" i="3"/>
  <c r="BG9" i="9"/>
  <c r="BH15" i="3"/>
  <c r="BG15" i="9"/>
  <c r="BH52" i="3"/>
  <c r="BG52" i="9"/>
  <c r="BI4" i="3"/>
  <c r="BG96" i="9"/>
  <c r="BH54" i="3"/>
  <c r="BG54" i="9"/>
  <c r="BH12" i="3"/>
  <c r="BG12" i="9"/>
  <c r="BJ33" i="3"/>
  <c r="BH13" i="3"/>
  <c r="BG13" i="9"/>
  <c r="BH108" i="3"/>
  <c r="BG108" i="9"/>
  <c r="BI57" i="3"/>
  <c r="BH67" i="3"/>
  <c r="BG67" i="9"/>
  <c r="BH106" i="3"/>
  <c r="BG106" i="9"/>
  <c r="BI25" i="3"/>
  <c r="BH28" i="3"/>
  <c r="BG28" i="9"/>
  <c r="BJ89" i="3"/>
  <c r="BG103" i="9"/>
  <c r="BG49" i="9"/>
  <c r="BH101" i="3"/>
  <c r="BG101" i="9"/>
  <c r="BI96" i="3"/>
  <c r="BH110" i="3"/>
  <c r="BG110" i="9"/>
  <c r="BH37" i="3"/>
  <c r="BG37" i="9"/>
  <c r="BH100" i="3"/>
  <c r="BG100" i="9"/>
  <c r="BG6" i="9"/>
  <c r="BH29" i="3"/>
  <c r="BG29" i="9"/>
  <c r="BH62" i="3"/>
  <c r="BG62" i="9"/>
  <c r="BH17" i="3"/>
  <c r="BG17" i="9"/>
  <c r="BI47" i="3"/>
  <c r="BH86" i="3"/>
  <c r="BG86" i="9"/>
  <c r="BJ113" i="3"/>
  <c r="BG5" i="9"/>
  <c r="BI55" i="3"/>
  <c r="BH94" i="3"/>
  <c r="BG94" i="9"/>
  <c r="BH30" i="3"/>
  <c r="BG30" i="9"/>
  <c r="BG88" i="9"/>
  <c r="BH75" i="3"/>
  <c r="BG75" i="9"/>
  <c r="BI103" i="3"/>
  <c r="BH98" i="3"/>
  <c r="BG98" i="9"/>
  <c r="BI49" i="3"/>
  <c r="BH34" i="3"/>
  <c r="BG34" i="9"/>
  <c r="BG102" i="9"/>
  <c r="BH44" i="3"/>
  <c r="BG44" i="9"/>
  <c r="BH115" i="3"/>
  <c r="BG115" i="9"/>
  <c r="BG8" i="9"/>
  <c r="BH70" i="3"/>
  <c r="BG70" i="9"/>
  <c r="BH16" i="3"/>
  <c r="BG16" i="9"/>
  <c r="BI6" i="3"/>
  <c r="BG14" i="9"/>
  <c r="BH27" i="3"/>
  <c r="BG27" i="9"/>
  <c r="BH45" i="3"/>
  <c r="BG45" i="9"/>
  <c r="BH59" i="3"/>
  <c r="BG59" i="9"/>
  <c r="BJ41" i="3"/>
  <c r="BH76" i="3"/>
  <c r="BG76" i="9"/>
  <c r="BI88" i="3"/>
  <c r="BH87" i="3"/>
  <c r="BG87" i="9"/>
  <c r="BH11" i="3"/>
  <c r="BG11" i="9"/>
  <c r="BG105" i="9"/>
  <c r="BH78" i="3"/>
  <c r="BG78" i="9"/>
  <c r="BG23" i="9"/>
  <c r="BI102" i="3"/>
  <c r="BI8" i="3"/>
  <c r="BH21" i="3"/>
  <c r="BG21" i="9"/>
  <c r="BH36" i="3"/>
  <c r="BG36" i="9"/>
  <c r="BH69" i="3"/>
  <c r="BG69" i="9"/>
  <c r="BG65" i="9"/>
  <c r="BH58" i="3"/>
  <c r="BG58" i="9"/>
  <c r="BI14" i="3"/>
  <c r="BH107" i="3"/>
  <c r="BG107" i="9"/>
  <c r="BG56" i="9"/>
  <c r="BJ81" i="3"/>
  <c r="BH93" i="3"/>
  <c r="BG93" i="9"/>
  <c r="BI24" i="3"/>
  <c r="BH20" i="3"/>
  <c r="BG20" i="9"/>
  <c r="BI40" i="3"/>
  <c r="BI72" i="3"/>
  <c r="BH71" i="3"/>
  <c r="BG71" i="9"/>
  <c r="BG55" i="9"/>
  <c r="BI5" i="3"/>
  <c r="BG112" i="9"/>
  <c r="BJ97" i="3"/>
  <c r="BI112" i="3"/>
  <c r="BG24" i="9"/>
  <c r="BG39" i="9"/>
  <c r="BH83" i="3"/>
  <c r="BG83" i="9"/>
  <c r="BH90" i="3"/>
  <c r="BG90" i="9"/>
  <c r="BH19" i="3"/>
  <c r="BG19" i="9"/>
  <c r="BI105" i="3"/>
  <c r="BI23" i="3"/>
  <c r="BH79" i="3"/>
  <c r="BG79" i="9"/>
  <c r="BH85" i="3"/>
  <c r="BG85" i="9"/>
  <c r="BG40" i="9"/>
  <c r="BG72" i="9"/>
  <c r="BG31" i="9"/>
  <c r="BH35" i="3"/>
  <c r="BG35" i="9"/>
  <c r="BI65" i="3"/>
  <c r="BG57" i="9"/>
  <c r="BG46" i="9"/>
  <c r="BH95" i="3"/>
  <c r="BG95" i="9"/>
  <c r="BI56" i="3"/>
  <c r="BH6" i="9" l="1"/>
  <c r="BH38" i="9"/>
  <c r="BI10" i="3"/>
  <c r="BH10" i="9"/>
  <c r="BH105" i="9"/>
  <c r="BH102" i="9"/>
  <c r="BJ6" i="3"/>
  <c r="BI98" i="3"/>
  <c r="BH98" i="9"/>
  <c r="BI86" i="3"/>
  <c r="BH86" i="9"/>
  <c r="BI29" i="3"/>
  <c r="BH29" i="9"/>
  <c r="BH96" i="9"/>
  <c r="BH57" i="9"/>
  <c r="BI52" i="3"/>
  <c r="BH52" i="9"/>
  <c r="BJ32" i="3"/>
  <c r="BH31" i="9"/>
  <c r="BI61" i="3"/>
  <c r="BH61" i="9"/>
  <c r="BH63" i="9"/>
  <c r="BH46" i="9"/>
  <c r="BJ23" i="3"/>
  <c r="BK89" i="3"/>
  <c r="BI43" i="3"/>
  <c r="BH43" i="9"/>
  <c r="BI95" i="3"/>
  <c r="BH95" i="9"/>
  <c r="BJ5" i="3"/>
  <c r="BJ105" i="3"/>
  <c r="BI20" i="3"/>
  <c r="BH20" i="9"/>
  <c r="BI69" i="3"/>
  <c r="BH69" i="9"/>
  <c r="BJ102" i="3"/>
  <c r="BI87" i="3"/>
  <c r="BH87" i="9"/>
  <c r="BI59" i="3"/>
  <c r="BH59" i="9"/>
  <c r="BI44" i="3"/>
  <c r="BH44" i="9"/>
  <c r="BH103" i="9"/>
  <c r="BI94" i="3"/>
  <c r="BH94" i="9"/>
  <c r="BH47" i="9"/>
  <c r="BJ96" i="3"/>
  <c r="BI28" i="3"/>
  <c r="BH28" i="9"/>
  <c r="BJ57" i="3"/>
  <c r="BI12" i="3"/>
  <c r="BH12" i="9"/>
  <c r="BJ31" i="3"/>
  <c r="BK64" i="3"/>
  <c r="BI109" i="3"/>
  <c r="BH109" i="9"/>
  <c r="BJ63" i="3"/>
  <c r="BK73" i="3"/>
  <c r="BI68" i="3"/>
  <c r="BH68" i="9"/>
  <c r="BI66" i="3"/>
  <c r="BH66" i="9"/>
  <c r="BJ46" i="3"/>
  <c r="BK81" i="3"/>
  <c r="BK41" i="3"/>
  <c r="BH32" i="9"/>
  <c r="BJ3" i="3"/>
  <c r="BI111" i="3"/>
  <c r="BH111" i="9"/>
  <c r="BI50" i="3"/>
  <c r="BH50" i="9"/>
  <c r="BI77" i="3"/>
  <c r="BH77" i="9"/>
  <c r="BI22" i="3"/>
  <c r="BH22" i="9"/>
  <c r="BH24" i="9"/>
  <c r="BI107" i="3"/>
  <c r="BH107" i="9"/>
  <c r="BH88" i="9"/>
  <c r="BI16" i="3"/>
  <c r="BH16" i="9"/>
  <c r="BJ103" i="3"/>
  <c r="BH55" i="9"/>
  <c r="BJ47" i="3"/>
  <c r="BH25" i="9"/>
  <c r="BI15" i="3"/>
  <c r="BH15" i="9"/>
  <c r="BH104" i="9"/>
  <c r="BH39" i="9"/>
  <c r="BI114" i="3"/>
  <c r="BH114" i="9"/>
  <c r="BJ40" i="3"/>
  <c r="BJ8" i="3"/>
  <c r="BI110" i="3"/>
  <c r="BH110" i="9"/>
  <c r="BH112" i="9"/>
  <c r="BH65" i="9"/>
  <c r="BI85" i="3"/>
  <c r="BH85" i="9"/>
  <c r="BI19" i="3"/>
  <c r="BH19" i="9"/>
  <c r="BJ112" i="3"/>
  <c r="BI71" i="3"/>
  <c r="BH71" i="9"/>
  <c r="BJ24" i="3"/>
  <c r="BH14" i="9"/>
  <c r="BI36" i="3"/>
  <c r="BH36" i="9"/>
  <c r="BJ88" i="3"/>
  <c r="BI45" i="3"/>
  <c r="BH45" i="9"/>
  <c r="BJ55" i="3"/>
  <c r="BI100" i="3"/>
  <c r="BH100" i="9"/>
  <c r="BI101" i="3"/>
  <c r="BH101" i="9"/>
  <c r="BJ25" i="3"/>
  <c r="BI108" i="3"/>
  <c r="BH108" i="9"/>
  <c r="BI54" i="3"/>
  <c r="BH54" i="9"/>
  <c r="BJ104" i="3"/>
  <c r="BJ39" i="3"/>
  <c r="BI53" i="3"/>
  <c r="BH53" i="9"/>
  <c r="BI26" i="3"/>
  <c r="BH26" i="9"/>
  <c r="BI2" i="3"/>
  <c r="BH2" i="9"/>
  <c r="BH81" i="9"/>
  <c r="BH97" i="9"/>
  <c r="BH89" i="9"/>
  <c r="BH113" i="9"/>
  <c r="BH33" i="9"/>
  <c r="BH64" i="9"/>
  <c r="BH73" i="9"/>
  <c r="BH41" i="9"/>
  <c r="BI7" i="3"/>
  <c r="BH7" i="9"/>
  <c r="BJ38" i="3"/>
  <c r="BI92" i="3"/>
  <c r="BH92" i="9"/>
  <c r="BI11" i="3"/>
  <c r="BH11" i="9"/>
  <c r="BI115" i="3"/>
  <c r="BH115" i="9"/>
  <c r="BI30" i="3"/>
  <c r="BH30" i="9"/>
  <c r="BI67" i="3"/>
  <c r="BH67" i="9"/>
  <c r="BH72" i="9"/>
  <c r="BI70" i="3"/>
  <c r="BH70" i="9"/>
  <c r="BI34" i="3"/>
  <c r="BH34" i="9"/>
  <c r="BI75" i="3"/>
  <c r="BH75" i="9"/>
  <c r="BI17" i="3"/>
  <c r="BH17" i="9"/>
  <c r="BI9" i="3"/>
  <c r="BH9" i="9"/>
  <c r="BH48" i="9"/>
  <c r="BI42" i="3"/>
  <c r="BH42" i="9"/>
  <c r="BH80" i="9"/>
  <c r="BJ14" i="3"/>
  <c r="BI78" i="3"/>
  <c r="BH78" i="9"/>
  <c r="BH56" i="9"/>
  <c r="BI79" i="3"/>
  <c r="BH79" i="9"/>
  <c r="BI90" i="3"/>
  <c r="BH90" i="9"/>
  <c r="BK97" i="3"/>
  <c r="BJ72" i="3"/>
  <c r="BI93" i="3"/>
  <c r="BH93" i="9"/>
  <c r="BI21" i="3"/>
  <c r="BH21" i="9"/>
  <c r="BI76" i="3"/>
  <c r="BH76" i="9"/>
  <c r="BI27" i="3"/>
  <c r="BH27" i="9"/>
  <c r="BH49" i="9"/>
  <c r="BI37" i="3"/>
  <c r="BH37" i="9"/>
  <c r="BI106" i="3"/>
  <c r="BH106" i="9"/>
  <c r="BI13" i="3"/>
  <c r="BH13" i="9"/>
  <c r="BH4" i="9"/>
  <c r="BJ48" i="3"/>
  <c r="BI74" i="3"/>
  <c r="BH74" i="9"/>
  <c r="BJ80" i="3"/>
  <c r="BI91" i="3"/>
  <c r="BH91" i="9"/>
  <c r="BI84" i="3"/>
  <c r="BH84" i="9"/>
  <c r="BI51" i="3"/>
  <c r="BH51" i="9"/>
  <c r="BI83" i="3"/>
  <c r="BH83" i="9"/>
  <c r="BK33" i="3"/>
  <c r="BJ65" i="3"/>
  <c r="BJ56" i="3"/>
  <c r="BI35" i="3"/>
  <c r="BH35" i="9"/>
  <c r="BH23" i="9"/>
  <c r="BH40" i="9"/>
  <c r="BI58" i="3"/>
  <c r="BH58" i="9"/>
  <c r="BH8" i="9"/>
  <c r="BJ49" i="3"/>
  <c r="BK113" i="3"/>
  <c r="BI62" i="3"/>
  <c r="BH62" i="9"/>
  <c r="BJ4" i="3"/>
  <c r="BI99" i="3"/>
  <c r="BH99" i="9"/>
  <c r="BH3" i="9"/>
  <c r="BI82" i="3"/>
  <c r="BH82" i="9"/>
  <c r="BI60" i="3"/>
  <c r="BH60" i="9"/>
  <c r="BI18" i="3"/>
  <c r="BH18" i="9"/>
  <c r="BI105" i="9" l="1"/>
  <c r="BI4" i="9"/>
  <c r="BI96" i="9"/>
  <c r="BJ18" i="3"/>
  <c r="BI18" i="9"/>
  <c r="BJ100" i="3"/>
  <c r="BI100" i="9"/>
  <c r="BJ109" i="3"/>
  <c r="BI109" i="9"/>
  <c r="BK5" i="3"/>
  <c r="BI75" i="9"/>
  <c r="BJ75" i="3"/>
  <c r="BI38" i="9"/>
  <c r="BI55" i="9"/>
  <c r="BJ19" i="3"/>
  <c r="BI19" i="9"/>
  <c r="BK8" i="3"/>
  <c r="BJ15" i="3"/>
  <c r="BI15" i="9"/>
  <c r="BJ16" i="3"/>
  <c r="BI16" i="9"/>
  <c r="BJ77" i="3"/>
  <c r="BI77" i="9"/>
  <c r="BJ52" i="3"/>
  <c r="BI52" i="9"/>
  <c r="BJ98" i="3"/>
  <c r="BI98" i="9"/>
  <c r="BJ60" i="3"/>
  <c r="BI60" i="9"/>
  <c r="BJ58" i="3"/>
  <c r="BI58" i="9"/>
  <c r="BK65" i="3"/>
  <c r="BJ84" i="3"/>
  <c r="BI84" i="9"/>
  <c r="BK48" i="3"/>
  <c r="BJ93" i="3"/>
  <c r="BI93" i="9"/>
  <c r="BJ79" i="3"/>
  <c r="BI79" i="9"/>
  <c r="BJ42" i="3"/>
  <c r="BI42" i="9"/>
  <c r="BJ30" i="3"/>
  <c r="BI30" i="9"/>
  <c r="BK38" i="3"/>
  <c r="BJ53" i="3"/>
  <c r="BI53" i="9"/>
  <c r="BJ108" i="3"/>
  <c r="BI108" i="9"/>
  <c r="BK55" i="3"/>
  <c r="BI24" i="9"/>
  <c r="BI40" i="9"/>
  <c r="BL41" i="3"/>
  <c r="BJ68" i="3"/>
  <c r="BI68" i="9"/>
  <c r="BL64" i="3"/>
  <c r="BJ28" i="3"/>
  <c r="BI28" i="9"/>
  <c r="BJ44" i="3"/>
  <c r="BI44" i="9"/>
  <c r="BJ69" i="3"/>
  <c r="BI69" i="9"/>
  <c r="BJ95" i="3"/>
  <c r="BI95" i="9"/>
  <c r="BI6" i="9"/>
  <c r="BI65" i="9"/>
  <c r="BI72" i="9"/>
  <c r="BJ34" i="3"/>
  <c r="BI34" i="9"/>
  <c r="BI39" i="9"/>
  <c r="BI25" i="9"/>
  <c r="BK24" i="3"/>
  <c r="BJ85" i="3"/>
  <c r="BI85" i="9"/>
  <c r="BK40" i="3"/>
  <c r="BI47" i="9"/>
  <c r="BJ50" i="3"/>
  <c r="BI50" i="9"/>
  <c r="BI31" i="9"/>
  <c r="BK6" i="3"/>
  <c r="BK56" i="3"/>
  <c r="BJ51" i="3"/>
  <c r="BI51" i="9"/>
  <c r="BJ74" i="3"/>
  <c r="BI74" i="9"/>
  <c r="BJ21" i="3"/>
  <c r="BI21" i="9"/>
  <c r="BK57" i="3"/>
  <c r="BK102" i="3"/>
  <c r="BK4" i="3"/>
  <c r="BJ37" i="3"/>
  <c r="BI37" i="9"/>
  <c r="BJ62" i="3"/>
  <c r="BI62" i="9"/>
  <c r="BJ82" i="3"/>
  <c r="BI82" i="9"/>
  <c r="BL33" i="3"/>
  <c r="BJ91" i="3"/>
  <c r="BI91" i="9"/>
  <c r="BJ27" i="3"/>
  <c r="BI27" i="9"/>
  <c r="BJ115" i="3"/>
  <c r="BI115" i="9"/>
  <c r="BJ7" i="3"/>
  <c r="BI7" i="9"/>
  <c r="BK39" i="3"/>
  <c r="BJ45" i="3"/>
  <c r="BI45" i="9"/>
  <c r="BJ107" i="3"/>
  <c r="BI107" i="9"/>
  <c r="BK31" i="3"/>
  <c r="BI80" i="9"/>
  <c r="BI104" i="9"/>
  <c r="BI88" i="9"/>
  <c r="BJ71" i="3"/>
  <c r="BI71" i="9"/>
  <c r="BJ114" i="3"/>
  <c r="BI114" i="9"/>
  <c r="BJ111" i="3"/>
  <c r="BI111" i="9"/>
  <c r="BI46" i="9"/>
  <c r="BI63" i="9"/>
  <c r="BJ29" i="3"/>
  <c r="BI29" i="9"/>
  <c r="BJ90" i="3"/>
  <c r="BI90" i="9"/>
  <c r="BJ67" i="3"/>
  <c r="BI67" i="9"/>
  <c r="BJ66" i="3"/>
  <c r="BI66" i="9"/>
  <c r="BI48" i="9"/>
  <c r="BK25" i="3"/>
  <c r="BK47" i="3"/>
  <c r="BL81" i="3"/>
  <c r="BJ59" i="3"/>
  <c r="BI59" i="9"/>
  <c r="BJ13" i="3"/>
  <c r="BI13" i="9"/>
  <c r="BJ78" i="3"/>
  <c r="BI78" i="9"/>
  <c r="BJ9" i="3"/>
  <c r="BI9" i="9"/>
  <c r="BJ70" i="3"/>
  <c r="BI70" i="9"/>
  <c r="BI49" i="9"/>
  <c r="BJ35" i="3"/>
  <c r="BI35" i="9"/>
  <c r="BJ83" i="3"/>
  <c r="BI83" i="9"/>
  <c r="BK80" i="3"/>
  <c r="BJ76" i="3"/>
  <c r="BI76" i="9"/>
  <c r="BL97" i="3"/>
  <c r="BI14" i="9"/>
  <c r="BJ11" i="3"/>
  <c r="BI11" i="9"/>
  <c r="BJ2" i="3"/>
  <c r="BI2" i="9"/>
  <c r="BI33" i="9"/>
  <c r="BI89" i="9"/>
  <c r="BI41" i="9"/>
  <c r="BI81" i="9"/>
  <c r="BI113" i="9"/>
  <c r="BI97" i="9"/>
  <c r="BI73" i="9"/>
  <c r="BI64" i="9"/>
  <c r="BK104" i="3"/>
  <c r="BJ101" i="3"/>
  <c r="BI101" i="9"/>
  <c r="BK88" i="3"/>
  <c r="BI112" i="9"/>
  <c r="BI103" i="9"/>
  <c r="BI3" i="9"/>
  <c r="BK46" i="3"/>
  <c r="BK63" i="3"/>
  <c r="BJ12" i="3"/>
  <c r="BI12" i="9"/>
  <c r="BJ87" i="3"/>
  <c r="BI87" i="9"/>
  <c r="BK105" i="3"/>
  <c r="BL89" i="3"/>
  <c r="BI32" i="9"/>
  <c r="BJ92" i="3"/>
  <c r="BI92" i="9"/>
  <c r="BJ26" i="3"/>
  <c r="BI26" i="9"/>
  <c r="BJ54" i="3"/>
  <c r="BI54" i="9"/>
  <c r="BJ36" i="3"/>
  <c r="BI36" i="9"/>
  <c r="BI8" i="9"/>
  <c r="BK23" i="3"/>
  <c r="BK72" i="3"/>
  <c r="BL73" i="3"/>
  <c r="BK96" i="3"/>
  <c r="BJ20" i="3"/>
  <c r="BI20" i="9"/>
  <c r="BJ43" i="3"/>
  <c r="BI43" i="9"/>
  <c r="BJ61" i="3"/>
  <c r="BI61" i="9"/>
  <c r="BL113" i="3"/>
  <c r="BJ99" i="3"/>
  <c r="BI99" i="9"/>
  <c r="BK49" i="3"/>
  <c r="BI56" i="9"/>
  <c r="BJ106" i="3"/>
  <c r="BI106" i="9"/>
  <c r="BK14" i="3"/>
  <c r="BJ17" i="3"/>
  <c r="BI17" i="9"/>
  <c r="BK112" i="3"/>
  <c r="BJ110" i="3"/>
  <c r="BI110" i="9"/>
  <c r="BK103" i="3"/>
  <c r="BJ22" i="3"/>
  <c r="BI22" i="9"/>
  <c r="BK3" i="3"/>
  <c r="BI57" i="9"/>
  <c r="BJ94" i="3"/>
  <c r="BI94" i="9"/>
  <c r="BI102" i="9"/>
  <c r="BI5" i="9"/>
  <c r="BI23" i="9"/>
  <c r="BK32" i="3"/>
  <c r="BJ86" i="3"/>
  <c r="BI86" i="9"/>
  <c r="BJ10" i="3"/>
  <c r="BI10" i="9"/>
  <c r="BJ48" i="9" l="1"/>
  <c r="BL14" i="3"/>
  <c r="BK92" i="3"/>
  <c r="BJ92" i="9"/>
  <c r="BK45" i="3"/>
  <c r="BJ45" i="9"/>
  <c r="BK27" i="3"/>
  <c r="BJ27" i="9"/>
  <c r="BL57" i="3"/>
  <c r="BL56" i="3"/>
  <c r="BL40" i="3"/>
  <c r="BK34" i="3"/>
  <c r="BJ34" i="9"/>
  <c r="BJ8" i="9"/>
  <c r="BM113" i="3"/>
  <c r="BL96" i="3"/>
  <c r="BJ12" i="9"/>
  <c r="BK12" i="3"/>
  <c r="BJ88" i="9"/>
  <c r="BL80" i="3"/>
  <c r="BK66" i="3"/>
  <c r="BJ66" i="9"/>
  <c r="BJ39" i="9"/>
  <c r="BJ6" i="9"/>
  <c r="BK44" i="3"/>
  <c r="BJ44" i="9"/>
  <c r="BM41" i="3"/>
  <c r="BK53" i="3"/>
  <c r="BJ53" i="9"/>
  <c r="BK79" i="3"/>
  <c r="BJ79" i="9"/>
  <c r="BL65" i="3"/>
  <c r="BK52" i="3"/>
  <c r="BJ52" i="9"/>
  <c r="BL8" i="3"/>
  <c r="BL5" i="3"/>
  <c r="BK10" i="3"/>
  <c r="BJ10" i="9"/>
  <c r="BK70" i="3"/>
  <c r="BJ70" i="9"/>
  <c r="BJ65" i="9"/>
  <c r="BK36" i="3"/>
  <c r="BJ36" i="9"/>
  <c r="BJ63" i="9"/>
  <c r="BL88" i="3"/>
  <c r="BK11" i="3"/>
  <c r="BJ11" i="9"/>
  <c r="BK9" i="3"/>
  <c r="BJ9" i="9"/>
  <c r="BM81" i="3"/>
  <c r="BL39" i="3"/>
  <c r="BK91" i="3"/>
  <c r="BJ91" i="9"/>
  <c r="BK37" i="3"/>
  <c r="BJ37" i="9"/>
  <c r="BK21" i="3"/>
  <c r="BJ21" i="9"/>
  <c r="BL6" i="3"/>
  <c r="BK85" i="3"/>
  <c r="BJ85" i="9"/>
  <c r="BJ38" i="9"/>
  <c r="BJ5" i="9"/>
  <c r="BK94" i="3"/>
  <c r="BJ94" i="9"/>
  <c r="BK110" i="3"/>
  <c r="BJ110" i="9"/>
  <c r="BJ32" i="9"/>
  <c r="BJ3" i="9"/>
  <c r="BJ112" i="9"/>
  <c r="BK61" i="3"/>
  <c r="BJ61" i="9"/>
  <c r="BM73" i="3"/>
  <c r="BM89" i="3"/>
  <c r="BL63" i="3"/>
  <c r="BK83" i="3"/>
  <c r="BJ83" i="9"/>
  <c r="BJ47" i="9"/>
  <c r="BK67" i="3"/>
  <c r="BJ67" i="9"/>
  <c r="BK111" i="3"/>
  <c r="BJ111" i="9"/>
  <c r="BJ31" i="9"/>
  <c r="BJ4" i="9"/>
  <c r="BJ24" i="9"/>
  <c r="BK28" i="3"/>
  <c r="BJ28" i="9"/>
  <c r="BL38" i="3"/>
  <c r="BK93" i="3"/>
  <c r="BJ93" i="9"/>
  <c r="BK58" i="3"/>
  <c r="BJ58" i="9"/>
  <c r="BK77" i="3"/>
  <c r="BJ77" i="9"/>
  <c r="BK19" i="3"/>
  <c r="BJ19" i="9"/>
  <c r="BK109" i="3"/>
  <c r="BJ109" i="9"/>
  <c r="BJ96" i="9"/>
  <c r="BK62" i="3"/>
  <c r="BJ62" i="9"/>
  <c r="BK54" i="3"/>
  <c r="BJ54" i="9"/>
  <c r="BK78" i="3"/>
  <c r="BJ78" i="9"/>
  <c r="BL47" i="3"/>
  <c r="BL31" i="3"/>
  <c r="BK7" i="3"/>
  <c r="BJ7" i="9"/>
  <c r="BM33" i="3"/>
  <c r="BL4" i="3"/>
  <c r="BK74" i="3"/>
  <c r="BJ74" i="9"/>
  <c r="BL24" i="3"/>
  <c r="BJ55" i="9"/>
  <c r="BK2" i="3"/>
  <c r="BJ2" i="9"/>
  <c r="BJ97" i="9"/>
  <c r="BJ89" i="9"/>
  <c r="BJ113" i="9"/>
  <c r="BJ33" i="9"/>
  <c r="BJ73" i="9"/>
  <c r="BJ81" i="9"/>
  <c r="BJ64" i="9"/>
  <c r="BJ41" i="9"/>
  <c r="BK59" i="3"/>
  <c r="BJ59" i="9"/>
  <c r="BK86" i="3"/>
  <c r="BJ86" i="9"/>
  <c r="BK106" i="3"/>
  <c r="BJ106" i="9"/>
  <c r="BL32" i="3"/>
  <c r="BL3" i="3"/>
  <c r="BL112" i="3"/>
  <c r="BJ49" i="9"/>
  <c r="BJ72" i="9"/>
  <c r="BJ105" i="9"/>
  <c r="BJ46" i="9"/>
  <c r="BK101" i="3"/>
  <c r="BJ101" i="9"/>
  <c r="BL49" i="3"/>
  <c r="BK43" i="3"/>
  <c r="BJ43" i="9"/>
  <c r="BL72" i="3"/>
  <c r="BL105" i="3"/>
  <c r="BL46" i="3"/>
  <c r="BJ104" i="9"/>
  <c r="BM97" i="3"/>
  <c r="BK35" i="3"/>
  <c r="BJ35" i="9"/>
  <c r="BJ25" i="9"/>
  <c r="BK90" i="3"/>
  <c r="BJ90" i="9"/>
  <c r="BK114" i="3"/>
  <c r="BJ114" i="9"/>
  <c r="BJ102" i="9"/>
  <c r="BK50" i="3"/>
  <c r="BJ50" i="9"/>
  <c r="BK95" i="3"/>
  <c r="BJ95" i="9"/>
  <c r="BM64" i="3"/>
  <c r="BL55" i="3"/>
  <c r="BK30" i="3"/>
  <c r="BJ30" i="9"/>
  <c r="BL48" i="3"/>
  <c r="BK60" i="3"/>
  <c r="BJ60" i="9"/>
  <c r="BK16" i="3"/>
  <c r="BJ16" i="9"/>
  <c r="BK100" i="3"/>
  <c r="BJ100" i="9"/>
  <c r="BJ80" i="9"/>
  <c r="BK22" i="3"/>
  <c r="BJ22" i="9"/>
  <c r="BL104" i="3"/>
  <c r="BK13" i="3"/>
  <c r="BJ13" i="9"/>
  <c r="BL25" i="3"/>
  <c r="BK107" i="3"/>
  <c r="BJ107" i="9"/>
  <c r="BK115" i="3"/>
  <c r="BJ115" i="9"/>
  <c r="BK82" i="3"/>
  <c r="BJ82" i="9"/>
  <c r="BL102" i="3"/>
  <c r="BK51" i="3"/>
  <c r="BJ51" i="9"/>
  <c r="BK75" i="3"/>
  <c r="BJ75" i="9"/>
  <c r="BL103" i="3"/>
  <c r="BK17" i="3"/>
  <c r="BJ17" i="9"/>
  <c r="BJ23" i="9"/>
  <c r="BK26" i="3"/>
  <c r="BJ26" i="9"/>
  <c r="BJ103" i="9"/>
  <c r="BJ14" i="9"/>
  <c r="BK99" i="3"/>
  <c r="BJ99" i="9"/>
  <c r="BK20" i="3"/>
  <c r="BJ20" i="9"/>
  <c r="BL23" i="3"/>
  <c r="BK87" i="3"/>
  <c r="BJ87" i="9"/>
  <c r="BK76" i="3"/>
  <c r="BJ76" i="9"/>
  <c r="BK29" i="3"/>
  <c r="BJ29" i="9"/>
  <c r="BK71" i="3"/>
  <c r="BJ71" i="9"/>
  <c r="BJ57" i="9"/>
  <c r="BJ56" i="9"/>
  <c r="BJ40" i="9"/>
  <c r="BK69" i="3"/>
  <c r="BJ69" i="9"/>
  <c r="BK68" i="3"/>
  <c r="BJ68" i="9"/>
  <c r="BK108" i="3"/>
  <c r="BJ108" i="9"/>
  <c r="BK42" i="3"/>
  <c r="BJ42" i="9"/>
  <c r="BK84" i="3"/>
  <c r="BJ84" i="9"/>
  <c r="BK98" i="3"/>
  <c r="BJ98" i="9"/>
  <c r="BK15" i="3"/>
  <c r="BJ15" i="9"/>
  <c r="BK18" i="3"/>
  <c r="BJ18" i="9"/>
  <c r="BK63" i="9" l="1"/>
  <c r="BK4" i="9"/>
  <c r="BK23" i="9"/>
  <c r="BL43" i="3"/>
  <c r="BK43" i="9"/>
  <c r="BM6" i="3"/>
  <c r="BM88" i="3"/>
  <c r="BL12" i="3"/>
  <c r="BK12" i="9"/>
  <c r="BL98" i="3"/>
  <c r="BK98" i="9"/>
  <c r="BL68" i="3"/>
  <c r="BK68" i="9"/>
  <c r="BL51" i="3"/>
  <c r="BK51" i="9"/>
  <c r="BL107" i="3"/>
  <c r="BK107" i="9"/>
  <c r="BL22" i="3"/>
  <c r="BK22" i="9"/>
  <c r="BK48" i="9"/>
  <c r="BL90" i="3"/>
  <c r="BK90" i="9"/>
  <c r="BM46" i="3"/>
  <c r="BM49" i="3"/>
  <c r="BM112" i="3"/>
  <c r="BL86" i="3"/>
  <c r="BK86" i="9"/>
  <c r="BK31" i="9"/>
  <c r="BL77" i="3"/>
  <c r="BK77" i="9"/>
  <c r="BL28" i="3"/>
  <c r="BK28" i="9"/>
  <c r="BK5" i="9"/>
  <c r="BK40" i="9"/>
  <c r="BK88" i="9"/>
  <c r="BL71" i="3"/>
  <c r="BK71" i="9"/>
  <c r="BM23" i="3"/>
  <c r="BL60" i="3"/>
  <c r="BK60" i="9"/>
  <c r="BM65" i="3"/>
  <c r="BL29" i="3"/>
  <c r="BK29" i="9"/>
  <c r="BL20" i="3"/>
  <c r="BK20" i="9"/>
  <c r="BK102" i="9"/>
  <c r="BK25" i="9"/>
  <c r="BM48" i="3"/>
  <c r="BL95" i="3"/>
  <c r="BK95" i="9"/>
  <c r="BK105" i="9"/>
  <c r="BK3" i="9"/>
  <c r="BL74" i="3"/>
  <c r="BK74" i="9"/>
  <c r="BM31" i="3"/>
  <c r="BL62" i="3"/>
  <c r="BK62" i="9"/>
  <c r="BL94" i="3"/>
  <c r="BK94" i="9"/>
  <c r="BL21" i="3"/>
  <c r="BK21" i="9"/>
  <c r="BN81" i="3"/>
  <c r="BM5" i="3"/>
  <c r="BL79" i="3"/>
  <c r="BK79" i="9"/>
  <c r="BK96" i="9"/>
  <c r="BM40" i="3"/>
  <c r="BL45" i="3"/>
  <c r="BK45" i="9"/>
  <c r="BL19" i="3"/>
  <c r="BK19" i="9"/>
  <c r="BK6" i="9"/>
  <c r="BK39" i="9"/>
  <c r="BK65" i="9"/>
  <c r="BL26" i="3"/>
  <c r="BK26" i="9"/>
  <c r="BL54" i="3"/>
  <c r="BK54" i="9"/>
  <c r="BN73" i="3"/>
  <c r="BM39" i="3"/>
  <c r="BL34" i="3"/>
  <c r="BK34" i="9"/>
  <c r="BL84" i="3"/>
  <c r="BK84" i="9"/>
  <c r="BL69" i="3"/>
  <c r="BK69" i="9"/>
  <c r="BM25" i="3"/>
  <c r="BM105" i="3"/>
  <c r="BL101" i="3"/>
  <c r="BK101" i="9"/>
  <c r="BM3" i="3"/>
  <c r="BL59" i="3"/>
  <c r="BK59" i="9"/>
  <c r="BK47" i="9"/>
  <c r="BL58" i="3"/>
  <c r="BK58" i="9"/>
  <c r="BL83" i="3"/>
  <c r="BK83" i="9"/>
  <c r="BL61" i="3"/>
  <c r="BK61" i="9"/>
  <c r="BL36" i="3"/>
  <c r="BK36" i="9"/>
  <c r="BK8" i="9"/>
  <c r="BM96" i="3"/>
  <c r="BK56" i="9"/>
  <c r="BL106" i="3"/>
  <c r="BK106" i="9"/>
  <c r="BK24" i="9"/>
  <c r="BM38" i="3"/>
  <c r="BN64" i="3"/>
  <c r="BK46" i="9"/>
  <c r="BK112" i="9"/>
  <c r="BL7" i="3"/>
  <c r="BK7" i="9"/>
  <c r="BL67" i="3"/>
  <c r="BK67" i="9"/>
  <c r="BL10" i="3"/>
  <c r="BK10" i="9"/>
  <c r="BL17" i="3"/>
  <c r="BK17" i="9"/>
  <c r="BM102" i="3"/>
  <c r="BL76" i="3"/>
  <c r="BK76" i="9"/>
  <c r="BL99" i="3"/>
  <c r="BK99" i="9"/>
  <c r="BK103" i="9"/>
  <c r="BL100" i="3"/>
  <c r="BK100" i="9"/>
  <c r="BK30" i="9"/>
  <c r="BL30" i="3"/>
  <c r="BL50" i="3"/>
  <c r="BK50" i="9"/>
  <c r="BL35" i="3"/>
  <c r="BK35" i="9"/>
  <c r="BK72" i="9"/>
  <c r="BK32" i="9"/>
  <c r="BM4" i="3"/>
  <c r="BM47" i="3"/>
  <c r="BL37" i="3"/>
  <c r="BK37" i="9"/>
  <c r="BL9" i="3"/>
  <c r="BK9" i="9"/>
  <c r="BM8" i="3"/>
  <c r="BL53" i="3"/>
  <c r="BK53" i="9"/>
  <c r="BL66" i="3"/>
  <c r="BK66" i="9"/>
  <c r="BM56" i="3"/>
  <c r="BL92" i="3"/>
  <c r="BK92" i="9"/>
  <c r="BL75" i="3"/>
  <c r="BK75" i="9"/>
  <c r="BM104" i="3"/>
  <c r="BL114" i="3"/>
  <c r="BK114" i="9"/>
  <c r="BN89" i="3"/>
  <c r="BL44" i="3"/>
  <c r="BK44" i="9"/>
  <c r="BL18" i="3"/>
  <c r="BK18" i="9"/>
  <c r="BL42" i="3"/>
  <c r="BK42" i="9"/>
  <c r="BM103" i="3"/>
  <c r="BL82" i="3"/>
  <c r="BK82" i="9"/>
  <c r="BL13" i="3"/>
  <c r="BK13" i="9"/>
  <c r="BK55" i="9"/>
  <c r="BM72" i="3"/>
  <c r="BM32" i="3"/>
  <c r="BL2" i="3"/>
  <c r="BK2" i="9"/>
  <c r="BK113" i="9"/>
  <c r="BK89" i="9"/>
  <c r="BK64" i="9"/>
  <c r="BK97" i="9"/>
  <c r="BK33" i="9"/>
  <c r="BK73" i="9"/>
  <c r="BK81" i="9"/>
  <c r="BK41" i="9"/>
  <c r="BL109" i="3"/>
  <c r="BK109" i="9"/>
  <c r="BL93" i="3"/>
  <c r="BK93" i="9"/>
  <c r="BM63" i="3"/>
  <c r="BK80" i="9"/>
  <c r="BN113" i="3"/>
  <c r="BK57" i="9"/>
  <c r="BK14" i="9"/>
  <c r="BL15" i="3"/>
  <c r="BK15" i="9"/>
  <c r="BL108" i="3"/>
  <c r="BK108" i="9"/>
  <c r="BL115" i="3"/>
  <c r="BK115" i="9"/>
  <c r="BK49" i="9"/>
  <c r="BM24" i="3"/>
  <c r="BL110" i="3"/>
  <c r="BK110" i="9"/>
  <c r="BL27" i="3"/>
  <c r="BK27" i="9"/>
  <c r="BL87" i="3"/>
  <c r="BK87" i="9"/>
  <c r="BK104" i="9"/>
  <c r="BL16" i="3"/>
  <c r="BK16" i="9"/>
  <c r="BM55" i="3"/>
  <c r="BN97" i="3"/>
  <c r="BN33" i="3"/>
  <c r="BL78" i="3"/>
  <c r="BK78" i="9"/>
  <c r="BK38" i="9"/>
  <c r="BL111" i="3"/>
  <c r="BK111" i="9"/>
  <c r="BL85" i="3"/>
  <c r="BK85" i="9"/>
  <c r="BL91" i="3"/>
  <c r="BK91" i="9"/>
  <c r="BL11" i="3"/>
  <c r="BK11" i="9"/>
  <c r="BL70" i="3"/>
  <c r="BK70" i="9"/>
  <c r="BK52" i="9"/>
  <c r="BL52" i="3"/>
  <c r="BN41" i="3"/>
  <c r="BM80" i="3"/>
  <c r="BM57" i="3"/>
  <c r="BM14" i="3"/>
  <c r="BL57" i="9" l="1"/>
  <c r="BL46" i="9"/>
  <c r="BN3" i="3"/>
  <c r="BO73" i="3"/>
  <c r="BM94" i="3"/>
  <c r="BL94" i="9"/>
  <c r="BM115" i="3"/>
  <c r="BL115" i="9"/>
  <c r="BO113" i="3"/>
  <c r="BM13" i="3"/>
  <c r="BL13" i="9"/>
  <c r="BM18" i="3"/>
  <c r="BL18" i="9"/>
  <c r="BN104" i="3"/>
  <c r="BM66" i="3"/>
  <c r="BL66" i="9"/>
  <c r="BM37" i="3"/>
  <c r="BL37" i="9"/>
  <c r="BM35" i="3"/>
  <c r="BL35" i="9"/>
  <c r="BL96" i="9"/>
  <c r="BM83" i="3"/>
  <c r="BL83" i="9"/>
  <c r="BM19" i="3"/>
  <c r="BL19" i="9"/>
  <c r="BL5" i="9"/>
  <c r="BM77" i="3"/>
  <c r="BL77" i="9"/>
  <c r="BM107" i="3"/>
  <c r="BL107" i="9"/>
  <c r="BM12" i="3"/>
  <c r="BL12" i="9"/>
  <c r="BM85" i="3"/>
  <c r="BL85" i="9"/>
  <c r="BM111" i="3"/>
  <c r="BL111" i="9"/>
  <c r="BM2" i="3"/>
  <c r="BL2" i="9"/>
  <c r="BL89" i="9"/>
  <c r="BL41" i="9"/>
  <c r="BL33" i="9"/>
  <c r="BL97" i="9"/>
  <c r="BL113" i="9"/>
  <c r="BL81" i="9"/>
  <c r="BL73" i="9"/>
  <c r="BL64" i="9"/>
  <c r="BL47" i="9"/>
  <c r="BM99" i="3"/>
  <c r="BL99" i="9"/>
  <c r="BM10" i="3"/>
  <c r="BL10" i="9"/>
  <c r="BO64" i="3"/>
  <c r="BN96" i="3"/>
  <c r="BM101" i="3"/>
  <c r="BL101" i="9"/>
  <c r="BM84" i="3"/>
  <c r="BL84" i="9"/>
  <c r="BM54" i="3"/>
  <c r="BL54" i="9"/>
  <c r="BN5" i="3"/>
  <c r="BM62" i="3"/>
  <c r="BL62" i="9"/>
  <c r="BM95" i="3"/>
  <c r="BL95" i="9"/>
  <c r="BM29" i="3"/>
  <c r="BL29" i="9"/>
  <c r="BM71" i="3"/>
  <c r="BL71" i="9"/>
  <c r="BN46" i="3"/>
  <c r="BL88" i="9"/>
  <c r="BM17" i="3"/>
  <c r="BL17" i="9"/>
  <c r="BM20" i="3"/>
  <c r="BL20" i="9"/>
  <c r="BN23" i="3"/>
  <c r="BN49" i="3"/>
  <c r="BO97" i="3"/>
  <c r="BM70" i="3"/>
  <c r="BL70" i="9"/>
  <c r="BL55" i="9"/>
  <c r="BM27" i="3"/>
  <c r="BL27" i="9"/>
  <c r="BL80" i="9"/>
  <c r="BN55" i="3"/>
  <c r="BL32" i="9"/>
  <c r="BM82" i="3"/>
  <c r="BL82" i="9"/>
  <c r="BM44" i="3"/>
  <c r="BL44" i="9"/>
  <c r="BM75" i="3"/>
  <c r="BL75" i="9"/>
  <c r="BM53" i="3"/>
  <c r="BL53" i="9"/>
  <c r="BN47" i="3"/>
  <c r="BM50" i="3"/>
  <c r="BL50" i="9"/>
  <c r="BL38" i="9"/>
  <c r="BM58" i="3"/>
  <c r="BL58" i="9"/>
  <c r="BL105" i="9"/>
  <c r="BM45" i="3"/>
  <c r="BL45" i="9"/>
  <c r="BL31" i="9"/>
  <c r="BL48" i="9"/>
  <c r="BL65" i="9"/>
  <c r="BM51" i="3"/>
  <c r="BL51" i="9"/>
  <c r="BN88" i="3"/>
  <c r="BM109" i="3"/>
  <c r="BL109" i="9"/>
  <c r="BM69" i="3"/>
  <c r="BL69" i="9"/>
  <c r="BM79" i="3"/>
  <c r="BL79" i="9"/>
  <c r="BN57" i="3"/>
  <c r="BM108" i="3"/>
  <c r="BL108" i="9"/>
  <c r="BL63" i="9"/>
  <c r="BN80" i="3"/>
  <c r="BM11" i="3"/>
  <c r="BL11" i="9"/>
  <c r="BM110" i="3"/>
  <c r="BL110" i="9"/>
  <c r="BN63" i="3"/>
  <c r="BN32" i="3"/>
  <c r="BL103" i="9"/>
  <c r="BL8" i="9"/>
  <c r="BL4" i="9"/>
  <c r="BM30" i="3"/>
  <c r="BL30" i="9"/>
  <c r="BM76" i="3"/>
  <c r="BL76" i="9"/>
  <c r="BM67" i="3"/>
  <c r="BL67" i="9"/>
  <c r="BN38" i="3"/>
  <c r="BN105" i="3"/>
  <c r="BM34" i="3"/>
  <c r="BL34" i="9"/>
  <c r="BM26" i="3"/>
  <c r="BL26" i="9"/>
  <c r="BL40" i="9"/>
  <c r="BO81" i="3"/>
  <c r="BN31" i="3"/>
  <c r="BN48" i="3"/>
  <c r="BN65" i="3"/>
  <c r="BM86" i="3"/>
  <c r="BL86" i="9"/>
  <c r="BM90" i="3"/>
  <c r="BL90" i="9"/>
  <c r="BL6" i="9"/>
  <c r="BM87" i="3"/>
  <c r="BL87" i="9"/>
  <c r="BL104" i="9"/>
  <c r="BM78" i="3"/>
  <c r="BL78" i="9"/>
  <c r="BM16" i="3"/>
  <c r="BL16" i="9"/>
  <c r="BL24" i="9"/>
  <c r="BM15" i="3"/>
  <c r="BL15" i="9"/>
  <c r="BL72" i="9"/>
  <c r="BN103" i="3"/>
  <c r="BO89" i="3"/>
  <c r="BM92" i="3"/>
  <c r="BL92" i="9"/>
  <c r="BN8" i="3"/>
  <c r="BN4" i="3"/>
  <c r="BL102" i="9"/>
  <c r="BM36" i="3"/>
  <c r="BL36" i="9"/>
  <c r="BL25" i="9"/>
  <c r="BL39" i="9"/>
  <c r="BN40" i="3"/>
  <c r="BL112" i="9"/>
  <c r="BM68" i="3"/>
  <c r="BL68" i="9"/>
  <c r="BN6" i="3"/>
  <c r="BN14" i="3"/>
  <c r="BN24" i="3"/>
  <c r="BM93" i="3"/>
  <c r="BL93" i="9"/>
  <c r="BN72" i="3"/>
  <c r="BL56" i="9"/>
  <c r="BN102" i="3"/>
  <c r="BM7" i="3"/>
  <c r="BL7" i="9"/>
  <c r="BM59" i="3"/>
  <c r="BL59" i="9"/>
  <c r="BN25" i="3"/>
  <c r="BN39" i="3"/>
  <c r="BM21" i="3"/>
  <c r="BL21" i="9"/>
  <c r="BM74" i="3"/>
  <c r="BL74" i="9"/>
  <c r="BM60" i="3"/>
  <c r="BL60" i="9"/>
  <c r="BN112" i="3"/>
  <c r="BO41" i="3"/>
  <c r="BM91" i="3"/>
  <c r="BL91" i="9"/>
  <c r="BL14" i="9"/>
  <c r="BM52" i="3"/>
  <c r="BL52" i="9"/>
  <c r="BO33" i="3"/>
  <c r="BM42" i="3"/>
  <c r="BL42" i="9"/>
  <c r="BM114" i="3"/>
  <c r="BL114" i="9"/>
  <c r="BN56" i="3"/>
  <c r="BM9" i="3"/>
  <c r="BL9" i="9"/>
  <c r="BM100" i="3"/>
  <c r="BL100" i="9"/>
  <c r="BM106" i="3"/>
  <c r="BL106" i="9"/>
  <c r="BM61" i="3"/>
  <c r="BL61" i="9"/>
  <c r="BL3" i="9"/>
  <c r="BL23" i="9"/>
  <c r="BM28" i="3"/>
  <c r="BL28" i="9"/>
  <c r="BL49" i="9"/>
  <c r="BM22" i="3"/>
  <c r="BL22" i="9"/>
  <c r="BM98" i="3"/>
  <c r="BL98" i="9"/>
  <c r="BM43" i="3"/>
  <c r="BL43" i="9"/>
  <c r="BM25" i="9" l="1"/>
  <c r="BM23" i="9"/>
  <c r="BN98" i="3"/>
  <c r="BM98" i="9"/>
  <c r="BM56" i="9"/>
  <c r="BO112" i="3"/>
  <c r="BO39" i="3"/>
  <c r="BO102" i="3"/>
  <c r="BM14" i="9"/>
  <c r="BO40" i="3"/>
  <c r="BM8" i="9"/>
  <c r="BM65" i="9"/>
  <c r="BO38" i="3"/>
  <c r="BO57" i="3"/>
  <c r="BO88" i="3"/>
  <c r="BN70" i="3"/>
  <c r="BM70" i="9"/>
  <c r="BN20" i="3"/>
  <c r="BM20" i="9"/>
  <c r="BN2" i="3"/>
  <c r="BM2" i="9"/>
  <c r="BM73" i="9"/>
  <c r="BM33" i="9"/>
  <c r="BM41" i="9"/>
  <c r="BM89" i="9"/>
  <c r="BM97" i="9"/>
  <c r="BM81" i="9"/>
  <c r="BM113" i="9"/>
  <c r="BM64" i="9"/>
  <c r="BN107" i="3"/>
  <c r="BM107" i="9"/>
  <c r="BO104" i="3"/>
  <c r="BN115" i="3"/>
  <c r="BM115" i="9"/>
  <c r="BM112" i="9"/>
  <c r="BO103" i="3"/>
  <c r="BM57" i="9"/>
  <c r="BO47" i="3"/>
  <c r="BO56" i="3"/>
  <c r="BN52" i="3"/>
  <c r="BM52" i="9"/>
  <c r="BO14" i="3"/>
  <c r="BN11" i="3"/>
  <c r="BM11" i="9"/>
  <c r="BN53" i="3"/>
  <c r="BM53" i="9"/>
  <c r="BM55" i="9"/>
  <c r="BN29" i="3"/>
  <c r="BM29" i="9"/>
  <c r="BN54" i="3"/>
  <c r="BM54" i="9"/>
  <c r="BP64" i="3"/>
  <c r="BM102" i="9"/>
  <c r="BN78" i="3"/>
  <c r="BM78" i="9"/>
  <c r="BN71" i="3"/>
  <c r="BM71" i="9"/>
  <c r="BO5" i="3"/>
  <c r="BN83" i="3"/>
  <c r="BM83" i="9"/>
  <c r="BO8" i="3"/>
  <c r="BO65" i="3"/>
  <c r="BN22" i="3"/>
  <c r="BM22" i="9"/>
  <c r="BN60" i="3"/>
  <c r="BM60" i="9"/>
  <c r="BO25" i="3"/>
  <c r="BM72" i="9"/>
  <c r="BM6" i="9"/>
  <c r="BN15" i="3"/>
  <c r="BM15" i="9"/>
  <c r="BN87" i="3"/>
  <c r="BM87" i="9"/>
  <c r="BM48" i="9"/>
  <c r="BN26" i="3"/>
  <c r="BM26" i="9"/>
  <c r="BN67" i="3"/>
  <c r="BM67" i="9"/>
  <c r="BM32" i="9"/>
  <c r="BM80" i="9"/>
  <c r="BN79" i="3"/>
  <c r="BM79" i="9"/>
  <c r="BN51" i="3"/>
  <c r="BM51" i="9"/>
  <c r="BN58" i="3"/>
  <c r="BM58" i="9"/>
  <c r="BO55" i="3"/>
  <c r="BP97" i="3"/>
  <c r="BN17" i="3"/>
  <c r="BM17" i="9"/>
  <c r="BN111" i="3"/>
  <c r="BM111" i="9"/>
  <c r="BN77" i="3"/>
  <c r="BM77" i="9"/>
  <c r="BN35" i="3"/>
  <c r="BM35" i="9"/>
  <c r="BN18" i="3"/>
  <c r="BM18" i="9"/>
  <c r="BN94" i="3"/>
  <c r="BM94" i="9"/>
  <c r="BN9" i="3"/>
  <c r="BM9" i="9"/>
  <c r="BO24" i="3"/>
  <c r="BP81" i="3"/>
  <c r="BO96" i="3"/>
  <c r="BN92" i="3"/>
  <c r="BM92" i="9"/>
  <c r="BO48" i="3"/>
  <c r="BO32" i="3"/>
  <c r="BO80" i="3"/>
  <c r="BN75" i="3"/>
  <c r="BM75" i="9"/>
  <c r="BM49" i="9"/>
  <c r="BN95" i="3"/>
  <c r="BM95" i="9"/>
  <c r="BN84" i="3"/>
  <c r="BM84" i="9"/>
  <c r="BN10" i="3"/>
  <c r="BM10" i="9"/>
  <c r="BM39" i="9"/>
  <c r="BO4" i="3"/>
  <c r="BN86" i="3"/>
  <c r="BM86" i="9"/>
  <c r="BM88" i="9"/>
  <c r="BN45" i="3"/>
  <c r="BM45" i="9"/>
  <c r="BN82" i="3"/>
  <c r="BM82" i="9"/>
  <c r="BM104" i="9"/>
  <c r="BN61" i="3"/>
  <c r="BM61" i="9"/>
  <c r="BN114" i="3"/>
  <c r="BM114" i="9"/>
  <c r="BN91" i="3"/>
  <c r="BM91" i="9"/>
  <c r="BN74" i="3"/>
  <c r="BM74" i="9"/>
  <c r="BN59" i="3"/>
  <c r="BM59" i="9"/>
  <c r="BN36" i="3"/>
  <c r="BM36" i="9"/>
  <c r="BM31" i="9"/>
  <c r="BN34" i="3"/>
  <c r="BM34" i="9"/>
  <c r="BN76" i="3"/>
  <c r="BM76" i="9"/>
  <c r="BM63" i="9"/>
  <c r="BN69" i="3"/>
  <c r="BM69" i="9"/>
  <c r="BO49" i="3"/>
  <c r="BM46" i="9"/>
  <c r="BN85" i="3"/>
  <c r="BM85" i="9"/>
  <c r="BN37" i="3"/>
  <c r="BM37" i="9"/>
  <c r="BN13" i="3"/>
  <c r="BM13" i="9"/>
  <c r="BP73" i="3"/>
  <c r="BM40" i="9"/>
  <c r="BN110" i="3"/>
  <c r="BM110" i="9"/>
  <c r="BN106" i="3"/>
  <c r="BM106" i="9"/>
  <c r="BN28" i="3"/>
  <c r="BM28" i="9"/>
  <c r="BN100" i="3"/>
  <c r="BM100" i="9"/>
  <c r="BN42" i="3"/>
  <c r="BM42" i="9"/>
  <c r="BN93" i="3"/>
  <c r="BM93" i="9"/>
  <c r="BN68" i="3"/>
  <c r="BM68" i="9"/>
  <c r="BP89" i="3"/>
  <c r="BN16" i="3"/>
  <c r="BM16" i="9"/>
  <c r="BN90" i="3"/>
  <c r="BM90" i="9"/>
  <c r="BO31" i="3"/>
  <c r="BM105" i="9"/>
  <c r="BO63" i="3"/>
  <c r="BN50" i="3"/>
  <c r="BM50" i="9"/>
  <c r="BN44" i="3"/>
  <c r="BM44" i="9"/>
  <c r="BN27" i="3"/>
  <c r="BM27" i="9"/>
  <c r="BO46" i="3"/>
  <c r="BN62" i="3"/>
  <c r="BM62" i="9"/>
  <c r="BN101" i="3"/>
  <c r="BM101" i="9"/>
  <c r="BN99" i="3"/>
  <c r="BM99" i="9"/>
  <c r="BN19" i="3"/>
  <c r="BM19" i="9"/>
  <c r="BM3" i="9"/>
  <c r="BP33" i="3"/>
  <c r="BM38" i="9"/>
  <c r="BO72" i="3"/>
  <c r="BO6" i="3"/>
  <c r="BN43" i="3"/>
  <c r="BM43" i="9"/>
  <c r="BP41" i="3"/>
  <c r="BN21" i="3"/>
  <c r="BM21" i="9"/>
  <c r="BN7" i="3"/>
  <c r="BM7" i="9"/>
  <c r="BM24" i="9"/>
  <c r="BM4" i="9"/>
  <c r="BM103" i="9"/>
  <c r="BO105" i="3"/>
  <c r="BN30" i="3"/>
  <c r="BM30" i="9"/>
  <c r="BN108" i="3"/>
  <c r="BM108" i="9"/>
  <c r="BN109" i="3"/>
  <c r="BM109" i="9"/>
  <c r="BM47" i="9"/>
  <c r="BO23" i="3"/>
  <c r="BM5" i="9"/>
  <c r="BM96" i="9"/>
  <c r="BN12" i="3"/>
  <c r="BM12" i="9"/>
  <c r="BN66" i="3"/>
  <c r="BM66" i="9"/>
  <c r="BP113" i="3"/>
  <c r="BO3" i="3"/>
  <c r="BN6" i="9" l="1"/>
  <c r="BN57" i="9"/>
  <c r="BN72" i="9"/>
  <c r="BN23" i="9"/>
  <c r="BN40" i="9"/>
  <c r="BQ89" i="3"/>
  <c r="BO100" i="3"/>
  <c r="BN100" i="9"/>
  <c r="BP4" i="3"/>
  <c r="BN38" i="9"/>
  <c r="BP102" i="3"/>
  <c r="BQ113" i="3"/>
  <c r="BP23" i="3"/>
  <c r="BN105" i="9"/>
  <c r="BO21" i="3"/>
  <c r="BN21" i="9"/>
  <c r="BP72" i="3"/>
  <c r="BO99" i="3"/>
  <c r="BN99" i="9"/>
  <c r="BO27" i="3"/>
  <c r="BN27" i="9"/>
  <c r="BN31" i="9"/>
  <c r="BQ73" i="3"/>
  <c r="BN49" i="9"/>
  <c r="BO34" i="3"/>
  <c r="BN34" i="9"/>
  <c r="BO82" i="3"/>
  <c r="BN82" i="9"/>
  <c r="BN55" i="9"/>
  <c r="BO87" i="3"/>
  <c r="BN87" i="9"/>
  <c r="BO60" i="3"/>
  <c r="BN60" i="9"/>
  <c r="BO83" i="3"/>
  <c r="BN83" i="9"/>
  <c r="BO53" i="3"/>
  <c r="BN53" i="9"/>
  <c r="BP56" i="3"/>
  <c r="BO115" i="3"/>
  <c r="BN115" i="9"/>
  <c r="BO20" i="3"/>
  <c r="BN20" i="9"/>
  <c r="BP38" i="3"/>
  <c r="BN39" i="9"/>
  <c r="BP24" i="3"/>
  <c r="BQ97" i="3"/>
  <c r="BO79" i="3"/>
  <c r="BN79" i="9"/>
  <c r="BP105" i="3"/>
  <c r="BP31" i="3"/>
  <c r="BO68" i="3"/>
  <c r="BN68" i="9"/>
  <c r="BO28" i="3"/>
  <c r="BN28" i="9"/>
  <c r="BP49" i="3"/>
  <c r="BO91" i="3"/>
  <c r="BN91" i="9"/>
  <c r="BO75" i="3"/>
  <c r="BN75" i="9"/>
  <c r="BO92" i="3"/>
  <c r="BN92" i="9"/>
  <c r="BO9" i="3"/>
  <c r="BN9" i="9"/>
  <c r="BO77" i="3"/>
  <c r="BN77" i="9"/>
  <c r="BP55" i="3"/>
  <c r="BN5" i="9"/>
  <c r="BQ64" i="3"/>
  <c r="BN47" i="9"/>
  <c r="BN104" i="9"/>
  <c r="BP39" i="3"/>
  <c r="BO35" i="3"/>
  <c r="BN35" i="9"/>
  <c r="BO66" i="3"/>
  <c r="BN66" i="9"/>
  <c r="BQ41" i="3"/>
  <c r="BO101" i="3"/>
  <c r="BN101" i="9"/>
  <c r="BO44" i="3"/>
  <c r="BN44" i="9"/>
  <c r="BO13" i="3"/>
  <c r="BN13" i="9"/>
  <c r="BO45" i="3"/>
  <c r="BN45" i="9"/>
  <c r="BO10" i="3"/>
  <c r="BN10" i="9"/>
  <c r="BN80" i="9"/>
  <c r="BN96" i="9"/>
  <c r="BO15" i="3"/>
  <c r="BN15" i="9"/>
  <c r="BO22" i="3"/>
  <c r="BN22" i="9"/>
  <c r="BP5" i="3"/>
  <c r="BO11" i="3"/>
  <c r="BN11" i="9"/>
  <c r="BP47" i="3"/>
  <c r="BP104" i="3"/>
  <c r="BO70" i="3"/>
  <c r="BN70" i="9"/>
  <c r="BN112" i="9"/>
  <c r="BO30" i="3"/>
  <c r="BN30" i="9"/>
  <c r="BO109" i="3"/>
  <c r="BN109" i="9"/>
  <c r="BQ33" i="3"/>
  <c r="BO90" i="3"/>
  <c r="BN90" i="9"/>
  <c r="BO93" i="3"/>
  <c r="BN93" i="9"/>
  <c r="BO106" i="3"/>
  <c r="BN106" i="9"/>
  <c r="BO69" i="3"/>
  <c r="BN69" i="9"/>
  <c r="BO36" i="3"/>
  <c r="BN36" i="9"/>
  <c r="BO114" i="3"/>
  <c r="BN114" i="9"/>
  <c r="BP80" i="3"/>
  <c r="BP96" i="3"/>
  <c r="BO94" i="3"/>
  <c r="BN94" i="9"/>
  <c r="BO111" i="3"/>
  <c r="BN111" i="9"/>
  <c r="BO58" i="3"/>
  <c r="BN58" i="9"/>
  <c r="BO67" i="3"/>
  <c r="BN67" i="9"/>
  <c r="BN65" i="9"/>
  <c r="BO54" i="3"/>
  <c r="BN54" i="9"/>
  <c r="BN14" i="9"/>
  <c r="BN88" i="9"/>
  <c r="BP112" i="3"/>
  <c r="BO62" i="3"/>
  <c r="BN62" i="9"/>
  <c r="BO50" i="3"/>
  <c r="BN50" i="9"/>
  <c r="BO37" i="3"/>
  <c r="BN37" i="9"/>
  <c r="BO84" i="3"/>
  <c r="BN84" i="9"/>
  <c r="BN32" i="9"/>
  <c r="BP65" i="3"/>
  <c r="BO71" i="3"/>
  <c r="BN71" i="9"/>
  <c r="BP14" i="3"/>
  <c r="BN103" i="9"/>
  <c r="BO107" i="3"/>
  <c r="BN107" i="9"/>
  <c r="BP88" i="3"/>
  <c r="BP40" i="3"/>
  <c r="BN56" i="9"/>
  <c r="BO43" i="3"/>
  <c r="BN43" i="9"/>
  <c r="BO108" i="3"/>
  <c r="BN108" i="9"/>
  <c r="BN46" i="9"/>
  <c r="BN63" i="9"/>
  <c r="BO16" i="3"/>
  <c r="BN16" i="9"/>
  <c r="BO42" i="3"/>
  <c r="BN42" i="9"/>
  <c r="BO110" i="3"/>
  <c r="BN110" i="9"/>
  <c r="BO59" i="3"/>
  <c r="BN59" i="9"/>
  <c r="BO61" i="3"/>
  <c r="BN61" i="9"/>
  <c r="BO86" i="3"/>
  <c r="BN86" i="9"/>
  <c r="BP32" i="3"/>
  <c r="BQ81" i="3"/>
  <c r="BO18" i="3"/>
  <c r="BN18" i="9"/>
  <c r="BO17" i="3"/>
  <c r="BN17" i="9"/>
  <c r="BO51" i="3"/>
  <c r="BN51" i="9"/>
  <c r="BO26" i="3"/>
  <c r="BN26" i="9"/>
  <c r="BN25" i="9"/>
  <c r="BN8" i="9"/>
  <c r="BO29" i="3"/>
  <c r="BN29" i="9"/>
  <c r="BP103" i="3"/>
  <c r="BO74" i="3"/>
  <c r="BN74" i="9"/>
  <c r="BP48" i="3"/>
  <c r="BO12" i="3"/>
  <c r="BN12" i="9"/>
  <c r="BN3" i="9"/>
  <c r="BP3" i="3"/>
  <c r="BO7" i="3"/>
  <c r="BN7" i="9"/>
  <c r="BP6" i="3"/>
  <c r="BO19" i="3"/>
  <c r="BN19" i="9"/>
  <c r="BP46" i="3"/>
  <c r="BP63" i="3"/>
  <c r="BO85" i="3"/>
  <c r="BO14" i="9" s="1"/>
  <c r="BN85" i="9"/>
  <c r="BO76" i="3"/>
  <c r="BN76" i="9"/>
  <c r="BN4" i="9"/>
  <c r="BO95" i="3"/>
  <c r="BN95" i="9"/>
  <c r="BN48" i="9"/>
  <c r="BN24" i="9"/>
  <c r="BP25" i="3"/>
  <c r="BP8" i="3"/>
  <c r="BO78" i="3"/>
  <c r="BN78" i="9"/>
  <c r="BO52" i="3"/>
  <c r="BN52" i="9"/>
  <c r="BO2" i="3"/>
  <c r="BN2" i="9"/>
  <c r="BN81" i="9"/>
  <c r="BN33" i="9"/>
  <c r="BN113" i="9"/>
  <c r="BN41" i="9"/>
  <c r="BN89" i="9"/>
  <c r="BN73" i="9"/>
  <c r="BN97" i="9"/>
  <c r="BN64" i="9"/>
  <c r="BP57" i="3"/>
  <c r="BN102" i="9"/>
  <c r="BO98" i="3"/>
  <c r="BN98" i="9"/>
  <c r="BO72" i="9" l="1"/>
  <c r="BO48" i="9"/>
  <c r="BO8" i="9"/>
  <c r="BP22" i="3"/>
  <c r="BO22" i="9"/>
  <c r="BR41" i="3"/>
  <c r="BO49" i="9"/>
  <c r="BP52" i="3"/>
  <c r="BO52" i="9"/>
  <c r="BP106" i="3"/>
  <c r="BO106" i="9"/>
  <c r="BP109" i="3"/>
  <c r="BO109" i="9"/>
  <c r="BQ40" i="3"/>
  <c r="BP37" i="3"/>
  <c r="BO37" i="9"/>
  <c r="BQ47" i="3"/>
  <c r="BP15" i="3"/>
  <c r="BO15" i="9"/>
  <c r="BP13" i="3"/>
  <c r="BO13" i="9"/>
  <c r="BP66" i="3"/>
  <c r="BO66" i="9"/>
  <c r="BR64" i="3"/>
  <c r="BQ38" i="3"/>
  <c r="BP53" i="3"/>
  <c r="BO53" i="9"/>
  <c r="BO4" i="9"/>
  <c r="BO80" i="9"/>
  <c r="BP45" i="3"/>
  <c r="BO45" i="9"/>
  <c r="BR73" i="3"/>
  <c r="BQ102" i="3"/>
  <c r="BO63" i="9"/>
  <c r="BP18" i="3"/>
  <c r="BO18" i="9"/>
  <c r="BP21" i="3"/>
  <c r="BO21" i="9"/>
  <c r="BP98" i="3"/>
  <c r="BO98" i="9"/>
  <c r="BP78" i="3"/>
  <c r="BO78" i="9"/>
  <c r="BP95" i="3"/>
  <c r="BO95" i="9"/>
  <c r="BO46" i="9"/>
  <c r="BO3" i="9"/>
  <c r="BP74" i="3"/>
  <c r="BO74" i="9"/>
  <c r="BP26" i="3"/>
  <c r="BO26" i="9"/>
  <c r="BR81" i="3"/>
  <c r="BP59" i="3"/>
  <c r="BO59" i="9"/>
  <c r="BO88" i="9"/>
  <c r="BP71" i="3"/>
  <c r="BO71" i="9"/>
  <c r="BP111" i="3"/>
  <c r="BO111" i="9"/>
  <c r="BP114" i="3"/>
  <c r="BO114" i="9"/>
  <c r="BP93" i="3"/>
  <c r="BO93" i="9"/>
  <c r="BP30" i="3"/>
  <c r="BO30" i="9"/>
  <c r="BP92" i="3"/>
  <c r="BO92" i="9"/>
  <c r="BP28" i="3"/>
  <c r="BO28" i="9"/>
  <c r="BP79" i="3"/>
  <c r="BO79" i="9"/>
  <c r="BP82" i="3"/>
  <c r="BO82" i="9"/>
  <c r="BP27" i="3"/>
  <c r="BO27" i="9"/>
  <c r="BO23" i="9"/>
  <c r="BQ4" i="3"/>
  <c r="BQ104" i="3"/>
  <c r="BP16" i="3"/>
  <c r="BO16" i="9"/>
  <c r="BQ49" i="3"/>
  <c r="BQ105" i="3"/>
  <c r="BO32" i="9"/>
  <c r="BQ88" i="3"/>
  <c r="BO65" i="9"/>
  <c r="BP50" i="3"/>
  <c r="BO50" i="9"/>
  <c r="BP54" i="3"/>
  <c r="BO54" i="9"/>
  <c r="BP11" i="3"/>
  <c r="BO11" i="9"/>
  <c r="BP44" i="3"/>
  <c r="BO44" i="9"/>
  <c r="BP35" i="3"/>
  <c r="BO35" i="9"/>
  <c r="BO55" i="9"/>
  <c r="BP20" i="3"/>
  <c r="BO20" i="9"/>
  <c r="BP83" i="3"/>
  <c r="BO83" i="9"/>
  <c r="BQ23" i="3"/>
  <c r="BO105" i="9"/>
  <c r="BP58" i="3"/>
  <c r="BO58" i="9"/>
  <c r="BO47" i="9"/>
  <c r="BP9" i="3"/>
  <c r="BO9" i="9"/>
  <c r="BQ8" i="3"/>
  <c r="BQ103" i="3"/>
  <c r="BP51" i="3"/>
  <c r="BO51" i="9"/>
  <c r="BQ32" i="3"/>
  <c r="BP110" i="3"/>
  <c r="BO110" i="9"/>
  <c r="BP108" i="3"/>
  <c r="BO108" i="9"/>
  <c r="BQ65" i="3"/>
  <c r="BP94" i="3"/>
  <c r="BO94" i="9"/>
  <c r="BP36" i="3"/>
  <c r="BO36" i="9"/>
  <c r="BP90" i="3"/>
  <c r="BO90" i="9"/>
  <c r="BO5" i="9"/>
  <c r="BO39" i="9"/>
  <c r="BQ55" i="3"/>
  <c r="BP75" i="3"/>
  <c r="BO75" i="9"/>
  <c r="BP68" i="3"/>
  <c r="BO68" i="9"/>
  <c r="BR97" i="3"/>
  <c r="BP34" i="3"/>
  <c r="BO34" i="9"/>
  <c r="BP99" i="3"/>
  <c r="BO99" i="9"/>
  <c r="BP100" i="3"/>
  <c r="BO100" i="9"/>
  <c r="BQ112" i="3"/>
  <c r="BP87" i="3"/>
  <c r="BO87" i="9"/>
  <c r="BQ48" i="3"/>
  <c r="BP61" i="3"/>
  <c r="BO61" i="9"/>
  <c r="BQ14" i="3"/>
  <c r="BQ80" i="3"/>
  <c r="BQ63" i="3"/>
  <c r="BP7" i="3"/>
  <c r="BO7" i="9"/>
  <c r="BO57" i="9"/>
  <c r="BQ3" i="3"/>
  <c r="BO25" i="9"/>
  <c r="BP107" i="3"/>
  <c r="BO107" i="9"/>
  <c r="BP62" i="3"/>
  <c r="BO62" i="9"/>
  <c r="BO96" i="9"/>
  <c r="BP70" i="3"/>
  <c r="BO70" i="9"/>
  <c r="BQ5" i="3"/>
  <c r="BP10" i="3"/>
  <c r="BO10" i="9"/>
  <c r="BP101" i="3"/>
  <c r="BO101" i="9"/>
  <c r="BQ39" i="3"/>
  <c r="BO31" i="9"/>
  <c r="BO24" i="9"/>
  <c r="BP115" i="3"/>
  <c r="BO115" i="9"/>
  <c r="BP60" i="3"/>
  <c r="BO60" i="9"/>
  <c r="BR113" i="3"/>
  <c r="BP85" i="3"/>
  <c r="BO85" i="9"/>
  <c r="BQ6" i="3"/>
  <c r="BP84" i="3"/>
  <c r="BO84" i="9"/>
  <c r="BQ56" i="3"/>
  <c r="BO40" i="9"/>
  <c r="BO38" i="9"/>
  <c r="BQ46" i="3"/>
  <c r="BO103" i="9"/>
  <c r="BQ57" i="3"/>
  <c r="BP76" i="3"/>
  <c r="BO76" i="9"/>
  <c r="BP19" i="3"/>
  <c r="BP31" i="9" s="1"/>
  <c r="BO19" i="9"/>
  <c r="BP2" i="3"/>
  <c r="BO2" i="9"/>
  <c r="BO97" i="9"/>
  <c r="BO89" i="9"/>
  <c r="BO73" i="9"/>
  <c r="BO81" i="9"/>
  <c r="BO33" i="9"/>
  <c r="BO41" i="9"/>
  <c r="BO113" i="9"/>
  <c r="BO64" i="9"/>
  <c r="BQ25" i="3"/>
  <c r="BO6" i="9"/>
  <c r="BP12" i="3"/>
  <c r="BO12" i="9"/>
  <c r="BP29" i="3"/>
  <c r="BO29" i="9"/>
  <c r="BP17" i="3"/>
  <c r="BO17" i="9"/>
  <c r="BP86" i="3"/>
  <c r="BO86" i="9"/>
  <c r="BP42" i="3"/>
  <c r="BO42" i="9"/>
  <c r="BP43" i="3"/>
  <c r="BO43" i="9"/>
  <c r="BO112" i="9"/>
  <c r="BP67" i="3"/>
  <c r="BO67" i="9"/>
  <c r="BQ96" i="3"/>
  <c r="BP69" i="3"/>
  <c r="BO69" i="9"/>
  <c r="BR33" i="3"/>
  <c r="BO104" i="9"/>
  <c r="BP77" i="3"/>
  <c r="BO77" i="9"/>
  <c r="BP91" i="3"/>
  <c r="BO91" i="9"/>
  <c r="BQ31" i="3"/>
  <c r="BQ24" i="3"/>
  <c r="BO56" i="9"/>
  <c r="BQ72" i="3"/>
  <c r="BO102" i="9"/>
  <c r="BR89" i="3"/>
  <c r="BP4" i="9" l="1"/>
  <c r="BS33" i="3"/>
  <c r="BP6" i="9"/>
  <c r="BQ68" i="3"/>
  <c r="BP68" i="9"/>
  <c r="BQ43" i="3"/>
  <c r="BP43" i="9"/>
  <c r="BQ29" i="3"/>
  <c r="BP29" i="9"/>
  <c r="BR46" i="3"/>
  <c r="BR6" i="3"/>
  <c r="BQ115" i="3"/>
  <c r="BP115" i="9"/>
  <c r="BQ10" i="3"/>
  <c r="BP10" i="9"/>
  <c r="BP63" i="9"/>
  <c r="BP48" i="9"/>
  <c r="BP8" i="9"/>
  <c r="BP23" i="9"/>
  <c r="BQ35" i="3"/>
  <c r="BP35" i="9"/>
  <c r="BQ50" i="3"/>
  <c r="BP50" i="9"/>
  <c r="BR49" i="3"/>
  <c r="BS81" i="3"/>
  <c r="BQ95" i="3"/>
  <c r="BP95" i="9"/>
  <c r="BQ18" i="3"/>
  <c r="BP18" i="9"/>
  <c r="BQ62" i="3"/>
  <c r="BP62" i="9"/>
  <c r="BQ90" i="3"/>
  <c r="BP90" i="9"/>
  <c r="BR47" i="3"/>
  <c r="BR31" i="3"/>
  <c r="BQ69" i="3"/>
  <c r="BP69" i="9"/>
  <c r="BQ19" i="3"/>
  <c r="BP19" i="9"/>
  <c r="BP5" i="9"/>
  <c r="BQ107" i="3"/>
  <c r="BP107" i="9"/>
  <c r="BR63" i="3"/>
  <c r="BR48" i="3"/>
  <c r="BQ99" i="3"/>
  <c r="BP99" i="9"/>
  <c r="BQ75" i="3"/>
  <c r="BP75" i="9"/>
  <c r="BQ36" i="3"/>
  <c r="BP36" i="9"/>
  <c r="BQ110" i="3"/>
  <c r="BP110" i="9"/>
  <c r="BR8" i="3"/>
  <c r="BR23" i="3"/>
  <c r="BQ27" i="3"/>
  <c r="BP27" i="9"/>
  <c r="BQ92" i="3"/>
  <c r="BP92" i="9"/>
  <c r="BQ111" i="3"/>
  <c r="BP111" i="9"/>
  <c r="BQ66" i="3"/>
  <c r="BP66" i="9"/>
  <c r="BQ37" i="3"/>
  <c r="BP37" i="9"/>
  <c r="BQ52" i="3"/>
  <c r="BP52" i="9"/>
  <c r="BP49" i="9"/>
  <c r="BQ28" i="3"/>
  <c r="BP28" i="9"/>
  <c r="BQ45" i="3"/>
  <c r="BP45" i="9"/>
  <c r="BP72" i="9"/>
  <c r="BP96" i="9"/>
  <c r="BQ42" i="3"/>
  <c r="BP42" i="9"/>
  <c r="BQ12" i="3"/>
  <c r="BP12" i="9"/>
  <c r="BR5" i="3"/>
  <c r="BP55" i="9"/>
  <c r="BP32" i="9"/>
  <c r="BQ44" i="3"/>
  <c r="BP44" i="9"/>
  <c r="BP88" i="9"/>
  <c r="BQ16" i="3"/>
  <c r="BP16" i="9"/>
  <c r="BQ26" i="3"/>
  <c r="BP26" i="9"/>
  <c r="BQ78" i="3"/>
  <c r="BP78" i="9"/>
  <c r="BP102" i="9"/>
  <c r="BP40" i="9"/>
  <c r="BP46" i="9"/>
  <c r="BQ61" i="3"/>
  <c r="BP61" i="9"/>
  <c r="BQ108" i="3"/>
  <c r="BP108" i="9"/>
  <c r="BR103" i="3"/>
  <c r="BQ106" i="3"/>
  <c r="BP106" i="9"/>
  <c r="BS89" i="3"/>
  <c r="BQ91" i="3"/>
  <c r="BP91" i="9"/>
  <c r="BQ85" i="3"/>
  <c r="BP85" i="9"/>
  <c r="BP80" i="9"/>
  <c r="BR72" i="3"/>
  <c r="BR96" i="3"/>
  <c r="BQ76" i="3"/>
  <c r="BP76" i="9"/>
  <c r="BP56" i="9"/>
  <c r="BP39" i="9"/>
  <c r="BP3" i="9"/>
  <c r="BR80" i="3"/>
  <c r="BQ87" i="3"/>
  <c r="BP87" i="9"/>
  <c r="BQ34" i="3"/>
  <c r="BP34" i="9"/>
  <c r="BR55" i="3"/>
  <c r="BQ94" i="3"/>
  <c r="BP94" i="9"/>
  <c r="BR32" i="3"/>
  <c r="BQ9" i="3"/>
  <c r="BP9" i="9"/>
  <c r="BQ83" i="3"/>
  <c r="BP83" i="9"/>
  <c r="BR88" i="3"/>
  <c r="BP104" i="9"/>
  <c r="BQ82" i="3"/>
  <c r="BP82" i="9"/>
  <c r="BQ30" i="3"/>
  <c r="BP30" i="9"/>
  <c r="BQ71" i="3"/>
  <c r="BP71" i="9"/>
  <c r="BR102" i="3"/>
  <c r="BQ53" i="3"/>
  <c r="BP53" i="9"/>
  <c r="BQ13" i="3"/>
  <c r="BP13" i="9"/>
  <c r="BR40" i="3"/>
  <c r="BQ7" i="3"/>
  <c r="BP7" i="9"/>
  <c r="BQ114" i="3"/>
  <c r="BP114" i="9"/>
  <c r="BS64" i="3"/>
  <c r="BQ77" i="3"/>
  <c r="BP77" i="9"/>
  <c r="BQ86" i="3"/>
  <c r="BP86" i="9"/>
  <c r="BP25" i="9"/>
  <c r="BP57" i="9"/>
  <c r="BR56" i="3"/>
  <c r="BS113" i="3"/>
  <c r="BR39" i="3"/>
  <c r="BQ70" i="3"/>
  <c r="BP70" i="9"/>
  <c r="BR3" i="3"/>
  <c r="BP14" i="9"/>
  <c r="BP112" i="9"/>
  <c r="BP65" i="9"/>
  <c r="BQ11" i="3"/>
  <c r="BP11" i="9"/>
  <c r="BR104" i="3"/>
  <c r="BQ74" i="3"/>
  <c r="BP74" i="9"/>
  <c r="BQ98" i="3"/>
  <c r="BP98" i="9"/>
  <c r="BP38" i="9"/>
  <c r="BS41" i="3"/>
  <c r="BP24" i="9"/>
  <c r="BQ67" i="3"/>
  <c r="BP67" i="9"/>
  <c r="BR25" i="3"/>
  <c r="BR57" i="3"/>
  <c r="BR14" i="3"/>
  <c r="BR112" i="3"/>
  <c r="BS97" i="3"/>
  <c r="BR65" i="3"/>
  <c r="BQ51" i="3"/>
  <c r="BP51" i="9"/>
  <c r="BQ20" i="3"/>
  <c r="BP20" i="9"/>
  <c r="BP105" i="9"/>
  <c r="BQ79" i="3"/>
  <c r="BP79" i="9"/>
  <c r="BQ93" i="3"/>
  <c r="BP93" i="9"/>
  <c r="BS73" i="3"/>
  <c r="BR38" i="3"/>
  <c r="BQ15" i="3"/>
  <c r="BP15" i="9"/>
  <c r="BQ109" i="3"/>
  <c r="BP109" i="9"/>
  <c r="BQ2" i="3"/>
  <c r="BP2" i="9"/>
  <c r="BP73" i="9"/>
  <c r="BP41" i="9"/>
  <c r="BP89" i="9"/>
  <c r="BP33" i="9"/>
  <c r="BP113" i="9"/>
  <c r="BP97" i="9"/>
  <c r="BP81" i="9"/>
  <c r="BP64" i="9"/>
  <c r="BQ100" i="3"/>
  <c r="BP100" i="9"/>
  <c r="BR24" i="3"/>
  <c r="BP17" i="9"/>
  <c r="BQ17" i="3"/>
  <c r="BQ84" i="3"/>
  <c r="BP84" i="9"/>
  <c r="BQ60" i="3"/>
  <c r="BP60" i="9"/>
  <c r="BQ101" i="3"/>
  <c r="BP101" i="9"/>
  <c r="BP103" i="9"/>
  <c r="BQ58" i="3"/>
  <c r="BP58" i="9"/>
  <c r="BQ54" i="3"/>
  <c r="BP54" i="9"/>
  <c r="BR105" i="3"/>
  <c r="BR4" i="3"/>
  <c r="BQ59" i="3"/>
  <c r="BP59" i="9"/>
  <c r="BQ21" i="3"/>
  <c r="BP21" i="9"/>
  <c r="BP47" i="9"/>
  <c r="BQ22" i="3"/>
  <c r="BP22" i="9"/>
  <c r="BQ40" i="9" l="1"/>
  <c r="BQ38" i="9"/>
  <c r="BQ23" i="9"/>
  <c r="BQ8" i="9"/>
  <c r="BR60" i="3"/>
  <c r="BQ60" i="9"/>
  <c r="BR100" i="3"/>
  <c r="BQ100" i="9"/>
  <c r="BQ112" i="9"/>
  <c r="BT113" i="3"/>
  <c r="BR77" i="3"/>
  <c r="BQ77" i="9"/>
  <c r="BS40" i="3"/>
  <c r="BR71" i="3"/>
  <c r="BQ71" i="9"/>
  <c r="BQ55" i="9"/>
  <c r="BS72" i="3"/>
  <c r="BR16" i="3"/>
  <c r="BQ16" i="9"/>
  <c r="BR66" i="3"/>
  <c r="BQ66" i="9"/>
  <c r="BS23" i="3"/>
  <c r="BR75" i="3"/>
  <c r="BQ75" i="9"/>
  <c r="BR107" i="3"/>
  <c r="BQ107" i="9"/>
  <c r="BQ47" i="9"/>
  <c r="BS88" i="3"/>
  <c r="BR94" i="3"/>
  <c r="BQ94" i="9"/>
  <c r="BS80" i="3"/>
  <c r="BT89" i="3"/>
  <c r="BR45" i="3"/>
  <c r="BQ45" i="9"/>
  <c r="BS38" i="3"/>
  <c r="BR21" i="3"/>
  <c r="BQ21" i="9"/>
  <c r="BR54" i="3"/>
  <c r="BQ54" i="9"/>
  <c r="BR20" i="3"/>
  <c r="BQ20" i="9"/>
  <c r="BS112" i="3"/>
  <c r="BR67" i="3"/>
  <c r="BQ67" i="9"/>
  <c r="BR74" i="3"/>
  <c r="BQ74" i="9"/>
  <c r="BQ3" i="9"/>
  <c r="BQ56" i="9"/>
  <c r="BR83" i="3"/>
  <c r="BQ83" i="9"/>
  <c r="BS55" i="3"/>
  <c r="BR106" i="3"/>
  <c r="BQ106" i="9"/>
  <c r="BR12" i="3"/>
  <c r="BQ12" i="9"/>
  <c r="BR28" i="3"/>
  <c r="BQ28" i="9"/>
  <c r="BS47" i="3"/>
  <c r="BR95" i="3"/>
  <c r="BQ95" i="9"/>
  <c r="BR35" i="3"/>
  <c r="BQ35" i="9"/>
  <c r="BR115" i="3"/>
  <c r="BQ115" i="9"/>
  <c r="BR43" i="3"/>
  <c r="BQ43" i="9"/>
  <c r="BS105" i="3"/>
  <c r="BR50" i="3"/>
  <c r="BQ50" i="9"/>
  <c r="BR2" i="3"/>
  <c r="BQ2" i="9"/>
  <c r="BQ64" i="9"/>
  <c r="BQ33" i="9"/>
  <c r="BQ81" i="9"/>
  <c r="BQ73" i="9"/>
  <c r="BQ97" i="9"/>
  <c r="BQ41" i="9"/>
  <c r="BQ113" i="9"/>
  <c r="BQ89" i="9"/>
  <c r="BT73" i="3"/>
  <c r="BQ14" i="9"/>
  <c r="BQ104" i="9"/>
  <c r="BS3" i="3"/>
  <c r="BS56" i="3"/>
  <c r="BT64" i="3"/>
  <c r="BR13" i="3"/>
  <c r="BQ13" i="9"/>
  <c r="BR30" i="3"/>
  <c r="BQ30" i="9"/>
  <c r="BQ103" i="9"/>
  <c r="BR111" i="3"/>
  <c r="BQ111" i="9"/>
  <c r="BS8" i="3"/>
  <c r="BR99" i="3"/>
  <c r="BQ99" i="9"/>
  <c r="BQ6" i="9"/>
  <c r="BR29" i="3"/>
  <c r="BQ29" i="9"/>
  <c r="BR51" i="3"/>
  <c r="BQ51" i="9"/>
  <c r="BS14" i="3"/>
  <c r="BS104" i="3"/>
  <c r="BR9" i="3"/>
  <c r="BQ9" i="9"/>
  <c r="BR34" i="3"/>
  <c r="BQ34" i="9"/>
  <c r="BR85" i="3"/>
  <c r="BQ85" i="9"/>
  <c r="BS103" i="3"/>
  <c r="BR44" i="3"/>
  <c r="BQ44" i="9"/>
  <c r="BR42" i="3"/>
  <c r="BQ42" i="9"/>
  <c r="BQ48" i="9"/>
  <c r="BR19" i="3"/>
  <c r="BQ19" i="9"/>
  <c r="BR90" i="3"/>
  <c r="BQ90" i="9"/>
  <c r="BT81" i="3"/>
  <c r="BS6" i="3"/>
  <c r="BR68" i="3"/>
  <c r="BQ68" i="9"/>
  <c r="BS25" i="3"/>
  <c r="BS5" i="3"/>
  <c r="BS31" i="3"/>
  <c r="BR10" i="3"/>
  <c r="BQ10" i="9"/>
  <c r="BR84" i="3"/>
  <c r="BQ84" i="9"/>
  <c r="BR59" i="3"/>
  <c r="BQ59" i="9"/>
  <c r="BR17" i="3"/>
  <c r="BQ17" i="9"/>
  <c r="BQ4" i="9"/>
  <c r="BR109" i="3"/>
  <c r="BQ109" i="9"/>
  <c r="BR93" i="3"/>
  <c r="BQ93" i="9"/>
  <c r="BQ65" i="9"/>
  <c r="BQ57" i="9"/>
  <c r="BT41" i="3"/>
  <c r="BR70" i="3"/>
  <c r="BQ70" i="9"/>
  <c r="BR114" i="3"/>
  <c r="BQ114" i="9"/>
  <c r="BR53" i="3"/>
  <c r="BQ53" i="9"/>
  <c r="BR82" i="3"/>
  <c r="BQ82" i="9"/>
  <c r="BQ32" i="9"/>
  <c r="BR76" i="3"/>
  <c r="BQ76" i="9"/>
  <c r="BR78" i="3"/>
  <c r="BQ78" i="9"/>
  <c r="BR52" i="3"/>
  <c r="BQ52" i="9"/>
  <c r="BR92" i="3"/>
  <c r="BQ92" i="9"/>
  <c r="BR110" i="3"/>
  <c r="BQ110" i="9"/>
  <c r="BS48" i="3"/>
  <c r="BQ49" i="9"/>
  <c r="BQ46" i="9"/>
  <c r="BT97" i="3"/>
  <c r="BR98" i="3"/>
  <c r="BQ98" i="9"/>
  <c r="BQ72" i="9"/>
  <c r="BR61" i="3"/>
  <c r="BQ61" i="9"/>
  <c r="BR18" i="3"/>
  <c r="BQ18" i="9"/>
  <c r="BR58" i="3"/>
  <c r="BQ58" i="9"/>
  <c r="BS4" i="3"/>
  <c r="BQ24" i="9"/>
  <c r="BS65" i="3"/>
  <c r="BS57" i="3"/>
  <c r="BR11" i="3"/>
  <c r="BQ11" i="9"/>
  <c r="BQ39" i="9"/>
  <c r="BQ102" i="9"/>
  <c r="BS32" i="3"/>
  <c r="BR87" i="3"/>
  <c r="BQ87" i="9"/>
  <c r="BQ96" i="9"/>
  <c r="BR91" i="3"/>
  <c r="BQ91" i="9"/>
  <c r="BR108" i="3"/>
  <c r="BQ108" i="9"/>
  <c r="BQ63" i="9"/>
  <c r="BR69" i="3"/>
  <c r="BQ69" i="9"/>
  <c r="BR62" i="3"/>
  <c r="BQ62" i="9"/>
  <c r="BS49" i="3"/>
  <c r="BS46" i="3"/>
  <c r="BR22" i="3"/>
  <c r="BQ22" i="9"/>
  <c r="BQ105" i="9"/>
  <c r="BR101" i="3"/>
  <c r="BQ101" i="9"/>
  <c r="BS24" i="3"/>
  <c r="BR15" i="3"/>
  <c r="BQ15" i="9"/>
  <c r="BR79" i="3"/>
  <c r="BQ79" i="9"/>
  <c r="BQ25" i="9"/>
  <c r="BS39" i="3"/>
  <c r="BR86" i="3"/>
  <c r="BQ86" i="9"/>
  <c r="BR7" i="3"/>
  <c r="BQ7" i="9"/>
  <c r="BS102" i="3"/>
  <c r="BQ88" i="9"/>
  <c r="BQ80" i="9"/>
  <c r="BS96" i="3"/>
  <c r="BR26" i="3"/>
  <c r="BQ26" i="9"/>
  <c r="BQ5" i="9"/>
  <c r="BR37" i="3"/>
  <c r="BQ37" i="9"/>
  <c r="BR27" i="3"/>
  <c r="BQ27" i="9"/>
  <c r="BR36" i="3"/>
  <c r="BQ36" i="9"/>
  <c r="BS63" i="3"/>
  <c r="BQ31" i="9"/>
  <c r="BT33" i="3"/>
  <c r="BR102" i="9" l="1"/>
  <c r="BR38" i="9"/>
  <c r="BR39" i="9"/>
  <c r="BR105" i="9"/>
  <c r="BS43" i="3"/>
  <c r="BR43" i="9"/>
  <c r="BS21" i="3"/>
  <c r="BR21" i="9"/>
  <c r="BR4" i="9"/>
  <c r="BT48" i="3"/>
  <c r="BS78" i="3"/>
  <c r="BR78" i="9"/>
  <c r="BS59" i="3"/>
  <c r="BR59" i="9"/>
  <c r="BT5" i="3"/>
  <c r="BU81" i="3"/>
  <c r="BS111" i="3"/>
  <c r="BR111" i="9"/>
  <c r="BR56" i="9"/>
  <c r="BR112" i="9"/>
  <c r="BS75" i="3"/>
  <c r="BR75" i="9"/>
  <c r="BT72" i="3"/>
  <c r="BS67" i="3"/>
  <c r="BR67" i="9"/>
  <c r="BT39" i="3"/>
  <c r="BT49" i="3"/>
  <c r="BS37" i="3"/>
  <c r="BR37" i="9"/>
  <c r="BS101" i="3"/>
  <c r="BR101" i="9"/>
  <c r="BS91" i="3"/>
  <c r="BR91" i="9"/>
  <c r="BT4" i="3"/>
  <c r="BS114" i="3"/>
  <c r="BR114" i="9"/>
  <c r="BS93" i="3"/>
  <c r="BR93" i="9"/>
  <c r="BR25" i="9"/>
  <c r="BS44" i="3"/>
  <c r="BR44" i="9"/>
  <c r="BS9" i="3"/>
  <c r="BR9" i="9"/>
  <c r="BS29" i="3"/>
  <c r="BR29" i="9"/>
  <c r="BT56" i="3"/>
  <c r="BS2" i="3"/>
  <c r="BR2" i="9"/>
  <c r="BR89" i="9"/>
  <c r="BR97" i="9"/>
  <c r="BR33" i="9"/>
  <c r="BR41" i="9"/>
  <c r="BR81" i="9"/>
  <c r="BR64" i="9"/>
  <c r="BR73" i="9"/>
  <c r="BR113" i="9"/>
  <c r="BS115" i="3"/>
  <c r="BR115" i="9"/>
  <c r="BS28" i="3"/>
  <c r="BR28" i="9"/>
  <c r="BS83" i="3"/>
  <c r="BR83" i="9"/>
  <c r="BT112" i="3"/>
  <c r="BT38" i="3"/>
  <c r="BS94" i="3"/>
  <c r="BR94" i="9"/>
  <c r="BR23" i="9"/>
  <c r="BU113" i="3"/>
  <c r="BS34" i="3"/>
  <c r="BR34" i="9"/>
  <c r="BU64" i="3"/>
  <c r="BT55" i="3"/>
  <c r="BR72" i="9"/>
  <c r="BS62" i="3"/>
  <c r="BR62" i="9"/>
  <c r="BS11" i="3"/>
  <c r="BR11" i="9"/>
  <c r="BS98" i="3"/>
  <c r="BR98" i="9"/>
  <c r="BS110" i="3"/>
  <c r="BR110" i="9"/>
  <c r="BS76" i="3"/>
  <c r="BR76" i="9"/>
  <c r="BS84" i="3"/>
  <c r="BR84" i="9"/>
  <c r="BT25" i="3"/>
  <c r="BS90" i="3"/>
  <c r="BR90" i="9"/>
  <c r="BR103" i="9"/>
  <c r="BR104" i="9"/>
  <c r="BR3" i="9"/>
  <c r="BR88" i="9"/>
  <c r="BT23" i="3"/>
  <c r="BT24" i="3"/>
  <c r="BS61" i="3"/>
  <c r="BR61" i="9"/>
  <c r="BS53" i="3"/>
  <c r="BR53" i="9"/>
  <c r="BS42" i="3"/>
  <c r="BR42" i="9"/>
  <c r="BT47" i="3"/>
  <c r="BT102" i="3"/>
  <c r="BS79" i="3"/>
  <c r="BR79" i="9"/>
  <c r="BR57" i="9"/>
  <c r="BS58" i="3"/>
  <c r="BR58" i="9"/>
  <c r="BS70" i="3"/>
  <c r="BR70" i="9"/>
  <c r="BS109" i="3"/>
  <c r="BR109" i="9"/>
  <c r="BT103" i="3"/>
  <c r="BT104" i="3"/>
  <c r="BS30" i="3"/>
  <c r="BR30" i="9"/>
  <c r="BT3" i="3"/>
  <c r="BS50" i="3"/>
  <c r="BR50" i="9"/>
  <c r="BS35" i="3"/>
  <c r="BR35" i="9"/>
  <c r="BS12" i="3"/>
  <c r="BR12" i="9"/>
  <c r="BS20" i="3"/>
  <c r="BR20" i="9"/>
  <c r="BS45" i="3"/>
  <c r="BR45" i="9"/>
  <c r="BT88" i="3"/>
  <c r="BS71" i="3"/>
  <c r="BR71" i="9"/>
  <c r="BS27" i="3"/>
  <c r="BR27" i="9"/>
  <c r="BS108" i="3"/>
  <c r="BR108" i="9"/>
  <c r="BR48" i="9"/>
  <c r="BS77" i="3"/>
  <c r="BR77" i="9"/>
  <c r="BR63" i="9"/>
  <c r="BT63" i="3"/>
  <c r="BS22" i="3"/>
  <c r="BR22" i="9"/>
  <c r="BS69" i="3"/>
  <c r="BR69" i="9"/>
  <c r="BS87" i="3"/>
  <c r="BR87" i="9"/>
  <c r="BT57" i="3"/>
  <c r="BU97" i="3"/>
  <c r="BS92" i="3"/>
  <c r="BR92" i="9"/>
  <c r="BS10" i="3"/>
  <c r="BR10" i="9"/>
  <c r="BS68" i="3"/>
  <c r="BR68" i="9"/>
  <c r="BS19" i="3"/>
  <c r="BR19" i="9"/>
  <c r="BR14" i="9"/>
  <c r="BS99" i="3"/>
  <c r="BR99" i="9"/>
  <c r="BS66" i="3"/>
  <c r="BR66" i="9"/>
  <c r="BR40" i="9"/>
  <c r="BS100" i="3"/>
  <c r="BR100" i="9"/>
  <c r="BR49" i="9"/>
  <c r="BS51" i="3"/>
  <c r="BR51" i="9"/>
  <c r="BU73" i="3"/>
  <c r="BT80" i="3"/>
  <c r="BS26" i="3"/>
  <c r="BR26" i="9"/>
  <c r="BS7" i="3"/>
  <c r="BR7" i="9"/>
  <c r="BS36" i="3"/>
  <c r="BR36" i="9"/>
  <c r="BR96" i="9"/>
  <c r="BS15" i="3"/>
  <c r="BR15" i="9"/>
  <c r="BR46" i="9"/>
  <c r="BR32" i="9"/>
  <c r="BR65" i="9"/>
  <c r="BS18" i="3"/>
  <c r="BR18" i="9"/>
  <c r="BS82" i="3"/>
  <c r="BR82" i="9"/>
  <c r="BU41" i="3"/>
  <c r="BR31" i="9"/>
  <c r="BR6" i="9"/>
  <c r="BS85" i="3"/>
  <c r="BR85" i="9"/>
  <c r="BT14" i="3"/>
  <c r="BR8" i="9"/>
  <c r="BS13" i="3"/>
  <c r="BR13" i="9"/>
  <c r="BT105" i="3"/>
  <c r="BS95" i="3"/>
  <c r="BR95" i="9"/>
  <c r="BS106" i="3"/>
  <c r="BR106" i="9"/>
  <c r="BS74" i="3"/>
  <c r="BR74" i="9"/>
  <c r="BS54" i="3"/>
  <c r="BR54" i="9"/>
  <c r="BU89" i="3"/>
  <c r="BT40" i="3"/>
  <c r="BR5" i="9"/>
  <c r="BU33" i="3"/>
  <c r="BT96" i="3"/>
  <c r="BS86" i="3"/>
  <c r="BR86" i="9"/>
  <c r="BR24" i="9"/>
  <c r="BT46" i="3"/>
  <c r="BT32" i="3"/>
  <c r="BT65" i="3"/>
  <c r="BS52" i="3"/>
  <c r="BR52" i="9"/>
  <c r="BS17" i="3"/>
  <c r="BR17" i="9"/>
  <c r="BT31" i="3"/>
  <c r="BT6" i="3"/>
  <c r="BT8" i="3"/>
  <c r="BR47" i="9"/>
  <c r="BR55" i="9"/>
  <c r="BR80" i="9"/>
  <c r="BS107" i="3"/>
  <c r="BR107" i="9"/>
  <c r="BS16" i="3"/>
  <c r="BR16" i="9"/>
  <c r="BS60" i="3"/>
  <c r="BR60" i="9"/>
  <c r="BS6" i="9" l="1"/>
  <c r="BS5" i="9"/>
  <c r="BS24" i="9"/>
  <c r="BT67" i="3"/>
  <c r="BS67" i="9"/>
  <c r="BT60" i="3"/>
  <c r="BS60" i="9"/>
  <c r="BV41" i="3"/>
  <c r="BT26" i="3"/>
  <c r="BS26" i="9"/>
  <c r="BS103" i="9"/>
  <c r="BT42" i="3"/>
  <c r="BS42" i="9"/>
  <c r="BU23" i="3"/>
  <c r="BU25" i="3"/>
  <c r="BT98" i="3"/>
  <c r="BS98" i="9"/>
  <c r="BT94" i="3"/>
  <c r="BS94" i="9"/>
  <c r="BT28" i="3"/>
  <c r="BS28" i="9"/>
  <c r="BT29" i="3"/>
  <c r="BS29" i="9"/>
  <c r="BS72" i="9"/>
  <c r="BS48" i="9"/>
  <c r="BS23" i="9"/>
  <c r="BU55" i="3"/>
  <c r="BT101" i="3"/>
  <c r="BS101" i="9"/>
  <c r="BS40" i="9"/>
  <c r="BU8" i="3"/>
  <c r="BT52" i="3"/>
  <c r="BS52" i="9"/>
  <c r="BU40" i="3"/>
  <c r="BT106" i="3"/>
  <c r="BS106" i="9"/>
  <c r="BS14" i="9"/>
  <c r="BT15" i="3"/>
  <c r="BS15" i="9"/>
  <c r="BS80" i="9"/>
  <c r="BT100" i="3"/>
  <c r="BS100" i="9"/>
  <c r="BT19" i="3"/>
  <c r="BS19" i="9"/>
  <c r="BV97" i="3"/>
  <c r="BT22" i="3"/>
  <c r="BS22" i="9"/>
  <c r="BT108" i="3"/>
  <c r="BS108" i="9"/>
  <c r="BT45" i="3"/>
  <c r="BS45" i="9"/>
  <c r="BT50" i="3"/>
  <c r="BS50" i="9"/>
  <c r="BU103" i="3"/>
  <c r="BV64" i="3"/>
  <c r="BS38" i="9"/>
  <c r="BT114" i="3"/>
  <c r="BS114" i="9"/>
  <c r="BT37" i="3"/>
  <c r="BS37" i="9"/>
  <c r="BU72" i="3"/>
  <c r="BV81" i="3"/>
  <c r="BU48" i="3"/>
  <c r="BU46" i="3"/>
  <c r="BT92" i="3"/>
  <c r="BS92" i="9"/>
  <c r="BU88" i="3"/>
  <c r="BT93" i="3"/>
  <c r="BS93" i="9"/>
  <c r="BT86" i="3"/>
  <c r="BS86" i="9"/>
  <c r="BU14" i="3"/>
  <c r="BT82" i="3"/>
  <c r="BS82" i="9"/>
  <c r="BU80" i="3"/>
  <c r="BS57" i="9"/>
  <c r="BS63" i="9"/>
  <c r="BS3" i="9"/>
  <c r="BT79" i="3"/>
  <c r="BS79" i="9"/>
  <c r="BT53" i="3"/>
  <c r="BS53" i="9"/>
  <c r="BT84" i="3"/>
  <c r="BS84" i="9"/>
  <c r="BT11" i="3"/>
  <c r="BS11" i="9"/>
  <c r="BU38" i="3"/>
  <c r="BT115" i="3"/>
  <c r="BS115" i="9"/>
  <c r="BT9" i="3"/>
  <c r="BS9" i="9"/>
  <c r="BS4" i="9"/>
  <c r="BS49" i="9"/>
  <c r="BT17" i="3"/>
  <c r="BS17" i="9"/>
  <c r="BT13" i="3"/>
  <c r="BS13" i="9"/>
  <c r="BT58" i="3"/>
  <c r="BS58" i="9"/>
  <c r="BS25" i="9"/>
  <c r="BT111" i="3"/>
  <c r="BS111" i="9"/>
  <c r="BS8" i="9"/>
  <c r="BT16" i="3"/>
  <c r="BS16" i="9"/>
  <c r="BS65" i="9"/>
  <c r="BU6" i="3"/>
  <c r="BU65" i="3"/>
  <c r="BS96" i="9"/>
  <c r="BV89" i="3"/>
  <c r="BT95" i="3"/>
  <c r="BS95" i="9"/>
  <c r="BT68" i="3"/>
  <c r="BS68" i="9"/>
  <c r="BU57" i="3"/>
  <c r="BU63" i="3"/>
  <c r="BT27" i="3"/>
  <c r="BS27" i="9"/>
  <c r="BT20" i="3"/>
  <c r="BS20" i="9"/>
  <c r="BU3" i="3"/>
  <c r="BT109" i="3"/>
  <c r="BS109" i="9"/>
  <c r="BS102" i="9"/>
  <c r="BT34" i="3"/>
  <c r="BS34" i="9"/>
  <c r="BS112" i="9"/>
  <c r="BU4" i="3"/>
  <c r="BU49" i="3"/>
  <c r="BT75" i="3"/>
  <c r="BS75" i="9"/>
  <c r="BU5" i="3"/>
  <c r="BT74" i="3"/>
  <c r="BS74" i="9"/>
  <c r="BU104" i="3"/>
  <c r="BT78" i="3"/>
  <c r="BS78" i="9"/>
  <c r="BT107" i="3"/>
  <c r="BS107" i="9"/>
  <c r="BS31" i="9"/>
  <c r="BS32" i="9"/>
  <c r="BU96" i="3"/>
  <c r="BS105" i="9"/>
  <c r="BT85" i="3"/>
  <c r="BS85" i="9"/>
  <c r="BT18" i="3"/>
  <c r="BS18" i="9"/>
  <c r="BT36" i="3"/>
  <c r="BS36" i="9"/>
  <c r="BV73" i="3"/>
  <c r="BT66" i="3"/>
  <c r="BS66" i="9"/>
  <c r="BU102" i="3"/>
  <c r="BT61" i="3"/>
  <c r="BS61" i="9"/>
  <c r="BT76" i="3"/>
  <c r="BS76" i="9"/>
  <c r="BT62" i="3"/>
  <c r="BS62" i="9"/>
  <c r="BU112" i="3"/>
  <c r="BT2" i="3"/>
  <c r="BS2" i="9"/>
  <c r="BS73" i="9"/>
  <c r="BS64" i="9"/>
  <c r="BS89" i="9"/>
  <c r="BS41" i="9"/>
  <c r="BS97" i="9"/>
  <c r="BS33" i="9"/>
  <c r="BS81" i="9"/>
  <c r="BS113" i="9"/>
  <c r="BT44" i="3"/>
  <c r="BS44" i="9"/>
  <c r="BS39" i="9"/>
  <c r="BT21" i="3"/>
  <c r="BS21" i="9"/>
  <c r="BU31" i="3"/>
  <c r="BU32" i="3"/>
  <c r="BT54" i="3"/>
  <c r="BS54" i="9"/>
  <c r="BU105" i="3"/>
  <c r="BT10" i="3"/>
  <c r="BS10" i="9"/>
  <c r="BT87" i="3"/>
  <c r="BS87" i="9"/>
  <c r="BT71" i="3"/>
  <c r="BS71" i="9"/>
  <c r="BT12" i="3"/>
  <c r="BS12" i="9"/>
  <c r="BT30" i="3"/>
  <c r="BS30" i="9"/>
  <c r="BT70" i="3"/>
  <c r="BS70" i="9"/>
  <c r="BS47" i="9"/>
  <c r="BV113" i="3"/>
  <c r="BS56" i="9"/>
  <c r="BT91" i="3"/>
  <c r="BS91" i="9"/>
  <c r="BU39" i="3"/>
  <c r="BT59" i="3"/>
  <c r="BS59" i="9"/>
  <c r="BT69" i="3"/>
  <c r="BS69" i="9"/>
  <c r="BT35" i="3"/>
  <c r="BS35" i="9"/>
  <c r="BS46" i="9"/>
  <c r="BV33" i="3"/>
  <c r="BT7" i="3"/>
  <c r="BS7" i="9"/>
  <c r="BT51" i="3"/>
  <c r="BS51" i="9"/>
  <c r="BT99" i="3"/>
  <c r="BS99" i="9"/>
  <c r="BT77" i="3"/>
  <c r="BS77" i="9"/>
  <c r="BS88" i="9"/>
  <c r="BS104" i="9"/>
  <c r="BU47" i="3"/>
  <c r="BU24" i="3"/>
  <c r="BT90" i="3"/>
  <c r="BS90" i="9"/>
  <c r="BT110" i="3"/>
  <c r="BS110" i="9"/>
  <c r="BS55" i="9"/>
  <c r="BT83" i="3"/>
  <c r="BS83" i="9"/>
  <c r="BU56" i="3"/>
  <c r="BT43" i="3"/>
  <c r="BS43" i="9"/>
  <c r="BT88" i="9" l="1"/>
  <c r="BT105" i="9"/>
  <c r="BU78" i="3"/>
  <c r="BT78" i="9"/>
  <c r="BU98" i="3"/>
  <c r="BT98" i="9"/>
  <c r="BU90" i="3"/>
  <c r="BT90" i="9"/>
  <c r="BT32" i="9"/>
  <c r="BU76" i="3"/>
  <c r="BT76" i="9"/>
  <c r="BW73" i="3"/>
  <c r="BT96" i="9"/>
  <c r="BT104" i="9"/>
  <c r="BT49" i="9"/>
  <c r="BT63" i="9"/>
  <c r="BV80" i="3"/>
  <c r="BU93" i="3"/>
  <c r="BT93" i="9"/>
  <c r="BV48" i="3"/>
  <c r="BU114" i="3"/>
  <c r="BT114" i="9"/>
  <c r="BT25" i="9"/>
  <c r="BU26" i="3"/>
  <c r="BT26" i="9"/>
  <c r="BU43" i="3"/>
  <c r="BT43" i="9"/>
  <c r="BU59" i="3"/>
  <c r="BT59" i="9"/>
  <c r="BU54" i="3"/>
  <c r="BT54" i="9"/>
  <c r="BU75" i="3"/>
  <c r="BT75" i="9"/>
  <c r="BU27" i="3"/>
  <c r="BT27" i="9"/>
  <c r="BU58" i="3"/>
  <c r="BT58" i="9"/>
  <c r="BU50" i="3"/>
  <c r="BT50" i="9"/>
  <c r="BW97" i="3"/>
  <c r="BV8" i="3"/>
  <c r="BW33" i="3"/>
  <c r="BU44" i="3"/>
  <c r="BT44" i="9"/>
  <c r="BV56" i="3"/>
  <c r="BT24" i="9"/>
  <c r="BV39" i="3"/>
  <c r="BU70" i="3"/>
  <c r="BT70" i="9"/>
  <c r="BU87" i="3"/>
  <c r="BT87" i="9"/>
  <c r="BV32" i="3"/>
  <c r="BV96" i="3"/>
  <c r="BV104" i="3"/>
  <c r="BV49" i="3"/>
  <c r="BU109" i="3"/>
  <c r="BT109" i="9"/>
  <c r="BV63" i="3"/>
  <c r="BW89" i="3"/>
  <c r="BU16" i="3"/>
  <c r="BT16" i="9"/>
  <c r="BU13" i="3"/>
  <c r="BT13" i="9"/>
  <c r="BU115" i="3"/>
  <c r="BT115" i="9"/>
  <c r="BU53" i="3"/>
  <c r="BT53" i="9"/>
  <c r="BU45" i="3"/>
  <c r="BT45" i="9"/>
  <c r="BU19" i="3"/>
  <c r="BT19" i="9"/>
  <c r="BU106" i="3"/>
  <c r="BT106" i="9"/>
  <c r="BU29" i="3"/>
  <c r="BT29" i="9"/>
  <c r="BV25" i="3"/>
  <c r="BU95" i="3"/>
  <c r="BT95" i="9"/>
  <c r="BT80" i="9"/>
  <c r="BU77" i="3"/>
  <c r="BT77" i="9"/>
  <c r="BT39" i="9"/>
  <c r="BT31" i="9"/>
  <c r="BU2" i="3"/>
  <c r="BT2" i="9"/>
  <c r="BT33" i="9"/>
  <c r="BT113" i="9"/>
  <c r="BT73" i="9"/>
  <c r="BT89" i="9"/>
  <c r="BT41" i="9"/>
  <c r="BT81" i="9"/>
  <c r="BT64" i="9"/>
  <c r="BT97" i="9"/>
  <c r="BU61" i="3"/>
  <c r="BT61" i="9"/>
  <c r="BU36" i="3"/>
  <c r="BT36" i="9"/>
  <c r="BT4" i="9"/>
  <c r="BT3" i="9"/>
  <c r="BT57" i="9"/>
  <c r="BT38" i="9"/>
  <c r="BU82" i="3"/>
  <c r="BT82" i="9"/>
  <c r="BV88" i="3"/>
  <c r="BW81" i="3"/>
  <c r="BT40" i="9"/>
  <c r="BU101" i="3"/>
  <c r="BT101" i="9"/>
  <c r="BT23" i="9"/>
  <c r="BW41" i="3"/>
  <c r="BU9" i="3"/>
  <c r="BT9" i="9"/>
  <c r="BU84" i="3"/>
  <c r="BT84" i="9"/>
  <c r="BT48" i="9"/>
  <c r="BT56" i="9"/>
  <c r="BV24" i="3"/>
  <c r="BU99" i="3"/>
  <c r="BT99" i="9"/>
  <c r="BU83" i="3"/>
  <c r="BT83" i="9"/>
  <c r="BT47" i="9"/>
  <c r="BU35" i="3"/>
  <c r="BT35" i="9"/>
  <c r="BU91" i="3"/>
  <c r="BT91" i="9"/>
  <c r="BU30" i="3"/>
  <c r="BT30" i="9"/>
  <c r="BU10" i="3"/>
  <c r="BT10" i="9"/>
  <c r="BV31" i="3"/>
  <c r="BT112" i="9"/>
  <c r="BT102" i="9"/>
  <c r="BU74" i="3"/>
  <c r="BT74" i="9"/>
  <c r="BV4" i="3"/>
  <c r="BV3" i="3"/>
  <c r="BV57" i="3"/>
  <c r="BT65" i="9"/>
  <c r="BU17" i="3"/>
  <c r="BT17" i="9"/>
  <c r="BV38" i="3"/>
  <c r="BU79" i="3"/>
  <c r="BT79" i="9"/>
  <c r="BT14" i="9"/>
  <c r="BT72" i="9"/>
  <c r="BW64" i="3"/>
  <c r="BU108" i="3"/>
  <c r="BT108" i="9"/>
  <c r="BU100" i="3"/>
  <c r="BT100" i="9"/>
  <c r="BV40" i="3"/>
  <c r="BT55" i="9"/>
  <c r="BU28" i="3"/>
  <c r="BT28" i="9"/>
  <c r="BV23" i="3"/>
  <c r="BV47" i="3"/>
  <c r="BU51" i="3"/>
  <c r="BT51" i="9"/>
  <c r="BV112" i="3"/>
  <c r="BV102" i="3"/>
  <c r="BU18" i="3"/>
  <c r="BT18" i="9"/>
  <c r="BT5" i="9"/>
  <c r="BV65" i="3"/>
  <c r="BU111" i="3"/>
  <c r="BT111" i="9"/>
  <c r="BV14" i="3"/>
  <c r="BU92" i="3"/>
  <c r="BT92" i="9"/>
  <c r="BV72" i="3"/>
  <c r="BT103" i="9"/>
  <c r="BV55" i="3"/>
  <c r="BU60" i="3"/>
  <c r="BT60" i="9"/>
  <c r="BU71" i="3"/>
  <c r="BT71" i="9"/>
  <c r="BU69" i="3"/>
  <c r="BT69" i="9"/>
  <c r="BU12" i="3"/>
  <c r="BT12" i="9"/>
  <c r="BV105" i="3"/>
  <c r="BU21" i="3"/>
  <c r="BT21" i="9"/>
  <c r="BU107" i="3"/>
  <c r="BT107" i="9"/>
  <c r="BV5" i="3"/>
  <c r="BU20" i="3"/>
  <c r="BT20" i="9"/>
  <c r="BU68" i="3"/>
  <c r="BT68" i="9"/>
  <c r="BT6" i="9"/>
  <c r="BU11" i="3"/>
  <c r="BT11" i="9"/>
  <c r="BT46" i="9"/>
  <c r="BV103" i="3"/>
  <c r="BU22" i="3"/>
  <c r="BT22" i="9"/>
  <c r="BU52" i="3"/>
  <c r="BT52" i="9"/>
  <c r="BU94" i="3"/>
  <c r="BT94" i="9"/>
  <c r="BU42" i="3"/>
  <c r="BT42" i="9"/>
  <c r="BU110" i="3"/>
  <c r="BT110" i="9"/>
  <c r="BU7" i="3"/>
  <c r="BT7" i="9"/>
  <c r="BW113" i="3"/>
  <c r="BU62" i="3"/>
  <c r="BT62" i="9"/>
  <c r="BU66" i="3"/>
  <c r="BT66" i="9"/>
  <c r="BU85" i="3"/>
  <c r="BT85" i="9"/>
  <c r="BU34" i="3"/>
  <c r="BT34" i="9"/>
  <c r="BV6" i="3"/>
  <c r="BU86" i="3"/>
  <c r="BT86" i="9"/>
  <c r="BV46" i="3"/>
  <c r="BU37" i="3"/>
  <c r="BT37" i="9"/>
  <c r="BU15" i="3"/>
  <c r="BT15" i="9"/>
  <c r="BT8" i="9"/>
  <c r="BU67" i="3"/>
  <c r="BT67" i="9"/>
  <c r="BU105" i="9" l="1"/>
  <c r="BU4" i="9"/>
  <c r="BU56" i="9"/>
  <c r="BV76" i="3"/>
  <c r="BU76" i="9"/>
  <c r="BW47" i="3"/>
  <c r="BW40" i="3"/>
  <c r="BU57" i="9"/>
  <c r="BV99" i="3"/>
  <c r="BU99" i="9"/>
  <c r="BV9" i="3"/>
  <c r="BU9" i="9"/>
  <c r="BU104" i="9"/>
  <c r="BV44" i="3"/>
  <c r="BU44" i="9"/>
  <c r="BV50" i="3"/>
  <c r="BU50" i="9"/>
  <c r="BV54" i="3"/>
  <c r="BU54" i="9"/>
  <c r="BV86" i="3"/>
  <c r="BU86" i="9"/>
  <c r="BV74" i="3"/>
  <c r="BU74" i="9"/>
  <c r="BW25" i="3"/>
  <c r="BV45" i="3"/>
  <c r="BU45" i="9"/>
  <c r="BV16" i="3"/>
  <c r="BU16" i="9"/>
  <c r="BV87" i="3"/>
  <c r="BU87" i="9"/>
  <c r="BW80" i="3"/>
  <c r="BU103" i="9"/>
  <c r="BV92" i="3"/>
  <c r="BU92" i="9"/>
  <c r="BV15" i="3"/>
  <c r="BU15" i="9"/>
  <c r="BW6" i="3"/>
  <c r="BV62" i="3"/>
  <c r="BU62" i="9"/>
  <c r="BV42" i="3"/>
  <c r="BU42" i="9"/>
  <c r="BW103" i="3"/>
  <c r="BV20" i="3"/>
  <c r="BU20" i="9"/>
  <c r="BW105" i="3"/>
  <c r="BV60" i="3"/>
  <c r="BU60" i="9"/>
  <c r="BU14" i="9"/>
  <c r="BV18" i="3"/>
  <c r="BU18" i="9"/>
  <c r="BU47" i="9"/>
  <c r="BW57" i="3"/>
  <c r="BV91" i="3"/>
  <c r="BU91" i="9"/>
  <c r="BU24" i="9"/>
  <c r="BU88" i="9"/>
  <c r="BV29" i="3"/>
  <c r="BU29" i="9"/>
  <c r="BV53" i="3"/>
  <c r="BU53" i="9"/>
  <c r="BW104" i="3"/>
  <c r="BV70" i="3"/>
  <c r="BU70" i="9"/>
  <c r="BV114" i="3"/>
  <c r="BU114" i="9"/>
  <c r="BV110" i="3"/>
  <c r="BU110" i="9"/>
  <c r="BV21" i="3"/>
  <c r="BU21" i="9"/>
  <c r="BU40" i="9"/>
  <c r="BV30" i="3"/>
  <c r="BU30" i="9"/>
  <c r="BU6" i="9"/>
  <c r="BU5" i="9"/>
  <c r="BU55" i="9"/>
  <c r="BW14" i="3"/>
  <c r="BU102" i="9"/>
  <c r="BU23" i="9"/>
  <c r="BV100" i="3"/>
  <c r="BU100" i="9"/>
  <c r="BV79" i="3"/>
  <c r="BU79" i="9"/>
  <c r="BU3" i="9"/>
  <c r="BU31" i="9"/>
  <c r="BW24" i="3"/>
  <c r="BW88" i="3"/>
  <c r="BV36" i="3"/>
  <c r="BU36" i="9"/>
  <c r="BV77" i="3"/>
  <c r="BU77" i="9"/>
  <c r="BU63" i="9"/>
  <c r="BU96" i="9"/>
  <c r="BU39" i="9"/>
  <c r="BV58" i="3"/>
  <c r="BU58" i="9"/>
  <c r="BV59" i="3"/>
  <c r="BU59" i="9"/>
  <c r="BU48" i="9"/>
  <c r="BV90" i="3"/>
  <c r="BU90" i="9"/>
  <c r="BV66" i="3"/>
  <c r="BU66" i="9"/>
  <c r="BV22" i="3"/>
  <c r="BU22" i="9"/>
  <c r="BV71" i="3"/>
  <c r="BU71" i="9"/>
  <c r="BV51" i="3"/>
  <c r="BU51" i="9"/>
  <c r="BV37" i="3"/>
  <c r="BU37" i="9"/>
  <c r="BV34" i="3"/>
  <c r="BU34" i="9"/>
  <c r="BV94" i="3"/>
  <c r="BU94" i="9"/>
  <c r="BW5" i="3"/>
  <c r="BV12" i="3"/>
  <c r="BU12" i="9"/>
  <c r="BW55" i="3"/>
  <c r="BW102" i="3"/>
  <c r="BW23" i="3"/>
  <c r="BU38" i="9"/>
  <c r="BW3" i="3"/>
  <c r="BW31" i="3"/>
  <c r="BV35" i="3"/>
  <c r="BU35" i="9"/>
  <c r="BV106" i="3"/>
  <c r="BU106" i="9"/>
  <c r="BV115" i="3"/>
  <c r="BU115" i="9"/>
  <c r="BW63" i="3"/>
  <c r="BW96" i="3"/>
  <c r="BW39" i="3"/>
  <c r="BU8" i="9"/>
  <c r="BW48" i="3"/>
  <c r="BW49" i="3"/>
  <c r="BV111" i="3"/>
  <c r="BU111" i="9"/>
  <c r="BU112" i="9"/>
  <c r="BV108" i="3"/>
  <c r="BU108" i="9"/>
  <c r="BW38" i="3"/>
  <c r="BV82" i="3"/>
  <c r="BU82" i="9"/>
  <c r="BV61" i="3"/>
  <c r="BU61" i="9"/>
  <c r="BU32" i="9"/>
  <c r="BW8" i="3"/>
  <c r="BV27" i="3"/>
  <c r="BU27" i="9"/>
  <c r="BV43" i="3"/>
  <c r="BU43" i="9"/>
  <c r="BV98" i="3"/>
  <c r="BU98" i="9"/>
  <c r="BV68" i="3"/>
  <c r="BU68" i="9"/>
  <c r="BU46" i="9"/>
  <c r="BV11" i="3"/>
  <c r="BU11" i="9"/>
  <c r="BW46" i="3"/>
  <c r="BV85" i="3"/>
  <c r="BU85" i="9"/>
  <c r="BV7" i="3"/>
  <c r="BU7" i="9"/>
  <c r="BV52" i="3"/>
  <c r="BU52" i="9"/>
  <c r="BV107" i="3"/>
  <c r="BU107" i="9"/>
  <c r="BV69" i="3"/>
  <c r="BU69" i="9"/>
  <c r="BU72" i="9"/>
  <c r="BU65" i="9"/>
  <c r="BW112" i="3"/>
  <c r="BV28" i="3"/>
  <c r="BU28" i="9"/>
  <c r="BW4" i="3"/>
  <c r="BV10" i="3"/>
  <c r="BU10" i="9"/>
  <c r="BV101" i="3"/>
  <c r="BU101" i="9"/>
  <c r="BV95" i="3"/>
  <c r="BU95" i="9"/>
  <c r="BV19" i="3"/>
  <c r="BU19" i="9"/>
  <c r="BV13" i="3"/>
  <c r="BU13" i="9"/>
  <c r="BV109" i="3"/>
  <c r="BU109" i="9"/>
  <c r="BW32" i="3"/>
  <c r="BV93" i="3"/>
  <c r="BU93" i="9"/>
  <c r="BV67" i="3"/>
  <c r="BU67" i="9"/>
  <c r="BW72" i="3"/>
  <c r="BW65" i="3"/>
  <c r="BV17" i="3"/>
  <c r="BU17" i="9"/>
  <c r="BV83" i="3"/>
  <c r="BU83" i="9"/>
  <c r="BV84" i="3"/>
  <c r="BU84" i="9"/>
  <c r="BV2" i="3"/>
  <c r="BV104" i="9" s="1"/>
  <c r="BU2" i="9"/>
  <c r="BU97" i="9"/>
  <c r="BU113" i="9"/>
  <c r="BU33" i="9"/>
  <c r="BU64" i="9"/>
  <c r="BU41" i="9"/>
  <c r="BU81" i="9"/>
  <c r="BU89" i="9"/>
  <c r="BU73" i="9"/>
  <c r="BU25" i="9"/>
  <c r="BU49" i="9"/>
  <c r="BW56" i="3"/>
  <c r="BV75" i="3"/>
  <c r="BU75" i="9"/>
  <c r="BV26" i="3"/>
  <c r="BU26" i="9"/>
  <c r="BU80" i="9"/>
  <c r="BV78" i="3"/>
  <c r="BU78" i="9"/>
  <c r="BV4" i="9" l="1"/>
  <c r="BW35" i="3"/>
  <c r="BV35" i="9"/>
  <c r="BW27" i="3"/>
  <c r="BV27" i="9"/>
  <c r="BV38" i="9"/>
  <c r="BV63" i="9"/>
  <c r="BV31" i="9"/>
  <c r="BW94" i="3"/>
  <c r="BV94" i="9"/>
  <c r="BV24" i="9"/>
  <c r="BW30" i="3"/>
  <c r="BV30" i="9"/>
  <c r="BW29" i="3"/>
  <c r="BV29" i="9"/>
  <c r="BW20" i="3"/>
  <c r="BV20" i="9"/>
  <c r="BW52" i="3"/>
  <c r="BV52" i="9"/>
  <c r="BV49" i="9"/>
  <c r="BW51" i="3"/>
  <c r="BV51" i="9"/>
  <c r="BW17" i="3"/>
  <c r="BV17" i="9"/>
  <c r="BW13" i="3"/>
  <c r="BV13" i="9"/>
  <c r="BW10" i="3"/>
  <c r="BV10" i="9"/>
  <c r="BW7" i="3"/>
  <c r="BV7" i="9"/>
  <c r="BV8" i="9"/>
  <c r="BV48" i="9"/>
  <c r="BV55" i="9"/>
  <c r="BW71" i="3"/>
  <c r="BV71" i="9"/>
  <c r="BW70" i="3"/>
  <c r="BV70" i="9"/>
  <c r="BW18" i="3"/>
  <c r="BV18" i="9"/>
  <c r="BV103" i="9"/>
  <c r="BW87" i="3"/>
  <c r="BV87" i="9"/>
  <c r="BW74" i="3"/>
  <c r="BV74" i="9"/>
  <c r="BW44" i="3"/>
  <c r="BV44" i="9"/>
  <c r="BV40" i="9"/>
  <c r="BW101" i="3"/>
  <c r="BV101" i="9"/>
  <c r="BW100" i="3"/>
  <c r="BV100" i="9"/>
  <c r="BW114" i="3"/>
  <c r="BV114" i="9"/>
  <c r="BV6" i="9"/>
  <c r="BW67" i="3"/>
  <c r="BV67" i="9"/>
  <c r="BW26" i="3"/>
  <c r="BV26" i="9"/>
  <c r="BW68" i="3"/>
  <c r="BV68" i="9"/>
  <c r="BV3" i="9"/>
  <c r="BW59" i="3"/>
  <c r="BV59" i="9"/>
  <c r="BW77" i="3"/>
  <c r="BV77" i="9"/>
  <c r="BV14" i="9"/>
  <c r="BW15" i="3"/>
  <c r="BV15" i="9"/>
  <c r="BW109" i="3"/>
  <c r="BV109" i="9"/>
  <c r="BW11" i="3"/>
  <c r="BV11" i="9"/>
  <c r="BV102" i="9"/>
  <c r="BW99" i="3"/>
  <c r="BV99" i="9"/>
  <c r="BW2" i="3"/>
  <c r="BV2" i="9"/>
  <c r="BV97" i="9"/>
  <c r="BV64" i="9"/>
  <c r="BV73" i="9"/>
  <c r="BV113" i="9"/>
  <c r="BV33" i="9"/>
  <c r="BV41" i="9"/>
  <c r="BV89" i="9"/>
  <c r="BV81" i="9"/>
  <c r="BV65" i="9"/>
  <c r="BW93" i="3"/>
  <c r="BV93" i="9"/>
  <c r="BW19" i="3"/>
  <c r="BV19" i="9"/>
  <c r="BW69" i="3"/>
  <c r="BV69" i="9"/>
  <c r="BW85" i="3"/>
  <c r="BV85" i="9"/>
  <c r="BW108" i="3"/>
  <c r="BV108" i="9"/>
  <c r="BW115" i="3"/>
  <c r="BV115" i="9"/>
  <c r="BW34" i="3"/>
  <c r="BV34" i="9"/>
  <c r="BW22" i="3"/>
  <c r="BV22" i="9"/>
  <c r="BW21" i="3"/>
  <c r="BV21" i="9"/>
  <c r="BW16" i="3"/>
  <c r="BV16" i="9"/>
  <c r="BW86" i="3"/>
  <c r="BV86" i="9"/>
  <c r="BV47" i="9"/>
  <c r="BW82" i="3"/>
  <c r="BV82" i="9"/>
  <c r="BW75" i="3"/>
  <c r="BV75" i="9"/>
  <c r="BV32" i="9"/>
  <c r="BV39" i="9"/>
  <c r="BW12" i="3"/>
  <c r="BV12" i="9"/>
  <c r="BW58" i="3"/>
  <c r="BV58" i="9"/>
  <c r="BW36" i="3"/>
  <c r="BV36" i="9"/>
  <c r="BW91" i="3"/>
  <c r="BV91" i="9"/>
  <c r="BW60" i="3"/>
  <c r="BV60" i="9"/>
  <c r="BW42" i="3"/>
  <c r="BV42" i="9"/>
  <c r="BW92" i="3"/>
  <c r="BV92" i="9"/>
  <c r="BW90" i="3"/>
  <c r="BV90" i="9"/>
  <c r="BW50" i="3"/>
  <c r="BV50" i="9"/>
  <c r="BV46" i="9"/>
  <c r="BW98" i="3"/>
  <c r="BV98" i="9"/>
  <c r="BW84" i="3"/>
  <c r="BV84" i="9"/>
  <c r="BV72" i="9"/>
  <c r="BW95" i="3"/>
  <c r="BV95" i="9"/>
  <c r="BW28" i="3"/>
  <c r="BV28" i="9"/>
  <c r="BW107" i="3"/>
  <c r="BV107" i="9"/>
  <c r="BW61" i="3"/>
  <c r="BV61" i="9"/>
  <c r="BW106" i="3"/>
  <c r="BV106" i="9"/>
  <c r="BV23" i="9"/>
  <c r="BV5" i="9"/>
  <c r="BW37" i="3"/>
  <c r="BV37" i="9"/>
  <c r="BW66" i="3"/>
  <c r="BV66" i="9"/>
  <c r="BV88" i="9"/>
  <c r="BW79" i="3"/>
  <c r="BV79" i="9"/>
  <c r="BW110" i="3"/>
  <c r="BV110" i="9"/>
  <c r="BV57" i="9"/>
  <c r="BV105" i="9"/>
  <c r="BW45" i="3"/>
  <c r="BV45" i="9"/>
  <c r="BW54" i="3"/>
  <c r="BV54" i="9"/>
  <c r="BW9" i="3"/>
  <c r="BV9" i="9"/>
  <c r="BW78" i="3"/>
  <c r="BV78" i="9"/>
  <c r="BW83" i="3"/>
  <c r="BV83" i="9"/>
  <c r="BV56" i="9"/>
  <c r="BV112" i="9"/>
  <c r="BW43" i="3"/>
  <c r="BV43" i="9"/>
  <c r="BW111" i="3"/>
  <c r="BV111" i="9"/>
  <c r="BV96" i="9"/>
  <c r="BW53" i="3"/>
  <c r="BV53" i="9"/>
  <c r="BW62" i="3"/>
  <c r="BV62" i="9"/>
  <c r="BV80" i="9"/>
  <c r="BV25" i="9"/>
  <c r="BW76" i="3"/>
  <c r="BV76" i="9"/>
  <c r="BW46" i="9" l="1"/>
  <c r="BW8" i="9"/>
  <c r="BW12" i="9"/>
  <c r="BW24" i="9"/>
  <c r="BW88" i="9"/>
  <c r="BW37" i="9"/>
  <c r="BW5" i="9"/>
  <c r="BW72" i="9"/>
  <c r="BW9" i="9"/>
  <c r="BW110" i="9"/>
  <c r="BW90" i="9"/>
  <c r="BW112" i="9"/>
  <c r="BW21" i="9"/>
  <c r="BW115" i="9"/>
  <c r="BW99" i="9"/>
  <c r="BW15" i="9"/>
  <c r="BW67" i="9"/>
  <c r="BW56" i="9"/>
  <c r="BW51" i="9"/>
  <c r="BW29" i="9"/>
  <c r="BW23" i="9"/>
  <c r="BW107" i="9"/>
  <c r="BW84" i="9"/>
  <c r="BW47" i="9"/>
  <c r="BW91" i="9"/>
  <c r="BW14" i="9"/>
  <c r="BW19" i="9"/>
  <c r="BW103" i="9"/>
  <c r="BW48" i="9"/>
  <c r="BW31" i="9"/>
  <c r="BW10" i="9"/>
  <c r="BW49" i="9"/>
  <c r="BW60" i="9"/>
  <c r="BW82" i="9"/>
  <c r="BW4" i="9"/>
  <c r="BW71" i="9"/>
  <c r="BW79" i="9"/>
  <c r="BW65" i="9"/>
  <c r="BW108" i="9"/>
  <c r="BW18" i="9"/>
  <c r="BW63" i="9"/>
  <c r="BW30" i="9"/>
  <c r="BW106" i="9"/>
  <c r="BW28" i="9"/>
  <c r="BW98" i="9"/>
  <c r="BW92" i="9"/>
  <c r="BW36" i="9"/>
  <c r="BW86" i="9"/>
  <c r="BW22" i="9"/>
  <c r="BW93" i="9"/>
  <c r="BW11" i="9"/>
  <c r="BW114" i="9"/>
  <c r="BW44" i="9"/>
  <c r="BW13" i="9"/>
  <c r="BW52" i="9"/>
  <c r="BW55" i="9"/>
  <c r="BW7" i="9"/>
  <c r="BW54" i="9"/>
  <c r="BW57" i="9"/>
  <c r="BW83" i="9"/>
  <c r="BW45" i="9"/>
  <c r="BW39" i="9"/>
  <c r="BW75" i="9"/>
  <c r="BW85" i="9"/>
  <c r="BW77" i="9"/>
  <c r="BW68" i="9"/>
  <c r="BW70" i="9"/>
  <c r="BW38" i="9"/>
  <c r="BW6" i="9"/>
  <c r="BW27" i="9"/>
  <c r="BW87" i="9"/>
  <c r="BW62" i="9"/>
  <c r="BW96" i="9"/>
  <c r="BW111" i="9"/>
  <c r="BW66" i="9"/>
  <c r="BW95" i="9"/>
  <c r="BW42" i="9"/>
  <c r="BW58" i="9"/>
  <c r="BW25" i="9"/>
  <c r="BW16" i="9"/>
  <c r="BW34" i="9"/>
  <c r="BW109" i="9"/>
  <c r="BW100" i="9"/>
  <c r="BW74" i="9"/>
  <c r="BW17" i="9"/>
  <c r="BW94" i="9"/>
  <c r="BW101" i="9"/>
  <c r="BW105" i="9"/>
  <c r="BW76" i="9"/>
  <c r="BW53" i="9"/>
  <c r="BW43" i="9"/>
  <c r="BW78" i="9"/>
  <c r="BW61" i="9"/>
  <c r="BW32" i="9"/>
  <c r="BW50" i="9"/>
  <c r="BW104" i="9"/>
  <c r="BW3" i="9"/>
  <c r="BW69" i="9"/>
  <c r="BW2" i="9"/>
  <c r="BW33" i="9"/>
  <c r="BW97" i="9"/>
  <c r="BW89" i="9"/>
  <c r="BW81" i="9"/>
  <c r="BW64" i="9"/>
  <c r="BW113" i="9"/>
  <c r="BW73" i="9"/>
  <c r="BW41" i="9"/>
  <c r="BW40" i="9"/>
  <c r="BW59" i="9"/>
  <c r="BW26" i="9"/>
  <c r="BW80" i="9"/>
  <c r="BW20" i="9"/>
  <c r="BW102" i="9"/>
  <c r="BW35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324E21-A53E-4111-8845-412D6C542104}" keepAlive="1" name="Consulta - Tabela5" description="Conexão com a consulta 'Tabela5' na pasta de trabalho." type="5" refreshedVersion="8" background="1" saveData="1">
    <dbPr connection="Provider=Microsoft.Mashup.OleDb.1;Data Source=$Workbook$;Location=Tabela5;Extended Properties=&quot;&quot;" command="SELECT * FROM [Tabela5]"/>
  </connection>
  <connection id="2" xr16:uid="{20AE876E-3F95-40C0-BEC0-A6A0C239BA15}" keepAlive="1" name="Consulta - TAcum" description="Conexão com a consulta 'TAcum' na pasta de trabalho." type="5" refreshedVersion="0" background="1">
    <dbPr connection="Provider=Microsoft.Mashup.OleDb.1;Data Source=$Workbook$;Location=TAcum;Extended Properties=&quot;&quot;" command="SELECT * FROM [TAcum]"/>
  </connection>
</connections>
</file>

<file path=xl/sharedStrings.xml><?xml version="1.0" encoding="utf-8"?>
<sst xmlns="http://schemas.openxmlformats.org/spreadsheetml/2006/main" count="17034" uniqueCount="196">
  <si>
    <t>Admar</t>
  </si>
  <si>
    <t>Afrânio 1</t>
  </si>
  <si>
    <t>Afrânio 2</t>
  </si>
  <si>
    <t>Alan Salles</t>
  </si>
  <si>
    <t>Alberto Santos Santana</t>
  </si>
  <si>
    <t>Alexandre Saback 1</t>
  </si>
  <si>
    <t>Alexandre Saback 2</t>
  </si>
  <si>
    <t>Aloisio Daniel</t>
  </si>
  <si>
    <t>Álvaro Maia</t>
  </si>
  <si>
    <t>Álvaro Neto</t>
  </si>
  <si>
    <t>Ana Julia</t>
  </si>
  <si>
    <t>André Bittencourt</t>
  </si>
  <si>
    <t>Antonio Neves</t>
  </si>
  <si>
    <t>Antonio Silvestre</t>
  </si>
  <si>
    <t>Augusto Alves</t>
  </si>
  <si>
    <t>Bago</t>
  </si>
  <si>
    <t>Brunner Victor de Almeida</t>
  </si>
  <si>
    <t>Bruno Ladvocat</t>
  </si>
  <si>
    <t>Camila Dourado</t>
  </si>
  <si>
    <t>Carlos Alberto Suffredini</t>
  </si>
  <si>
    <t>Cláudio Lima</t>
  </si>
  <si>
    <t>Cláudio Grangeon</t>
  </si>
  <si>
    <t>Clecia Paloma</t>
  </si>
  <si>
    <t>Cris Pinto 1</t>
  </si>
  <si>
    <t>Cris Pinto 2</t>
  </si>
  <si>
    <t>Cris Pinto 3</t>
  </si>
  <si>
    <t>Cristina Paradella Mottin</t>
  </si>
  <si>
    <t>Danilo Alves</t>
  </si>
  <si>
    <t>David Silva</t>
  </si>
  <si>
    <t>Diego</t>
  </si>
  <si>
    <t>Douglas Cordeiro Parente</t>
  </si>
  <si>
    <t>Eduardo Ivo</t>
  </si>
  <si>
    <t>Emerentino Quadro</t>
  </si>
  <si>
    <t>Fabiano Fonseca</t>
  </si>
  <si>
    <t>Fábio Luis Dos Santo Aleluia</t>
  </si>
  <si>
    <t>Fabio Vale</t>
  </si>
  <si>
    <t>Faustino 1</t>
  </si>
  <si>
    <t>Faustino 2</t>
  </si>
  <si>
    <t>Fernanda Freitas</t>
  </si>
  <si>
    <t>Francisco Amaral</t>
  </si>
  <si>
    <t>Gabriel Coni</t>
  </si>
  <si>
    <t>Henrique Schubach</t>
  </si>
  <si>
    <t>Heraldo Gouvêa</t>
  </si>
  <si>
    <t>Ivã das Neves Reis</t>
  </si>
  <si>
    <t>Ivan Isaac Ferreira Filho</t>
  </si>
  <si>
    <t>Juliana Coni</t>
  </si>
  <si>
    <t>Juliana Sampaio</t>
  </si>
  <si>
    <t>Jussara da Rocha Duarte</t>
  </si>
  <si>
    <t>Kleber Antas Meyer</t>
  </si>
  <si>
    <t>Leandro Neves</t>
  </si>
  <si>
    <t>Lissandro Will</t>
  </si>
  <si>
    <t>Lucas Schubach</t>
  </si>
  <si>
    <t>Luciano Santana Barros 1</t>
  </si>
  <si>
    <t>Luciano Santana Barros 2</t>
  </si>
  <si>
    <t>Luis Coni</t>
  </si>
  <si>
    <t>Luis Moreno Munoz</t>
  </si>
  <si>
    <t>Luiz Fernando 1</t>
  </si>
  <si>
    <t>Luiz Fernando 2</t>
  </si>
  <si>
    <t>Marcelo Menezes</t>
  </si>
  <si>
    <t>Marcio Borges 1</t>
  </si>
  <si>
    <t>Marcio Borges 2</t>
  </si>
  <si>
    <t>Marcos Cafezeiro</t>
  </si>
  <si>
    <t>Marcos Rogerio Magalhaes</t>
  </si>
  <si>
    <t>Marcus Machado</t>
  </si>
  <si>
    <t>Maria Carolina Fiuza</t>
  </si>
  <si>
    <t>Maria Clara Saraiva</t>
  </si>
  <si>
    <t>Marina Amorim</t>
  </si>
  <si>
    <t>Marina Carvalho</t>
  </si>
  <si>
    <t>Mario Jorge</t>
  </si>
  <si>
    <t>Mateus Amorim</t>
  </si>
  <si>
    <t>Mateus Baleeiro Costa</t>
  </si>
  <si>
    <t>Moises Augusto</t>
  </si>
  <si>
    <t>Murilo Amorim</t>
  </si>
  <si>
    <t>Murilo Bittencourt</t>
  </si>
  <si>
    <t>Ney Boa Sorte</t>
  </si>
  <si>
    <t>Otávio Guilherme de Medeiros</t>
  </si>
  <si>
    <t>Paulo Bandeira</t>
  </si>
  <si>
    <t>Paulo Gargano</t>
  </si>
  <si>
    <t>Paulo Machado</t>
  </si>
  <si>
    <t>Pedrinho Coral</t>
  </si>
  <si>
    <t>Pedro Amorim Boa Sorte</t>
  </si>
  <si>
    <t>Pedro Cauê</t>
  </si>
  <si>
    <t>Pedro Gouveia</t>
  </si>
  <si>
    <t>Pedro Saback</t>
  </si>
  <si>
    <t>Peu</t>
  </si>
  <si>
    <t>Rafael Rebouças de Araujo</t>
  </si>
  <si>
    <t>Rafael Vieira Valente</t>
  </si>
  <si>
    <t>Renan Kirst</t>
  </si>
  <si>
    <t>Renato Avila</t>
  </si>
  <si>
    <t>Renato Pellicci</t>
  </si>
  <si>
    <t>Ricardo Rappel</t>
  </si>
  <si>
    <t>Risia Gouveia</t>
  </si>
  <si>
    <t>Robson Guimarães</t>
  </si>
  <si>
    <t>Robson Souza</t>
  </si>
  <si>
    <t>Rodolfo Góes</t>
  </si>
  <si>
    <t>Rodolfo Schubach</t>
  </si>
  <si>
    <t>Rodrigo Moreira</t>
  </si>
  <si>
    <t>Rodrigo Rivas</t>
  </si>
  <si>
    <t>Ronaldo Araújo</t>
  </si>
  <si>
    <t>Juliana Fiuza</t>
  </si>
  <si>
    <t>Ronaldo Kirilauskas</t>
  </si>
  <si>
    <t>Sandro Ricardo França</t>
  </si>
  <si>
    <t>Simara Magalhães</t>
  </si>
  <si>
    <t>Tadeu Meniconi</t>
  </si>
  <si>
    <t>Tatsuhiko Kawaoka</t>
  </si>
  <si>
    <t>Thaís Coni</t>
  </si>
  <si>
    <t>Uilson Almeida de Campos</t>
  </si>
  <si>
    <t>Vicente Antipacheco</t>
  </si>
  <si>
    <t>Vicente Coni Jr</t>
  </si>
  <si>
    <t>William Soares da Silva</t>
  </si>
  <si>
    <t>Yago Barbosa Santana</t>
  </si>
  <si>
    <t>Kleber Marcos Meyer</t>
  </si>
  <si>
    <t>Gustavo Coni</t>
  </si>
  <si>
    <t>Victor Flores</t>
  </si>
  <si>
    <t>total</t>
  </si>
  <si>
    <t>Jogador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</si>
  <si>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</si>
  <si>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</si>
  <si>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</si>
  <si>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</si>
  <si>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</si>
  <si>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</si>
  <si>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</si>
  <si>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</si>
  <si>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</si>
  <si>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</si>
  <si>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</si>
  <si>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</si>
  <si>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</si>
  <si>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</si>
  <si>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</si>
  <si>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</si>
  <si>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</si>
  <si>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</si>
  <si>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</si>
  <si>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</si>
  <si>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</si>
  <si>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</si>
  <si>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</si>
  <si>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</si>
  <si>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</si>
  <si>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</si>
  <si>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</si>
  <si>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</si>
  <si>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</si>
  <si>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</si>
  <si>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</si>
  <si>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</si>
  <si>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</si>
  <si>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</si>
  <si>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</si>
  <si>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</si>
  <si>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</si>
  <si>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</si>
  <si>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</si>
  <si>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</si>
  <si>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</si>
  <si>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</si>
  <si>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</si>
  <si>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</si>
  <si>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</si>
  <si>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</si>
  <si>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</si>
  <si>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</si>
  <si>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</si>
  <si>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</si>
  <si>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</si>
  <si>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</si>
  <si>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</si>
  <si>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</si>
  <si>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</si>
  <si>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</si>
  <si>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</si>
  <si>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</si>
  <si>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</si>
  <si>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</si>
  <si>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</si>
  <si>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</si>
  <si>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</si>
  <si>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</si>
  <si>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Rótulos de Linha</t>
  </si>
  <si>
    <t>Total Geral</t>
  </si>
  <si>
    <t>Rótulos de Coluna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</si>
  <si>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</si>
  <si>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</si>
  <si>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</si>
  <si>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</si>
  <si>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</si>
  <si>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</si>
  <si>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</si>
  <si>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</si>
  <si>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</si>
  <si>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(Vários itens)</t>
  </si>
  <si>
    <t>Palpite</t>
  </si>
  <si>
    <t>Ranking</t>
  </si>
  <si>
    <t>Soma de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</si>
</sst>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[Bolão_Gráfico.xlsx]Gráfico!Tabela dinâmica4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Gráfico!$B$3:$B$4</c:f>
              <c:strCache>
                <c:ptCount val="1"/>
                <c:pt idx="0">
                  <c:v>Brunner Victor de Almeida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Gráfico!$A$5:$A$34</c:f>
              <c:strCache>
                <c:ptCount val="29"/>
                <c:pt idx="0">
                  <c:v>j01</c:v>
                </c:pt>
                <c:pt idx="1">
                  <c:v>j02</c:v>
                </c:pt>
                <c:pt idx="2">
                  <c:v>j03</c:v>
                </c:pt>
                <c:pt idx="3">
                  <c:v>j04</c:v>
                </c:pt>
                <c:pt idx="4">
                  <c:v>j05</c:v>
                </c:pt>
                <c:pt idx="5">
                  <c:v>j06</c:v>
                </c:pt>
                <c:pt idx="6">
                  <c:v>j07</c:v>
                </c:pt>
                <c:pt idx="7">
                  <c:v>j08</c:v>
                </c:pt>
                <c:pt idx="8">
                  <c:v>j09</c:v>
                </c:pt>
                <c:pt idx="9">
                  <c:v>j10</c:v>
                </c:pt>
                <c:pt idx="10">
                  <c:v>j11</c:v>
                </c:pt>
                <c:pt idx="11">
                  <c:v>j12</c:v>
                </c:pt>
                <c:pt idx="12">
                  <c:v>j13</c:v>
                </c:pt>
                <c:pt idx="13">
                  <c:v>j14</c:v>
                </c:pt>
                <c:pt idx="14">
                  <c:v>j15</c:v>
                </c:pt>
                <c:pt idx="15">
                  <c:v>j16</c:v>
                </c:pt>
                <c:pt idx="16">
                  <c:v>j17</c:v>
                </c:pt>
                <c:pt idx="17">
                  <c:v>j18</c:v>
                </c:pt>
                <c:pt idx="18">
                  <c:v>j19</c:v>
                </c:pt>
                <c:pt idx="19">
                  <c:v>j20</c:v>
                </c:pt>
                <c:pt idx="20">
                  <c:v>j21</c:v>
                </c:pt>
                <c:pt idx="21">
                  <c:v>j22</c:v>
                </c:pt>
                <c:pt idx="22">
                  <c:v>j23</c:v>
                </c:pt>
                <c:pt idx="23">
                  <c:v>j24</c:v>
                </c:pt>
                <c:pt idx="24">
                  <c:v>j25</c:v>
                </c:pt>
                <c:pt idx="25">
                  <c:v>j26</c:v>
                </c:pt>
                <c:pt idx="26">
                  <c:v>j27</c:v>
                </c:pt>
                <c:pt idx="27">
                  <c:v>j28</c:v>
                </c:pt>
                <c:pt idx="28">
                  <c:v>j29</c:v>
                </c:pt>
              </c:strCache>
            </c:strRef>
          </c:cat>
          <c:val>
            <c:numRef>
              <c:f>Gráfico!$B$5:$B$34</c:f>
              <c:numCache>
                <c:formatCode>General</c:formatCode>
                <c:ptCount val="29"/>
                <c:pt idx="0">
                  <c:v>13</c:v>
                </c:pt>
                <c:pt idx="1">
                  <c:v>14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9</c:v>
                </c:pt>
                <c:pt idx="22">
                  <c:v>6</c:v>
                </c:pt>
                <c:pt idx="23">
                  <c:v>4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7</c:v>
                </c:pt>
                <c:pt idx="2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E-4A75-A4F9-E345FB43CA94}"/>
            </c:ext>
          </c:extLst>
        </c:ser>
        <c:ser>
          <c:idx val="1"/>
          <c:order val="1"/>
          <c:tx>
            <c:strRef>
              <c:f>Gráfico!$C$3:$C$4</c:f>
              <c:strCache>
                <c:ptCount val="1"/>
                <c:pt idx="0">
                  <c:v>Cristina Paradella Mottin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Gráfico!$A$5:$A$34</c:f>
              <c:strCache>
                <c:ptCount val="29"/>
                <c:pt idx="0">
                  <c:v>j01</c:v>
                </c:pt>
                <c:pt idx="1">
                  <c:v>j02</c:v>
                </c:pt>
                <c:pt idx="2">
                  <c:v>j03</c:v>
                </c:pt>
                <c:pt idx="3">
                  <c:v>j04</c:v>
                </c:pt>
                <c:pt idx="4">
                  <c:v>j05</c:v>
                </c:pt>
                <c:pt idx="5">
                  <c:v>j06</c:v>
                </c:pt>
                <c:pt idx="6">
                  <c:v>j07</c:v>
                </c:pt>
                <c:pt idx="7">
                  <c:v>j08</c:v>
                </c:pt>
                <c:pt idx="8">
                  <c:v>j09</c:v>
                </c:pt>
                <c:pt idx="9">
                  <c:v>j10</c:v>
                </c:pt>
                <c:pt idx="10">
                  <c:v>j11</c:v>
                </c:pt>
                <c:pt idx="11">
                  <c:v>j12</c:v>
                </c:pt>
                <c:pt idx="12">
                  <c:v>j13</c:v>
                </c:pt>
                <c:pt idx="13">
                  <c:v>j14</c:v>
                </c:pt>
                <c:pt idx="14">
                  <c:v>j15</c:v>
                </c:pt>
                <c:pt idx="15">
                  <c:v>j16</c:v>
                </c:pt>
                <c:pt idx="16">
                  <c:v>j17</c:v>
                </c:pt>
                <c:pt idx="17">
                  <c:v>j18</c:v>
                </c:pt>
                <c:pt idx="18">
                  <c:v>j19</c:v>
                </c:pt>
                <c:pt idx="19">
                  <c:v>j20</c:v>
                </c:pt>
                <c:pt idx="20">
                  <c:v>j21</c:v>
                </c:pt>
                <c:pt idx="21">
                  <c:v>j22</c:v>
                </c:pt>
                <c:pt idx="22">
                  <c:v>j23</c:v>
                </c:pt>
                <c:pt idx="23">
                  <c:v>j24</c:v>
                </c:pt>
                <c:pt idx="24">
                  <c:v>j25</c:v>
                </c:pt>
                <c:pt idx="25">
                  <c:v>j26</c:v>
                </c:pt>
                <c:pt idx="26">
                  <c:v>j27</c:v>
                </c:pt>
                <c:pt idx="27">
                  <c:v>j28</c:v>
                </c:pt>
                <c:pt idx="28">
                  <c:v>j29</c:v>
                </c:pt>
              </c:strCache>
            </c:strRef>
          </c:cat>
          <c:val>
            <c:numRef>
              <c:f>Gráfico!$C$5:$C$34</c:f>
              <c:numCache>
                <c:formatCode>General</c:formatCode>
                <c:ptCount val="29"/>
                <c:pt idx="0">
                  <c:v>13</c:v>
                </c:pt>
                <c:pt idx="1">
                  <c:v>14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11</c:v>
                </c:pt>
                <c:pt idx="7">
                  <c:v>15</c:v>
                </c:pt>
                <c:pt idx="8">
                  <c:v>16</c:v>
                </c:pt>
                <c:pt idx="9">
                  <c:v>19</c:v>
                </c:pt>
                <c:pt idx="10">
                  <c:v>16</c:v>
                </c:pt>
                <c:pt idx="11">
                  <c:v>15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10</c:v>
                </c:pt>
                <c:pt idx="20">
                  <c:v>7</c:v>
                </c:pt>
                <c:pt idx="21">
                  <c:v>9</c:v>
                </c:pt>
                <c:pt idx="22">
                  <c:v>6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8E-4DCC-8DB7-DD1B4BD37BA4}"/>
            </c:ext>
          </c:extLst>
        </c:ser>
        <c:ser>
          <c:idx val="2"/>
          <c:order val="2"/>
          <c:tx>
            <c:strRef>
              <c:f>Gráfico!$D$3:$D$4</c:f>
              <c:strCache>
                <c:ptCount val="1"/>
                <c:pt idx="0">
                  <c:v>Fábio Luis Dos Santo Aleluia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Gráfico!$A$5:$A$34</c:f>
              <c:strCache>
                <c:ptCount val="29"/>
                <c:pt idx="0">
                  <c:v>j01</c:v>
                </c:pt>
                <c:pt idx="1">
                  <c:v>j02</c:v>
                </c:pt>
                <c:pt idx="2">
                  <c:v>j03</c:v>
                </c:pt>
                <c:pt idx="3">
                  <c:v>j04</c:v>
                </c:pt>
                <c:pt idx="4">
                  <c:v>j05</c:v>
                </c:pt>
                <c:pt idx="5">
                  <c:v>j06</c:v>
                </c:pt>
                <c:pt idx="6">
                  <c:v>j07</c:v>
                </c:pt>
                <c:pt idx="7">
                  <c:v>j08</c:v>
                </c:pt>
                <c:pt idx="8">
                  <c:v>j09</c:v>
                </c:pt>
                <c:pt idx="9">
                  <c:v>j10</c:v>
                </c:pt>
                <c:pt idx="10">
                  <c:v>j11</c:v>
                </c:pt>
                <c:pt idx="11">
                  <c:v>j12</c:v>
                </c:pt>
                <c:pt idx="12">
                  <c:v>j13</c:v>
                </c:pt>
                <c:pt idx="13">
                  <c:v>j14</c:v>
                </c:pt>
                <c:pt idx="14">
                  <c:v>j15</c:v>
                </c:pt>
                <c:pt idx="15">
                  <c:v>j16</c:v>
                </c:pt>
                <c:pt idx="16">
                  <c:v>j17</c:v>
                </c:pt>
                <c:pt idx="17">
                  <c:v>j18</c:v>
                </c:pt>
                <c:pt idx="18">
                  <c:v>j19</c:v>
                </c:pt>
                <c:pt idx="19">
                  <c:v>j20</c:v>
                </c:pt>
                <c:pt idx="20">
                  <c:v>j21</c:v>
                </c:pt>
                <c:pt idx="21">
                  <c:v>j22</c:v>
                </c:pt>
                <c:pt idx="22">
                  <c:v>j23</c:v>
                </c:pt>
                <c:pt idx="23">
                  <c:v>j24</c:v>
                </c:pt>
                <c:pt idx="24">
                  <c:v>j25</c:v>
                </c:pt>
                <c:pt idx="25">
                  <c:v>j26</c:v>
                </c:pt>
                <c:pt idx="26">
                  <c:v>j27</c:v>
                </c:pt>
                <c:pt idx="27">
                  <c:v>j28</c:v>
                </c:pt>
                <c:pt idx="28">
                  <c:v>j29</c:v>
                </c:pt>
              </c:strCache>
            </c:strRef>
          </c:cat>
          <c:val>
            <c:numRef>
              <c:f>Gráfico!$D$5:$D$34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38</c:v>
                </c:pt>
                <c:pt idx="4">
                  <c:v>39</c:v>
                </c:pt>
                <c:pt idx="5">
                  <c:v>41</c:v>
                </c:pt>
                <c:pt idx="6">
                  <c:v>49</c:v>
                </c:pt>
                <c:pt idx="7">
                  <c:v>49</c:v>
                </c:pt>
                <c:pt idx="8">
                  <c:v>52</c:v>
                </c:pt>
                <c:pt idx="9">
                  <c:v>56</c:v>
                </c:pt>
                <c:pt idx="10">
                  <c:v>51</c:v>
                </c:pt>
                <c:pt idx="11">
                  <c:v>54</c:v>
                </c:pt>
                <c:pt idx="12">
                  <c:v>33</c:v>
                </c:pt>
                <c:pt idx="13">
                  <c:v>35</c:v>
                </c:pt>
                <c:pt idx="14">
                  <c:v>36</c:v>
                </c:pt>
                <c:pt idx="15">
                  <c:v>27</c:v>
                </c:pt>
                <c:pt idx="16">
                  <c:v>32</c:v>
                </c:pt>
                <c:pt idx="17">
                  <c:v>37</c:v>
                </c:pt>
                <c:pt idx="18">
                  <c:v>16</c:v>
                </c:pt>
                <c:pt idx="19">
                  <c:v>24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8</c:v>
                </c:pt>
                <c:pt idx="24">
                  <c:v>8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8E-4DCC-8DB7-DD1B4BD37BA4}"/>
            </c:ext>
          </c:extLst>
        </c:ser>
        <c:ser>
          <c:idx val="3"/>
          <c:order val="3"/>
          <c:tx>
            <c:strRef>
              <c:f>Gráfico!$E$3:$E$4</c:f>
              <c:strCache>
                <c:ptCount val="1"/>
                <c:pt idx="0">
                  <c:v>Gabriel Coni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Gráfico!$A$5:$A$34</c:f>
              <c:strCache>
                <c:ptCount val="29"/>
                <c:pt idx="0">
                  <c:v>j01</c:v>
                </c:pt>
                <c:pt idx="1">
                  <c:v>j02</c:v>
                </c:pt>
                <c:pt idx="2">
                  <c:v>j03</c:v>
                </c:pt>
                <c:pt idx="3">
                  <c:v>j04</c:v>
                </c:pt>
                <c:pt idx="4">
                  <c:v>j05</c:v>
                </c:pt>
                <c:pt idx="5">
                  <c:v>j06</c:v>
                </c:pt>
                <c:pt idx="6">
                  <c:v>j07</c:v>
                </c:pt>
                <c:pt idx="7">
                  <c:v>j08</c:v>
                </c:pt>
                <c:pt idx="8">
                  <c:v>j09</c:v>
                </c:pt>
                <c:pt idx="9">
                  <c:v>j10</c:v>
                </c:pt>
                <c:pt idx="10">
                  <c:v>j11</c:v>
                </c:pt>
                <c:pt idx="11">
                  <c:v>j12</c:v>
                </c:pt>
                <c:pt idx="12">
                  <c:v>j13</c:v>
                </c:pt>
                <c:pt idx="13">
                  <c:v>j14</c:v>
                </c:pt>
                <c:pt idx="14">
                  <c:v>j15</c:v>
                </c:pt>
                <c:pt idx="15">
                  <c:v>j16</c:v>
                </c:pt>
                <c:pt idx="16">
                  <c:v>j17</c:v>
                </c:pt>
                <c:pt idx="17">
                  <c:v>j18</c:v>
                </c:pt>
                <c:pt idx="18">
                  <c:v>j19</c:v>
                </c:pt>
                <c:pt idx="19">
                  <c:v>j20</c:v>
                </c:pt>
                <c:pt idx="20">
                  <c:v>j21</c:v>
                </c:pt>
                <c:pt idx="21">
                  <c:v>j22</c:v>
                </c:pt>
                <c:pt idx="22">
                  <c:v>j23</c:v>
                </c:pt>
                <c:pt idx="23">
                  <c:v>j24</c:v>
                </c:pt>
                <c:pt idx="24">
                  <c:v>j25</c:v>
                </c:pt>
                <c:pt idx="25">
                  <c:v>j26</c:v>
                </c:pt>
                <c:pt idx="26">
                  <c:v>j27</c:v>
                </c:pt>
                <c:pt idx="27">
                  <c:v>j28</c:v>
                </c:pt>
                <c:pt idx="28">
                  <c:v>j29</c:v>
                </c:pt>
              </c:strCache>
            </c:strRef>
          </c:cat>
          <c:val>
            <c:numRef>
              <c:f>Gráfico!$E$5:$E$34</c:f>
              <c:numCache>
                <c:formatCode>General</c:formatCode>
                <c:ptCount val="29"/>
                <c:pt idx="0">
                  <c:v>13</c:v>
                </c:pt>
                <c:pt idx="1">
                  <c:v>14</c:v>
                </c:pt>
                <c:pt idx="2">
                  <c:v>24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9</c:v>
                </c:pt>
                <c:pt idx="12">
                  <c:v>5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5</c:v>
                </c:pt>
                <c:pt idx="2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58E-4DCC-8DB7-DD1B4BD37BA4}"/>
            </c:ext>
          </c:extLst>
        </c:ser>
        <c:ser>
          <c:idx val="4"/>
          <c:order val="4"/>
          <c:tx>
            <c:strRef>
              <c:f>Gráfico!$F$3:$F$4</c:f>
              <c:strCache>
                <c:ptCount val="1"/>
                <c:pt idx="0">
                  <c:v>Ivã das Neves Reis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Gráfico!$A$5:$A$34</c:f>
              <c:strCache>
                <c:ptCount val="29"/>
                <c:pt idx="0">
                  <c:v>j01</c:v>
                </c:pt>
                <c:pt idx="1">
                  <c:v>j02</c:v>
                </c:pt>
                <c:pt idx="2">
                  <c:v>j03</c:v>
                </c:pt>
                <c:pt idx="3">
                  <c:v>j04</c:v>
                </c:pt>
                <c:pt idx="4">
                  <c:v>j05</c:v>
                </c:pt>
                <c:pt idx="5">
                  <c:v>j06</c:v>
                </c:pt>
                <c:pt idx="6">
                  <c:v>j07</c:v>
                </c:pt>
                <c:pt idx="7">
                  <c:v>j08</c:v>
                </c:pt>
                <c:pt idx="8">
                  <c:v>j09</c:v>
                </c:pt>
                <c:pt idx="9">
                  <c:v>j10</c:v>
                </c:pt>
                <c:pt idx="10">
                  <c:v>j11</c:v>
                </c:pt>
                <c:pt idx="11">
                  <c:v>j12</c:v>
                </c:pt>
                <c:pt idx="12">
                  <c:v>j13</c:v>
                </c:pt>
                <c:pt idx="13">
                  <c:v>j14</c:v>
                </c:pt>
                <c:pt idx="14">
                  <c:v>j15</c:v>
                </c:pt>
                <c:pt idx="15">
                  <c:v>j16</c:v>
                </c:pt>
                <c:pt idx="16">
                  <c:v>j17</c:v>
                </c:pt>
                <c:pt idx="17">
                  <c:v>j18</c:v>
                </c:pt>
                <c:pt idx="18">
                  <c:v>j19</c:v>
                </c:pt>
                <c:pt idx="19">
                  <c:v>j20</c:v>
                </c:pt>
                <c:pt idx="20">
                  <c:v>j21</c:v>
                </c:pt>
                <c:pt idx="21">
                  <c:v>j22</c:v>
                </c:pt>
                <c:pt idx="22">
                  <c:v>j23</c:v>
                </c:pt>
                <c:pt idx="23">
                  <c:v>j24</c:v>
                </c:pt>
                <c:pt idx="24">
                  <c:v>j25</c:v>
                </c:pt>
                <c:pt idx="25">
                  <c:v>j26</c:v>
                </c:pt>
                <c:pt idx="26">
                  <c:v>j27</c:v>
                </c:pt>
                <c:pt idx="27">
                  <c:v>j28</c:v>
                </c:pt>
                <c:pt idx="28">
                  <c:v>j29</c:v>
                </c:pt>
              </c:strCache>
            </c:strRef>
          </c:cat>
          <c:val>
            <c:numRef>
              <c:f>Gráfico!$F$5:$F$34</c:f>
              <c:numCache>
                <c:formatCode>General</c:formatCode>
                <c:ptCount val="29"/>
                <c:pt idx="0">
                  <c:v>13</c:v>
                </c:pt>
                <c:pt idx="1">
                  <c:v>14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6</c:v>
                </c:pt>
                <c:pt idx="12">
                  <c:v>22</c:v>
                </c:pt>
                <c:pt idx="13">
                  <c:v>23</c:v>
                </c:pt>
                <c:pt idx="14">
                  <c:v>25</c:v>
                </c:pt>
                <c:pt idx="15">
                  <c:v>30</c:v>
                </c:pt>
                <c:pt idx="16">
                  <c:v>38</c:v>
                </c:pt>
                <c:pt idx="17">
                  <c:v>16</c:v>
                </c:pt>
                <c:pt idx="18">
                  <c:v>7</c:v>
                </c:pt>
                <c:pt idx="19">
                  <c:v>7</c:v>
                </c:pt>
                <c:pt idx="20">
                  <c:v>10</c:v>
                </c:pt>
                <c:pt idx="21">
                  <c:v>3</c:v>
                </c:pt>
                <c:pt idx="22">
                  <c:v>4</c:v>
                </c:pt>
                <c:pt idx="23">
                  <c:v>2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8</c:v>
                </c:pt>
                <c:pt idx="2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8E-4DCC-8DB7-DD1B4BD37BA4}"/>
            </c:ext>
          </c:extLst>
        </c:ser>
        <c:ser>
          <c:idx val="5"/>
          <c:order val="5"/>
          <c:tx>
            <c:strRef>
              <c:f>Gráfico!$G$3:$G$4</c:f>
              <c:strCache>
                <c:ptCount val="1"/>
                <c:pt idx="0">
                  <c:v>Marcos Rogerio Magalhaes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Gráfico!$A$5:$A$34</c:f>
              <c:strCache>
                <c:ptCount val="29"/>
                <c:pt idx="0">
                  <c:v>j01</c:v>
                </c:pt>
                <c:pt idx="1">
                  <c:v>j02</c:v>
                </c:pt>
                <c:pt idx="2">
                  <c:v>j03</c:v>
                </c:pt>
                <c:pt idx="3">
                  <c:v>j04</c:v>
                </c:pt>
                <c:pt idx="4">
                  <c:v>j05</c:v>
                </c:pt>
                <c:pt idx="5">
                  <c:v>j06</c:v>
                </c:pt>
                <c:pt idx="6">
                  <c:v>j07</c:v>
                </c:pt>
                <c:pt idx="7">
                  <c:v>j08</c:v>
                </c:pt>
                <c:pt idx="8">
                  <c:v>j09</c:v>
                </c:pt>
                <c:pt idx="9">
                  <c:v>j10</c:v>
                </c:pt>
                <c:pt idx="10">
                  <c:v>j11</c:v>
                </c:pt>
                <c:pt idx="11">
                  <c:v>j12</c:v>
                </c:pt>
                <c:pt idx="12">
                  <c:v>j13</c:v>
                </c:pt>
                <c:pt idx="13">
                  <c:v>j14</c:v>
                </c:pt>
                <c:pt idx="14">
                  <c:v>j15</c:v>
                </c:pt>
                <c:pt idx="15">
                  <c:v>j16</c:v>
                </c:pt>
                <c:pt idx="16">
                  <c:v>j17</c:v>
                </c:pt>
                <c:pt idx="17">
                  <c:v>j18</c:v>
                </c:pt>
                <c:pt idx="18">
                  <c:v>j19</c:v>
                </c:pt>
                <c:pt idx="19">
                  <c:v>j20</c:v>
                </c:pt>
                <c:pt idx="20">
                  <c:v>j21</c:v>
                </c:pt>
                <c:pt idx="21">
                  <c:v>j22</c:v>
                </c:pt>
                <c:pt idx="22">
                  <c:v>j23</c:v>
                </c:pt>
                <c:pt idx="23">
                  <c:v>j24</c:v>
                </c:pt>
                <c:pt idx="24">
                  <c:v>j25</c:v>
                </c:pt>
                <c:pt idx="25">
                  <c:v>j26</c:v>
                </c:pt>
                <c:pt idx="26">
                  <c:v>j27</c:v>
                </c:pt>
                <c:pt idx="27">
                  <c:v>j28</c:v>
                </c:pt>
                <c:pt idx="28">
                  <c:v>j29</c:v>
                </c:pt>
              </c:strCache>
            </c:strRef>
          </c:cat>
          <c:val>
            <c:numRef>
              <c:f>Gráfico!$G$5:$G$34</c:f>
              <c:numCache>
                <c:formatCode>General</c:formatCode>
                <c:ptCount val="29"/>
                <c:pt idx="0">
                  <c:v>13</c:v>
                </c:pt>
                <c:pt idx="1">
                  <c:v>14</c:v>
                </c:pt>
                <c:pt idx="2">
                  <c:v>24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5</c:v>
                </c:pt>
                <c:pt idx="7">
                  <c:v>8</c:v>
                </c:pt>
                <c:pt idx="8">
                  <c:v>11</c:v>
                </c:pt>
                <c:pt idx="9">
                  <c:v>7</c:v>
                </c:pt>
                <c:pt idx="10">
                  <c:v>6</c:v>
                </c:pt>
                <c:pt idx="11">
                  <c:v>9</c:v>
                </c:pt>
                <c:pt idx="12">
                  <c:v>5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58E-4DCC-8DB7-DD1B4BD37BA4}"/>
            </c:ext>
          </c:extLst>
        </c:ser>
        <c:ser>
          <c:idx val="6"/>
          <c:order val="6"/>
          <c:tx>
            <c:strRef>
              <c:f>Gráfico!$H$3:$H$4</c:f>
              <c:strCache>
                <c:ptCount val="1"/>
                <c:pt idx="0">
                  <c:v>Marina Carvalho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Gráfico!$A$5:$A$34</c:f>
              <c:strCache>
                <c:ptCount val="29"/>
                <c:pt idx="0">
                  <c:v>j01</c:v>
                </c:pt>
                <c:pt idx="1">
                  <c:v>j02</c:v>
                </c:pt>
                <c:pt idx="2">
                  <c:v>j03</c:v>
                </c:pt>
                <c:pt idx="3">
                  <c:v>j04</c:v>
                </c:pt>
                <c:pt idx="4">
                  <c:v>j05</c:v>
                </c:pt>
                <c:pt idx="5">
                  <c:v>j06</c:v>
                </c:pt>
                <c:pt idx="6">
                  <c:v>j07</c:v>
                </c:pt>
                <c:pt idx="7">
                  <c:v>j08</c:v>
                </c:pt>
                <c:pt idx="8">
                  <c:v>j09</c:v>
                </c:pt>
                <c:pt idx="9">
                  <c:v>j10</c:v>
                </c:pt>
                <c:pt idx="10">
                  <c:v>j11</c:v>
                </c:pt>
                <c:pt idx="11">
                  <c:v>j12</c:v>
                </c:pt>
                <c:pt idx="12">
                  <c:v>j13</c:v>
                </c:pt>
                <c:pt idx="13">
                  <c:v>j14</c:v>
                </c:pt>
                <c:pt idx="14">
                  <c:v>j15</c:v>
                </c:pt>
                <c:pt idx="15">
                  <c:v>j16</c:v>
                </c:pt>
                <c:pt idx="16">
                  <c:v>j17</c:v>
                </c:pt>
                <c:pt idx="17">
                  <c:v>j18</c:v>
                </c:pt>
                <c:pt idx="18">
                  <c:v>j19</c:v>
                </c:pt>
                <c:pt idx="19">
                  <c:v>j20</c:v>
                </c:pt>
                <c:pt idx="20">
                  <c:v>j21</c:v>
                </c:pt>
                <c:pt idx="21">
                  <c:v>j22</c:v>
                </c:pt>
                <c:pt idx="22">
                  <c:v>j23</c:v>
                </c:pt>
                <c:pt idx="23">
                  <c:v>j24</c:v>
                </c:pt>
                <c:pt idx="24">
                  <c:v>j25</c:v>
                </c:pt>
                <c:pt idx="25">
                  <c:v>j26</c:v>
                </c:pt>
                <c:pt idx="26">
                  <c:v>j27</c:v>
                </c:pt>
                <c:pt idx="27">
                  <c:v>j28</c:v>
                </c:pt>
                <c:pt idx="28">
                  <c:v>j29</c:v>
                </c:pt>
              </c:strCache>
            </c:strRef>
          </c:cat>
          <c:val>
            <c:numRef>
              <c:f>Gráfico!$H$5:$H$34</c:f>
              <c:numCache>
                <c:formatCode>General</c:formatCode>
                <c:ptCount val="29"/>
                <c:pt idx="0">
                  <c:v>13</c:v>
                </c:pt>
                <c:pt idx="1">
                  <c:v>14</c:v>
                </c:pt>
                <c:pt idx="2">
                  <c:v>52</c:v>
                </c:pt>
                <c:pt idx="3">
                  <c:v>27</c:v>
                </c:pt>
                <c:pt idx="4">
                  <c:v>27</c:v>
                </c:pt>
                <c:pt idx="5">
                  <c:v>23</c:v>
                </c:pt>
                <c:pt idx="6">
                  <c:v>16</c:v>
                </c:pt>
                <c:pt idx="7">
                  <c:v>8</c:v>
                </c:pt>
                <c:pt idx="8">
                  <c:v>11</c:v>
                </c:pt>
                <c:pt idx="9">
                  <c:v>15</c:v>
                </c:pt>
                <c:pt idx="10">
                  <c:v>17</c:v>
                </c:pt>
                <c:pt idx="11">
                  <c:v>22</c:v>
                </c:pt>
                <c:pt idx="12">
                  <c:v>30</c:v>
                </c:pt>
                <c:pt idx="13">
                  <c:v>32</c:v>
                </c:pt>
                <c:pt idx="14">
                  <c:v>29</c:v>
                </c:pt>
                <c:pt idx="15">
                  <c:v>19</c:v>
                </c:pt>
                <c:pt idx="16">
                  <c:v>23</c:v>
                </c:pt>
                <c:pt idx="17">
                  <c:v>29</c:v>
                </c:pt>
                <c:pt idx="18">
                  <c:v>31</c:v>
                </c:pt>
                <c:pt idx="19">
                  <c:v>7</c:v>
                </c:pt>
                <c:pt idx="20">
                  <c:v>10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8E-4DCC-8DB7-DD1B4BD37BA4}"/>
            </c:ext>
          </c:extLst>
        </c:ser>
        <c:ser>
          <c:idx val="7"/>
          <c:order val="7"/>
          <c:tx>
            <c:strRef>
              <c:f>Gráfico!$I$3:$I$4</c:f>
              <c:strCache>
                <c:ptCount val="1"/>
                <c:pt idx="0">
                  <c:v>Paulo Machado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Gráfico!$A$5:$A$34</c:f>
              <c:strCache>
                <c:ptCount val="29"/>
                <c:pt idx="0">
                  <c:v>j01</c:v>
                </c:pt>
                <c:pt idx="1">
                  <c:v>j02</c:v>
                </c:pt>
                <c:pt idx="2">
                  <c:v>j03</c:v>
                </c:pt>
                <c:pt idx="3">
                  <c:v>j04</c:v>
                </c:pt>
                <c:pt idx="4">
                  <c:v>j05</c:v>
                </c:pt>
                <c:pt idx="5">
                  <c:v>j06</c:v>
                </c:pt>
                <c:pt idx="6">
                  <c:v>j07</c:v>
                </c:pt>
                <c:pt idx="7">
                  <c:v>j08</c:v>
                </c:pt>
                <c:pt idx="8">
                  <c:v>j09</c:v>
                </c:pt>
                <c:pt idx="9">
                  <c:v>j10</c:v>
                </c:pt>
                <c:pt idx="10">
                  <c:v>j11</c:v>
                </c:pt>
                <c:pt idx="11">
                  <c:v>j12</c:v>
                </c:pt>
                <c:pt idx="12">
                  <c:v>j13</c:v>
                </c:pt>
                <c:pt idx="13">
                  <c:v>j14</c:v>
                </c:pt>
                <c:pt idx="14">
                  <c:v>j15</c:v>
                </c:pt>
                <c:pt idx="15">
                  <c:v>j16</c:v>
                </c:pt>
                <c:pt idx="16">
                  <c:v>j17</c:v>
                </c:pt>
                <c:pt idx="17">
                  <c:v>j18</c:v>
                </c:pt>
                <c:pt idx="18">
                  <c:v>j19</c:v>
                </c:pt>
                <c:pt idx="19">
                  <c:v>j20</c:v>
                </c:pt>
                <c:pt idx="20">
                  <c:v>j21</c:v>
                </c:pt>
                <c:pt idx="21">
                  <c:v>j22</c:v>
                </c:pt>
                <c:pt idx="22">
                  <c:v>j23</c:v>
                </c:pt>
                <c:pt idx="23">
                  <c:v>j24</c:v>
                </c:pt>
                <c:pt idx="24">
                  <c:v>j25</c:v>
                </c:pt>
                <c:pt idx="25">
                  <c:v>j26</c:v>
                </c:pt>
                <c:pt idx="26">
                  <c:v>j27</c:v>
                </c:pt>
                <c:pt idx="27">
                  <c:v>j28</c:v>
                </c:pt>
                <c:pt idx="28">
                  <c:v>j29</c:v>
                </c:pt>
              </c:strCache>
            </c:strRef>
          </c:cat>
          <c:val>
            <c:numRef>
              <c:f>Gráfico!$I$5:$I$34</c:f>
              <c:numCache>
                <c:formatCode>General</c:formatCode>
                <c:ptCount val="29"/>
                <c:pt idx="0">
                  <c:v>62</c:v>
                </c:pt>
                <c:pt idx="1">
                  <c:v>59</c:v>
                </c:pt>
                <c:pt idx="2">
                  <c:v>52</c:v>
                </c:pt>
                <c:pt idx="3">
                  <c:v>27</c:v>
                </c:pt>
                <c:pt idx="4">
                  <c:v>27</c:v>
                </c:pt>
                <c:pt idx="5">
                  <c:v>23</c:v>
                </c:pt>
                <c:pt idx="6">
                  <c:v>16</c:v>
                </c:pt>
                <c:pt idx="7">
                  <c:v>8</c:v>
                </c:pt>
                <c:pt idx="8">
                  <c:v>3</c:v>
                </c:pt>
                <c:pt idx="9">
                  <c:v>4</c:v>
                </c:pt>
                <c:pt idx="10">
                  <c:v>23</c:v>
                </c:pt>
                <c:pt idx="11">
                  <c:v>22</c:v>
                </c:pt>
                <c:pt idx="12">
                  <c:v>46</c:v>
                </c:pt>
                <c:pt idx="13">
                  <c:v>15</c:v>
                </c:pt>
                <c:pt idx="14">
                  <c:v>16</c:v>
                </c:pt>
                <c:pt idx="15">
                  <c:v>19</c:v>
                </c:pt>
                <c:pt idx="16">
                  <c:v>23</c:v>
                </c:pt>
                <c:pt idx="17">
                  <c:v>22</c:v>
                </c:pt>
                <c:pt idx="18">
                  <c:v>38</c:v>
                </c:pt>
                <c:pt idx="19">
                  <c:v>12</c:v>
                </c:pt>
                <c:pt idx="20">
                  <c:v>10</c:v>
                </c:pt>
                <c:pt idx="21">
                  <c:v>3</c:v>
                </c:pt>
                <c:pt idx="22">
                  <c:v>4</c:v>
                </c:pt>
                <c:pt idx="23">
                  <c:v>7</c:v>
                </c:pt>
                <c:pt idx="24">
                  <c:v>4</c:v>
                </c:pt>
                <c:pt idx="25">
                  <c:v>6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58E-4DCC-8DB7-DD1B4BD37BA4}"/>
            </c:ext>
          </c:extLst>
        </c:ser>
        <c:ser>
          <c:idx val="8"/>
          <c:order val="8"/>
          <c:tx>
            <c:strRef>
              <c:f>Gráfico!$J$3:$J$4</c:f>
              <c:strCache>
                <c:ptCount val="1"/>
                <c:pt idx="0">
                  <c:v>Rafael Vieira Valente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Gráfico!$A$5:$A$34</c:f>
              <c:strCache>
                <c:ptCount val="29"/>
                <c:pt idx="0">
                  <c:v>j01</c:v>
                </c:pt>
                <c:pt idx="1">
                  <c:v>j02</c:v>
                </c:pt>
                <c:pt idx="2">
                  <c:v>j03</c:v>
                </c:pt>
                <c:pt idx="3">
                  <c:v>j04</c:v>
                </c:pt>
                <c:pt idx="4">
                  <c:v>j05</c:v>
                </c:pt>
                <c:pt idx="5">
                  <c:v>j06</c:v>
                </c:pt>
                <c:pt idx="6">
                  <c:v>j07</c:v>
                </c:pt>
                <c:pt idx="7">
                  <c:v>j08</c:v>
                </c:pt>
                <c:pt idx="8">
                  <c:v>j09</c:v>
                </c:pt>
                <c:pt idx="9">
                  <c:v>j10</c:v>
                </c:pt>
                <c:pt idx="10">
                  <c:v>j11</c:v>
                </c:pt>
                <c:pt idx="11">
                  <c:v>j12</c:v>
                </c:pt>
                <c:pt idx="12">
                  <c:v>j13</c:v>
                </c:pt>
                <c:pt idx="13">
                  <c:v>j14</c:v>
                </c:pt>
                <c:pt idx="14">
                  <c:v>j15</c:v>
                </c:pt>
                <c:pt idx="15">
                  <c:v>j16</c:v>
                </c:pt>
                <c:pt idx="16">
                  <c:v>j17</c:v>
                </c:pt>
                <c:pt idx="17">
                  <c:v>j18</c:v>
                </c:pt>
                <c:pt idx="18">
                  <c:v>j19</c:v>
                </c:pt>
                <c:pt idx="19">
                  <c:v>j20</c:v>
                </c:pt>
                <c:pt idx="20">
                  <c:v>j21</c:v>
                </c:pt>
                <c:pt idx="21">
                  <c:v>j22</c:v>
                </c:pt>
                <c:pt idx="22">
                  <c:v>j23</c:v>
                </c:pt>
                <c:pt idx="23">
                  <c:v>j24</c:v>
                </c:pt>
                <c:pt idx="24">
                  <c:v>j25</c:v>
                </c:pt>
                <c:pt idx="25">
                  <c:v>j26</c:v>
                </c:pt>
                <c:pt idx="26">
                  <c:v>j27</c:v>
                </c:pt>
                <c:pt idx="27">
                  <c:v>j28</c:v>
                </c:pt>
                <c:pt idx="28">
                  <c:v>j29</c:v>
                </c:pt>
              </c:strCache>
            </c:strRef>
          </c:cat>
          <c:val>
            <c:numRef>
              <c:f>Gráfico!$J$5:$J$34</c:f>
              <c:numCache>
                <c:formatCode>General</c:formatCode>
                <c:ptCount val="29"/>
                <c:pt idx="0">
                  <c:v>13</c:v>
                </c:pt>
                <c:pt idx="1">
                  <c:v>14</c:v>
                </c:pt>
                <c:pt idx="2">
                  <c:v>24</c:v>
                </c:pt>
                <c:pt idx="3">
                  <c:v>9</c:v>
                </c:pt>
                <c:pt idx="4">
                  <c:v>9</c:v>
                </c:pt>
                <c:pt idx="5">
                  <c:v>23</c:v>
                </c:pt>
                <c:pt idx="6">
                  <c:v>16</c:v>
                </c:pt>
                <c:pt idx="7">
                  <c:v>20</c:v>
                </c:pt>
                <c:pt idx="8">
                  <c:v>21</c:v>
                </c:pt>
                <c:pt idx="9">
                  <c:v>21</c:v>
                </c:pt>
                <c:pt idx="10">
                  <c:v>17</c:v>
                </c:pt>
                <c:pt idx="11">
                  <c:v>7</c:v>
                </c:pt>
                <c:pt idx="12">
                  <c:v>1</c:v>
                </c:pt>
                <c:pt idx="13">
                  <c:v>3</c:v>
                </c:pt>
                <c:pt idx="14">
                  <c:v>13</c:v>
                </c:pt>
                <c:pt idx="15">
                  <c:v>24</c:v>
                </c:pt>
                <c:pt idx="16">
                  <c:v>28</c:v>
                </c:pt>
                <c:pt idx="17">
                  <c:v>10</c:v>
                </c:pt>
                <c:pt idx="18">
                  <c:v>10</c:v>
                </c:pt>
                <c:pt idx="19">
                  <c:v>15</c:v>
                </c:pt>
                <c:pt idx="20">
                  <c:v>16</c:v>
                </c:pt>
                <c:pt idx="21">
                  <c:v>21</c:v>
                </c:pt>
                <c:pt idx="22">
                  <c:v>13</c:v>
                </c:pt>
                <c:pt idx="23">
                  <c:v>28</c:v>
                </c:pt>
                <c:pt idx="24">
                  <c:v>28</c:v>
                </c:pt>
                <c:pt idx="25">
                  <c:v>10</c:v>
                </c:pt>
                <c:pt idx="26">
                  <c:v>10</c:v>
                </c:pt>
                <c:pt idx="27">
                  <c:v>9</c:v>
                </c:pt>
                <c:pt idx="2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58E-4DCC-8DB7-DD1B4BD37BA4}"/>
            </c:ext>
          </c:extLst>
        </c:ser>
        <c:ser>
          <c:idx val="9"/>
          <c:order val="9"/>
          <c:tx>
            <c:strRef>
              <c:f>Gráfico!$K$3:$K$4</c:f>
              <c:strCache>
                <c:ptCount val="1"/>
                <c:pt idx="0">
                  <c:v>Risia Gouveia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Gráfico!$A$5:$A$34</c:f>
              <c:strCache>
                <c:ptCount val="29"/>
                <c:pt idx="0">
                  <c:v>j01</c:v>
                </c:pt>
                <c:pt idx="1">
                  <c:v>j02</c:v>
                </c:pt>
                <c:pt idx="2">
                  <c:v>j03</c:v>
                </c:pt>
                <c:pt idx="3">
                  <c:v>j04</c:v>
                </c:pt>
                <c:pt idx="4">
                  <c:v>j05</c:v>
                </c:pt>
                <c:pt idx="5">
                  <c:v>j06</c:v>
                </c:pt>
                <c:pt idx="6">
                  <c:v>j07</c:v>
                </c:pt>
                <c:pt idx="7">
                  <c:v>j08</c:v>
                </c:pt>
                <c:pt idx="8">
                  <c:v>j09</c:v>
                </c:pt>
                <c:pt idx="9">
                  <c:v>j10</c:v>
                </c:pt>
                <c:pt idx="10">
                  <c:v>j11</c:v>
                </c:pt>
                <c:pt idx="11">
                  <c:v>j12</c:v>
                </c:pt>
                <c:pt idx="12">
                  <c:v>j13</c:v>
                </c:pt>
                <c:pt idx="13">
                  <c:v>j14</c:v>
                </c:pt>
                <c:pt idx="14">
                  <c:v>j15</c:v>
                </c:pt>
                <c:pt idx="15">
                  <c:v>j16</c:v>
                </c:pt>
                <c:pt idx="16">
                  <c:v>j17</c:v>
                </c:pt>
                <c:pt idx="17">
                  <c:v>j18</c:v>
                </c:pt>
                <c:pt idx="18">
                  <c:v>j19</c:v>
                </c:pt>
                <c:pt idx="19">
                  <c:v>j20</c:v>
                </c:pt>
                <c:pt idx="20">
                  <c:v>j21</c:v>
                </c:pt>
                <c:pt idx="21">
                  <c:v>j22</c:v>
                </c:pt>
                <c:pt idx="22">
                  <c:v>j23</c:v>
                </c:pt>
                <c:pt idx="23">
                  <c:v>j24</c:v>
                </c:pt>
                <c:pt idx="24">
                  <c:v>j25</c:v>
                </c:pt>
                <c:pt idx="25">
                  <c:v>j26</c:v>
                </c:pt>
                <c:pt idx="26">
                  <c:v>j27</c:v>
                </c:pt>
                <c:pt idx="27">
                  <c:v>j28</c:v>
                </c:pt>
                <c:pt idx="28">
                  <c:v>j29</c:v>
                </c:pt>
              </c:strCache>
            </c:strRef>
          </c:cat>
          <c:val>
            <c:numRef>
              <c:f>Gráfico!$K$5:$K$34</c:f>
              <c:numCache>
                <c:formatCode>General</c:formatCode>
                <c:ptCount val="29"/>
                <c:pt idx="0">
                  <c:v>78</c:v>
                </c:pt>
                <c:pt idx="1">
                  <c:v>77</c:v>
                </c:pt>
                <c:pt idx="2">
                  <c:v>61</c:v>
                </c:pt>
                <c:pt idx="3">
                  <c:v>32</c:v>
                </c:pt>
                <c:pt idx="4">
                  <c:v>32</c:v>
                </c:pt>
                <c:pt idx="5">
                  <c:v>33</c:v>
                </c:pt>
                <c:pt idx="6">
                  <c:v>42</c:v>
                </c:pt>
                <c:pt idx="7">
                  <c:v>43</c:v>
                </c:pt>
                <c:pt idx="8">
                  <c:v>48</c:v>
                </c:pt>
                <c:pt idx="9">
                  <c:v>50</c:v>
                </c:pt>
                <c:pt idx="10">
                  <c:v>57</c:v>
                </c:pt>
                <c:pt idx="11">
                  <c:v>62</c:v>
                </c:pt>
                <c:pt idx="12">
                  <c:v>68</c:v>
                </c:pt>
                <c:pt idx="13">
                  <c:v>68</c:v>
                </c:pt>
                <c:pt idx="14">
                  <c:v>66</c:v>
                </c:pt>
                <c:pt idx="15">
                  <c:v>55</c:v>
                </c:pt>
                <c:pt idx="16">
                  <c:v>61</c:v>
                </c:pt>
                <c:pt idx="17">
                  <c:v>63</c:v>
                </c:pt>
                <c:pt idx="18">
                  <c:v>57</c:v>
                </c:pt>
                <c:pt idx="19">
                  <c:v>55</c:v>
                </c:pt>
                <c:pt idx="20">
                  <c:v>56</c:v>
                </c:pt>
                <c:pt idx="21">
                  <c:v>28</c:v>
                </c:pt>
                <c:pt idx="22">
                  <c:v>22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58E-4DCC-8DB7-DD1B4BD37BA4}"/>
            </c:ext>
          </c:extLst>
        </c:ser>
        <c:ser>
          <c:idx val="10"/>
          <c:order val="10"/>
          <c:tx>
            <c:strRef>
              <c:f>Gráfico!$L$3:$L$4</c:f>
              <c:strCache>
                <c:ptCount val="1"/>
                <c:pt idx="0">
                  <c:v>Simara Magalhães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Gráfico!$A$5:$A$34</c:f>
              <c:strCache>
                <c:ptCount val="29"/>
                <c:pt idx="0">
                  <c:v>j01</c:v>
                </c:pt>
                <c:pt idx="1">
                  <c:v>j02</c:v>
                </c:pt>
                <c:pt idx="2">
                  <c:v>j03</c:v>
                </c:pt>
                <c:pt idx="3">
                  <c:v>j04</c:v>
                </c:pt>
                <c:pt idx="4">
                  <c:v>j05</c:v>
                </c:pt>
                <c:pt idx="5">
                  <c:v>j06</c:v>
                </c:pt>
                <c:pt idx="6">
                  <c:v>j07</c:v>
                </c:pt>
                <c:pt idx="7">
                  <c:v>j08</c:v>
                </c:pt>
                <c:pt idx="8">
                  <c:v>j09</c:v>
                </c:pt>
                <c:pt idx="9">
                  <c:v>j10</c:v>
                </c:pt>
                <c:pt idx="10">
                  <c:v>j11</c:v>
                </c:pt>
                <c:pt idx="11">
                  <c:v>j12</c:v>
                </c:pt>
                <c:pt idx="12">
                  <c:v>j13</c:v>
                </c:pt>
                <c:pt idx="13">
                  <c:v>j14</c:v>
                </c:pt>
                <c:pt idx="14">
                  <c:v>j15</c:v>
                </c:pt>
                <c:pt idx="15">
                  <c:v>j16</c:v>
                </c:pt>
                <c:pt idx="16">
                  <c:v>j17</c:v>
                </c:pt>
                <c:pt idx="17">
                  <c:v>j18</c:v>
                </c:pt>
                <c:pt idx="18">
                  <c:v>j19</c:v>
                </c:pt>
                <c:pt idx="19">
                  <c:v>j20</c:v>
                </c:pt>
                <c:pt idx="20">
                  <c:v>j21</c:v>
                </c:pt>
                <c:pt idx="21">
                  <c:v>j22</c:v>
                </c:pt>
                <c:pt idx="22">
                  <c:v>j23</c:v>
                </c:pt>
                <c:pt idx="23">
                  <c:v>j24</c:v>
                </c:pt>
                <c:pt idx="24">
                  <c:v>j25</c:v>
                </c:pt>
                <c:pt idx="25">
                  <c:v>j26</c:v>
                </c:pt>
                <c:pt idx="26">
                  <c:v>j27</c:v>
                </c:pt>
                <c:pt idx="27">
                  <c:v>j28</c:v>
                </c:pt>
                <c:pt idx="28">
                  <c:v>j29</c:v>
                </c:pt>
              </c:strCache>
            </c:strRef>
          </c:cat>
          <c:val>
            <c:numRef>
              <c:f>Gráfico!$L$5:$L$34</c:f>
              <c:numCache>
                <c:formatCode>General</c:formatCode>
                <c:ptCount val="29"/>
                <c:pt idx="0">
                  <c:v>65</c:v>
                </c:pt>
                <c:pt idx="1">
                  <c:v>62</c:v>
                </c:pt>
                <c:pt idx="2">
                  <c:v>75</c:v>
                </c:pt>
                <c:pt idx="3">
                  <c:v>96</c:v>
                </c:pt>
                <c:pt idx="4">
                  <c:v>96</c:v>
                </c:pt>
                <c:pt idx="5">
                  <c:v>93</c:v>
                </c:pt>
                <c:pt idx="6">
                  <c:v>82</c:v>
                </c:pt>
                <c:pt idx="7">
                  <c:v>80</c:v>
                </c:pt>
                <c:pt idx="8">
                  <c:v>85</c:v>
                </c:pt>
                <c:pt idx="9">
                  <c:v>86</c:v>
                </c:pt>
                <c:pt idx="10">
                  <c:v>88</c:v>
                </c:pt>
                <c:pt idx="11">
                  <c:v>85</c:v>
                </c:pt>
                <c:pt idx="12">
                  <c:v>87</c:v>
                </c:pt>
                <c:pt idx="13">
                  <c:v>87</c:v>
                </c:pt>
                <c:pt idx="14">
                  <c:v>86</c:v>
                </c:pt>
                <c:pt idx="15">
                  <c:v>72</c:v>
                </c:pt>
                <c:pt idx="16">
                  <c:v>57</c:v>
                </c:pt>
                <c:pt idx="17">
                  <c:v>60</c:v>
                </c:pt>
                <c:pt idx="18">
                  <c:v>60</c:v>
                </c:pt>
                <c:pt idx="19">
                  <c:v>58</c:v>
                </c:pt>
                <c:pt idx="20">
                  <c:v>47</c:v>
                </c:pt>
                <c:pt idx="21">
                  <c:v>22</c:v>
                </c:pt>
                <c:pt idx="22">
                  <c:v>25</c:v>
                </c:pt>
                <c:pt idx="23">
                  <c:v>15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9</c:v>
                </c:pt>
                <c:pt idx="2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58E-4DCC-8DB7-DD1B4BD37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033840"/>
        <c:axId val="225891616"/>
      </c:lineChart>
      <c:catAx>
        <c:axId val="211703384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5891616"/>
        <c:crosses val="autoZero"/>
        <c:auto val="1"/>
        <c:lblAlgn val="ctr"/>
        <c:lblOffset val="100"/>
        <c:noMultiLvlLbl val="0"/>
      </c:catAx>
      <c:valAx>
        <c:axId val="2258916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703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13</xdr:col>
      <xdr:colOff>214312</xdr:colOff>
      <xdr:row>35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6408B0-5B79-A175-9C1E-A8103FDC4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Camila de Avila Dourado" refreshedDate="44892.818557175924" createdVersion="8" refreshedVersion="8" minRefreshableVersion="3" recordCount="8323" xr:uid="{EDA81437-582C-44E9-AA52-E9D3314F344F}">
  <cacheSource type="worksheet">
    <worksheetSource ref="A1:D1048576" sheet="UnPivot"/>
  </cacheSource>
  <cacheFields count="4">
    <cacheField name="Jogador" numFmtId="0">
      <sharedItems containsBlank="1" count="115">
        <s v="Marina Carvalho"/>
        <s v="Marcos Rogerio Magalhaes"/>
        <s v="Cristina Paradella Mottin"/>
        <s v="Fábio Luis Dos Santo Aleluia"/>
        <s v="Gabriel Coni"/>
        <s v="Paulo Machado"/>
        <s v="Ivã das Neves Reis"/>
        <s v="Rafael Vieira Valente"/>
        <s v="Brunner Victor de Almeida"/>
        <s v="Risia Gouveia"/>
        <s v="Simara Magalhães"/>
        <s v="Luciano Santana Barros 1"/>
        <s v="Luciano Santana Barros 2"/>
        <s v="Ney Boa Sorte"/>
        <s v="Alexandre Saback 2"/>
        <s v="Heraldo Gouvêa"/>
        <s v="Fabiano Fonseca"/>
        <s v="Juliana Fiuza"/>
        <s v="Luis Moreno Munoz"/>
        <s v="Admar"/>
        <s v="Ana Julia"/>
        <s v="Antonio Neves"/>
        <s v="Douglas Cordeiro Parente"/>
        <s v="Moises Augusto"/>
        <s v="William Soares da Silva"/>
        <s v="Álvaro Neto"/>
        <s v="Cláudio Lima"/>
        <s v="Rodolfo Schubach"/>
        <s v="Marina Amorim"/>
        <s v="Luis Coni"/>
        <s v="Otávio Guilherme de Medeiros"/>
        <s v="Afrânio 2"/>
        <s v="Paulo Gargano"/>
        <s v="Afrânio 1"/>
        <s v="Marcio Borges 1"/>
        <s v="Rafael Rebouças de Araujo"/>
        <s v="Robson Guimarães"/>
        <s v="Ronaldo Araújo"/>
        <s v="Danilo Alves"/>
        <s v="Eduardo Ivo"/>
        <s v="Marcelo Menezes"/>
        <s v="Marcus Machado"/>
        <s v="Robson Souza"/>
        <s v="Vicente Antipacheco"/>
        <s v="Lissandro Will"/>
        <s v="Bruno Ladvocat"/>
        <s v="Cláudio Grangeon"/>
        <s v="Jussara da Rocha Duarte"/>
        <s v="Ivan Isaac Ferreira Filho"/>
        <s v="Rodolfo Góes"/>
        <s v="Alexandre Saback 1"/>
        <s v="Marcio Borges 2"/>
        <s v="Augusto Alves"/>
        <s v="Luiz Fernando 2"/>
        <s v="Murilo Bittencourt"/>
        <s v="Antonio Silvestre"/>
        <s v="Carlos Alberto Suffredini"/>
        <s v="Pedro Saback"/>
        <s v="Ronaldo Kirilauskas"/>
        <s v="Fabio Vale"/>
        <s v="Ricardo Rappel"/>
        <s v="Leandro Neves"/>
        <s v="Renato Pellicci"/>
        <s v="Álvaro Maia"/>
        <s v="Faustino 1"/>
        <s v="Lucas Schubach"/>
        <s v="Pedro Gouveia"/>
        <s v="Renato Avila"/>
        <s v="Emerentino Quadro"/>
        <s v="Clecia Paloma"/>
        <s v="Alberto Santos Santana"/>
        <s v="Camila Dourado"/>
        <s v="Diego"/>
        <s v="Francisco Amaral"/>
        <s v="Marcos Cafezeiro"/>
        <s v="Gustavo Coni"/>
        <s v="Juliana Coni"/>
        <s v="Bago"/>
        <s v="Vicente Coni Jr"/>
        <s v="Henrique Schubach"/>
        <s v="Luiz Fernando 1"/>
        <s v="Aloisio Daniel"/>
        <s v="André Bittencourt"/>
        <s v="Cris Pinto 3"/>
        <s v="Paulo Bandeira"/>
        <s v="Renan Kirst"/>
        <s v="Juliana Sampaio"/>
        <s v="Rodrigo Rivas"/>
        <s v="Pedro Amorim Boa Sorte"/>
        <s v="Maria Carolina Fiuza"/>
        <s v="Cris Pinto 2"/>
        <s v="Faustino 2"/>
        <s v="Alan Salles"/>
        <s v="Maria Clara Saraiva"/>
        <s v="Mario Jorge"/>
        <s v="Yago Barbosa Santana"/>
        <s v="Fernanda Freitas"/>
        <s v="Pedrinho Coral"/>
        <s v="Peu"/>
        <s v="Uilson Almeida de Campos"/>
        <s v="Kleber Antas Meyer"/>
        <s v="Mateus Baleeiro Costa"/>
        <s v="Tadeu Meniconi"/>
        <s v="Pedro Cauê"/>
        <s v="Sandro Ricardo França"/>
        <s v="Victor Flores"/>
        <s v="Murilo Amorim"/>
        <s v="Thaís Coni"/>
        <s v="Kleber Marcos Meyer"/>
        <s v="Cris Pinto 1"/>
        <s v="Mateus Amorim"/>
        <s v="Rodrigo Moreira"/>
        <s v="David Silva"/>
        <s v="Tatsuhiko Kawaoka"/>
        <m/>
      </sharedItems>
    </cacheField>
    <cacheField name="total" numFmtId="0">
      <sharedItems containsString="0" containsBlank="1" containsNumber="1" containsInteger="1" minValue="1" maxValue="114" count="83">
        <n v="1"/>
        <n v="2"/>
        <n v="3"/>
        <n v="5"/>
        <n v="7"/>
        <n v="8"/>
        <n v="9"/>
        <n v="10"/>
        <n v="12"/>
        <n v="15"/>
        <n v="16"/>
        <n v="17"/>
        <n v="20"/>
        <n v="22"/>
        <n v="25"/>
        <n v="26"/>
        <n v="29"/>
        <n v="30"/>
        <n v="32"/>
        <n v="34"/>
        <n v="35"/>
        <n v="39"/>
        <n v="45"/>
        <n v="46"/>
        <n v="49"/>
        <n v="51"/>
        <n v="53"/>
        <n v="56"/>
        <n v="58"/>
        <n v="60"/>
        <n v="62"/>
        <n v="64"/>
        <n v="69"/>
        <n v="70"/>
        <n v="71"/>
        <n v="76"/>
        <n v="78"/>
        <n v="80"/>
        <n v="81"/>
        <n v="82"/>
        <n v="87"/>
        <n v="89"/>
        <n v="90"/>
        <n v="91"/>
        <n v="93"/>
        <n v="95"/>
        <n v="97"/>
        <n v="100"/>
        <n v="101"/>
        <n v="104"/>
        <n v="107"/>
        <n v="108"/>
        <n v="109"/>
        <n v="110"/>
        <n v="111"/>
        <n v="113"/>
        <n v="114"/>
        <m/>
        <n v="96" u="1"/>
        <n v="57" u="1"/>
        <n v="75" u="1"/>
        <n v="13" u="1"/>
        <n v="59" u="1"/>
        <n v="36" u="1"/>
        <n v="63" u="1"/>
        <n v="44" u="1"/>
        <n v="74" u="1"/>
        <n v="6" u="1"/>
        <n v="50" u="1"/>
        <n v="18" u="1"/>
        <n v="65" u="1"/>
        <n v="21" u="1"/>
        <n v="102" u="1"/>
        <n v="106" u="1"/>
        <n v="85" u="1"/>
        <n v="41" u="1"/>
        <n v="68" u="1"/>
        <n v="72" u="1"/>
        <n v="27" u="1"/>
        <n v="47" u="1"/>
        <n v="31" u="1"/>
        <n v="4" u="1"/>
        <n v="55" u="1"/>
      </sharedItems>
    </cacheField>
    <cacheField name="Palpite" numFmtId="0">
      <sharedItems containsBlank="1" count="74">
        <s v="j01"/>
        <s v="j02"/>
        <s v="j03"/>
        <s v="j04"/>
        <s v="j05"/>
        <s v="j06"/>
        <s v="j07"/>
        <s v="j08"/>
        <s v="j09"/>
        <s v="j10"/>
        <s v="j11"/>
        <s v="j12"/>
        <s v="j13"/>
        <s v="j14"/>
        <s v="j15"/>
        <s v="j16"/>
        <s v="j17"/>
        <s v="j18"/>
        <s v="j19"/>
        <s v="j20"/>
        <s v="j21"/>
        <s v="j22"/>
        <s v="j23"/>
        <s v="j24"/>
        <s v="j25"/>
        <s v="j26"/>
        <s v="j27"/>
        <s v="j28"/>
        <s v="j29"/>
        <s v="j30"/>
        <s v="j31"/>
        <s v="j32"/>
        <s v="j33"/>
        <s v="j34"/>
        <s v="j35"/>
        <s v="j36"/>
        <s v="j37"/>
        <s v="j38"/>
        <s v="j39"/>
        <s v="j40"/>
        <s v="j41"/>
        <s v="j42"/>
        <s v="j43"/>
        <s v="j44"/>
        <s v="j45"/>
        <s v="j46"/>
        <s v="j47"/>
        <s v="j48"/>
        <s v="j49"/>
        <s v="j50"/>
        <s v="j51"/>
        <s v="j52"/>
        <s v="j53"/>
        <s v="j54"/>
        <s v="j55"/>
        <s v="j56"/>
        <s v="j57"/>
        <s v="j58"/>
        <s v="j59"/>
        <s v="j60"/>
        <s v="j61"/>
        <s v="j62"/>
        <s v="j63"/>
        <s v="j64"/>
        <s v="j65"/>
        <s v="j66"/>
        <s v="j67"/>
        <s v="j68"/>
        <s v="j69"/>
        <s v="j70"/>
        <s v="j71"/>
        <s v="j72"/>
        <s v="j73"/>
        <m/>
      </sharedItems>
    </cacheField>
    <cacheField name="Ranking" numFmtId="0">
      <sharedItems containsString="0" containsBlank="1" containsNumber="1" containsInteger="1" minValue="1" maxValue="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23">
  <r>
    <x v="0"/>
    <x v="0"/>
    <x v="0"/>
    <n v="13"/>
  </r>
  <r>
    <x v="0"/>
    <x v="0"/>
    <x v="1"/>
    <n v="14"/>
  </r>
  <r>
    <x v="0"/>
    <x v="0"/>
    <x v="2"/>
    <n v="52"/>
  </r>
  <r>
    <x v="0"/>
    <x v="0"/>
    <x v="3"/>
    <n v="27"/>
  </r>
  <r>
    <x v="0"/>
    <x v="0"/>
    <x v="4"/>
    <n v="27"/>
  </r>
  <r>
    <x v="0"/>
    <x v="0"/>
    <x v="5"/>
    <n v="23"/>
  </r>
  <r>
    <x v="0"/>
    <x v="0"/>
    <x v="6"/>
    <n v="16"/>
  </r>
  <r>
    <x v="0"/>
    <x v="0"/>
    <x v="7"/>
    <n v="8"/>
  </r>
  <r>
    <x v="0"/>
    <x v="0"/>
    <x v="8"/>
    <n v="11"/>
  </r>
  <r>
    <x v="0"/>
    <x v="0"/>
    <x v="9"/>
    <n v="15"/>
  </r>
  <r>
    <x v="0"/>
    <x v="0"/>
    <x v="10"/>
    <n v="17"/>
  </r>
  <r>
    <x v="0"/>
    <x v="0"/>
    <x v="11"/>
    <n v="22"/>
  </r>
  <r>
    <x v="0"/>
    <x v="0"/>
    <x v="12"/>
    <n v="30"/>
  </r>
  <r>
    <x v="0"/>
    <x v="0"/>
    <x v="13"/>
    <n v="32"/>
  </r>
  <r>
    <x v="0"/>
    <x v="0"/>
    <x v="14"/>
    <n v="29"/>
  </r>
  <r>
    <x v="0"/>
    <x v="0"/>
    <x v="15"/>
    <n v="19"/>
  </r>
  <r>
    <x v="0"/>
    <x v="0"/>
    <x v="16"/>
    <n v="23"/>
  </r>
  <r>
    <x v="0"/>
    <x v="0"/>
    <x v="17"/>
    <n v="29"/>
  </r>
  <r>
    <x v="0"/>
    <x v="0"/>
    <x v="18"/>
    <n v="31"/>
  </r>
  <r>
    <x v="0"/>
    <x v="0"/>
    <x v="19"/>
    <n v="7"/>
  </r>
  <r>
    <x v="0"/>
    <x v="0"/>
    <x v="20"/>
    <n v="10"/>
  </r>
  <r>
    <x v="0"/>
    <x v="0"/>
    <x v="21"/>
    <n v="3"/>
  </r>
  <r>
    <x v="0"/>
    <x v="0"/>
    <x v="22"/>
    <n v="3"/>
  </r>
  <r>
    <x v="0"/>
    <x v="0"/>
    <x v="23"/>
    <n v="2"/>
  </r>
  <r>
    <x v="0"/>
    <x v="0"/>
    <x v="24"/>
    <n v="2"/>
  </r>
  <r>
    <x v="0"/>
    <x v="0"/>
    <x v="25"/>
    <n v="1"/>
  </r>
  <r>
    <x v="0"/>
    <x v="0"/>
    <x v="26"/>
    <n v="1"/>
  </r>
  <r>
    <x v="0"/>
    <x v="0"/>
    <x v="27"/>
    <n v="1"/>
  </r>
  <r>
    <x v="0"/>
    <x v="0"/>
    <x v="28"/>
    <n v="1"/>
  </r>
  <r>
    <x v="0"/>
    <x v="0"/>
    <x v="29"/>
    <n v="1"/>
  </r>
  <r>
    <x v="0"/>
    <x v="0"/>
    <x v="30"/>
    <n v="1"/>
  </r>
  <r>
    <x v="0"/>
    <x v="0"/>
    <x v="31"/>
    <n v="1"/>
  </r>
  <r>
    <x v="0"/>
    <x v="0"/>
    <x v="32"/>
    <n v="1"/>
  </r>
  <r>
    <x v="0"/>
    <x v="0"/>
    <x v="33"/>
    <n v="1"/>
  </r>
  <r>
    <x v="0"/>
    <x v="0"/>
    <x v="34"/>
    <n v="1"/>
  </r>
  <r>
    <x v="0"/>
    <x v="0"/>
    <x v="35"/>
    <n v="1"/>
  </r>
  <r>
    <x v="0"/>
    <x v="0"/>
    <x v="36"/>
    <n v="1"/>
  </r>
  <r>
    <x v="0"/>
    <x v="0"/>
    <x v="37"/>
    <n v="1"/>
  </r>
  <r>
    <x v="0"/>
    <x v="0"/>
    <x v="38"/>
    <n v="1"/>
  </r>
  <r>
    <x v="0"/>
    <x v="0"/>
    <x v="39"/>
    <n v="1"/>
  </r>
  <r>
    <x v="0"/>
    <x v="0"/>
    <x v="40"/>
    <n v="1"/>
  </r>
  <r>
    <x v="0"/>
    <x v="0"/>
    <x v="41"/>
    <n v="1"/>
  </r>
  <r>
    <x v="0"/>
    <x v="0"/>
    <x v="42"/>
    <n v="1"/>
  </r>
  <r>
    <x v="0"/>
    <x v="0"/>
    <x v="43"/>
    <n v="1"/>
  </r>
  <r>
    <x v="0"/>
    <x v="0"/>
    <x v="44"/>
    <n v="1"/>
  </r>
  <r>
    <x v="0"/>
    <x v="0"/>
    <x v="45"/>
    <n v="1"/>
  </r>
  <r>
    <x v="0"/>
    <x v="0"/>
    <x v="46"/>
    <n v="1"/>
  </r>
  <r>
    <x v="0"/>
    <x v="0"/>
    <x v="47"/>
    <n v="1"/>
  </r>
  <r>
    <x v="0"/>
    <x v="0"/>
    <x v="48"/>
    <n v="1"/>
  </r>
  <r>
    <x v="0"/>
    <x v="0"/>
    <x v="49"/>
    <n v="1"/>
  </r>
  <r>
    <x v="0"/>
    <x v="0"/>
    <x v="50"/>
    <n v="1"/>
  </r>
  <r>
    <x v="0"/>
    <x v="0"/>
    <x v="51"/>
    <n v="1"/>
  </r>
  <r>
    <x v="0"/>
    <x v="0"/>
    <x v="52"/>
    <n v="1"/>
  </r>
  <r>
    <x v="0"/>
    <x v="0"/>
    <x v="53"/>
    <n v="1"/>
  </r>
  <r>
    <x v="0"/>
    <x v="0"/>
    <x v="54"/>
    <n v="1"/>
  </r>
  <r>
    <x v="0"/>
    <x v="0"/>
    <x v="55"/>
    <n v="1"/>
  </r>
  <r>
    <x v="0"/>
    <x v="0"/>
    <x v="56"/>
    <n v="1"/>
  </r>
  <r>
    <x v="0"/>
    <x v="0"/>
    <x v="57"/>
    <n v="1"/>
  </r>
  <r>
    <x v="0"/>
    <x v="0"/>
    <x v="58"/>
    <n v="1"/>
  </r>
  <r>
    <x v="0"/>
    <x v="0"/>
    <x v="59"/>
    <n v="1"/>
  </r>
  <r>
    <x v="0"/>
    <x v="0"/>
    <x v="60"/>
    <n v="1"/>
  </r>
  <r>
    <x v="0"/>
    <x v="0"/>
    <x v="61"/>
    <n v="1"/>
  </r>
  <r>
    <x v="0"/>
    <x v="0"/>
    <x v="62"/>
    <n v="1"/>
  </r>
  <r>
    <x v="0"/>
    <x v="0"/>
    <x v="63"/>
    <n v="1"/>
  </r>
  <r>
    <x v="0"/>
    <x v="0"/>
    <x v="64"/>
    <n v="1"/>
  </r>
  <r>
    <x v="0"/>
    <x v="0"/>
    <x v="65"/>
    <n v="1"/>
  </r>
  <r>
    <x v="0"/>
    <x v="0"/>
    <x v="66"/>
    <n v="1"/>
  </r>
  <r>
    <x v="0"/>
    <x v="0"/>
    <x v="67"/>
    <n v="1"/>
  </r>
  <r>
    <x v="0"/>
    <x v="0"/>
    <x v="68"/>
    <n v="1"/>
  </r>
  <r>
    <x v="0"/>
    <x v="0"/>
    <x v="69"/>
    <n v="1"/>
  </r>
  <r>
    <x v="0"/>
    <x v="0"/>
    <x v="70"/>
    <n v="1"/>
  </r>
  <r>
    <x v="0"/>
    <x v="0"/>
    <x v="71"/>
    <n v="1"/>
  </r>
  <r>
    <x v="0"/>
    <x v="0"/>
    <x v="72"/>
    <n v="1"/>
  </r>
  <r>
    <x v="1"/>
    <x v="1"/>
    <x v="0"/>
    <n v="13"/>
  </r>
  <r>
    <x v="1"/>
    <x v="1"/>
    <x v="1"/>
    <n v="14"/>
  </r>
  <r>
    <x v="1"/>
    <x v="1"/>
    <x v="2"/>
    <n v="24"/>
  </r>
  <r>
    <x v="1"/>
    <x v="1"/>
    <x v="3"/>
    <n v="9"/>
  </r>
  <r>
    <x v="1"/>
    <x v="1"/>
    <x v="4"/>
    <n v="9"/>
  </r>
  <r>
    <x v="1"/>
    <x v="1"/>
    <x v="5"/>
    <n v="9"/>
  </r>
  <r>
    <x v="1"/>
    <x v="1"/>
    <x v="6"/>
    <n v="5"/>
  </r>
  <r>
    <x v="1"/>
    <x v="1"/>
    <x v="7"/>
    <n v="8"/>
  </r>
  <r>
    <x v="1"/>
    <x v="1"/>
    <x v="8"/>
    <n v="11"/>
  </r>
  <r>
    <x v="1"/>
    <x v="1"/>
    <x v="9"/>
    <n v="7"/>
  </r>
  <r>
    <x v="1"/>
    <x v="1"/>
    <x v="10"/>
    <n v="6"/>
  </r>
  <r>
    <x v="1"/>
    <x v="1"/>
    <x v="11"/>
    <n v="9"/>
  </r>
  <r>
    <x v="1"/>
    <x v="1"/>
    <x v="12"/>
    <n v="5"/>
  </r>
  <r>
    <x v="1"/>
    <x v="1"/>
    <x v="13"/>
    <n v="1"/>
  </r>
  <r>
    <x v="1"/>
    <x v="1"/>
    <x v="14"/>
    <n v="1"/>
  </r>
  <r>
    <x v="1"/>
    <x v="1"/>
    <x v="15"/>
    <n v="1"/>
  </r>
  <r>
    <x v="1"/>
    <x v="1"/>
    <x v="16"/>
    <n v="1"/>
  </r>
  <r>
    <x v="1"/>
    <x v="1"/>
    <x v="17"/>
    <n v="1"/>
  </r>
  <r>
    <x v="1"/>
    <x v="1"/>
    <x v="18"/>
    <n v="1"/>
  </r>
  <r>
    <x v="1"/>
    <x v="1"/>
    <x v="19"/>
    <n v="1"/>
  </r>
  <r>
    <x v="1"/>
    <x v="1"/>
    <x v="20"/>
    <n v="1"/>
  </r>
  <r>
    <x v="1"/>
    <x v="1"/>
    <x v="21"/>
    <n v="2"/>
  </r>
  <r>
    <x v="1"/>
    <x v="1"/>
    <x v="22"/>
    <n v="2"/>
  </r>
  <r>
    <x v="1"/>
    <x v="1"/>
    <x v="23"/>
    <n v="1"/>
  </r>
  <r>
    <x v="1"/>
    <x v="1"/>
    <x v="24"/>
    <n v="1"/>
  </r>
  <r>
    <x v="1"/>
    <x v="1"/>
    <x v="25"/>
    <n v="2"/>
  </r>
  <r>
    <x v="1"/>
    <x v="1"/>
    <x v="26"/>
    <n v="2"/>
  </r>
  <r>
    <x v="1"/>
    <x v="1"/>
    <x v="27"/>
    <n v="3"/>
  </r>
  <r>
    <x v="1"/>
    <x v="1"/>
    <x v="28"/>
    <n v="2"/>
  </r>
  <r>
    <x v="1"/>
    <x v="1"/>
    <x v="29"/>
    <n v="2"/>
  </r>
  <r>
    <x v="1"/>
    <x v="1"/>
    <x v="30"/>
    <n v="2"/>
  </r>
  <r>
    <x v="1"/>
    <x v="1"/>
    <x v="31"/>
    <n v="2"/>
  </r>
  <r>
    <x v="1"/>
    <x v="1"/>
    <x v="32"/>
    <n v="2"/>
  </r>
  <r>
    <x v="1"/>
    <x v="1"/>
    <x v="33"/>
    <n v="2"/>
  </r>
  <r>
    <x v="1"/>
    <x v="1"/>
    <x v="34"/>
    <n v="2"/>
  </r>
  <r>
    <x v="1"/>
    <x v="1"/>
    <x v="35"/>
    <n v="2"/>
  </r>
  <r>
    <x v="1"/>
    <x v="1"/>
    <x v="36"/>
    <n v="2"/>
  </r>
  <r>
    <x v="1"/>
    <x v="1"/>
    <x v="37"/>
    <n v="2"/>
  </r>
  <r>
    <x v="1"/>
    <x v="1"/>
    <x v="38"/>
    <n v="2"/>
  </r>
  <r>
    <x v="1"/>
    <x v="1"/>
    <x v="39"/>
    <n v="2"/>
  </r>
  <r>
    <x v="1"/>
    <x v="1"/>
    <x v="40"/>
    <n v="2"/>
  </r>
  <r>
    <x v="1"/>
    <x v="1"/>
    <x v="41"/>
    <n v="2"/>
  </r>
  <r>
    <x v="1"/>
    <x v="1"/>
    <x v="42"/>
    <n v="2"/>
  </r>
  <r>
    <x v="1"/>
    <x v="1"/>
    <x v="43"/>
    <n v="2"/>
  </r>
  <r>
    <x v="1"/>
    <x v="1"/>
    <x v="44"/>
    <n v="2"/>
  </r>
  <r>
    <x v="1"/>
    <x v="1"/>
    <x v="45"/>
    <n v="2"/>
  </r>
  <r>
    <x v="1"/>
    <x v="1"/>
    <x v="46"/>
    <n v="2"/>
  </r>
  <r>
    <x v="1"/>
    <x v="1"/>
    <x v="47"/>
    <n v="2"/>
  </r>
  <r>
    <x v="1"/>
    <x v="1"/>
    <x v="48"/>
    <n v="2"/>
  </r>
  <r>
    <x v="1"/>
    <x v="1"/>
    <x v="49"/>
    <n v="2"/>
  </r>
  <r>
    <x v="1"/>
    <x v="1"/>
    <x v="50"/>
    <n v="2"/>
  </r>
  <r>
    <x v="1"/>
    <x v="1"/>
    <x v="51"/>
    <n v="2"/>
  </r>
  <r>
    <x v="1"/>
    <x v="1"/>
    <x v="52"/>
    <n v="2"/>
  </r>
  <r>
    <x v="1"/>
    <x v="1"/>
    <x v="53"/>
    <n v="2"/>
  </r>
  <r>
    <x v="1"/>
    <x v="1"/>
    <x v="54"/>
    <n v="2"/>
  </r>
  <r>
    <x v="1"/>
    <x v="1"/>
    <x v="55"/>
    <n v="2"/>
  </r>
  <r>
    <x v="1"/>
    <x v="1"/>
    <x v="56"/>
    <n v="2"/>
  </r>
  <r>
    <x v="1"/>
    <x v="1"/>
    <x v="57"/>
    <n v="2"/>
  </r>
  <r>
    <x v="1"/>
    <x v="1"/>
    <x v="58"/>
    <n v="2"/>
  </r>
  <r>
    <x v="1"/>
    <x v="1"/>
    <x v="59"/>
    <n v="2"/>
  </r>
  <r>
    <x v="1"/>
    <x v="1"/>
    <x v="60"/>
    <n v="2"/>
  </r>
  <r>
    <x v="1"/>
    <x v="1"/>
    <x v="61"/>
    <n v="2"/>
  </r>
  <r>
    <x v="1"/>
    <x v="1"/>
    <x v="62"/>
    <n v="2"/>
  </r>
  <r>
    <x v="1"/>
    <x v="1"/>
    <x v="63"/>
    <n v="2"/>
  </r>
  <r>
    <x v="1"/>
    <x v="1"/>
    <x v="64"/>
    <n v="2"/>
  </r>
  <r>
    <x v="1"/>
    <x v="1"/>
    <x v="65"/>
    <n v="2"/>
  </r>
  <r>
    <x v="1"/>
    <x v="1"/>
    <x v="66"/>
    <n v="2"/>
  </r>
  <r>
    <x v="1"/>
    <x v="1"/>
    <x v="67"/>
    <n v="2"/>
  </r>
  <r>
    <x v="1"/>
    <x v="1"/>
    <x v="68"/>
    <n v="2"/>
  </r>
  <r>
    <x v="1"/>
    <x v="1"/>
    <x v="69"/>
    <n v="2"/>
  </r>
  <r>
    <x v="1"/>
    <x v="1"/>
    <x v="70"/>
    <n v="2"/>
  </r>
  <r>
    <x v="1"/>
    <x v="1"/>
    <x v="71"/>
    <n v="2"/>
  </r>
  <r>
    <x v="1"/>
    <x v="1"/>
    <x v="72"/>
    <n v="2"/>
  </r>
  <r>
    <x v="2"/>
    <x v="2"/>
    <x v="0"/>
    <n v="13"/>
  </r>
  <r>
    <x v="2"/>
    <x v="2"/>
    <x v="1"/>
    <n v="14"/>
  </r>
  <r>
    <x v="2"/>
    <x v="2"/>
    <x v="2"/>
    <n v="3"/>
  </r>
  <r>
    <x v="2"/>
    <x v="2"/>
    <x v="3"/>
    <n v="1"/>
  </r>
  <r>
    <x v="2"/>
    <x v="2"/>
    <x v="4"/>
    <n v="1"/>
  </r>
  <r>
    <x v="2"/>
    <x v="2"/>
    <x v="5"/>
    <n v="1"/>
  </r>
  <r>
    <x v="2"/>
    <x v="2"/>
    <x v="6"/>
    <n v="11"/>
  </r>
  <r>
    <x v="2"/>
    <x v="2"/>
    <x v="7"/>
    <n v="15"/>
  </r>
  <r>
    <x v="2"/>
    <x v="2"/>
    <x v="8"/>
    <n v="16"/>
  </r>
  <r>
    <x v="2"/>
    <x v="2"/>
    <x v="9"/>
    <n v="19"/>
  </r>
  <r>
    <x v="2"/>
    <x v="2"/>
    <x v="10"/>
    <n v="16"/>
  </r>
  <r>
    <x v="2"/>
    <x v="2"/>
    <x v="11"/>
    <n v="15"/>
  </r>
  <r>
    <x v="2"/>
    <x v="2"/>
    <x v="12"/>
    <n v="10"/>
  </r>
  <r>
    <x v="2"/>
    <x v="2"/>
    <x v="13"/>
    <n v="10"/>
  </r>
  <r>
    <x v="2"/>
    <x v="2"/>
    <x v="14"/>
    <n v="9"/>
  </r>
  <r>
    <x v="2"/>
    <x v="2"/>
    <x v="15"/>
    <n v="10"/>
  </r>
  <r>
    <x v="2"/>
    <x v="2"/>
    <x v="16"/>
    <n v="6"/>
  </r>
  <r>
    <x v="2"/>
    <x v="2"/>
    <x v="17"/>
    <n v="7"/>
  </r>
  <r>
    <x v="2"/>
    <x v="2"/>
    <x v="18"/>
    <n v="8"/>
  </r>
  <r>
    <x v="2"/>
    <x v="2"/>
    <x v="19"/>
    <n v="10"/>
  </r>
  <r>
    <x v="2"/>
    <x v="2"/>
    <x v="20"/>
    <n v="7"/>
  </r>
  <r>
    <x v="2"/>
    <x v="2"/>
    <x v="21"/>
    <n v="9"/>
  </r>
  <r>
    <x v="2"/>
    <x v="2"/>
    <x v="22"/>
    <n v="6"/>
  </r>
  <r>
    <x v="2"/>
    <x v="2"/>
    <x v="23"/>
    <n v="4"/>
  </r>
  <r>
    <x v="2"/>
    <x v="2"/>
    <x v="24"/>
    <n v="5"/>
  </r>
  <r>
    <x v="2"/>
    <x v="2"/>
    <x v="25"/>
    <n v="5"/>
  </r>
  <r>
    <x v="2"/>
    <x v="2"/>
    <x v="26"/>
    <n v="5"/>
  </r>
  <r>
    <x v="2"/>
    <x v="2"/>
    <x v="27"/>
    <n v="4"/>
  </r>
  <r>
    <x v="2"/>
    <x v="2"/>
    <x v="28"/>
    <n v="3"/>
  </r>
  <r>
    <x v="2"/>
    <x v="2"/>
    <x v="29"/>
    <n v="3"/>
  </r>
  <r>
    <x v="2"/>
    <x v="2"/>
    <x v="30"/>
    <n v="3"/>
  </r>
  <r>
    <x v="2"/>
    <x v="2"/>
    <x v="31"/>
    <n v="3"/>
  </r>
  <r>
    <x v="2"/>
    <x v="2"/>
    <x v="32"/>
    <n v="3"/>
  </r>
  <r>
    <x v="2"/>
    <x v="2"/>
    <x v="33"/>
    <n v="3"/>
  </r>
  <r>
    <x v="2"/>
    <x v="2"/>
    <x v="34"/>
    <n v="3"/>
  </r>
  <r>
    <x v="2"/>
    <x v="2"/>
    <x v="35"/>
    <n v="3"/>
  </r>
  <r>
    <x v="2"/>
    <x v="2"/>
    <x v="36"/>
    <n v="3"/>
  </r>
  <r>
    <x v="2"/>
    <x v="2"/>
    <x v="37"/>
    <n v="3"/>
  </r>
  <r>
    <x v="2"/>
    <x v="2"/>
    <x v="38"/>
    <n v="3"/>
  </r>
  <r>
    <x v="2"/>
    <x v="2"/>
    <x v="39"/>
    <n v="3"/>
  </r>
  <r>
    <x v="2"/>
    <x v="2"/>
    <x v="40"/>
    <n v="3"/>
  </r>
  <r>
    <x v="2"/>
    <x v="2"/>
    <x v="41"/>
    <n v="3"/>
  </r>
  <r>
    <x v="2"/>
    <x v="2"/>
    <x v="42"/>
    <n v="3"/>
  </r>
  <r>
    <x v="2"/>
    <x v="2"/>
    <x v="43"/>
    <n v="3"/>
  </r>
  <r>
    <x v="2"/>
    <x v="2"/>
    <x v="44"/>
    <n v="3"/>
  </r>
  <r>
    <x v="2"/>
    <x v="2"/>
    <x v="45"/>
    <n v="3"/>
  </r>
  <r>
    <x v="2"/>
    <x v="2"/>
    <x v="46"/>
    <n v="3"/>
  </r>
  <r>
    <x v="2"/>
    <x v="2"/>
    <x v="47"/>
    <n v="3"/>
  </r>
  <r>
    <x v="2"/>
    <x v="2"/>
    <x v="48"/>
    <n v="3"/>
  </r>
  <r>
    <x v="2"/>
    <x v="2"/>
    <x v="49"/>
    <n v="3"/>
  </r>
  <r>
    <x v="2"/>
    <x v="2"/>
    <x v="50"/>
    <n v="3"/>
  </r>
  <r>
    <x v="2"/>
    <x v="2"/>
    <x v="51"/>
    <n v="3"/>
  </r>
  <r>
    <x v="2"/>
    <x v="2"/>
    <x v="52"/>
    <n v="3"/>
  </r>
  <r>
    <x v="2"/>
    <x v="2"/>
    <x v="53"/>
    <n v="3"/>
  </r>
  <r>
    <x v="2"/>
    <x v="2"/>
    <x v="54"/>
    <n v="3"/>
  </r>
  <r>
    <x v="2"/>
    <x v="2"/>
    <x v="55"/>
    <n v="3"/>
  </r>
  <r>
    <x v="2"/>
    <x v="2"/>
    <x v="56"/>
    <n v="3"/>
  </r>
  <r>
    <x v="2"/>
    <x v="2"/>
    <x v="57"/>
    <n v="3"/>
  </r>
  <r>
    <x v="2"/>
    <x v="2"/>
    <x v="58"/>
    <n v="3"/>
  </r>
  <r>
    <x v="2"/>
    <x v="2"/>
    <x v="59"/>
    <n v="3"/>
  </r>
  <r>
    <x v="2"/>
    <x v="2"/>
    <x v="60"/>
    <n v="3"/>
  </r>
  <r>
    <x v="2"/>
    <x v="2"/>
    <x v="61"/>
    <n v="3"/>
  </r>
  <r>
    <x v="2"/>
    <x v="2"/>
    <x v="62"/>
    <n v="3"/>
  </r>
  <r>
    <x v="2"/>
    <x v="2"/>
    <x v="63"/>
    <n v="3"/>
  </r>
  <r>
    <x v="2"/>
    <x v="2"/>
    <x v="64"/>
    <n v="3"/>
  </r>
  <r>
    <x v="2"/>
    <x v="2"/>
    <x v="65"/>
    <n v="3"/>
  </r>
  <r>
    <x v="2"/>
    <x v="2"/>
    <x v="66"/>
    <n v="3"/>
  </r>
  <r>
    <x v="2"/>
    <x v="2"/>
    <x v="67"/>
    <n v="3"/>
  </r>
  <r>
    <x v="2"/>
    <x v="2"/>
    <x v="68"/>
    <n v="3"/>
  </r>
  <r>
    <x v="2"/>
    <x v="2"/>
    <x v="69"/>
    <n v="3"/>
  </r>
  <r>
    <x v="2"/>
    <x v="2"/>
    <x v="70"/>
    <n v="3"/>
  </r>
  <r>
    <x v="2"/>
    <x v="2"/>
    <x v="71"/>
    <n v="3"/>
  </r>
  <r>
    <x v="2"/>
    <x v="2"/>
    <x v="72"/>
    <n v="3"/>
  </r>
  <r>
    <x v="3"/>
    <x v="2"/>
    <x v="0"/>
    <n v="1"/>
  </r>
  <r>
    <x v="3"/>
    <x v="2"/>
    <x v="1"/>
    <n v="1"/>
  </r>
  <r>
    <x v="3"/>
    <x v="2"/>
    <x v="2"/>
    <n v="3"/>
  </r>
  <r>
    <x v="3"/>
    <x v="2"/>
    <x v="3"/>
    <n v="38"/>
  </r>
  <r>
    <x v="3"/>
    <x v="2"/>
    <x v="4"/>
    <n v="39"/>
  </r>
  <r>
    <x v="3"/>
    <x v="2"/>
    <x v="5"/>
    <n v="41"/>
  </r>
  <r>
    <x v="3"/>
    <x v="2"/>
    <x v="6"/>
    <n v="49"/>
  </r>
  <r>
    <x v="3"/>
    <x v="2"/>
    <x v="7"/>
    <n v="49"/>
  </r>
  <r>
    <x v="3"/>
    <x v="2"/>
    <x v="8"/>
    <n v="52"/>
  </r>
  <r>
    <x v="3"/>
    <x v="2"/>
    <x v="9"/>
    <n v="56"/>
  </r>
  <r>
    <x v="3"/>
    <x v="2"/>
    <x v="10"/>
    <n v="51"/>
  </r>
  <r>
    <x v="3"/>
    <x v="2"/>
    <x v="11"/>
    <n v="54"/>
  </r>
  <r>
    <x v="3"/>
    <x v="2"/>
    <x v="12"/>
    <n v="33"/>
  </r>
  <r>
    <x v="3"/>
    <x v="2"/>
    <x v="13"/>
    <n v="35"/>
  </r>
  <r>
    <x v="3"/>
    <x v="2"/>
    <x v="14"/>
    <n v="36"/>
  </r>
  <r>
    <x v="3"/>
    <x v="2"/>
    <x v="15"/>
    <n v="27"/>
  </r>
  <r>
    <x v="3"/>
    <x v="2"/>
    <x v="16"/>
    <n v="32"/>
  </r>
  <r>
    <x v="3"/>
    <x v="2"/>
    <x v="17"/>
    <n v="37"/>
  </r>
  <r>
    <x v="3"/>
    <x v="2"/>
    <x v="18"/>
    <n v="16"/>
  </r>
  <r>
    <x v="3"/>
    <x v="2"/>
    <x v="19"/>
    <n v="24"/>
  </r>
  <r>
    <x v="3"/>
    <x v="2"/>
    <x v="20"/>
    <n v="5"/>
  </r>
  <r>
    <x v="3"/>
    <x v="2"/>
    <x v="21"/>
    <n v="6"/>
  </r>
  <r>
    <x v="3"/>
    <x v="2"/>
    <x v="22"/>
    <n v="6"/>
  </r>
  <r>
    <x v="3"/>
    <x v="2"/>
    <x v="23"/>
    <n v="8"/>
  </r>
  <r>
    <x v="3"/>
    <x v="2"/>
    <x v="24"/>
    <n v="8"/>
  </r>
  <r>
    <x v="3"/>
    <x v="2"/>
    <x v="25"/>
    <n v="3"/>
  </r>
  <r>
    <x v="3"/>
    <x v="2"/>
    <x v="26"/>
    <n v="3"/>
  </r>
  <r>
    <x v="3"/>
    <x v="2"/>
    <x v="27"/>
    <n v="2"/>
  </r>
  <r>
    <x v="3"/>
    <x v="2"/>
    <x v="28"/>
    <n v="3"/>
  </r>
  <r>
    <x v="3"/>
    <x v="2"/>
    <x v="29"/>
    <n v="3"/>
  </r>
  <r>
    <x v="3"/>
    <x v="2"/>
    <x v="30"/>
    <n v="3"/>
  </r>
  <r>
    <x v="3"/>
    <x v="2"/>
    <x v="31"/>
    <n v="3"/>
  </r>
  <r>
    <x v="3"/>
    <x v="2"/>
    <x v="32"/>
    <n v="3"/>
  </r>
  <r>
    <x v="3"/>
    <x v="2"/>
    <x v="33"/>
    <n v="3"/>
  </r>
  <r>
    <x v="3"/>
    <x v="2"/>
    <x v="34"/>
    <n v="3"/>
  </r>
  <r>
    <x v="3"/>
    <x v="2"/>
    <x v="35"/>
    <n v="3"/>
  </r>
  <r>
    <x v="3"/>
    <x v="2"/>
    <x v="36"/>
    <n v="3"/>
  </r>
  <r>
    <x v="3"/>
    <x v="2"/>
    <x v="37"/>
    <n v="3"/>
  </r>
  <r>
    <x v="3"/>
    <x v="2"/>
    <x v="38"/>
    <n v="3"/>
  </r>
  <r>
    <x v="3"/>
    <x v="2"/>
    <x v="39"/>
    <n v="3"/>
  </r>
  <r>
    <x v="3"/>
    <x v="2"/>
    <x v="40"/>
    <n v="3"/>
  </r>
  <r>
    <x v="3"/>
    <x v="2"/>
    <x v="41"/>
    <n v="3"/>
  </r>
  <r>
    <x v="3"/>
    <x v="2"/>
    <x v="42"/>
    <n v="3"/>
  </r>
  <r>
    <x v="3"/>
    <x v="2"/>
    <x v="43"/>
    <n v="3"/>
  </r>
  <r>
    <x v="3"/>
    <x v="2"/>
    <x v="44"/>
    <n v="3"/>
  </r>
  <r>
    <x v="3"/>
    <x v="2"/>
    <x v="45"/>
    <n v="3"/>
  </r>
  <r>
    <x v="3"/>
    <x v="2"/>
    <x v="46"/>
    <n v="3"/>
  </r>
  <r>
    <x v="3"/>
    <x v="2"/>
    <x v="47"/>
    <n v="3"/>
  </r>
  <r>
    <x v="3"/>
    <x v="2"/>
    <x v="48"/>
    <n v="3"/>
  </r>
  <r>
    <x v="3"/>
    <x v="2"/>
    <x v="49"/>
    <n v="3"/>
  </r>
  <r>
    <x v="3"/>
    <x v="2"/>
    <x v="50"/>
    <n v="3"/>
  </r>
  <r>
    <x v="3"/>
    <x v="2"/>
    <x v="51"/>
    <n v="3"/>
  </r>
  <r>
    <x v="3"/>
    <x v="2"/>
    <x v="52"/>
    <n v="3"/>
  </r>
  <r>
    <x v="3"/>
    <x v="2"/>
    <x v="53"/>
    <n v="3"/>
  </r>
  <r>
    <x v="3"/>
    <x v="2"/>
    <x v="54"/>
    <n v="3"/>
  </r>
  <r>
    <x v="3"/>
    <x v="2"/>
    <x v="55"/>
    <n v="3"/>
  </r>
  <r>
    <x v="3"/>
    <x v="2"/>
    <x v="56"/>
    <n v="3"/>
  </r>
  <r>
    <x v="3"/>
    <x v="2"/>
    <x v="57"/>
    <n v="3"/>
  </r>
  <r>
    <x v="3"/>
    <x v="2"/>
    <x v="58"/>
    <n v="3"/>
  </r>
  <r>
    <x v="3"/>
    <x v="2"/>
    <x v="59"/>
    <n v="3"/>
  </r>
  <r>
    <x v="3"/>
    <x v="2"/>
    <x v="60"/>
    <n v="3"/>
  </r>
  <r>
    <x v="3"/>
    <x v="2"/>
    <x v="61"/>
    <n v="3"/>
  </r>
  <r>
    <x v="3"/>
    <x v="2"/>
    <x v="62"/>
    <n v="3"/>
  </r>
  <r>
    <x v="3"/>
    <x v="2"/>
    <x v="63"/>
    <n v="3"/>
  </r>
  <r>
    <x v="3"/>
    <x v="2"/>
    <x v="64"/>
    <n v="3"/>
  </r>
  <r>
    <x v="3"/>
    <x v="2"/>
    <x v="65"/>
    <n v="3"/>
  </r>
  <r>
    <x v="3"/>
    <x v="2"/>
    <x v="66"/>
    <n v="3"/>
  </r>
  <r>
    <x v="3"/>
    <x v="2"/>
    <x v="67"/>
    <n v="3"/>
  </r>
  <r>
    <x v="3"/>
    <x v="2"/>
    <x v="68"/>
    <n v="3"/>
  </r>
  <r>
    <x v="3"/>
    <x v="2"/>
    <x v="69"/>
    <n v="3"/>
  </r>
  <r>
    <x v="3"/>
    <x v="2"/>
    <x v="70"/>
    <n v="3"/>
  </r>
  <r>
    <x v="3"/>
    <x v="2"/>
    <x v="71"/>
    <n v="3"/>
  </r>
  <r>
    <x v="3"/>
    <x v="2"/>
    <x v="72"/>
    <n v="3"/>
  </r>
  <r>
    <x v="4"/>
    <x v="3"/>
    <x v="0"/>
    <n v="13"/>
  </r>
  <r>
    <x v="4"/>
    <x v="3"/>
    <x v="1"/>
    <n v="14"/>
  </r>
  <r>
    <x v="4"/>
    <x v="3"/>
    <x v="2"/>
    <n v="24"/>
  </r>
  <r>
    <x v="4"/>
    <x v="3"/>
    <x v="3"/>
    <n v="9"/>
  </r>
  <r>
    <x v="4"/>
    <x v="3"/>
    <x v="4"/>
    <n v="9"/>
  </r>
  <r>
    <x v="4"/>
    <x v="3"/>
    <x v="5"/>
    <n v="9"/>
  </r>
  <r>
    <x v="4"/>
    <x v="3"/>
    <x v="6"/>
    <n v="5"/>
  </r>
  <r>
    <x v="4"/>
    <x v="3"/>
    <x v="7"/>
    <n v="4"/>
  </r>
  <r>
    <x v="4"/>
    <x v="3"/>
    <x v="8"/>
    <n v="6"/>
  </r>
  <r>
    <x v="4"/>
    <x v="3"/>
    <x v="9"/>
    <n v="7"/>
  </r>
  <r>
    <x v="4"/>
    <x v="3"/>
    <x v="10"/>
    <n v="6"/>
  </r>
  <r>
    <x v="4"/>
    <x v="3"/>
    <x v="11"/>
    <n v="9"/>
  </r>
  <r>
    <x v="4"/>
    <x v="3"/>
    <x v="12"/>
    <n v="5"/>
  </r>
  <r>
    <x v="4"/>
    <x v="3"/>
    <x v="13"/>
    <n v="1"/>
  </r>
  <r>
    <x v="4"/>
    <x v="3"/>
    <x v="14"/>
    <n v="1"/>
  </r>
  <r>
    <x v="4"/>
    <x v="3"/>
    <x v="15"/>
    <n v="1"/>
  </r>
  <r>
    <x v="4"/>
    <x v="3"/>
    <x v="16"/>
    <n v="1"/>
  </r>
  <r>
    <x v="4"/>
    <x v="3"/>
    <x v="17"/>
    <n v="1"/>
  </r>
  <r>
    <x v="4"/>
    <x v="3"/>
    <x v="18"/>
    <n v="2"/>
  </r>
  <r>
    <x v="4"/>
    <x v="3"/>
    <x v="19"/>
    <n v="2"/>
  </r>
  <r>
    <x v="4"/>
    <x v="3"/>
    <x v="20"/>
    <n v="2"/>
  </r>
  <r>
    <x v="4"/>
    <x v="3"/>
    <x v="21"/>
    <n v="1"/>
  </r>
  <r>
    <x v="4"/>
    <x v="3"/>
    <x v="22"/>
    <n v="1"/>
  </r>
  <r>
    <x v="4"/>
    <x v="3"/>
    <x v="23"/>
    <n v="6"/>
  </r>
  <r>
    <x v="4"/>
    <x v="3"/>
    <x v="24"/>
    <n v="6"/>
  </r>
  <r>
    <x v="4"/>
    <x v="3"/>
    <x v="25"/>
    <n v="7"/>
  </r>
  <r>
    <x v="4"/>
    <x v="3"/>
    <x v="26"/>
    <n v="7"/>
  </r>
  <r>
    <x v="4"/>
    <x v="3"/>
    <x v="27"/>
    <n v="5"/>
  </r>
  <r>
    <x v="4"/>
    <x v="3"/>
    <x v="28"/>
    <n v="5"/>
  </r>
  <r>
    <x v="4"/>
    <x v="3"/>
    <x v="29"/>
    <n v="5"/>
  </r>
  <r>
    <x v="4"/>
    <x v="3"/>
    <x v="30"/>
    <n v="5"/>
  </r>
  <r>
    <x v="4"/>
    <x v="3"/>
    <x v="31"/>
    <n v="5"/>
  </r>
  <r>
    <x v="4"/>
    <x v="3"/>
    <x v="32"/>
    <n v="5"/>
  </r>
  <r>
    <x v="4"/>
    <x v="3"/>
    <x v="33"/>
    <n v="5"/>
  </r>
  <r>
    <x v="4"/>
    <x v="3"/>
    <x v="34"/>
    <n v="5"/>
  </r>
  <r>
    <x v="4"/>
    <x v="3"/>
    <x v="35"/>
    <n v="5"/>
  </r>
  <r>
    <x v="4"/>
    <x v="3"/>
    <x v="36"/>
    <n v="5"/>
  </r>
  <r>
    <x v="4"/>
    <x v="3"/>
    <x v="37"/>
    <n v="5"/>
  </r>
  <r>
    <x v="4"/>
    <x v="3"/>
    <x v="38"/>
    <n v="5"/>
  </r>
  <r>
    <x v="4"/>
    <x v="3"/>
    <x v="39"/>
    <n v="5"/>
  </r>
  <r>
    <x v="4"/>
    <x v="3"/>
    <x v="40"/>
    <n v="5"/>
  </r>
  <r>
    <x v="4"/>
    <x v="3"/>
    <x v="41"/>
    <n v="5"/>
  </r>
  <r>
    <x v="4"/>
    <x v="3"/>
    <x v="42"/>
    <n v="5"/>
  </r>
  <r>
    <x v="4"/>
    <x v="3"/>
    <x v="43"/>
    <n v="5"/>
  </r>
  <r>
    <x v="4"/>
    <x v="3"/>
    <x v="44"/>
    <n v="5"/>
  </r>
  <r>
    <x v="4"/>
    <x v="3"/>
    <x v="45"/>
    <n v="5"/>
  </r>
  <r>
    <x v="4"/>
    <x v="3"/>
    <x v="46"/>
    <n v="5"/>
  </r>
  <r>
    <x v="4"/>
    <x v="3"/>
    <x v="47"/>
    <n v="5"/>
  </r>
  <r>
    <x v="4"/>
    <x v="3"/>
    <x v="48"/>
    <n v="5"/>
  </r>
  <r>
    <x v="4"/>
    <x v="3"/>
    <x v="49"/>
    <n v="5"/>
  </r>
  <r>
    <x v="4"/>
    <x v="3"/>
    <x v="50"/>
    <n v="5"/>
  </r>
  <r>
    <x v="4"/>
    <x v="3"/>
    <x v="51"/>
    <n v="5"/>
  </r>
  <r>
    <x v="4"/>
    <x v="3"/>
    <x v="52"/>
    <n v="5"/>
  </r>
  <r>
    <x v="4"/>
    <x v="3"/>
    <x v="53"/>
    <n v="5"/>
  </r>
  <r>
    <x v="4"/>
    <x v="3"/>
    <x v="54"/>
    <n v="5"/>
  </r>
  <r>
    <x v="4"/>
    <x v="3"/>
    <x v="55"/>
    <n v="5"/>
  </r>
  <r>
    <x v="4"/>
    <x v="3"/>
    <x v="56"/>
    <n v="5"/>
  </r>
  <r>
    <x v="4"/>
    <x v="3"/>
    <x v="57"/>
    <n v="5"/>
  </r>
  <r>
    <x v="4"/>
    <x v="3"/>
    <x v="58"/>
    <n v="5"/>
  </r>
  <r>
    <x v="4"/>
    <x v="3"/>
    <x v="59"/>
    <n v="5"/>
  </r>
  <r>
    <x v="4"/>
    <x v="3"/>
    <x v="60"/>
    <n v="5"/>
  </r>
  <r>
    <x v="4"/>
    <x v="3"/>
    <x v="61"/>
    <n v="5"/>
  </r>
  <r>
    <x v="4"/>
    <x v="3"/>
    <x v="62"/>
    <n v="5"/>
  </r>
  <r>
    <x v="4"/>
    <x v="3"/>
    <x v="63"/>
    <n v="5"/>
  </r>
  <r>
    <x v="4"/>
    <x v="3"/>
    <x v="64"/>
    <n v="5"/>
  </r>
  <r>
    <x v="4"/>
    <x v="3"/>
    <x v="65"/>
    <n v="5"/>
  </r>
  <r>
    <x v="4"/>
    <x v="3"/>
    <x v="66"/>
    <n v="5"/>
  </r>
  <r>
    <x v="4"/>
    <x v="3"/>
    <x v="67"/>
    <n v="5"/>
  </r>
  <r>
    <x v="4"/>
    <x v="3"/>
    <x v="68"/>
    <n v="5"/>
  </r>
  <r>
    <x v="4"/>
    <x v="3"/>
    <x v="69"/>
    <n v="5"/>
  </r>
  <r>
    <x v="4"/>
    <x v="3"/>
    <x v="70"/>
    <n v="5"/>
  </r>
  <r>
    <x v="4"/>
    <x v="3"/>
    <x v="71"/>
    <n v="5"/>
  </r>
  <r>
    <x v="4"/>
    <x v="3"/>
    <x v="72"/>
    <n v="5"/>
  </r>
  <r>
    <x v="5"/>
    <x v="3"/>
    <x v="0"/>
    <n v="62"/>
  </r>
  <r>
    <x v="5"/>
    <x v="3"/>
    <x v="1"/>
    <n v="59"/>
  </r>
  <r>
    <x v="5"/>
    <x v="3"/>
    <x v="2"/>
    <n v="52"/>
  </r>
  <r>
    <x v="5"/>
    <x v="3"/>
    <x v="3"/>
    <n v="27"/>
  </r>
  <r>
    <x v="5"/>
    <x v="3"/>
    <x v="4"/>
    <n v="27"/>
  </r>
  <r>
    <x v="5"/>
    <x v="3"/>
    <x v="5"/>
    <n v="23"/>
  </r>
  <r>
    <x v="5"/>
    <x v="3"/>
    <x v="6"/>
    <n v="16"/>
  </r>
  <r>
    <x v="5"/>
    <x v="3"/>
    <x v="7"/>
    <n v="8"/>
  </r>
  <r>
    <x v="5"/>
    <x v="3"/>
    <x v="8"/>
    <n v="3"/>
  </r>
  <r>
    <x v="5"/>
    <x v="3"/>
    <x v="9"/>
    <n v="4"/>
  </r>
  <r>
    <x v="5"/>
    <x v="3"/>
    <x v="10"/>
    <n v="23"/>
  </r>
  <r>
    <x v="5"/>
    <x v="3"/>
    <x v="11"/>
    <n v="22"/>
  </r>
  <r>
    <x v="5"/>
    <x v="3"/>
    <x v="12"/>
    <n v="46"/>
  </r>
  <r>
    <x v="5"/>
    <x v="3"/>
    <x v="13"/>
    <n v="15"/>
  </r>
  <r>
    <x v="5"/>
    <x v="3"/>
    <x v="14"/>
    <n v="16"/>
  </r>
  <r>
    <x v="5"/>
    <x v="3"/>
    <x v="15"/>
    <n v="19"/>
  </r>
  <r>
    <x v="5"/>
    <x v="3"/>
    <x v="16"/>
    <n v="23"/>
  </r>
  <r>
    <x v="5"/>
    <x v="3"/>
    <x v="17"/>
    <n v="22"/>
  </r>
  <r>
    <x v="5"/>
    <x v="3"/>
    <x v="18"/>
    <n v="38"/>
  </r>
  <r>
    <x v="5"/>
    <x v="3"/>
    <x v="19"/>
    <n v="12"/>
  </r>
  <r>
    <x v="5"/>
    <x v="3"/>
    <x v="20"/>
    <n v="10"/>
  </r>
  <r>
    <x v="5"/>
    <x v="3"/>
    <x v="21"/>
    <n v="3"/>
  </r>
  <r>
    <x v="5"/>
    <x v="3"/>
    <x v="22"/>
    <n v="4"/>
  </r>
  <r>
    <x v="5"/>
    <x v="3"/>
    <x v="23"/>
    <n v="7"/>
  </r>
  <r>
    <x v="5"/>
    <x v="3"/>
    <x v="24"/>
    <n v="4"/>
  </r>
  <r>
    <x v="5"/>
    <x v="3"/>
    <x v="25"/>
    <n v="6"/>
  </r>
  <r>
    <x v="5"/>
    <x v="3"/>
    <x v="26"/>
    <n v="6"/>
  </r>
  <r>
    <x v="5"/>
    <x v="3"/>
    <x v="27"/>
    <n v="5"/>
  </r>
  <r>
    <x v="5"/>
    <x v="3"/>
    <x v="28"/>
    <n v="5"/>
  </r>
  <r>
    <x v="5"/>
    <x v="3"/>
    <x v="29"/>
    <n v="5"/>
  </r>
  <r>
    <x v="5"/>
    <x v="3"/>
    <x v="30"/>
    <n v="5"/>
  </r>
  <r>
    <x v="5"/>
    <x v="3"/>
    <x v="31"/>
    <n v="5"/>
  </r>
  <r>
    <x v="5"/>
    <x v="3"/>
    <x v="32"/>
    <n v="5"/>
  </r>
  <r>
    <x v="5"/>
    <x v="3"/>
    <x v="33"/>
    <n v="5"/>
  </r>
  <r>
    <x v="5"/>
    <x v="3"/>
    <x v="34"/>
    <n v="5"/>
  </r>
  <r>
    <x v="5"/>
    <x v="3"/>
    <x v="35"/>
    <n v="5"/>
  </r>
  <r>
    <x v="5"/>
    <x v="3"/>
    <x v="36"/>
    <n v="5"/>
  </r>
  <r>
    <x v="5"/>
    <x v="3"/>
    <x v="37"/>
    <n v="5"/>
  </r>
  <r>
    <x v="5"/>
    <x v="3"/>
    <x v="38"/>
    <n v="5"/>
  </r>
  <r>
    <x v="5"/>
    <x v="3"/>
    <x v="39"/>
    <n v="5"/>
  </r>
  <r>
    <x v="5"/>
    <x v="3"/>
    <x v="40"/>
    <n v="5"/>
  </r>
  <r>
    <x v="5"/>
    <x v="3"/>
    <x v="41"/>
    <n v="5"/>
  </r>
  <r>
    <x v="5"/>
    <x v="3"/>
    <x v="42"/>
    <n v="5"/>
  </r>
  <r>
    <x v="5"/>
    <x v="3"/>
    <x v="43"/>
    <n v="5"/>
  </r>
  <r>
    <x v="5"/>
    <x v="3"/>
    <x v="44"/>
    <n v="5"/>
  </r>
  <r>
    <x v="5"/>
    <x v="3"/>
    <x v="45"/>
    <n v="5"/>
  </r>
  <r>
    <x v="5"/>
    <x v="3"/>
    <x v="46"/>
    <n v="5"/>
  </r>
  <r>
    <x v="5"/>
    <x v="3"/>
    <x v="47"/>
    <n v="5"/>
  </r>
  <r>
    <x v="5"/>
    <x v="3"/>
    <x v="48"/>
    <n v="5"/>
  </r>
  <r>
    <x v="5"/>
    <x v="3"/>
    <x v="49"/>
    <n v="5"/>
  </r>
  <r>
    <x v="5"/>
    <x v="3"/>
    <x v="50"/>
    <n v="5"/>
  </r>
  <r>
    <x v="5"/>
    <x v="3"/>
    <x v="51"/>
    <n v="5"/>
  </r>
  <r>
    <x v="5"/>
    <x v="3"/>
    <x v="52"/>
    <n v="5"/>
  </r>
  <r>
    <x v="5"/>
    <x v="3"/>
    <x v="53"/>
    <n v="5"/>
  </r>
  <r>
    <x v="5"/>
    <x v="3"/>
    <x v="54"/>
    <n v="5"/>
  </r>
  <r>
    <x v="5"/>
    <x v="3"/>
    <x v="55"/>
    <n v="5"/>
  </r>
  <r>
    <x v="5"/>
    <x v="3"/>
    <x v="56"/>
    <n v="5"/>
  </r>
  <r>
    <x v="5"/>
    <x v="3"/>
    <x v="57"/>
    <n v="5"/>
  </r>
  <r>
    <x v="5"/>
    <x v="3"/>
    <x v="58"/>
    <n v="5"/>
  </r>
  <r>
    <x v="5"/>
    <x v="3"/>
    <x v="59"/>
    <n v="5"/>
  </r>
  <r>
    <x v="5"/>
    <x v="3"/>
    <x v="60"/>
    <n v="5"/>
  </r>
  <r>
    <x v="5"/>
    <x v="3"/>
    <x v="61"/>
    <n v="5"/>
  </r>
  <r>
    <x v="5"/>
    <x v="3"/>
    <x v="62"/>
    <n v="5"/>
  </r>
  <r>
    <x v="5"/>
    <x v="3"/>
    <x v="63"/>
    <n v="5"/>
  </r>
  <r>
    <x v="5"/>
    <x v="3"/>
    <x v="64"/>
    <n v="5"/>
  </r>
  <r>
    <x v="5"/>
    <x v="3"/>
    <x v="65"/>
    <n v="5"/>
  </r>
  <r>
    <x v="5"/>
    <x v="3"/>
    <x v="66"/>
    <n v="5"/>
  </r>
  <r>
    <x v="5"/>
    <x v="3"/>
    <x v="67"/>
    <n v="5"/>
  </r>
  <r>
    <x v="5"/>
    <x v="3"/>
    <x v="68"/>
    <n v="5"/>
  </r>
  <r>
    <x v="5"/>
    <x v="3"/>
    <x v="69"/>
    <n v="5"/>
  </r>
  <r>
    <x v="5"/>
    <x v="3"/>
    <x v="70"/>
    <n v="5"/>
  </r>
  <r>
    <x v="5"/>
    <x v="3"/>
    <x v="71"/>
    <n v="5"/>
  </r>
  <r>
    <x v="5"/>
    <x v="3"/>
    <x v="72"/>
    <n v="5"/>
  </r>
  <r>
    <x v="6"/>
    <x v="4"/>
    <x v="0"/>
    <n v="13"/>
  </r>
  <r>
    <x v="6"/>
    <x v="4"/>
    <x v="1"/>
    <n v="14"/>
  </r>
  <r>
    <x v="6"/>
    <x v="4"/>
    <x v="2"/>
    <n v="3"/>
  </r>
  <r>
    <x v="6"/>
    <x v="4"/>
    <x v="3"/>
    <n v="1"/>
  </r>
  <r>
    <x v="6"/>
    <x v="4"/>
    <x v="4"/>
    <n v="1"/>
  </r>
  <r>
    <x v="6"/>
    <x v="4"/>
    <x v="5"/>
    <n v="1"/>
  </r>
  <r>
    <x v="6"/>
    <x v="4"/>
    <x v="6"/>
    <n v="1"/>
  </r>
  <r>
    <x v="6"/>
    <x v="4"/>
    <x v="7"/>
    <n v="1"/>
  </r>
  <r>
    <x v="6"/>
    <x v="4"/>
    <x v="8"/>
    <n v="1"/>
  </r>
  <r>
    <x v="6"/>
    <x v="4"/>
    <x v="9"/>
    <n v="1"/>
  </r>
  <r>
    <x v="6"/>
    <x v="4"/>
    <x v="10"/>
    <n v="1"/>
  </r>
  <r>
    <x v="6"/>
    <x v="4"/>
    <x v="11"/>
    <n v="6"/>
  </r>
  <r>
    <x v="6"/>
    <x v="4"/>
    <x v="12"/>
    <n v="22"/>
  </r>
  <r>
    <x v="6"/>
    <x v="4"/>
    <x v="13"/>
    <n v="23"/>
  </r>
  <r>
    <x v="6"/>
    <x v="4"/>
    <x v="14"/>
    <n v="25"/>
  </r>
  <r>
    <x v="6"/>
    <x v="4"/>
    <x v="15"/>
    <n v="30"/>
  </r>
  <r>
    <x v="6"/>
    <x v="4"/>
    <x v="16"/>
    <n v="38"/>
  </r>
  <r>
    <x v="6"/>
    <x v="4"/>
    <x v="17"/>
    <n v="16"/>
  </r>
  <r>
    <x v="6"/>
    <x v="4"/>
    <x v="18"/>
    <n v="7"/>
  </r>
  <r>
    <x v="6"/>
    <x v="4"/>
    <x v="19"/>
    <n v="7"/>
  </r>
  <r>
    <x v="6"/>
    <x v="4"/>
    <x v="20"/>
    <n v="10"/>
  </r>
  <r>
    <x v="6"/>
    <x v="4"/>
    <x v="21"/>
    <n v="3"/>
  </r>
  <r>
    <x v="6"/>
    <x v="4"/>
    <x v="22"/>
    <n v="4"/>
  </r>
  <r>
    <x v="6"/>
    <x v="4"/>
    <x v="23"/>
    <n v="2"/>
  </r>
  <r>
    <x v="6"/>
    <x v="4"/>
    <x v="24"/>
    <n v="7"/>
  </r>
  <r>
    <x v="6"/>
    <x v="4"/>
    <x v="25"/>
    <n v="7"/>
  </r>
  <r>
    <x v="6"/>
    <x v="4"/>
    <x v="26"/>
    <n v="7"/>
  </r>
  <r>
    <x v="6"/>
    <x v="4"/>
    <x v="27"/>
    <n v="8"/>
  </r>
  <r>
    <x v="6"/>
    <x v="4"/>
    <x v="28"/>
    <n v="7"/>
  </r>
  <r>
    <x v="6"/>
    <x v="4"/>
    <x v="29"/>
    <n v="7"/>
  </r>
  <r>
    <x v="6"/>
    <x v="4"/>
    <x v="30"/>
    <n v="7"/>
  </r>
  <r>
    <x v="6"/>
    <x v="4"/>
    <x v="31"/>
    <n v="7"/>
  </r>
  <r>
    <x v="6"/>
    <x v="4"/>
    <x v="32"/>
    <n v="7"/>
  </r>
  <r>
    <x v="6"/>
    <x v="4"/>
    <x v="33"/>
    <n v="7"/>
  </r>
  <r>
    <x v="6"/>
    <x v="4"/>
    <x v="34"/>
    <n v="7"/>
  </r>
  <r>
    <x v="6"/>
    <x v="4"/>
    <x v="35"/>
    <n v="7"/>
  </r>
  <r>
    <x v="6"/>
    <x v="4"/>
    <x v="36"/>
    <n v="7"/>
  </r>
  <r>
    <x v="6"/>
    <x v="4"/>
    <x v="37"/>
    <n v="7"/>
  </r>
  <r>
    <x v="6"/>
    <x v="4"/>
    <x v="38"/>
    <n v="7"/>
  </r>
  <r>
    <x v="6"/>
    <x v="4"/>
    <x v="39"/>
    <n v="7"/>
  </r>
  <r>
    <x v="6"/>
    <x v="4"/>
    <x v="40"/>
    <n v="7"/>
  </r>
  <r>
    <x v="6"/>
    <x v="4"/>
    <x v="41"/>
    <n v="7"/>
  </r>
  <r>
    <x v="6"/>
    <x v="4"/>
    <x v="42"/>
    <n v="7"/>
  </r>
  <r>
    <x v="6"/>
    <x v="4"/>
    <x v="43"/>
    <n v="7"/>
  </r>
  <r>
    <x v="6"/>
    <x v="4"/>
    <x v="44"/>
    <n v="7"/>
  </r>
  <r>
    <x v="6"/>
    <x v="4"/>
    <x v="45"/>
    <n v="7"/>
  </r>
  <r>
    <x v="6"/>
    <x v="4"/>
    <x v="46"/>
    <n v="7"/>
  </r>
  <r>
    <x v="6"/>
    <x v="4"/>
    <x v="47"/>
    <n v="7"/>
  </r>
  <r>
    <x v="6"/>
    <x v="4"/>
    <x v="48"/>
    <n v="7"/>
  </r>
  <r>
    <x v="6"/>
    <x v="4"/>
    <x v="49"/>
    <n v="7"/>
  </r>
  <r>
    <x v="6"/>
    <x v="4"/>
    <x v="50"/>
    <n v="7"/>
  </r>
  <r>
    <x v="6"/>
    <x v="4"/>
    <x v="51"/>
    <n v="7"/>
  </r>
  <r>
    <x v="6"/>
    <x v="4"/>
    <x v="52"/>
    <n v="7"/>
  </r>
  <r>
    <x v="6"/>
    <x v="4"/>
    <x v="53"/>
    <n v="7"/>
  </r>
  <r>
    <x v="6"/>
    <x v="4"/>
    <x v="54"/>
    <n v="7"/>
  </r>
  <r>
    <x v="6"/>
    <x v="4"/>
    <x v="55"/>
    <n v="7"/>
  </r>
  <r>
    <x v="6"/>
    <x v="4"/>
    <x v="56"/>
    <n v="7"/>
  </r>
  <r>
    <x v="6"/>
    <x v="4"/>
    <x v="57"/>
    <n v="7"/>
  </r>
  <r>
    <x v="6"/>
    <x v="4"/>
    <x v="58"/>
    <n v="7"/>
  </r>
  <r>
    <x v="6"/>
    <x v="4"/>
    <x v="59"/>
    <n v="7"/>
  </r>
  <r>
    <x v="6"/>
    <x v="4"/>
    <x v="60"/>
    <n v="7"/>
  </r>
  <r>
    <x v="6"/>
    <x v="4"/>
    <x v="61"/>
    <n v="7"/>
  </r>
  <r>
    <x v="6"/>
    <x v="4"/>
    <x v="62"/>
    <n v="7"/>
  </r>
  <r>
    <x v="6"/>
    <x v="4"/>
    <x v="63"/>
    <n v="7"/>
  </r>
  <r>
    <x v="6"/>
    <x v="4"/>
    <x v="64"/>
    <n v="7"/>
  </r>
  <r>
    <x v="6"/>
    <x v="4"/>
    <x v="65"/>
    <n v="7"/>
  </r>
  <r>
    <x v="6"/>
    <x v="4"/>
    <x v="66"/>
    <n v="7"/>
  </r>
  <r>
    <x v="6"/>
    <x v="4"/>
    <x v="67"/>
    <n v="7"/>
  </r>
  <r>
    <x v="6"/>
    <x v="4"/>
    <x v="68"/>
    <n v="7"/>
  </r>
  <r>
    <x v="6"/>
    <x v="4"/>
    <x v="69"/>
    <n v="7"/>
  </r>
  <r>
    <x v="6"/>
    <x v="4"/>
    <x v="70"/>
    <n v="7"/>
  </r>
  <r>
    <x v="6"/>
    <x v="4"/>
    <x v="71"/>
    <n v="7"/>
  </r>
  <r>
    <x v="6"/>
    <x v="4"/>
    <x v="72"/>
    <n v="7"/>
  </r>
  <r>
    <x v="7"/>
    <x v="5"/>
    <x v="0"/>
    <n v="13"/>
  </r>
  <r>
    <x v="7"/>
    <x v="5"/>
    <x v="1"/>
    <n v="14"/>
  </r>
  <r>
    <x v="7"/>
    <x v="5"/>
    <x v="2"/>
    <n v="24"/>
  </r>
  <r>
    <x v="7"/>
    <x v="5"/>
    <x v="3"/>
    <n v="9"/>
  </r>
  <r>
    <x v="7"/>
    <x v="5"/>
    <x v="4"/>
    <n v="9"/>
  </r>
  <r>
    <x v="7"/>
    <x v="5"/>
    <x v="5"/>
    <n v="23"/>
  </r>
  <r>
    <x v="7"/>
    <x v="5"/>
    <x v="6"/>
    <n v="16"/>
  </r>
  <r>
    <x v="7"/>
    <x v="5"/>
    <x v="7"/>
    <n v="20"/>
  </r>
  <r>
    <x v="7"/>
    <x v="5"/>
    <x v="8"/>
    <n v="21"/>
  </r>
  <r>
    <x v="7"/>
    <x v="5"/>
    <x v="9"/>
    <n v="21"/>
  </r>
  <r>
    <x v="7"/>
    <x v="5"/>
    <x v="10"/>
    <n v="17"/>
  </r>
  <r>
    <x v="7"/>
    <x v="5"/>
    <x v="11"/>
    <n v="7"/>
  </r>
  <r>
    <x v="7"/>
    <x v="5"/>
    <x v="12"/>
    <n v="1"/>
  </r>
  <r>
    <x v="7"/>
    <x v="5"/>
    <x v="13"/>
    <n v="3"/>
  </r>
  <r>
    <x v="7"/>
    <x v="5"/>
    <x v="14"/>
    <n v="13"/>
  </r>
  <r>
    <x v="7"/>
    <x v="5"/>
    <x v="15"/>
    <n v="24"/>
  </r>
  <r>
    <x v="7"/>
    <x v="5"/>
    <x v="16"/>
    <n v="28"/>
  </r>
  <r>
    <x v="7"/>
    <x v="5"/>
    <x v="17"/>
    <n v="10"/>
  </r>
  <r>
    <x v="7"/>
    <x v="5"/>
    <x v="18"/>
    <n v="10"/>
  </r>
  <r>
    <x v="7"/>
    <x v="5"/>
    <x v="19"/>
    <n v="15"/>
  </r>
  <r>
    <x v="7"/>
    <x v="5"/>
    <x v="20"/>
    <n v="16"/>
  </r>
  <r>
    <x v="7"/>
    <x v="5"/>
    <x v="21"/>
    <n v="21"/>
  </r>
  <r>
    <x v="7"/>
    <x v="5"/>
    <x v="22"/>
    <n v="13"/>
  </r>
  <r>
    <x v="7"/>
    <x v="5"/>
    <x v="23"/>
    <n v="28"/>
  </r>
  <r>
    <x v="7"/>
    <x v="5"/>
    <x v="24"/>
    <n v="28"/>
  </r>
  <r>
    <x v="7"/>
    <x v="5"/>
    <x v="25"/>
    <n v="10"/>
  </r>
  <r>
    <x v="7"/>
    <x v="5"/>
    <x v="26"/>
    <n v="10"/>
  </r>
  <r>
    <x v="7"/>
    <x v="5"/>
    <x v="27"/>
    <n v="9"/>
  </r>
  <r>
    <x v="7"/>
    <x v="5"/>
    <x v="28"/>
    <n v="8"/>
  </r>
  <r>
    <x v="7"/>
    <x v="5"/>
    <x v="29"/>
    <n v="8"/>
  </r>
  <r>
    <x v="7"/>
    <x v="5"/>
    <x v="30"/>
    <n v="8"/>
  </r>
  <r>
    <x v="7"/>
    <x v="5"/>
    <x v="31"/>
    <n v="8"/>
  </r>
  <r>
    <x v="7"/>
    <x v="5"/>
    <x v="32"/>
    <n v="8"/>
  </r>
  <r>
    <x v="7"/>
    <x v="5"/>
    <x v="33"/>
    <n v="8"/>
  </r>
  <r>
    <x v="7"/>
    <x v="5"/>
    <x v="34"/>
    <n v="8"/>
  </r>
  <r>
    <x v="7"/>
    <x v="5"/>
    <x v="35"/>
    <n v="8"/>
  </r>
  <r>
    <x v="7"/>
    <x v="5"/>
    <x v="36"/>
    <n v="8"/>
  </r>
  <r>
    <x v="7"/>
    <x v="5"/>
    <x v="37"/>
    <n v="8"/>
  </r>
  <r>
    <x v="7"/>
    <x v="5"/>
    <x v="38"/>
    <n v="8"/>
  </r>
  <r>
    <x v="7"/>
    <x v="5"/>
    <x v="39"/>
    <n v="8"/>
  </r>
  <r>
    <x v="7"/>
    <x v="5"/>
    <x v="40"/>
    <n v="8"/>
  </r>
  <r>
    <x v="7"/>
    <x v="5"/>
    <x v="41"/>
    <n v="8"/>
  </r>
  <r>
    <x v="7"/>
    <x v="5"/>
    <x v="42"/>
    <n v="8"/>
  </r>
  <r>
    <x v="7"/>
    <x v="5"/>
    <x v="43"/>
    <n v="8"/>
  </r>
  <r>
    <x v="7"/>
    <x v="5"/>
    <x v="44"/>
    <n v="8"/>
  </r>
  <r>
    <x v="7"/>
    <x v="5"/>
    <x v="45"/>
    <n v="8"/>
  </r>
  <r>
    <x v="7"/>
    <x v="5"/>
    <x v="46"/>
    <n v="8"/>
  </r>
  <r>
    <x v="7"/>
    <x v="5"/>
    <x v="47"/>
    <n v="8"/>
  </r>
  <r>
    <x v="7"/>
    <x v="5"/>
    <x v="48"/>
    <n v="8"/>
  </r>
  <r>
    <x v="7"/>
    <x v="5"/>
    <x v="49"/>
    <n v="8"/>
  </r>
  <r>
    <x v="7"/>
    <x v="5"/>
    <x v="50"/>
    <n v="8"/>
  </r>
  <r>
    <x v="7"/>
    <x v="5"/>
    <x v="51"/>
    <n v="8"/>
  </r>
  <r>
    <x v="7"/>
    <x v="5"/>
    <x v="52"/>
    <n v="8"/>
  </r>
  <r>
    <x v="7"/>
    <x v="5"/>
    <x v="53"/>
    <n v="8"/>
  </r>
  <r>
    <x v="7"/>
    <x v="5"/>
    <x v="54"/>
    <n v="8"/>
  </r>
  <r>
    <x v="7"/>
    <x v="5"/>
    <x v="55"/>
    <n v="8"/>
  </r>
  <r>
    <x v="7"/>
    <x v="5"/>
    <x v="56"/>
    <n v="8"/>
  </r>
  <r>
    <x v="7"/>
    <x v="5"/>
    <x v="57"/>
    <n v="8"/>
  </r>
  <r>
    <x v="7"/>
    <x v="5"/>
    <x v="58"/>
    <n v="8"/>
  </r>
  <r>
    <x v="7"/>
    <x v="5"/>
    <x v="59"/>
    <n v="8"/>
  </r>
  <r>
    <x v="7"/>
    <x v="5"/>
    <x v="60"/>
    <n v="8"/>
  </r>
  <r>
    <x v="7"/>
    <x v="5"/>
    <x v="61"/>
    <n v="8"/>
  </r>
  <r>
    <x v="7"/>
    <x v="5"/>
    <x v="62"/>
    <n v="8"/>
  </r>
  <r>
    <x v="7"/>
    <x v="5"/>
    <x v="63"/>
    <n v="8"/>
  </r>
  <r>
    <x v="7"/>
    <x v="5"/>
    <x v="64"/>
    <n v="8"/>
  </r>
  <r>
    <x v="7"/>
    <x v="5"/>
    <x v="65"/>
    <n v="8"/>
  </r>
  <r>
    <x v="7"/>
    <x v="5"/>
    <x v="66"/>
    <n v="8"/>
  </r>
  <r>
    <x v="7"/>
    <x v="5"/>
    <x v="67"/>
    <n v="8"/>
  </r>
  <r>
    <x v="7"/>
    <x v="5"/>
    <x v="68"/>
    <n v="8"/>
  </r>
  <r>
    <x v="7"/>
    <x v="5"/>
    <x v="69"/>
    <n v="8"/>
  </r>
  <r>
    <x v="7"/>
    <x v="5"/>
    <x v="70"/>
    <n v="8"/>
  </r>
  <r>
    <x v="7"/>
    <x v="5"/>
    <x v="71"/>
    <n v="8"/>
  </r>
  <r>
    <x v="7"/>
    <x v="5"/>
    <x v="72"/>
    <n v="8"/>
  </r>
  <r>
    <x v="8"/>
    <x v="6"/>
    <x v="0"/>
    <n v="13"/>
  </r>
  <r>
    <x v="8"/>
    <x v="6"/>
    <x v="1"/>
    <n v="14"/>
  </r>
  <r>
    <x v="8"/>
    <x v="6"/>
    <x v="2"/>
    <n v="3"/>
  </r>
  <r>
    <x v="8"/>
    <x v="6"/>
    <x v="3"/>
    <n v="1"/>
  </r>
  <r>
    <x v="8"/>
    <x v="6"/>
    <x v="4"/>
    <n v="1"/>
  </r>
  <r>
    <x v="8"/>
    <x v="6"/>
    <x v="5"/>
    <n v="1"/>
  </r>
  <r>
    <x v="8"/>
    <x v="6"/>
    <x v="6"/>
    <n v="1"/>
  </r>
  <r>
    <x v="8"/>
    <x v="6"/>
    <x v="7"/>
    <n v="2"/>
  </r>
  <r>
    <x v="8"/>
    <x v="6"/>
    <x v="8"/>
    <n v="2"/>
  </r>
  <r>
    <x v="8"/>
    <x v="6"/>
    <x v="9"/>
    <n v="3"/>
  </r>
  <r>
    <x v="8"/>
    <x v="6"/>
    <x v="10"/>
    <n v="3"/>
  </r>
  <r>
    <x v="8"/>
    <x v="6"/>
    <x v="11"/>
    <n v="1"/>
  </r>
  <r>
    <x v="8"/>
    <x v="6"/>
    <x v="12"/>
    <n v="1"/>
  </r>
  <r>
    <x v="8"/>
    <x v="6"/>
    <x v="13"/>
    <n v="3"/>
  </r>
  <r>
    <x v="8"/>
    <x v="6"/>
    <x v="14"/>
    <n v="4"/>
  </r>
  <r>
    <x v="8"/>
    <x v="6"/>
    <x v="15"/>
    <n v="4"/>
  </r>
  <r>
    <x v="8"/>
    <x v="6"/>
    <x v="16"/>
    <n v="3"/>
  </r>
  <r>
    <x v="8"/>
    <x v="6"/>
    <x v="17"/>
    <n v="4"/>
  </r>
  <r>
    <x v="8"/>
    <x v="6"/>
    <x v="18"/>
    <n v="2"/>
  </r>
  <r>
    <x v="8"/>
    <x v="6"/>
    <x v="19"/>
    <n v="2"/>
  </r>
  <r>
    <x v="8"/>
    <x v="6"/>
    <x v="20"/>
    <n v="4"/>
  </r>
  <r>
    <x v="8"/>
    <x v="6"/>
    <x v="21"/>
    <n v="9"/>
  </r>
  <r>
    <x v="8"/>
    <x v="6"/>
    <x v="22"/>
    <n v="6"/>
  </r>
  <r>
    <x v="8"/>
    <x v="6"/>
    <x v="23"/>
    <n v="4"/>
  </r>
  <r>
    <x v="8"/>
    <x v="6"/>
    <x v="24"/>
    <n v="3"/>
  </r>
  <r>
    <x v="8"/>
    <x v="6"/>
    <x v="25"/>
    <n v="4"/>
  </r>
  <r>
    <x v="8"/>
    <x v="6"/>
    <x v="26"/>
    <n v="4"/>
  </r>
  <r>
    <x v="8"/>
    <x v="6"/>
    <x v="27"/>
    <n v="7"/>
  </r>
  <r>
    <x v="8"/>
    <x v="6"/>
    <x v="28"/>
    <n v="9"/>
  </r>
  <r>
    <x v="8"/>
    <x v="6"/>
    <x v="29"/>
    <n v="9"/>
  </r>
  <r>
    <x v="8"/>
    <x v="6"/>
    <x v="30"/>
    <n v="9"/>
  </r>
  <r>
    <x v="8"/>
    <x v="6"/>
    <x v="31"/>
    <n v="9"/>
  </r>
  <r>
    <x v="8"/>
    <x v="6"/>
    <x v="32"/>
    <n v="9"/>
  </r>
  <r>
    <x v="8"/>
    <x v="6"/>
    <x v="33"/>
    <n v="9"/>
  </r>
  <r>
    <x v="8"/>
    <x v="6"/>
    <x v="34"/>
    <n v="9"/>
  </r>
  <r>
    <x v="8"/>
    <x v="6"/>
    <x v="35"/>
    <n v="9"/>
  </r>
  <r>
    <x v="8"/>
    <x v="6"/>
    <x v="36"/>
    <n v="9"/>
  </r>
  <r>
    <x v="8"/>
    <x v="6"/>
    <x v="37"/>
    <n v="9"/>
  </r>
  <r>
    <x v="8"/>
    <x v="6"/>
    <x v="38"/>
    <n v="9"/>
  </r>
  <r>
    <x v="8"/>
    <x v="6"/>
    <x v="39"/>
    <n v="9"/>
  </r>
  <r>
    <x v="8"/>
    <x v="6"/>
    <x v="40"/>
    <n v="9"/>
  </r>
  <r>
    <x v="8"/>
    <x v="6"/>
    <x v="41"/>
    <n v="9"/>
  </r>
  <r>
    <x v="8"/>
    <x v="6"/>
    <x v="42"/>
    <n v="9"/>
  </r>
  <r>
    <x v="8"/>
    <x v="6"/>
    <x v="43"/>
    <n v="9"/>
  </r>
  <r>
    <x v="8"/>
    <x v="6"/>
    <x v="44"/>
    <n v="9"/>
  </r>
  <r>
    <x v="8"/>
    <x v="6"/>
    <x v="45"/>
    <n v="9"/>
  </r>
  <r>
    <x v="8"/>
    <x v="6"/>
    <x v="46"/>
    <n v="9"/>
  </r>
  <r>
    <x v="8"/>
    <x v="6"/>
    <x v="47"/>
    <n v="9"/>
  </r>
  <r>
    <x v="8"/>
    <x v="6"/>
    <x v="48"/>
    <n v="9"/>
  </r>
  <r>
    <x v="8"/>
    <x v="6"/>
    <x v="49"/>
    <n v="9"/>
  </r>
  <r>
    <x v="8"/>
    <x v="6"/>
    <x v="50"/>
    <n v="9"/>
  </r>
  <r>
    <x v="8"/>
    <x v="6"/>
    <x v="51"/>
    <n v="9"/>
  </r>
  <r>
    <x v="8"/>
    <x v="6"/>
    <x v="52"/>
    <n v="9"/>
  </r>
  <r>
    <x v="8"/>
    <x v="6"/>
    <x v="53"/>
    <n v="9"/>
  </r>
  <r>
    <x v="8"/>
    <x v="6"/>
    <x v="54"/>
    <n v="9"/>
  </r>
  <r>
    <x v="8"/>
    <x v="6"/>
    <x v="55"/>
    <n v="9"/>
  </r>
  <r>
    <x v="8"/>
    <x v="6"/>
    <x v="56"/>
    <n v="9"/>
  </r>
  <r>
    <x v="8"/>
    <x v="6"/>
    <x v="57"/>
    <n v="9"/>
  </r>
  <r>
    <x v="8"/>
    <x v="6"/>
    <x v="58"/>
    <n v="9"/>
  </r>
  <r>
    <x v="8"/>
    <x v="6"/>
    <x v="59"/>
    <n v="9"/>
  </r>
  <r>
    <x v="8"/>
    <x v="6"/>
    <x v="60"/>
    <n v="9"/>
  </r>
  <r>
    <x v="8"/>
    <x v="6"/>
    <x v="61"/>
    <n v="9"/>
  </r>
  <r>
    <x v="8"/>
    <x v="6"/>
    <x v="62"/>
    <n v="9"/>
  </r>
  <r>
    <x v="8"/>
    <x v="6"/>
    <x v="63"/>
    <n v="9"/>
  </r>
  <r>
    <x v="8"/>
    <x v="6"/>
    <x v="64"/>
    <n v="9"/>
  </r>
  <r>
    <x v="8"/>
    <x v="6"/>
    <x v="65"/>
    <n v="9"/>
  </r>
  <r>
    <x v="8"/>
    <x v="6"/>
    <x v="66"/>
    <n v="9"/>
  </r>
  <r>
    <x v="8"/>
    <x v="6"/>
    <x v="67"/>
    <n v="9"/>
  </r>
  <r>
    <x v="8"/>
    <x v="6"/>
    <x v="68"/>
    <n v="9"/>
  </r>
  <r>
    <x v="8"/>
    <x v="6"/>
    <x v="69"/>
    <n v="9"/>
  </r>
  <r>
    <x v="8"/>
    <x v="6"/>
    <x v="70"/>
    <n v="9"/>
  </r>
  <r>
    <x v="8"/>
    <x v="6"/>
    <x v="71"/>
    <n v="9"/>
  </r>
  <r>
    <x v="8"/>
    <x v="6"/>
    <x v="72"/>
    <n v="9"/>
  </r>
  <r>
    <x v="9"/>
    <x v="7"/>
    <x v="0"/>
    <n v="78"/>
  </r>
  <r>
    <x v="9"/>
    <x v="7"/>
    <x v="1"/>
    <n v="77"/>
  </r>
  <r>
    <x v="9"/>
    <x v="7"/>
    <x v="2"/>
    <n v="61"/>
  </r>
  <r>
    <x v="9"/>
    <x v="7"/>
    <x v="3"/>
    <n v="32"/>
  </r>
  <r>
    <x v="9"/>
    <x v="7"/>
    <x v="4"/>
    <n v="32"/>
  </r>
  <r>
    <x v="9"/>
    <x v="7"/>
    <x v="5"/>
    <n v="33"/>
  </r>
  <r>
    <x v="9"/>
    <x v="7"/>
    <x v="6"/>
    <n v="42"/>
  </r>
  <r>
    <x v="9"/>
    <x v="7"/>
    <x v="7"/>
    <n v="43"/>
  </r>
  <r>
    <x v="9"/>
    <x v="7"/>
    <x v="8"/>
    <n v="48"/>
  </r>
  <r>
    <x v="9"/>
    <x v="7"/>
    <x v="9"/>
    <n v="50"/>
  </r>
  <r>
    <x v="9"/>
    <x v="7"/>
    <x v="10"/>
    <n v="57"/>
  </r>
  <r>
    <x v="9"/>
    <x v="7"/>
    <x v="11"/>
    <n v="62"/>
  </r>
  <r>
    <x v="9"/>
    <x v="7"/>
    <x v="12"/>
    <n v="68"/>
  </r>
  <r>
    <x v="9"/>
    <x v="7"/>
    <x v="13"/>
    <n v="68"/>
  </r>
  <r>
    <x v="9"/>
    <x v="7"/>
    <x v="14"/>
    <n v="66"/>
  </r>
  <r>
    <x v="9"/>
    <x v="7"/>
    <x v="15"/>
    <n v="55"/>
  </r>
  <r>
    <x v="9"/>
    <x v="7"/>
    <x v="16"/>
    <n v="61"/>
  </r>
  <r>
    <x v="9"/>
    <x v="7"/>
    <x v="17"/>
    <n v="63"/>
  </r>
  <r>
    <x v="9"/>
    <x v="7"/>
    <x v="18"/>
    <n v="57"/>
  </r>
  <r>
    <x v="9"/>
    <x v="7"/>
    <x v="19"/>
    <n v="55"/>
  </r>
  <r>
    <x v="9"/>
    <x v="7"/>
    <x v="20"/>
    <n v="56"/>
  </r>
  <r>
    <x v="9"/>
    <x v="7"/>
    <x v="21"/>
    <n v="28"/>
  </r>
  <r>
    <x v="9"/>
    <x v="7"/>
    <x v="22"/>
    <n v="22"/>
  </r>
  <r>
    <x v="9"/>
    <x v="7"/>
    <x v="23"/>
    <n v="13"/>
  </r>
  <r>
    <x v="9"/>
    <x v="7"/>
    <x v="24"/>
    <n v="8"/>
  </r>
  <r>
    <x v="9"/>
    <x v="7"/>
    <x v="25"/>
    <n v="9"/>
  </r>
  <r>
    <x v="9"/>
    <x v="7"/>
    <x v="26"/>
    <n v="9"/>
  </r>
  <r>
    <x v="9"/>
    <x v="7"/>
    <x v="27"/>
    <n v="9"/>
  </r>
  <r>
    <x v="9"/>
    <x v="7"/>
    <x v="28"/>
    <n v="10"/>
  </r>
  <r>
    <x v="9"/>
    <x v="7"/>
    <x v="29"/>
    <n v="10"/>
  </r>
  <r>
    <x v="9"/>
    <x v="7"/>
    <x v="30"/>
    <n v="10"/>
  </r>
  <r>
    <x v="9"/>
    <x v="7"/>
    <x v="31"/>
    <n v="10"/>
  </r>
  <r>
    <x v="9"/>
    <x v="7"/>
    <x v="32"/>
    <n v="10"/>
  </r>
  <r>
    <x v="9"/>
    <x v="7"/>
    <x v="33"/>
    <n v="10"/>
  </r>
  <r>
    <x v="9"/>
    <x v="7"/>
    <x v="34"/>
    <n v="10"/>
  </r>
  <r>
    <x v="9"/>
    <x v="7"/>
    <x v="35"/>
    <n v="10"/>
  </r>
  <r>
    <x v="9"/>
    <x v="7"/>
    <x v="36"/>
    <n v="10"/>
  </r>
  <r>
    <x v="9"/>
    <x v="7"/>
    <x v="37"/>
    <n v="10"/>
  </r>
  <r>
    <x v="9"/>
    <x v="7"/>
    <x v="38"/>
    <n v="10"/>
  </r>
  <r>
    <x v="9"/>
    <x v="7"/>
    <x v="39"/>
    <n v="10"/>
  </r>
  <r>
    <x v="9"/>
    <x v="7"/>
    <x v="40"/>
    <n v="10"/>
  </r>
  <r>
    <x v="9"/>
    <x v="7"/>
    <x v="41"/>
    <n v="10"/>
  </r>
  <r>
    <x v="9"/>
    <x v="7"/>
    <x v="42"/>
    <n v="10"/>
  </r>
  <r>
    <x v="9"/>
    <x v="7"/>
    <x v="43"/>
    <n v="10"/>
  </r>
  <r>
    <x v="9"/>
    <x v="7"/>
    <x v="44"/>
    <n v="10"/>
  </r>
  <r>
    <x v="9"/>
    <x v="7"/>
    <x v="45"/>
    <n v="10"/>
  </r>
  <r>
    <x v="9"/>
    <x v="7"/>
    <x v="46"/>
    <n v="10"/>
  </r>
  <r>
    <x v="9"/>
    <x v="7"/>
    <x v="47"/>
    <n v="10"/>
  </r>
  <r>
    <x v="9"/>
    <x v="7"/>
    <x v="48"/>
    <n v="10"/>
  </r>
  <r>
    <x v="9"/>
    <x v="7"/>
    <x v="49"/>
    <n v="10"/>
  </r>
  <r>
    <x v="9"/>
    <x v="7"/>
    <x v="50"/>
    <n v="10"/>
  </r>
  <r>
    <x v="9"/>
    <x v="7"/>
    <x v="51"/>
    <n v="10"/>
  </r>
  <r>
    <x v="9"/>
    <x v="7"/>
    <x v="52"/>
    <n v="10"/>
  </r>
  <r>
    <x v="9"/>
    <x v="7"/>
    <x v="53"/>
    <n v="10"/>
  </r>
  <r>
    <x v="9"/>
    <x v="7"/>
    <x v="54"/>
    <n v="10"/>
  </r>
  <r>
    <x v="9"/>
    <x v="7"/>
    <x v="55"/>
    <n v="10"/>
  </r>
  <r>
    <x v="9"/>
    <x v="7"/>
    <x v="56"/>
    <n v="10"/>
  </r>
  <r>
    <x v="9"/>
    <x v="7"/>
    <x v="57"/>
    <n v="10"/>
  </r>
  <r>
    <x v="9"/>
    <x v="7"/>
    <x v="58"/>
    <n v="10"/>
  </r>
  <r>
    <x v="9"/>
    <x v="7"/>
    <x v="59"/>
    <n v="10"/>
  </r>
  <r>
    <x v="9"/>
    <x v="7"/>
    <x v="60"/>
    <n v="10"/>
  </r>
  <r>
    <x v="9"/>
    <x v="7"/>
    <x v="61"/>
    <n v="10"/>
  </r>
  <r>
    <x v="9"/>
    <x v="7"/>
    <x v="62"/>
    <n v="10"/>
  </r>
  <r>
    <x v="9"/>
    <x v="7"/>
    <x v="63"/>
    <n v="10"/>
  </r>
  <r>
    <x v="9"/>
    <x v="7"/>
    <x v="64"/>
    <n v="10"/>
  </r>
  <r>
    <x v="9"/>
    <x v="7"/>
    <x v="65"/>
    <n v="10"/>
  </r>
  <r>
    <x v="9"/>
    <x v="7"/>
    <x v="66"/>
    <n v="10"/>
  </r>
  <r>
    <x v="9"/>
    <x v="7"/>
    <x v="67"/>
    <n v="10"/>
  </r>
  <r>
    <x v="9"/>
    <x v="7"/>
    <x v="68"/>
    <n v="10"/>
  </r>
  <r>
    <x v="9"/>
    <x v="7"/>
    <x v="69"/>
    <n v="10"/>
  </r>
  <r>
    <x v="9"/>
    <x v="7"/>
    <x v="70"/>
    <n v="10"/>
  </r>
  <r>
    <x v="9"/>
    <x v="7"/>
    <x v="71"/>
    <n v="10"/>
  </r>
  <r>
    <x v="9"/>
    <x v="7"/>
    <x v="72"/>
    <n v="10"/>
  </r>
  <r>
    <x v="10"/>
    <x v="7"/>
    <x v="0"/>
    <n v="65"/>
  </r>
  <r>
    <x v="10"/>
    <x v="7"/>
    <x v="1"/>
    <n v="62"/>
  </r>
  <r>
    <x v="10"/>
    <x v="7"/>
    <x v="2"/>
    <n v="75"/>
  </r>
  <r>
    <x v="10"/>
    <x v="7"/>
    <x v="3"/>
    <n v="96"/>
  </r>
  <r>
    <x v="10"/>
    <x v="7"/>
    <x v="4"/>
    <n v="96"/>
  </r>
  <r>
    <x v="10"/>
    <x v="7"/>
    <x v="5"/>
    <n v="93"/>
  </r>
  <r>
    <x v="10"/>
    <x v="7"/>
    <x v="6"/>
    <n v="82"/>
  </r>
  <r>
    <x v="10"/>
    <x v="7"/>
    <x v="7"/>
    <n v="80"/>
  </r>
  <r>
    <x v="10"/>
    <x v="7"/>
    <x v="8"/>
    <n v="85"/>
  </r>
  <r>
    <x v="10"/>
    <x v="7"/>
    <x v="9"/>
    <n v="86"/>
  </r>
  <r>
    <x v="10"/>
    <x v="7"/>
    <x v="10"/>
    <n v="88"/>
  </r>
  <r>
    <x v="10"/>
    <x v="7"/>
    <x v="11"/>
    <n v="85"/>
  </r>
  <r>
    <x v="10"/>
    <x v="7"/>
    <x v="12"/>
    <n v="87"/>
  </r>
  <r>
    <x v="10"/>
    <x v="7"/>
    <x v="13"/>
    <n v="87"/>
  </r>
  <r>
    <x v="10"/>
    <x v="7"/>
    <x v="14"/>
    <n v="86"/>
  </r>
  <r>
    <x v="10"/>
    <x v="7"/>
    <x v="15"/>
    <n v="72"/>
  </r>
  <r>
    <x v="10"/>
    <x v="7"/>
    <x v="16"/>
    <n v="57"/>
  </r>
  <r>
    <x v="10"/>
    <x v="7"/>
    <x v="17"/>
    <n v="60"/>
  </r>
  <r>
    <x v="10"/>
    <x v="7"/>
    <x v="18"/>
    <n v="60"/>
  </r>
  <r>
    <x v="10"/>
    <x v="7"/>
    <x v="19"/>
    <n v="58"/>
  </r>
  <r>
    <x v="10"/>
    <x v="7"/>
    <x v="20"/>
    <n v="47"/>
  </r>
  <r>
    <x v="10"/>
    <x v="7"/>
    <x v="21"/>
    <n v="22"/>
  </r>
  <r>
    <x v="10"/>
    <x v="7"/>
    <x v="22"/>
    <n v="25"/>
  </r>
  <r>
    <x v="10"/>
    <x v="7"/>
    <x v="23"/>
    <n v="15"/>
  </r>
  <r>
    <x v="10"/>
    <x v="7"/>
    <x v="24"/>
    <n v="10"/>
  </r>
  <r>
    <x v="10"/>
    <x v="7"/>
    <x v="25"/>
    <n v="10"/>
  </r>
  <r>
    <x v="10"/>
    <x v="7"/>
    <x v="26"/>
    <n v="10"/>
  </r>
  <r>
    <x v="10"/>
    <x v="7"/>
    <x v="27"/>
    <n v="9"/>
  </r>
  <r>
    <x v="10"/>
    <x v="7"/>
    <x v="28"/>
    <n v="10"/>
  </r>
  <r>
    <x v="10"/>
    <x v="7"/>
    <x v="29"/>
    <n v="10"/>
  </r>
  <r>
    <x v="10"/>
    <x v="7"/>
    <x v="30"/>
    <n v="10"/>
  </r>
  <r>
    <x v="10"/>
    <x v="7"/>
    <x v="31"/>
    <n v="10"/>
  </r>
  <r>
    <x v="10"/>
    <x v="7"/>
    <x v="32"/>
    <n v="10"/>
  </r>
  <r>
    <x v="10"/>
    <x v="7"/>
    <x v="33"/>
    <n v="10"/>
  </r>
  <r>
    <x v="10"/>
    <x v="7"/>
    <x v="34"/>
    <n v="10"/>
  </r>
  <r>
    <x v="10"/>
    <x v="7"/>
    <x v="35"/>
    <n v="10"/>
  </r>
  <r>
    <x v="10"/>
    <x v="7"/>
    <x v="36"/>
    <n v="10"/>
  </r>
  <r>
    <x v="10"/>
    <x v="7"/>
    <x v="37"/>
    <n v="10"/>
  </r>
  <r>
    <x v="10"/>
    <x v="7"/>
    <x v="38"/>
    <n v="10"/>
  </r>
  <r>
    <x v="10"/>
    <x v="7"/>
    <x v="39"/>
    <n v="10"/>
  </r>
  <r>
    <x v="10"/>
    <x v="7"/>
    <x v="40"/>
    <n v="10"/>
  </r>
  <r>
    <x v="10"/>
    <x v="7"/>
    <x v="41"/>
    <n v="10"/>
  </r>
  <r>
    <x v="10"/>
    <x v="7"/>
    <x v="42"/>
    <n v="10"/>
  </r>
  <r>
    <x v="10"/>
    <x v="7"/>
    <x v="43"/>
    <n v="10"/>
  </r>
  <r>
    <x v="10"/>
    <x v="7"/>
    <x v="44"/>
    <n v="10"/>
  </r>
  <r>
    <x v="10"/>
    <x v="7"/>
    <x v="45"/>
    <n v="10"/>
  </r>
  <r>
    <x v="10"/>
    <x v="7"/>
    <x v="46"/>
    <n v="10"/>
  </r>
  <r>
    <x v="10"/>
    <x v="7"/>
    <x v="47"/>
    <n v="10"/>
  </r>
  <r>
    <x v="10"/>
    <x v="7"/>
    <x v="48"/>
    <n v="10"/>
  </r>
  <r>
    <x v="10"/>
    <x v="7"/>
    <x v="49"/>
    <n v="10"/>
  </r>
  <r>
    <x v="10"/>
    <x v="7"/>
    <x v="50"/>
    <n v="10"/>
  </r>
  <r>
    <x v="10"/>
    <x v="7"/>
    <x v="51"/>
    <n v="10"/>
  </r>
  <r>
    <x v="10"/>
    <x v="7"/>
    <x v="52"/>
    <n v="10"/>
  </r>
  <r>
    <x v="10"/>
    <x v="7"/>
    <x v="53"/>
    <n v="10"/>
  </r>
  <r>
    <x v="10"/>
    <x v="7"/>
    <x v="54"/>
    <n v="10"/>
  </r>
  <r>
    <x v="10"/>
    <x v="7"/>
    <x v="55"/>
    <n v="10"/>
  </r>
  <r>
    <x v="10"/>
    <x v="7"/>
    <x v="56"/>
    <n v="10"/>
  </r>
  <r>
    <x v="10"/>
    <x v="7"/>
    <x v="57"/>
    <n v="10"/>
  </r>
  <r>
    <x v="10"/>
    <x v="7"/>
    <x v="58"/>
    <n v="10"/>
  </r>
  <r>
    <x v="10"/>
    <x v="7"/>
    <x v="59"/>
    <n v="10"/>
  </r>
  <r>
    <x v="10"/>
    <x v="7"/>
    <x v="60"/>
    <n v="10"/>
  </r>
  <r>
    <x v="10"/>
    <x v="7"/>
    <x v="61"/>
    <n v="10"/>
  </r>
  <r>
    <x v="10"/>
    <x v="7"/>
    <x v="62"/>
    <n v="10"/>
  </r>
  <r>
    <x v="10"/>
    <x v="7"/>
    <x v="63"/>
    <n v="10"/>
  </r>
  <r>
    <x v="10"/>
    <x v="7"/>
    <x v="64"/>
    <n v="10"/>
  </r>
  <r>
    <x v="10"/>
    <x v="7"/>
    <x v="65"/>
    <n v="10"/>
  </r>
  <r>
    <x v="10"/>
    <x v="7"/>
    <x v="66"/>
    <n v="10"/>
  </r>
  <r>
    <x v="10"/>
    <x v="7"/>
    <x v="67"/>
    <n v="10"/>
  </r>
  <r>
    <x v="10"/>
    <x v="7"/>
    <x v="68"/>
    <n v="10"/>
  </r>
  <r>
    <x v="10"/>
    <x v="7"/>
    <x v="69"/>
    <n v="10"/>
  </r>
  <r>
    <x v="10"/>
    <x v="7"/>
    <x v="70"/>
    <n v="10"/>
  </r>
  <r>
    <x v="10"/>
    <x v="7"/>
    <x v="71"/>
    <n v="10"/>
  </r>
  <r>
    <x v="10"/>
    <x v="7"/>
    <x v="72"/>
    <n v="10"/>
  </r>
  <r>
    <x v="11"/>
    <x v="8"/>
    <x v="0"/>
    <n v="1"/>
  </r>
  <r>
    <x v="11"/>
    <x v="8"/>
    <x v="1"/>
    <n v="1"/>
  </r>
  <r>
    <x v="11"/>
    <x v="8"/>
    <x v="2"/>
    <n v="3"/>
  </r>
  <r>
    <x v="11"/>
    <x v="8"/>
    <x v="3"/>
    <n v="54"/>
  </r>
  <r>
    <x v="11"/>
    <x v="8"/>
    <x v="4"/>
    <n v="55"/>
  </r>
  <r>
    <x v="11"/>
    <x v="8"/>
    <x v="5"/>
    <n v="53"/>
  </r>
  <r>
    <x v="11"/>
    <x v="8"/>
    <x v="6"/>
    <n v="71"/>
  </r>
  <r>
    <x v="11"/>
    <x v="8"/>
    <x v="7"/>
    <n v="65"/>
  </r>
  <r>
    <x v="11"/>
    <x v="8"/>
    <x v="8"/>
    <n v="16"/>
  </r>
  <r>
    <x v="11"/>
    <x v="8"/>
    <x v="9"/>
    <n v="10"/>
  </r>
  <r>
    <x v="11"/>
    <x v="8"/>
    <x v="10"/>
    <n v="9"/>
  </r>
  <r>
    <x v="11"/>
    <x v="8"/>
    <x v="11"/>
    <n v="3"/>
  </r>
  <r>
    <x v="11"/>
    <x v="8"/>
    <x v="12"/>
    <n v="10"/>
  </r>
  <r>
    <x v="11"/>
    <x v="8"/>
    <x v="13"/>
    <n v="10"/>
  </r>
  <r>
    <x v="11"/>
    <x v="8"/>
    <x v="14"/>
    <n v="9"/>
  </r>
  <r>
    <x v="11"/>
    <x v="8"/>
    <x v="15"/>
    <n v="10"/>
  </r>
  <r>
    <x v="11"/>
    <x v="8"/>
    <x v="16"/>
    <n v="13"/>
  </r>
  <r>
    <x v="11"/>
    <x v="8"/>
    <x v="17"/>
    <n v="11"/>
  </r>
  <r>
    <x v="11"/>
    <x v="8"/>
    <x v="18"/>
    <n v="10"/>
  </r>
  <r>
    <x v="11"/>
    <x v="8"/>
    <x v="19"/>
    <n v="16"/>
  </r>
  <r>
    <x v="11"/>
    <x v="8"/>
    <x v="20"/>
    <n v="20"/>
  </r>
  <r>
    <x v="11"/>
    <x v="8"/>
    <x v="21"/>
    <n v="16"/>
  </r>
  <r>
    <x v="11"/>
    <x v="8"/>
    <x v="22"/>
    <n v="17"/>
  </r>
  <r>
    <x v="11"/>
    <x v="8"/>
    <x v="23"/>
    <n v="9"/>
  </r>
  <r>
    <x v="11"/>
    <x v="8"/>
    <x v="24"/>
    <n v="11"/>
  </r>
  <r>
    <x v="11"/>
    <x v="8"/>
    <x v="25"/>
    <n v="13"/>
  </r>
  <r>
    <x v="11"/>
    <x v="8"/>
    <x v="26"/>
    <n v="13"/>
  </r>
  <r>
    <x v="11"/>
    <x v="8"/>
    <x v="27"/>
    <n v="13"/>
  </r>
  <r>
    <x v="11"/>
    <x v="8"/>
    <x v="28"/>
    <n v="12"/>
  </r>
  <r>
    <x v="11"/>
    <x v="8"/>
    <x v="29"/>
    <n v="12"/>
  </r>
  <r>
    <x v="11"/>
    <x v="8"/>
    <x v="30"/>
    <n v="12"/>
  </r>
  <r>
    <x v="11"/>
    <x v="8"/>
    <x v="31"/>
    <n v="12"/>
  </r>
  <r>
    <x v="11"/>
    <x v="8"/>
    <x v="32"/>
    <n v="12"/>
  </r>
  <r>
    <x v="11"/>
    <x v="8"/>
    <x v="33"/>
    <n v="12"/>
  </r>
  <r>
    <x v="11"/>
    <x v="8"/>
    <x v="34"/>
    <n v="12"/>
  </r>
  <r>
    <x v="11"/>
    <x v="8"/>
    <x v="35"/>
    <n v="12"/>
  </r>
  <r>
    <x v="11"/>
    <x v="8"/>
    <x v="36"/>
    <n v="12"/>
  </r>
  <r>
    <x v="11"/>
    <x v="8"/>
    <x v="37"/>
    <n v="12"/>
  </r>
  <r>
    <x v="11"/>
    <x v="8"/>
    <x v="38"/>
    <n v="12"/>
  </r>
  <r>
    <x v="11"/>
    <x v="8"/>
    <x v="39"/>
    <n v="12"/>
  </r>
  <r>
    <x v="11"/>
    <x v="8"/>
    <x v="40"/>
    <n v="12"/>
  </r>
  <r>
    <x v="11"/>
    <x v="8"/>
    <x v="41"/>
    <n v="12"/>
  </r>
  <r>
    <x v="11"/>
    <x v="8"/>
    <x v="42"/>
    <n v="12"/>
  </r>
  <r>
    <x v="11"/>
    <x v="8"/>
    <x v="43"/>
    <n v="12"/>
  </r>
  <r>
    <x v="11"/>
    <x v="8"/>
    <x v="44"/>
    <n v="12"/>
  </r>
  <r>
    <x v="11"/>
    <x v="8"/>
    <x v="45"/>
    <n v="12"/>
  </r>
  <r>
    <x v="11"/>
    <x v="8"/>
    <x v="46"/>
    <n v="12"/>
  </r>
  <r>
    <x v="11"/>
    <x v="8"/>
    <x v="47"/>
    <n v="12"/>
  </r>
  <r>
    <x v="11"/>
    <x v="8"/>
    <x v="48"/>
    <n v="12"/>
  </r>
  <r>
    <x v="11"/>
    <x v="8"/>
    <x v="49"/>
    <n v="12"/>
  </r>
  <r>
    <x v="11"/>
    <x v="8"/>
    <x v="50"/>
    <n v="12"/>
  </r>
  <r>
    <x v="11"/>
    <x v="8"/>
    <x v="51"/>
    <n v="12"/>
  </r>
  <r>
    <x v="11"/>
    <x v="8"/>
    <x v="52"/>
    <n v="12"/>
  </r>
  <r>
    <x v="11"/>
    <x v="8"/>
    <x v="53"/>
    <n v="12"/>
  </r>
  <r>
    <x v="11"/>
    <x v="8"/>
    <x v="54"/>
    <n v="12"/>
  </r>
  <r>
    <x v="11"/>
    <x v="8"/>
    <x v="55"/>
    <n v="12"/>
  </r>
  <r>
    <x v="11"/>
    <x v="8"/>
    <x v="56"/>
    <n v="12"/>
  </r>
  <r>
    <x v="11"/>
    <x v="8"/>
    <x v="57"/>
    <n v="12"/>
  </r>
  <r>
    <x v="11"/>
    <x v="8"/>
    <x v="58"/>
    <n v="12"/>
  </r>
  <r>
    <x v="11"/>
    <x v="8"/>
    <x v="59"/>
    <n v="12"/>
  </r>
  <r>
    <x v="11"/>
    <x v="8"/>
    <x v="60"/>
    <n v="12"/>
  </r>
  <r>
    <x v="11"/>
    <x v="8"/>
    <x v="61"/>
    <n v="12"/>
  </r>
  <r>
    <x v="11"/>
    <x v="8"/>
    <x v="62"/>
    <n v="12"/>
  </r>
  <r>
    <x v="11"/>
    <x v="8"/>
    <x v="63"/>
    <n v="12"/>
  </r>
  <r>
    <x v="11"/>
    <x v="8"/>
    <x v="64"/>
    <n v="12"/>
  </r>
  <r>
    <x v="11"/>
    <x v="8"/>
    <x v="65"/>
    <n v="12"/>
  </r>
  <r>
    <x v="11"/>
    <x v="8"/>
    <x v="66"/>
    <n v="12"/>
  </r>
  <r>
    <x v="11"/>
    <x v="8"/>
    <x v="67"/>
    <n v="12"/>
  </r>
  <r>
    <x v="11"/>
    <x v="8"/>
    <x v="68"/>
    <n v="12"/>
  </r>
  <r>
    <x v="11"/>
    <x v="8"/>
    <x v="69"/>
    <n v="12"/>
  </r>
  <r>
    <x v="11"/>
    <x v="8"/>
    <x v="70"/>
    <n v="12"/>
  </r>
  <r>
    <x v="11"/>
    <x v="8"/>
    <x v="71"/>
    <n v="12"/>
  </r>
  <r>
    <x v="11"/>
    <x v="8"/>
    <x v="72"/>
    <n v="12"/>
  </r>
  <r>
    <x v="12"/>
    <x v="8"/>
    <x v="0"/>
    <n v="1"/>
  </r>
  <r>
    <x v="12"/>
    <x v="8"/>
    <x v="1"/>
    <n v="1"/>
  </r>
  <r>
    <x v="12"/>
    <x v="8"/>
    <x v="2"/>
    <n v="3"/>
  </r>
  <r>
    <x v="12"/>
    <x v="8"/>
    <x v="3"/>
    <n v="54"/>
  </r>
  <r>
    <x v="12"/>
    <x v="8"/>
    <x v="4"/>
    <n v="55"/>
  </r>
  <r>
    <x v="12"/>
    <x v="8"/>
    <x v="5"/>
    <n v="53"/>
  </r>
  <r>
    <x v="12"/>
    <x v="8"/>
    <x v="6"/>
    <n v="71"/>
  </r>
  <r>
    <x v="12"/>
    <x v="8"/>
    <x v="7"/>
    <n v="65"/>
  </r>
  <r>
    <x v="12"/>
    <x v="8"/>
    <x v="8"/>
    <n v="16"/>
  </r>
  <r>
    <x v="12"/>
    <x v="8"/>
    <x v="9"/>
    <n v="10"/>
  </r>
  <r>
    <x v="12"/>
    <x v="8"/>
    <x v="10"/>
    <n v="9"/>
  </r>
  <r>
    <x v="12"/>
    <x v="8"/>
    <x v="11"/>
    <n v="3"/>
  </r>
  <r>
    <x v="12"/>
    <x v="8"/>
    <x v="12"/>
    <n v="10"/>
  </r>
  <r>
    <x v="12"/>
    <x v="8"/>
    <x v="13"/>
    <n v="10"/>
  </r>
  <r>
    <x v="12"/>
    <x v="8"/>
    <x v="14"/>
    <n v="9"/>
  </r>
  <r>
    <x v="12"/>
    <x v="8"/>
    <x v="15"/>
    <n v="10"/>
  </r>
  <r>
    <x v="12"/>
    <x v="8"/>
    <x v="16"/>
    <n v="13"/>
  </r>
  <r>
    <x v="12"/>
    <x v="8"/>
    <x v="17"/>
    <n v="11"/>
  </r>
  <r>
    <x v="12"/>
    <x v="8"/>
    <x v="18"/>
    <n v="10"/>
  </r>
  <r>
    <x v="12"/>
    <x v="8"/>
    <x v="19"/>
    <n v="16"/>
  </r>
  <r>
    <x v="12"/>
    <x v="8"/>
    <x v="20"/>
    <n v="20"/>
  </r>
  <r>
    <x v="12"/>
    <x v="8"/>
    <x v="21"/>
    <n v="16"/>
  </r>
  <r>
    <x v="12"/>
    <x v="8"/>
    <x v="22"/>
    <n v="17"/>
  </r>
  <r>
    <x v="12"/>
    <x v="8"/>
    <x v="23"/>
    <n v="9"/>
  </r>
  <r>
    <x v="12"/>
    <x v="8"/>
    <x v="24"/>
    <n v="11"/>
  </r>
  <r>
    <x v="12"/>
    <x v="8"/>
    <x v="25"/>
    <n v="13"/>
  </r>
  <r>
    <x v="12"/>
    <x v="8"/>
    <x v="26"/>
    <n v="13"/>
  </r>
  <r>
    <x v="12"/>
    <x v="8"/>
    <x v="27"/>
    <n v="13"/>
  </r>
  <r>
    <x v="12"/>
    <x v="8"/>
    <x v="28"/>
    <n v="12"/>
  </r>
  <r>
    <x v="12"/>
    <x v="8"/>
    <x v="29"/>
    <n v="12"/>
  </r>
  <r>
    <x v="12"/>
    <x v="8"/>
    <x v="30"/>
    <n v="12"/>
  </r>
  <r>
    <x v="12"/>
    <x v="8"/>
    <x v="31"/>
    <n v="12"/>
  </r>
  <r>
    <x v="12"/>
    <x v="8"/>
    <x v="32"/>
    <n v="12"/>
  </r>
  <r>
    <x v="12"/>
    <x v="8"/>
    <x v="33"/>
    <n v="12"/>
  </r>
  <r>
    <x v="12"/>
    <x v="8"/>
    <x v="34"/>
    <n v="12"/>
  </r>
  <r>
    <x v="12"/>
    <x v="8"/>
    <x v="35"/>
    <n v="12"/>
  </r>
  <r>
    <x v="12"/>
    <x v="8"/>
    <x v="36"/>
    <n v="12"/>
  </r>
  <r>
    <x v="12"/>
    <x v="8"/>
    <x v="37"/>
    <n v="12"/>
  </r>
  <r>
    <x v="12"/>
    <x v="8"/>
    <x v="38"/>
    <n v="12"/>
  </r>
  <r>
    <x v="12"/>
    <x v="8"/>
    <x v="39"/>
    <n v="12"/>
  </r>
  <r>
    <x v="12"/>
    <x v="8"/>
    <x v="40"/>
    <n v="12"/>
  </r>
  <r>
    <x v="12"/>
    <x v="8"/>
    <x v="41"/>
    <n v="12"/>
  </r>
  <r>
    <x v="12"/>
    <x v="8"/>
    <x v="42"/>
    <n v="12"/>
  </r>
  <r>
    <x v="12"/>
    <x v="8"/>
    <x v="43"/>
    <n v="12"/>
  </r>
  <r>
    <x v="12"/>
    <x v="8"/>
    <x v="44"/>
    <n v="12"/>
  </r>
  <r>
    <x v="12"/>
    <x v="8"/>
    <x v="45"/>
    <n v="12"/>
  </r>
  <r>
    <x v="12"/>
    <x v="8"/>
    <x v="46"/>
    <n v="12"/>
  </r>
  <r>
    <x v="12"/>
    <x v="8"/>
    <x v="47"/>
    <n v="12"/>
  </r>
  <r>
    <x v="12"/>
    <x v="8"/>
    <x v="48"/>
    <n v="12"/>
  </r>
  <r>
    <x v="12"/>
    <x v="8"/>
    <x v="49"/>
    <n v="12"/>
  </r>
  <r>
    <x v="12"/>
    <x v="8"/>
    <x v="50"/>
    <n v="12"/>
  </r>
  <r>
    <x v="12"/>
    <x v="8"/>
    <x v="51"/>
    <n v="12"/>
  </r>
  <r>
    <x v="12"/>
    <x v="8"/>
    <x v="52"/>
    <n v="12"/>
  </r>
  <r>
    <x v="12"/>
    <x v="8"/>
    <x v="53"/>
    <n v="12"/>
  </r>
  <r>
    <x v="12"/>
    <x v="8"/>
    <x v="54"/>
    <n v="12"/>
  </r>
  <r>
    <x v="12"/>
    <x v="8"/>
    <x v="55"/>
    <n v="12"/>
  </r>
  <r>
    <x v="12"/>
    <x v="8"/>
    <x v="56"/>
    <n v="12"/>
  </r>
  <r>
    <x v="12"/>
    <x v="8"/>
    <x v="57"/>
    <n v="12"/>
  </r>
  <r>
    <x v="12"/>
    <x v="8"/>
    <x v="58"/>
    <n v="12"/>
  </r>
  <r>
    <x v="12"/>
    <x v="8"/>
    <x v="59"/>
    <n v="12"/>
  </r>
  <r>
    <x v="12"/>
    <x v="8"/>
    <x v="60"/>
    <n v="12"/>
  </r>
  <r>
    <x v="12"/>
    <x v="8"/>
    <x v="61"/>
    <n v="12"/>
  </r>
  <r>
    <x v="12"/>
    <x v="8"/>
    <x v="62"/>
    <n v="12"/>
  </r>
  <r>
    <x v="12"/>
    <x v="8"/>
    <x v="63"/>
    <n v="12"/>
  </r>
  <r>
    <x v="12"/>
    <x v="8"/>
    <x v="64"/>
    <n v="12"/>
  </r>
  <r>
    <x v="12"/>
    <x v="8"/>
    <x v="65"/>
    <n v="12"/>
  </r>
  <r>
    <x v="12"/>
    <x v="8"/>
    <x v="66"/>
    <n v="12"/>
  </r>
  <r>
    <x v="12"/>
    <x v="8"/>
    <x v="67"/>
    <n v="12"/>
  </r>
  <r>
    <x v="12"/>
    <x v="8"/>
    <x v="68"/>
    <n v="12"/>
  </r>
  <r>
    <x v="12"/>
    <x v="8"/>
    <x v="69"/>
    <n v="12"/>
  </r>
  <r>
    <x v="12"/>
    <x v="8"/>
    <x v="70"/>
    <n v="12"/>
  </r>
  <r>
    <x v="12"/>
    <x v="8"/>
    <x v="71"/>
    <n v="12"/>
  </r>
  <r>
    <x v="12"/>
    <x v="8"/>
    <x v="72"/>
    <n v="12"/>
  </r>
  <r>
    <x v="13"/>
    <x v="8"/>
    <x v="0"/>
    <n v="13"/>
  </r>
  <r>
    <x v="13"/>
    <x v="8"/>
    <x v="1"/>
    <n v="14"/>
  </r>
  <r>
    <x v="13"/>
    <x v="8"/>
    <x v="2"/>
    <n v="3"/>
  </r>
  <r>
    <x v="13"/>
    <x v="8"/>
    <x v="3"/>
    <n v="1"/>
  </r>
  <r>
    <x v="13"/>
    <x v="8"/>
    <x v="4"/>
    <n v="1"/>
  </r>
  <r>
    <x v="13"/>
    <x v="8"/>
    <x v="5"/>
    <n v="1"/>
  </r>
  <r>
    <x v="13"/>
    <x v="8"/>
    <x v="6"/>
    <n v="11"/>
  </r>
  <r>
    <x v="13"/>
    <x v="8"/>
    <x v="7"/>
    <n v="15"/>
  </r>
  <r>
    <x v="13"/>
    <x v="8"/>
    <x v="8"/>
    <n v="23"/>
  </r>
  <r>
    <x v="13"/>
    <x v="8"/>
    <x v="9"/>
    <n v="23"/>
  </r>
  <r>
    <x v="13"/>
    <x v="8"/>
    <x v="10"/>
    <n v="20"/>
  </r>
  <r>
    <x v="13"/>
    <x v="8"/>
    <x v="11"/>
    <n v="19"/>
  </r>
  <r>
    <x v="13"/>
    <x v="8"/>
    <x v="12"/>
    <n v="14"/>
  </r>
  <r>
    <x v="13"/>
    <x v="8"/>
    <x v="13"/>
    <n v="19"/>
  </r>
  <r>
    <x v="13"/>
    <x v="8"/>
    <x v="14"/>
    <n v="13"/>
  </r>
  <r>
    <x v="13"/>
    <x v="8"/>
    <x v="15"/>
    <n v="15"/>
  </r>
  <r>
    <x v="13"/>
    <x v="8"/>
    <x v="16"/>
    <n v="7"/>
  </r>
  <r>
    <x v="13"/>
    <x v="8"/>
    <x v="17"/>
    <n v="7"/>
  </r>
  <r>
    <x v="13"/>
    <x v="8"/>
    <x v="18"/>
    <n v="5"/>
  </r>
  <r>
    <x v="13"/>
    <x v="8"/>
    <x v="19"/>
    <n v="5"/>
  </r>
  <r>
    <x v="13"/>
    <x v="8"/>
    <x v="20"/>
    <n v="7"/>
  </r>
  <r>
    <x v="13"/>
    <x v="8"/>
    <x v="21"/>
    <n v="14"/>
  </r>
  <r>
    <x v="13"/>
    <x v="8"/>
    <x v="22"/>
    <n v="11"/>
  </r>
  <r>
    <x v="13"/>
    <x v="8"/>
    <x v="23"/>
    <n v="17"/>
  </r>
  <r>
    <x v="13"/>
    <x v="8"/>
    <x v="24"/>
    <n v="20"/>
  </r>
  <r>
    <x v="13"/>
    <x v="8"/>
    <x v="25"/>
    <n v="22"/>
  </r>
  <r>
    <x v="13"/>
    <x v="8"/>
    <x v="26"/>
    <n v="22"/>
  </r>
  <r>
    <x v="13"/>
    <x v="8"/>
    <x v="27"/>
    <n v="25"/>
  </r>
  <r>
    <x v="13"/>
    <x v="8"/>
    <x v="28"/>
    <n v="12"/>
  </r>
  <r>
    <x v="13"/>
    <x v="8"/>
    <x v="29"/>
    <n v="12"/>
  </r>
  <r>
    <x v="13"/>
    <x v="8"/>
    <x v="30"/>
    <n v="12"/>
  </r>
  <r>
    <x v="13"/>
    <x v="8"/>
    <x v="31"/>
    <n v="12"/>
  </r>
  <r>
    <x v="13"/>
    <x v="8"/>
    <x v="32"/>
    <n v="12"/>
  </r>
  <r>
    <x v="13"/>
    <x v="8"/>
    <x v="33"/>
    <n v="12"/>
  </r>
  <r>
    <x v="13"/>
    <x v="8"/>
    <x v="34"/>
    <n v="12"/>
  </r>
  <r>
    <x v="13"/>
    <x v="8"/>
    <x v="35"/>
    <n v="12"/>
  </r>
  <r>
    <x v="13"/>
    <x v="8"/>
    <x v="36"/>
    <n v="12"/>
  </r>
  <r>
    <x v="13"/>
    <x v="8"/>
    <x v="37"/>
    <n v="12"/>
  </r>
  <r>
    <x v="13"/>
    <x v="8"/>
    <x v="38"/>
    <n v="12"/>
  </r>
  <r>
    <x v="13"/>
    <x v="8"/>
    <x v="39"/>
    <n v="12"/>
  </r>
  <r>
    <x v="13"/>
    <x v="8"/>
    <x v="40"/>
    <n v="12"/>
  </r>
  <r>
    <x v="13"/>
    <x v="8"/>
    <x v="41"/>
    <n v="12"/>
  </r>
  <r>
    <x v="13"/>
    <x v="8"/>
    <x v="42"/>
    <n v="12"/>
  </r>
  <r>
    <x v="13"/>
    <x v="8"/>
    <x v="43"/>
    <n v="12"/>
  </r>
  <r>
    <x v="13"/>
    <x v="8"/>
    <x v="44"/>
    <n v="12"/>
  </r>
  <r>
    <x v="13"/>
    <x v="8"/>
    <x v="45"/>
    <n v="12"/>
  </r>
  <r>
    <x v="13"/>
    <x v="8"/>
    <x v="46"/>
    <n v="12"/>
  </r>
  <r>
    <x v="13"/>
    <x v="8"/>
    <x v="47"/>
    <n v="12"/>
  </r>
  <r>
    <x v="13"/>
    <x v="8"/>
    <x v="48"/>
    <n v="12"/>
  </r>
  <r>
    <x v="13"/>
    <x v="8"/>
    <x v="49"/>
    <n v="12"/>
  </r>
  <r>
    <x v="13"/>
    <x v="8"/>
    <x v="50"/>
    <n v="12"/>
  </r>
  <r>
    <x v="13"/>
    <x v="8"/>
    <x v="51"/>
    <n v="12"/>
  </r>
  <r>
    <x v="13"/>
    <x v="8"/>
    <x v="52"/>
    <n v="12"/>
  </r>
  <r>
    <x v="13"/>
    <x v="8"/>
    <x v="53"/>
    <n v="12"/>
  </r>
  <r>
    <x v="13"/>
    <x v="8"/>
    <x v="54"/>
    <n v="12"/>
  </r>
  <r>
    <x v="13"/>
    <x v="8"/>
    <x v="55"/>
    <n v="12"/>
  </r>
  <r>
    <x v="13"/>
    <x v="8"/>
    <x v="56"/>
    <n v="12"/>
  </r>
  <r>
    <x v="13"/>
    <x v="8"/>
    <x v="57"/>
    <n v="12"/>
  </r>
  <r>
    <x v="13"/>
    <x v="8"/>
    <x v="58"/>
    <n v="12"/>
  </r>
  <r>
    <x v="13"/>
    <x v="8"/>
    <x v="59"/>
    <n v="12"/>
  </r>
  <r>
    <x v="13"/>
    <x v="8"/>
    <x v="60"/>
    <n v="12"/>
  </r>
  <r>
    <x v="13"/>
    <x v="8"/>
    <x v="61"/>
    <n v="12"/>
  </r>
  <r>
    <x v="13"/>
    <x v="8"/>
    <x v="62"/>
    <n v="12"/>
  </r>
  <r>
    <x v="13"/>
    <x v="8"/>
    <x v="63"/>
    <n v="12"/>
  </r>
  <r>
    <x v="13"/>
    <x v="8"/>
    <x v="64"/>
    <n v="12"/>
  </r>
  <r>
    <x v="13"/>
    <x v="8"/>
    <x v="65"/>
    <n v="12"/>
  </r>
  <r>
    <x v="13"/>
    <x v="8"/>
    <x v="66"/>
    <n v="12"/>
  </r>
  <r>
    <x v="13"/>
    <x v="8"/>
    <x v="67"/>
    <n v="12"/>
  </r>
  <r>
    <x v="13"/>
    <x v="8"/>
    <x v="68"/>
    <n v="12"/>
  </r>
  <r>
    <x v="13"/>
    <x v="8"/>
    <x v="69"/>
    <n v="12"/>
  </r>
  <r>
    <x v="13"/>
    <x v="8"/>
    <x v="70"/>
    <n v="12"/>
  </r>
  <r>
    <x v="13"/>
    <x v="8"/>
    <x v="71"/>
    <n v="12"/>
  </r>
  <r>
    <x v="13"/>
    <x v="8"/>
    <x v="72"/>
    <n v="12"/>
  </r>
  <r>
    <x v="14"/>
    <x v="9"/>
    <x v="0"/>
    <n v="1"/>
  </r>
  <r>
    <x v="14"/>
    <x v="9"/>
    <x v="1"/>
    <n v="1"/>
  </r>
  <r>
    <x v="14"/>
    <x v="9"/>
    <x v="2"/>
    <n v="1"/>
  </r>
  <r>
    <x v="14"/>
    <x v="9"/>
    <x v="3"/>
    <n v="26"/>
  </r>
  <r>
    <x v="14"/>
    <x v="9"/>
    <x v="4"/>
    <n v="26"/>
  </r>
  <r>
    <x v="14"/>
    <x v="9"/>
    <x v="5"/>
    <n v="22"/>
  </r>
  <r>
    <x v="14"/>
    <x v="9"/>
    <x v="6"/>
    <n v="11"/>
  </r>
  <r>
    <x v="14"/>
    <x v="9"/>
    <x v="7"/>
    <n v="15"/>
  </r>
  <r>
    <x v="14"/>
    <x v="9"/>
    <x v="8"/>
    <n v="16"/>
  </r>
  <r>
    <x v="14"/>
    <x v="9"/>
    <x v="9"/>
    <n v="19"/>
  </r>
  <r>
    <x v="14"/>
    <x v="9"/>
    <x v="10"/>
    <n v="20"/>
  </r>
  <r>
    <x v="14"/>
    <x v="9"/>
    <x v="11"/>
    <n v="19"/>
  </r>
  <r>
    <x v="14"/>
    <x v="9"/>
    <x v="12"/>
    <n v="14"/>
  </r>
  <r>
    <x v="14"/>
    <x v="9"/>
    <x v="13"/>
    <n v="14"/>
  </r>
  <r>
    <x v="14"/>
    <x v="9"/>
    <x v="14"/>
    <n v="13"/>
  </r>
  <r>
    <x v="14"/>
    <x v="9"/>
    <x v="15"/>
    <n v="15"/>
  </r>
  <r>
    <x v="14"/>
    <x v="9"/>
    <x v="16"/>
    <n v="18"/>
  </r>
  <r>
    <x v="14"/>
    <x v="9"/>
    <x v="17"/>
    <n v="18"/>
  </r>
  <r>
    <x v="14"/>
    <x v="9"/>
    <x v="18"/>
    <n v="20"/>
  </r>
  <r>
    <x v="14"/>
    <x v="9"/>
    <x v="19"/>
    <n v="27"/>
  </r>
  <r>
    <x v="14"/>
    <x v="9"/>
    <x v="20"/>
    <n v="25"/>
  </r>
  <r>
    <x v="14"/>
    <x v="9"/>
    <x v="21"/>
    <n v="29"/>
  </r>
  <r>
    <x v="14"/>
    <x v="9"/>
    <x v="22"/>
    <n v="23"/>
  </r>
  <r>
    <x v="14"/>
    <x v="9"/>
    <x v="23"/>
    <n v="23"/>
  </r>
  <r>
    <x v="14"/>
    <x v="9"/>
    <x v="24"/>
    <n v="28"/>
  </r>
  <r>
    <x v="14"/>
    <x v="9"/>
    <x v="25"/>
    <n v="10"/>
  </r>
  <r>
    <x v="14"/>
    <x v="9"/>
    <x v="26"/>
    <n v="10"/>
  </r>
  <r>
    <x v="14"/>
    <x v="9"/>
    <x v="27"/>
    <n v="9"/>
  </r>
  <r>
    <x v="14"/>
    <x v="9"/>
    <x v="28"/>
    <n v="15"/>
  </r>
  <r>
    <x v="14"/>
    <x v="9"/>
    <x v="29"/>
    <n v="15"/>
  </r>
  <r>
    <x v="14"/>
    <x v="9"/>
    <x v="30"/>
    <n v="15"/>
  </r>
  <r>
    <x v="14"/>
    <x v="9"/>
    <x v="31"/>
    <n v="15"/>
  </r>
  <r>
    <x v="14"/>
    <x v="9"/>
    <x v="32"/>
    <n v="15"/>
  </r>
  <r>
    <x v="14"/>
    <x v="9"/>
    <x v="33"/>
    <n v="15"/>
  </r>
  <r>
    <x v="14"/>
    <x v="9"/>
    <x v="34"/>
    <n v="15"/>
  </r>
  <r>
    <x v="14"/>
    <x v="9"/>
    <x v="35"/>
    <n v="15"/>
  </r>
  <r>
    <x v="14"/>
    <x v="9"/>
    <x v="36"/>
    <n v="15"/>
  </r>
  <r>
    <x v="14"/>
    <x v="9"/>
    <x v="37"/>
    <n v="15"/>
  </r>
  <r>
    <x v="14"/>
    <x v="9"/>
    <x v="38"/>
    <n v="15"/>
  </r>
  <r>
    <x v="14"/>
    <x v="9"/>
    <x v="39"/>
    <n v="15"/>
  </r>
  <r>
    <x v="14"/>
    <x v="9"/>
    <x v="40"/>
    <n v="15"/>
  </r>
  <r>
    <x v="14"/>
    <x v="9"/>
    <x v="41"/>
    <n v="15"/>
  </r>
  <r>
    <x v="14"/>
    <x v="9"/>
    <x v="42"/>
    <n v="15"/>
  </r>
  <r>
    <x v="14"/>
    <x v="9"/>
    <x v="43"/>
    <n v="15"/>
  </r>
  <r>
    <x v="14"/>
    <x v="9"/>
    <x v="44"/>
    <n v="15"/>
  </r>
  <r>
    <x v="14"/>
    <x v="9"/>
    <x v="45"/>
    <n v="15"/>
  </r>
  <r>
    <x v="14"/>
    <x v="9"/>
    <x v="46"/>
    <n v="15"/>
  </r>
  <r>
    <x v="14"/>
    <x v="9"/>
    <x v="47"/>
    <n v="15"/>
  </r>
  <r>
    <x v="14"/>
    <x v="9"/>
    <x v="48"/>
    <n v="15"/>
  </r>
  <r>
    <x v="14"/>
    <x v="9"/>
    <x v="49"/>
    <n v="15"/>
  </r>
  <r>
    <x v="14"/>
    <x v="9"/>
    <x v="50"/>
    <n v="15"/>
  </r>
  <r>
    <x v="14"/>
    <x v="9"/>
    <x v="51"/>
    <n v="15"/>
  </r>
  <r>
    <x v="14"/>
    <x v="9"/>
    <x v="52"/>
    <n v="15"/>
  </r>
  <r>
    <x v="14"/>
    <x v="9"/>
    <x v="53"/>
    <n v="15"/>
  </r>
  <r>
    <x v="14"/>
    <x v="9"/>
    <x v="54"/>
    <n v="15"/>
  </r>
  <r>
    <x v="14"/>
    <x v="9"/>
    <x v="55"/>
    <n v="15"/>
  </r>
  <r>
    <x v="14"/>
    <x v="9"/>
    <x v="56"/>
    <n v="15"/>
  </r>
  <r>
    <x v="14"/>
    <x v="9"/>
    <x v="57"/>
    <n v="15"/>
  </r>
  <r>
    <x v="14"/>
    <x v="9"/>
    <x v="58"/>
    <n v="15"/>
  </r>
  <r>
    <x v="14"/>
    <x v="9"/>
    <x v="59"/>
    <n v="15"/>
  </r>
  <r>
    <x v="14"/>
    <x v="9"/>
    <x v="60"/>
    <n v="15"/>
  </r>
  <r>
    <x v="14"/>
    <x v="9"/>
    <x v="61"/>
    <n v="15"/>
  </r>
  <r>
    <x v="14"/>
    <x v="9"/>
    <x v="62"/>
    <n v="15"/>
  </r>
  <r>
    <x v="14"/>
    <x v="9"/>
    <x v="63"/>
    <n v="15"/>
  </r>
  <r>
    <x v="14"/>
    <x v="9"/>
    <x v="64"/>
    <n v="15"/>
  </r>
  <r>
    <x v="14"/>
    <x v="9"/>
    <x v="65"/>
    <n v="15"/>
  </r>
  <r>
    <x v="14"/>
    <x v="9"/>
    <x v="66"/>
    <n v="15"/>
  </r>
  <r>
    <x v="14"/>
    <x v="9"/>
    <x v="67"/>
    <n v="15"/>
  </r>
  <r>
    <x v="14"/>
    <x v="9"/>
    <x v="68"/>
    <n v="15"/>
  </r>
  <r>
    <x v="14"/>
    <x v="9"/>
    <x v="69"/>
    <n v="15"/>
  </r>
  <r>
    <x v="14"/>
    <x v="9"/>
    <x v="70"/>
    <n v="15"/>
  </r>
  <r>
    <x v="14"/>
    <x v="9"/>
    <x v="71"/>
    <n v="15"/>
  </r>
  <r>
    <x v="14"/>
    <x v="9"/>
    <x v="72"/>
    <n v="15"/>
  </r>
  <r>
    <x v="15"/>
    <x v="10"/>
    <x v="0"/>
    <n v="13"/>
  </r>
  <r>
    <x v="15"/>
    <x v="10"/>
    <x v="1"/>
    <n v="14"/>
  </r>
  <r>
    <x v="15"/>
    <x v="10"/>
    <x v="2"/>
    <n v="3"/>
  </r>
  <r>
    <x v="15"/>
    <x v="10"/>
    <x v="3"/>
    <n v="38"/>
  </r>
  <r>
    <x v="15"/>
    <x v="10"/>
    <x v="4"/>
    <n v="39"/>
  </r>
  <r>
    <x v="15"/>
    <x v="10"/>
    <x v="5"/>
    <n v="41"/>
  </r>
  <r>
    <x v="15"/>
    <x v="10"/>
    <x v="6"/>
    <n v="27"/>
  </r>
  <r>
    <x v="15"/>
    <x v="10"/>
    <x v="7"/>
    <n v="27"/>
  </r>
  <r>
    <x v="15"/>
    <x v="10"/>
    <x v="8"/>
    <n v="27"/>
  </r>
  <r>
    <x v="15"/>
    <x v="10"/>
    <x v="9"/>
    <n v="25"/>
  </r>
  <r>
    <x v="15"/>
    <x v="10"/>
    <x v="10"/>
    <n v="23"/>
  </r>
  <r>
    <x v="15"/>
    <x v="10"/>
    <x v="11"/>
    <n v="22"/>
  </r>
  <r>
    <x v="15"/>
    <x v="10"/>
    <x v="12"/>
    <n v="16"/>
  </r>
  <r>
    <x v="15"/>
    <x v="10"/>
    <x v="13"/>
    <n v="15"/>
  </r>
  <r>
    <x v="15"/>
    <x v="10"/>
    <x v="14"/>
    <n v="16"/>
  </r>
  <r>
    <x v="15"/>
    <x v="10"/>
    <x v="15"/>
    <n v="5"/>
  </r>
  <r>
    <x v="15"/>
    <x v="10"/>
    <x v="16"/>
    <n v="9"/>
  </r>
  <r>
    <x v="15"/>
    <x v="10"/>
    <x v="17"/>
    <n v="11"/>
  </r>
  <r>
    <x v="15"/>
    <x v="10"/>
    <x v="18"/>
    <n v="15"/>
  </r>
  <r>
    <x v="15"/>
    <x v="10"/>
    <x v="19"/>
    <n v="16"/>
  </r>
  <r>
    <x v="15"/>
    <x v="10"/>
    <x v="20"/>
    <n v="17"/>
  </r>
  <r>
    <x v="15"/>
    <x v="10"/>
    <x v="21"/>
    <n v="22"/>
  </r>
  <r>
    <x v="15"/>
    <x v="10"/>
    <x v="22"/>
    <n v="25"/>
  </r>
  <r>
    <x v="15"/>
    <x v="10"/>
    <x v="23"/>
    <n v="15"/>
  </r>
  <r>
    <x v="15"/>
    <x v="10"/>
    <x v="24"/>
    <n v="17"/>
  </r>
  <r>
    <x v="15"/>
    <x v="10"/>
    <x v="25"/>
    <n v="18"/>
  </r>
  <r>
    <x v="15"/>
    <x v="10"/>
    <x v="26"/>
    <n v="18"/>
  </r>
  <r>
    <x v="15"/>
    <x v="10"/>
    <x v="27"/>
    <n v="17"/>
  </r>
  <r>
    <x v="15"/>
    <x v="10"/>
    <x v="28"/>
    <n v="16"/>
  </r>
  <r>
    <x v="15"/>
    <x v="10"/>
    <x v="29"/>
    <n v="16"/>
  </r>
  <r>
    <x v="15"/>
    <x v="10"/>
    <x v="30"/>
    <n v="16"/>
  </r>
  <r>
    <x v="15"/>
    <x v="10"/>
    <x v="31"/>
    <n v="16"/>
  </r>
  <r>
    <x v="15"/>
    <x v="10"/>
    <x v="32"/>
    <n v="16"/>
  </r>
  <r>
    <x v="15"/>
    <x v="10"/>
    <x v="33"/>
    <n v="16"/>
  </r>
  <r>
    <x v="15"/>
    <x v="10"/>
    <x v="34"/>
    <n v="16"/>
  </r>
  <r>
    <x v="15"/>
    <x v="10"/>
    <x v="35"/>
    <n v="16"/>
  </r>
  <r>
    <x v="15"/>
    <x v="10"/>
    <x v="36"/>
    <n v="16"/>
  </r>
  <r>
    <x v="15"/>
    <x v="10"/>
    <x v="37"/>
    <n v="16"/>
  </r>
  <r>
    <x v="15"/>
    <x v="10"/>
    <x v="38"/>
    <n v="16"/>
  </r>
  <r>
    <x v="15"/>
    <x v="10"/>
    <x v="39"/>
    <n v="16"/>
  </r>
  <r>
    <x v="15"/>
    <x v="10"/>
    <x v="40"/>
    <n v="16"/>
  </r>
  <r>
    <x v="15"/>
    <x v="10"/>
    <x v="41"/>
    <n v="16"/>
  </r>
  <r>
    <x v="15"/>
    <x v="10"/>
    <x v="42"/>
    <n v="16"/>
  </r>
  <r>
    <x v="15"/>
    <x v="10"/>
    <x v="43"/>
    <n v="16"/>
  </r>
  <r>
    <x v="15"/>
    <x v="10"/>
    <x v="44"/>
    <n v="16"/>
  </r>
  <r>
    <x v="15"/>
    <x v="10"/>
    <x v="45"/>
    <n v="16"/>
  </r>
  <r>
    <x v="15"/>
    <x v="10"/>
    <x v="46"/>
    <n v="16"/>
  </r>
  <r>
    <x v="15"/>
    <x v="10"/>
    <x v="47"/>
    <n v="16"/>
  </r>
  <r>
    <x v="15"/>
    <x v="10"/>
    <x v="48"/>
    <n v="16"/>
  </r>
  <r>
    <x v="15"/>
    <x v="10"/>
    <x v="49"/>
    <n v="16"/>
  </r>
  <r>
    <x v="15"/>
    <x v="10"/>
    <x v="50"/>
    <n v="16"/>
  </r>
  <r>
    <x v="15"/>
    <x v="10"/>
    <x v="51"/>
    <n v="16"/>
  </r>
  <r>
    <x v="15"/>
    <x v="10"/>
    <x v="52"/>
    <n v="16"/>
  </r>
  <r>
    <x v="15"/>
    <x v="10"/>
    <x v="53"/>
    <n v="16"/>
  </r>
  <r>
    <x v="15"/>
    <x v="10"/>
    <x v="54"/>
    <n v="16"/>
  </r>
  <r>
    <x v="15"/>
    <x v="10"/>
    <x v="55"/>
    <n v="16"/>
  </r>
  <r>
    <x v="15"/>
    <x v="10"/>
    <x v="56"/>
    <n v="16"/>
  </r>
  <r>
    <x v="15"/>
    <x v="10"/>
    <x v="57"/>
    <n v="16"/>
  </r>
  <r>
    <x v="15"/>
    <x v="10"/>
    <x v="58"/>
    <n v="16"/>
  </r>
  <r>
    <x v="15"/>
    <x v="10"/>
    <x v="59"/>
    <n v="16"/>
  </r>
  <r>
    <x v="15"/>
    <x v="10"/>
    <x v="60"/>
    <n v="16"/>
  </r>
  <r>
    <x v="15"/>
    <x v="10"/>
    <x v="61"/>
    <n v="16"/>
  </r>
  <r>
    <x v="15"/>
    <x v="10"/>
    <x v="62"/>
    <n v="16"/>
  </r>
  <r>
    <x v="15"/>
    <x v="10"/>
    <x v="63"/>
    <n v="16"/>
  </r>
  <r>
    <x v="15"/>
    <x v="10"/>
    <x v="64"/>
    <n v="16"/>
  </r>
  <r>
    <x v="15"/>
    <x v="10"/>
    <x v="65"/>
    <n v="16"/>
  </r>
  <r>
    <x v="15"/>
    <x v="10"/>
    <x v="66"/>
    <n v="16"/>
  </r>
  <r>
    <x v="15"/>
    <x v="10"/>
    <x v="67"/>
    <n v="16"/>
  </r>
  <r>
    <x v="15"/>
    <x v="10"/>
    <x v="68"/>
    <n v="16"/>
  </r>
  <r>
    <x v="15"/>
    <x v="10"/>
    <x v="69"/>
    <n v="16"/>
  </r>
  <r>
    <x v="15"/>
    <x v="10"/>
    <x v="70"/>
    <n v="16"/>
  </r>
  <r>
    <x v="15"/>
    <x v="10"/>
    <x v="71"/>
    <n v="16"/>
  </r>
  <r>
    <x v="15"/>
    <x v="10"/>
    <x v="72"/>
    <n v="16"/>
  </r>
  <r>
    <x v="16"/>
    <x v="11"/>
    <x v="0"/>
    <n v="13"/>
  </r>
  <r>
    <x v="16"/>
    <x v="11"/>
    <x v="1"/>
    <n v="14"/>
  </r>
  <r>
    <x v="16"/>
    <x v="11"/>
    <x v="2"/>
    <n v="24"/>
  </r>
  <r>
    <x v="16"/>
    <x v="11"/>
    <x v="3"/>
    <n v="9"/>
  </r>
  <r>
    <x v="16"/>
    <x v="11"/>
    <x v="4"/>
    <n v="9"/>
  </r>
  <r>
    <x v="16"/>
    <x v="11"/>
    <x v="5"/>
    <n v="9"/>
  </r>
  <r>
    <x v="16"/>
    <x v="11"/>
    <x v="6"/>
    <n v="27"/>
  </r>
  <r>
    <x v="16"/>
    <x v="11"/>
    <x v="7"/>
    <n v="27"/>
  </r>
  <r>
    <x v="16"/>
    <x v="11"/>
    <x v="8"/>
    <n v="41"/>
  </r>
  <r>
    <x v="16"/>
    <x v="11"/>
    <x v="9"/>
    <n v="42"/>
  </r>
  <r>
    <x v="16"/>
    <x v="11"/>
    <x v="10"/>
    <n v="40"/>
  </r>
  <r>
    <x v="16"/>
    <x v="11"/>
    <x v="11"/>
    <n v="41"/>
  </r>
  <r>
    <x v="16"/>
    <x v="11"/>
    <x v="12"/>
    <n v="37"/>
  </r>
  <r>
    <x v="16"/>
    <x v="11"/>
    <x v="13"/>
    <n v="45"/>
  </r>
  <r>
    <x v="16"/>
    <x v="11"/>
    <x v="14"/>
    <n v="45"/>
  </r>
  <r>
    <x v="16"/>
    <x v="11"/>
    <x v="15"/>
    <n v="36"/>
  </r>
  <r>
    <x v="16"/>
    <x v="11"/>
    <x v="16"/>
    <n v="18"/>
  </r>
  <r>
    <x v="16"/>
    <x v="11"/>
    <x v="17"/>
    <n v="24"/>
  </r>
  <r>
    <x v="16"/>
    <x v="11"/>
    <x v="18"/>
    <n v="26"/>
  </r>
  <r>
    <x v="16"/>
    <x v="11"/>
    <x v="19"/>
    <n v="27"/>
  </r>
  <r>
    <x v="16"/>
    <x v="11"/>
    <x v="20"/>
    <n v="25"/>
  </r>
  <r>
    <x v="16"/>
    <x v="11"/>
    <x v="21"/>
    <n v="29"/>
  </r>
  <r>
    <x v="16"/>
    <x v="11"/>
    <x v="22"/>
    <n v="23"/>
  </r>
  <r>
    <x v="16"/>
    <x v="11"/>
    <x v="23"/>
    <n v="14"/>
  </r>
  <r>
    <x v="16"/>
    <x v="11"/>
    <x v="24"/>
    <n v="16"/>
  </r>
  <r>
    <x v="16"/>
    <x v="11"/>
    <x v="25"/>
    <n v="17"/>
  </r>
  <r>
    <x v="16"/>
    <x v="11"/>
    <x v="26"/>
    <n v="17"/>
  </r>
  <r>
    <x v="16"/>
    <x v="11"/>
    <x v="27"/>
    <n v="15"/>
  </r>
  <r>
    <x v="16"/>
    <x v="11"/>
    <x v="28"/>
    <n v="17"/>
  </r>
  <r>
    <x v="16"/>
    <x v="11"/>
    <x v="29"/>
    <n v="17"/>
  </r>
  <r>
    <x v="16"/>
    <x v="11"/>
    <x v="30"/>
    <n v="17"/>
  </r>
  <r>
    <x v="16"/>
    <x v="11"/>
    <x v="31"/>
    <n v="17"/>
  </r>
  <r>
    <x v="16"/>
    <x v="11"/>
    <x v="32"/>
    <n v="17"/>
  </r>
  <r>
    <x v="16"/>
    <x v="11"/>
    <x v="33"/>
    <n v="17"/>
  </r>
  <r>
    <x v="16"/>
    <x v="11"/>
    <x v="34"/>
    <n v="17"/>
  </r>
  <r>
    <x v="16"/>
    <x v="11"/>
    <x v="35"/>
    <n v="17"/>
  </r>
  <r>
    <x v="16"/>
    <x v="11"/>
    <x v="36"/>
    <n v="17"/>
  </r>
  <r>
    <x v="16"/>
    <x v="11"/>
    <x v="37"/>
    <n v="17"/>
  </r>
  <r>
    <x v="16"/>
    <x v="11"/>
    <x v="38"/>
    <n v="17"/>
  </r>
  <r>
    <x v="16"/>
    <x v="11"/>
    <x v="39"/>
    <n v="17"/>
  </r>
  <r>
    <x v="16"/>
    <x v="11"/>
    <x v="40"/>
    <n v="17"/>
  </r>
  <r>
    <x v="16"/>
    <x v="11"/>
    <x v="41"/>
    <n v="17"/>
  </r>
  <r>
    <x v="16"/>
    <x v="11"/>
    <x v="42"/>
    <n v="17"/>
  </r>
  <r>
    <x v="16"/>
    <x v="11"/>
    <x v="43"/>
    <n v="17"/>
  </r>
  <r>
    <x v="16"/>
    <x v="11"/>
    <x v="44"/>
    <n v="17"/>
  </r>
  <r>
    <x v="16"/>
    <x v="11"/>
    <x v="45"/>
    <n v="17"/>
  </r>
  <r>
    <x v="16"/>
    <x v="11"/>
    <x v="46"/>
    <n v="17"/>
  </r>
  <r>
    <x v="16"/>
    <x v="11"/>
    <x v="47"/>
    <n v="17"/>
  </r>
  <r>
    <x v="16"/>
    <x v="11"/>
    <x v="48"/>
    <n v="17"/>
  </r>
  <r>
    <x v="16"/>
    <x v="11"/>
    <x v="49"/>
    <n v="17"/>
  </r>
  <r>
    <x v="16"/>
    <x v="11"/>
    <x v="50"/>
    <n v="17"/>
  </r>
  <r>
    <x v="16"/>
    <x v="11"/>
    <x v="51"/>
    <n v="17"/>
  </r>
  <r>
    <x v="16"/>
    <x v="11"/>
    <x v="52"/>
    <n v="17"/>
  </r>
  <r>
    <x v="16"/>
    <x v="11"/>
    <x v="53"/>
    <n v="17"/>
  </r>
  <r>
    <x v="16"/>
    <x v="11"/>
    <x v="54"/>
    <n v="17"/>
  </r>
  <r>
    <x v="16"/>
    <x v="11"/>
    <x v="55"/>
    <n v="17"/>
  </r>
  <r>
    <x v="16"/>
    <x v="11"/>
    <x v="56"/>
    <n v="17"/>
  </r>
  <r>
    <x v="16"/>
    <x v="11"/>
    <x v="57"/>
    <n v="17"/>
  </r>
  <r>
    <x v="16"/>
    <x v="11"/>
    <x v="58"/>
    <n v="17"/>
  </r>
  <r>
    <x v="16"/>
    <x v="11"/>
    <x v="59"/>
    <n v="17"/>
  </r>
  <r>
    <x v="16"/>
    <x v="11"/>
    <x v="60"/>
    <n v="17"/>
  </r>
  <r>
    <x v="16"/>
    <x v="11"/>
    <x v="61"/>
    <n v="17"/>
  </r>
  <r>
    <x v="16"/>
    <x v="11"/>
    <x v="62"/>
    <n v="17"/>
  </r>
  <r>
    <x v="16"/>
    <x v="11"/>
    <x v="63"/>
    <n v="17"/>
  </r>
  <r>
    <x v="16"/>
    <x v="11"/>
    <x v="64"/>
    <n v="17"/>
  </r>
  <r>
    <x v="16"/>
    <x v="11"/>
    <x v="65"/>
    <n v="17"/>
  </r>
  <r>
    <x v="16"/>
    <x v="11"/>
    <x v="66"/>
    <n v="17"/>
  </r>
  <r>
    <x v="16"/>
    <x v="11"/>
    <x v="67"/>
    <n v="17"/>
  </r>
  <r>
    <x v="16"/>
    <x v="11"/>
    <x v="68"/>
    <n v="17"/>
  </r>
  <r>
    <x v="16"/>
    <x v="11"/>
    <x v="69"/>
    <n v="17"/>
  </r>
  <r>
    <x v="16"/>
    <x v="11"/>
    <x v="70"/>
    <n v="17"/>
  </r>
  <r>
    <x v="16"/>
    <x v="11"/>
    <x v="71"/>
    <n v="17"/>
  </r>
  <r>
    <x v="16"/>
    <x v="11"/>
    <x v="72"/>
    <n v="17"/>
  </r>
  <r>
    <x v="17"/>
    <x v="11"/>
    <x v="0"/>
    <n v="1"/>
  </r>
  <r>
    <x v="17"/>
    <x v="11"/>
    <x v="1"/>
    <n v="1"/>
  </r>
  <r>
    <x v="17"/>
    <x v="11"/>
    <x v="2"/>
    <n v="3"/>
  </r>
  <r>
    <x v="17"/>
    <x v="11"/>
    <x v="3"/>
    <n v="38"/>
  </r>
  <r>
    <x v="17"/>
    <x v="11"/>
    <x v="4"/>
    <n v="39"/>
  </r>
  <r>
    <x v="17"/>
    <x v="11"/>
    <x v="5"/>
    <n v="41"/>
  </r>
  <r>
    <x v="17"/>
    <x v="11"/>
    <x v="6"/>
    <n v="49"/>
  </r>
  <r>
    <x v="17"/>
    <x v="11"/>
    <x v="7"/>
    <n v="49"/>
  </r>
  <r>
    <x v="17"/>
    <x v="11"/>
    <x v="8"/>
    <n v="52"/>
  </r>
  <r>
    <x v="17"/>
    <x v="11"/>
    <x v="9"/>
    <n v="56"/>
  </r>
  <r>
    <x v="17"/>
    <x v="11"/>
    <x v="10"/>
    <n v="51"/>
  </r>
  <r>
    <x v="17"/>
    <x v="11"/>
    <x v="11"/>
    <n v="54"/>
  </r>
  <r>
    <x v="17"/>
    <x v="11"/>
    <x v="12"/>
    <n v="33"/>
  </r>
  <r>
    <x v="17"/>
    <x v="11"/>
    <x v="13"/>
    <n v="35"/>
  </r>
  <r>
    <x v="17"/>
    <x v="11"/>
    <x v="14"/>
    <n v="36"/>
  </r>
  <r>
    <x v="17"/>
    <x v="11"/>
    <x v="15"/>
    <n v="41"/>
  </r>
  <r>
    <x v="17"/>
    <x v="11"/>
    <x v="16"/>
    <n v="50"/>
  </r>
  <r>
    <x v="17"/>
    <x v="11"/>
    <x v="17"/>
    <n v="29"/>
  </r>
  <r>
    <x v="17"/>
    <x v="11"/>
    <x v="18"/>
    <n v="31"/>
  </r>
  <r>
    <x v="17"/>
    <x v="11"/>
    <x v="19"/>
    <n v="7"/>
  </r>
  <r>
    <x v="17"/>
    <x v="11"/>
    <x v="20"/>
    <n v="6"/>
  </r>
  <r>
    <x v="17"/>
    <x v="11"/>
    <x v="21"/>
    <n v="13"/>
  </r>
  <r>
    <x v="17"/>
    <x v="11"/>
    <x v="22"/>
    <n v="15"/>
  </r>
  <r>
    <x v="17"/>
    <x v="11"/>
    <x v="23"/>
    <n v="17"/>
  </r>
  <r>
    <x v="17"/>
    <x v="11"/>
    <x v="24"/>
    <n v="19"/>
  </r>
  <r>
    <x v="17"/>
    <x v="11"/>
    <x v="25"/>
    <n v="21"/>
  </r>
  <r>
    <x v="17"/>
    <x v="11"/>
    <x v="26"/>
    <n v="21"/>
  </r>
  <r>
    <x v="17"/>
    <x v="11"/>
    <x v="27"/>
    <n v="19"/>
  </r>
  <r>
    <x v="17"/>
    <x v="11"/>
    <x v="28"/>
    <n v="17"/>
  </r>
  <r>
    <x v="17"/>
    <x v="11"/>
    <x v="29"/>
    <n v="17"/>
  </r>
  <r>
    <x v="17"/>
    <x v="11"/>
    <x v="30"/>
    <n v="17"/>
  </r>
  <r>
    <x v="17"/>
    <x v="11"/>
    <x v="31"/>
    <n v="17"/>
  </r>
  <r>
    <x v="17"/>
    <x v="11"/>
    <x v="32"/>
    <n v="17"/>
  </r>
  <r>
    <x v="17"/>
    <x v="11"/>
    <x v="33"/>
    <n v="17"/>
  </r>
  <r>
    <x v="17"/>
    <x v="11"/>
    <x v="34"/>
    <n v="17"/>
  </r>
  <r>
    <x v="17"/>
    <x v="11"/>
    <x v="35"/>
    <n v="17"/>
  </r>
  <r>
    <x v="17"/>
    <x v="11"/>
    <x v="36"/>
    <n v="17"/>
  </r>
  <r>
    <x v="17"/>
    <x v="11"/>
    <x v="37"/>
    <n v="17"/>
  </r>
  <r>
    <x v="17"/>
    <x v="11"/>
    <x v="38"/>
    <n v="17"/>
  </r>
  <r>
    <x v="17"/>
    <x v="11"/>
    <x v="39"/>
    <n v="17"/>
  </r>
  <r>
    <x v="17"/>
    <x v="11"/>
    <x v="40"/>
    <n v="17"/>
  </r>
  <r>
    <x v="17"/>
    <x v="11"/>
    <x v="41"/>
    <n v="17"/>
  </r>
  <r>
    <x v="17"/>
    <x v="11"/>
    <x v="42"/>
    <n v="17"/>
  </r>
  <r>
    <x v="17"/>
    <x v="11"/>
    <x v="43"/>
    <n v="17"/>
  </r>
  <r>
    <x v="17"/>
    <x v="11"/>
    <x v="44"/>
    <n v="17"/>
  </r>
  <r>
    <x v="17"/>
    <x v="11"/>
    <x v="45"/>
    <n v="17"/>
  </r>
  <r>
    <x v="17"/>
    <x v="11"/>
    <x v="46"/>
    <n v="17"/>
  </r>
  <r>
    <x v="17"/>
    <x v="11"/>
    <x v="47"/>
    <n v="17"/>
  </r>
  <r>
    <x v="17"/>
    <x v="11"/>
    <x v="48"/>
    <n v="17"/>
  </r>
  <r>
    <x v="17"/>
    <x v="11"/>
    <x v="49"/>
    <n v="17"/>
  </r>
  <r>
    <x v="17"/>
    <x v="11"/>
    <x v="50"/>
    <n v="17"/>
  </r>
  <r>
    <x v="17"/>
    <x v="11"/>
    <x v="51"/>
    <n v="17"/>
  </r>
  <r>
    <x v="17"/>
    <x v="11"/>
    <x v="52"/>
    <n v="17"/>
  </r>
  <r>
    <x v="17"/>
    <x v="11"/>
    <x v="53"/>
    <n v="17"/>
  </r>
  <r>
    <x v="17"/>
    <x v="11"/>
    <x v="54"/>
    <n v="17"/>
  </r>
  <r>
    <x v="17"/>
    <x v="11"/>
    <x v="55"/>
    <n v="17"/>
  </r>
  <r>
    <x v="17"/>
    <x v="11"/>
    <x v="56"/>
    <n v="17"/>
  </r>
  <r>
    <x v="17"/>
    <x v="11"/>
    <x v="57"/>
    <n v="17"/>
  </r>
  <r>
    <x v="17"/>
    <x v="11"/>
    <x v="58"/>
    <n v="17"/>
  </r>
  <r>
    <x v="17"/>
    <x v="11"/>
    <x v="59"/>
    <n v="17"/>
  </r>
  <r>
    <x v="17"/>
    <x v="11"/>
    <x v="60"/>
    <n v="17"/>
  </r>
  <r>
    <x v="17"/>
    <x v="11"/>
    <x v="61"/>
    <n v="17"/>
  </r>
  <r>
    <x v="17"/>
    <x v="11"/>
    <x v="62"/>
    <n v="17"/>
  </r>
  <r>
    <x v="17"/>
    <x v="11"/>
    <x v="63"/>
    <n v="17"/>
  </r>
  <r>
    <x v="17"/>
    <x v="11"/>
    <x v="64"/>
    <n v="17"/>
  </r>
  <r>
    <x v="17"/>
    <x v="11"/>
    <x v="65"/>
    <n v="17"/>
  </r>
  <r>
    <x v="17"/>
    <x v="11"/>
    <x v="66"/>
    <n v="17"/>
  </r>
  <r>
    <x v="17"/>
    <x v="11"/>
    <x v="67"/>
    <n v="17"/>
  </r>
  <r>
    <x v="17"/>
    <x v="11"/>
    <x v="68"/>
    <n v="17"/>
  </r>
  <r>
    <x v="17"/>
    <x v="11"/>
    <x v="69"/>
    <n v="17"/>
  </r>
  <r>
    <x v="17"/>
    <x v="11"/>
    <x v="70"/>
    <n v="17"/>
  </r>
  <r>
    <x v="17"/>
    <x v="11"/>
    <x v="71"/>
    <n v="17"/>
  </r>
  <r>
    <x v="17"/>
    <x v="11"/>
    <x v="72"/>
    <n v="17"/>
  </r>
  <r>
    <x v="18"/>
    <x v="11"/>
    <x v="0"/>
    <n v="13"/>
  </r>
  <r>
    <x v="18"/>
    <x v="11"/>
    <x v="1"/>
    <n v="14"/>
  </r>
  <r>
    <x v="18"/>
    <x v="11"/>
    <x v="2"/>
    <n v="24"/>
  </r>
  <r>
    <x v="18"/>
    <x v="11"/>
    <x v="3"/>
    <n v="9"/>
  </r>
  <r>
    <x v="18"/>
    <x v="11"/>
    <x v="4"/>
    <n v="9"/>
  </r>
  <r>
    <x v="18"/>
    <x v="11"/>
    <x v="5"/>
    <n v="9"/>
  </r>
  <r>
    <x v="18"/>
    <x v="11"/>
    <x v="6"/>
    <n v="5"/>
  </r>
  <r>
    <x v="18"/>
    <x v="11"/>
    <x v="7"/>
    <n v="4"/>
  </r>
  <r>
    <x v="18"/>
    <x v="11"/>
    <x v="8"/>
    <n v="6"/>
  </r>
  <r>
    <x v="18"/>
    <x v="11"/>
    <x v="9"/>
    <n v="7"/>
  </r>
  <r>
    <x v="18"/>
    <x v="11"/>
    <x v="10"/>
    <n v="6"/>
  </r>
  <r>
    <x v="18"/>
    <x v="11"/>
    <x v="11"/>
    <n v="9"/>
  </r>
  <r>
    <x v="18"/>
    <x v="11"/>
    <x v="12"/>
    <n v="26"/>
  </r>
  <r>
    <x v="18"/>
    <x v="11"/>
    <x v="13"/>
    <n v="19"/>
  </r>
  <r>
    <x v="18"/>
    <x v="11"/>
    <x v="14"/>
    <n v="20"/>
  </r>
  <r>
    <x v="18"/>
    <x v="11"/>
    <x v="15"/>
    <n v="24"/>
  </r>
  <r>
    <x v="18"/>
    <x v="11"/>
    <x v="16"/>
    <n v="28"/>
  </r>
  <r>
    <x v="18"/>
    <x v="11"/>
    <x v="17"/>
    <n v="34"/>
  </r>
  <r>
    <x v="18"/>
    <x v="11"/>
    <x v="18"/>
    <n v="35"/>
  </r>
  <r>
    <x v="18"/>
    <x v="11"/>
    <x v="19"/>
    <n v="10"/>
  </r>
  <r>
    <x v="18"/>
    <x v="11"/>
    <x v="20"/>
    <n v="13"/>
  </r>
  <r>
    <x v="18"/>
    <x v="11"/>
    <x v="21"/>
    <n v="6"/>
  </r>
  <r>
    <x v="18"/>
    <x v="11"/>
    <x v="22"/>
    <n v="6"/>
  </r>
  <r>
    <x v="18"/>
    <x v="11"/>
    <x v="23"/>
    <n v="11"/>
  </r>
  <r>
    <x v="18"/>
    <x v="11"/>
    <x v="24"/>
    <n v="14"/>
  </r>
  <r>
    <x v="18"/>
    <x v="11"/>
    <x v="25"/>
    <n v="15"/>
  </r>
  <r>
    <x v="18"/>
    <x v="11"/>
    <x v="26"/>
    <n v="15"/>
  </r>
  <r>
    <x v="18"/>
    <x v="11"/>
    <x v="27"/>
    <n v="15"/>
  </r>
  <r>
    <x v="18"/>
    <x v="11"/>
    <x v="28"/>
    <n v="17"/>
  </r>
  <r>
    <x v="18"/>
    <x v="11"/>
    <x v="29"/>
    <n v="17"/>
  </r>
  <r>
    <x v="18"/>
    <x v="11"/>
    <x v="30"/>
    <n v="17"/>
  </r>
  <r>
    <x v="18"/>
    <x v="11"/>
    <x v="31"/>
    <n v="17"/>
  </r>
  <r>
    <x v="18"/>
    <x v="11"/>
    <x v="32"/>
    <n v="17"/>
  </r>
  <r>
    <x v="18"/>
    <x v="11"/>
    <x v="33"/>
    <n v="17"/>
  </r>
  <r>
    <x v="18"/>
    <x v="11"/>
    <x v="34"/>
    <n v="17"/>
  </r>
  <r>
    <x v="18"/>
    <x v="11"/>
    <x v="35"/>
    <n v="17"/>
  </r>
  <r>
    <x v="18"/>
    <x v="11"/>
    <x v="36"/>
    <n v="17"/>
  </r>
  <r>
    <x v="18"/>
    <x v="11"/>
    <x v="37"/>
    <n v="17"/>
  </r>
  <r>
    <x v="18"/>
    <x v="11"/>
    <x v="38"/>
    <n v="17"/>
  </r>
  <r>
    <x v="18"/>
    <x v="11"/>
    <x v="39"/>
    <n v="17"/>
  </r>
  <r>
    <x v="18"/>
    <x v="11"/>
    <x v="40"/>
    <n v="17"/>
  </r>
  <r>
    <x v="18"/>
    <x v="11"/>
    <x v="41"/>
    <n v="17"/>
  </r>
  <r>
    <x v="18"/>
    <x v="11"/>
    <x v="42"/>
    <n v="17"/>
  </r>
  <r>
    <x v="18"/>
    <x v="11"/>
    <x v="43"/>
    <n v="17"/>
  </r>
  <r>
    <x v="18"/>
    <x v="11"/>
    <x v="44"/>
    <n v="17"/>
  </r>
  <r>
    <x v="18"/>
    <x v="11"/>
    <x v="45"/>
    <n v="17"/>
  </r>
  <r>
    <x v="18"/>
    <x v="11"/>
    <x v="46"/>
    <n v="17"/>
  </r>
  <r>
    <x v="18"/>
    <x v="11"/>
    <x v="47"/>
    <n v="17"/>
  </r>
  <r>
    <x v="18"/>
    <x v="11"/>
    <x v="48"/>
    <n v="17"/>
  </r>
  <r>
    <x v="18"/>
    <x v="11"/>
    <x v="49"/>
    <n v="17"/>
  </r>
  <r>
    <x v="18"/>
    <x v="11"/>
    <x v="50"/>
    <n v="17"/>
  </r>
  <r>
    <x v="18"/>
    <x v="11"/>
    <x v="51"/>
    <n v="17"/>
  </r>
  <r>
    <x v="18"/>
    <x v="11"/>
    <x v="52"/>
    <n v="17"/>
  </r>
  <r>
    <x v="18"/>
    <x v="11"/>
    <x v="53"/>
    <n v="17"/>
  </r>
  <r>
    <x v="18"/>
    <x v="11"/>
    <x v="54"/>
    <n v="17"/>
  </r>
  <r>
    <x v="18"/>
    <x v="11"/>
    <x v="55"/>
    <n v="17"/>
  </r>
  <r>
    <x v="18"/>
    <x v="11"/>
    <x v="56"/>
    <n v="17"/>
  </r>
  <r>
    <x v="18"/>
    <x v="11"/>
    <x v="57"/>
    <n v="17"/>
  </r>
  <r>
    <x v="18"/>
    <x v="11"/>
    <x v="58"/>
    <n v="17"/>
  </r>
  <r>
    <x v="18"/>
    <x v="11"/>
    <x v="59"/>
    <n v="17"/>
  </r>
  <r>
    <x v="18"/>
    <x v="11"/>
    <x v="60"/>
    <n v="17"/>
  </r>
  <r>
    <x v="18"/>
    <x v="11"/>
    <x v="61"/>
    <n v="17"/>
  </r>
  <r>
    <x v="18"/>
    <x v="11"/>
    <x v="62"/>
    <n v="17"/>
  </r>
  <r>
    <x v="18"/>
    <x v="11"/>
    <x v="63"/>
    <n v="17"/>
  </r>
  <r>
    <x v="18"/>
    <x v="11"/>
    <x v="64"/>
    <n v="17"/>
  </r>
  <r>
    <x v="18"/>
    <x v="11"/>
    <x v="65"/>
    <n v="17"/>
  </r>
  <r>
    <x v="18"/>
    <x v="11"/>
    <x v="66"/>
    <n v="17"/>
  </r>
  <r>
    <x v="18"/>
    <x v="11"/>
    <x v="67"/>
    <n v="17"/>
  </r>
  <r>
    <x v="18"/>
    <x v="11"/>
    <x v="68"/>
    <n v="17"/>
  </r>
  <r>
    <x v="18"/>
    <x v="11"/>
    <x v="69"/>
    <n v="17"/>
  </r>
  <r>
    <x v="18"/>
    <x v="11"/>
    <x v="70"/>
    <n v="17"/>
  </r>
  <r>
    <x v="18"/>
    <x v="11"/>
    <x v="71"/>
    <n v="17"/>
  </r>
  <r>
    <x v="18"/>
    <x v="11"/>
    <x v="72"/>
    <n v="17"/>
  </r>
  <r>
    <x v="19"/>
    <x v="12"/>
    <x v="0"/>
    <n v="1"/>
  </r>
  <r>
    <x v="19"/>
    <x v="12"/>
    <x v="1"/>
    <n v="1"/>
  </r>
  <r>
    <x v="19"/>
    <x v="12"/>
    <x v="2"/>
    <n v="3"/>
  </r>
  <r>
    <x v="19"/>
    <x v="12"/>
    <x v="3"/>
    <n v="38"/>
  </r>
  <r>
    <x v="19"/>
    <x v="12"/>
    <x v="4"/>
    <n v="39"/>
  </r>
  <r>
    <x v="19"/>
    <x v="12"/>
    <x v="5"/>
    <n v="41"/>
  </r>
  <r>
    <x v="19"/>
    <x v="12"/>
    <x v="6"/>
    <n v="49"/>
  </r>
  <r>
    <x v="19"/>
    <x v="12"/>
    <x v="7"/>
    <n v="39"/>
  </r>
  <r>
    <x v="19"/>
    <x v="12"/>
    <x v="8"/>
    <n v="41"/>
  </r>
  <r>
    <x v="19"/>
    <x v="12"/>
    <x v="9"/>
    <n v="42"/>
  </r>
  <r>
    <x v="19"/>
    <x v="12"/>
    <x v="10"/>
    <n v="40"/>
  </r>
  <r>
    <x v="19"/>
    <x v="12"/>
    <x v="11"/>
    <n v="41"/>
  </r>
  <r>
    <x v="19"/>
    <x v="12"/>
    <x v="12"/>
    <n v="37"/>
  </r>
  <r>
    <x v="19"/>
    <x v="12"/>
    <x v="13"/>
    <n v="39"/>
  </r>
  <r>
    <x v="19"/>
    <x v="12"/>
    <x v="14"/>
    <n v="39"/>
  </r>
  <r>
    <x v="19"/>
    <x v="12"/>
    <x v="15"/>
    <n v="30"/>
  </r>
  <r>
    <x v="19"/>
    <x v="12"/>
    <x v="16"/>
    <n v="38"/>
  </r>
  <r>
    <x v="19"/>
    <x v="12"/>
    <x v="17"/>
    <n v="43"/>
  </r>
  <r>
    <x v="19"/>
    <x v="12"/>
    <x v="18"/>
    <n v="54"/>
  </r>
  <r>
    <x v="19"/>
    <x v="12"/>
    <x v="19"/>
    <n v="54"/>
  </r>
  <r>
    <x v="19"/>
    <x v="12"/>
    <x v="20"/>
    <n v="53"/>
  </r>
  <r>
    <x v="19"/>
    <x v="12"/>
    <x v="21"/>
    <n v="25"/>
  </r>
  <r>
    <x v="19"/>
    <x v="12"/>
    <x v="22"/>
    <n v="20"/>
  </r>
  <r>
    <x v="19"/>
    <x v="12"/>
    <x v="23"/>
    <n v="23"/>
  </r>
  <r>
    <x v="19"/>
    <x v="12"/>
    <x v="24"/>
    <n v="22"/>
  </r>
  <r>
    <x v="19"/>
    <x v="12"/>
    <x v="25"/>
    <n v="27"/>
  </r>
  <r>
    <x v="19"/>
    <x v="12"/>
    <x v="26"/>
    <n v="27"/>
  </r>
  <r>
    <x v="19"/>
    <x v="12"/>
    <x v="27"/>
    <n v="35"/>
  </r>
  <r>
    <x v="19"/>
    <x v="12"/>
    <x v="28"/>
    <n v="20"/>
  </r>
  <r>
    <x v="19"/>
    <x v="12"/>
    <x v="29"/>
    <n v="20"/>
  </r>
  <r>
    <x v="19"/>
    <x v="12"/>
    <x v="30"/>
    <n v="20"/>
  </r>
  <r>
    <x v="19"/>
    <x v="12"/>
    <x v="31"/>
    <n v="20"/>
  </r>
  <r>
    <x v="19"/>
    <x v="12"/>
    <x v="32"/>
    <n v="20"/>
  </r>
  <r>
    <x v="19"/>
    <x v="12"/>
    <x v="33"/>
    <n v="20"/>
  </r>
  <r>
    <x v="19"/>
    <x v="12"/>
    <x v="34"/>
    <n v="20"/>
  </r>
  <r>
    <x v="19"/>
    <x v="12"/>
    <x v="35"/>
    <n v="20"/>
  </r>
  <r>
    <x v="19"/>
    <x v="12"/>
    <x v="36"/>
    <n v="20"/>
  </r>
  <r>
    <x v="19"/>
    <x v="12"/>
    <x v="37"/>
    <n v="20"/>
  </r>
  <r>
    <x v="19"/>
    <x v="12"/>
    <x v="38"/>
    <n v="20"/>
  </r>
  <r>
    <x v="19"/>
    <x v="12"/>
    <x v="39"/>
    <n v="20"/>
  </r>
  <r>
    <x v="19"/>
    <x v="12"/>
    <x v="40"/>
    <n v="20"/>
  </r>
  <r>
    <x v="19"/>
    <x v="12"/>
    <x v="41"/>
    <n v="20"/>
  </r>
  <r>
    <x v="19"/>
    <x v="12"/>
    <x v="42"/>
    <n v="20"/>
  </r>
  <r>
    <x v="19"/>
    <x v="12"/>
    <x v="43"/>
    <n v="20"/>
  </r>
  <r>
    <x v="19"/>
    <x v="12"/>
    <x v="44"/>
    <n v="20"/>
  </r>
  <r>
    <x v="19"/>
    <x v="12"/>
    <x v="45"/>
    <n v="20"/>
  </r>
  <r>
    <x v="19"/>
    <x v="12"/>
    <x v="46"/>
    <n v="20"/>
  </r>
  <r>
    <x v="19"/>
    <x v="12"/>
    <x v="47"/>
    <n v="20"/>
  </r>
  <r>
    <x v="19"/>
    <x v="12"/>
    <x v="48"/>
    <n v="20"/>
  </r>
  <r>
    <x v="19"/>
    <x v="12"/>
    <x v="49"/>
    <n v="20"/>
  </r>
  <r>
    <x v="19"/>
    <x v="12"/>
    <x v="50"/>
    <n v="20"/>
  </r>
  <r>
    <x v="19"/>
    <x v="12"/>
    <x v="51"/>
    <n v="20"/>
  </r>
  <r>
    <x v="19"/>
    <x v="12"/>
    <x v="52"/>
    <n v="20"/>
  </r>
  <r>
    <x v="19"/>
    <x v="12"/>
    <x v="53"/>
    <n v="20"/>
  </r>
  <r>
    <x v="19"/>
    <x v="12"/>
    <x v="54"/>
    <n v="20"/>
  </r>
  <r>
    <x v="19"/>
    <x v="12"/>
    <x v="55"/>
    <n v="20"/>
  </r>
  <r>
    <x v="19"/>
    <x v="12"/>
    <x v="56"/>
    <n v="20"/>
  </r>
  <r>
    <x v="19"/>
    <x v="12"/>
    <x v="57"/>
    <n v="20"/>
  </r>
  <r>
    <x v="19"/>
    <x v="12"/>
    <x v="58"/>
    <n v="20"/>
  </r>
  <r>
    <x v="19"/>
    <x v="12"/>
    <x v="59"/>
    <n v="20"/>
  </r>
  <r>
    <x v="19"/>
    <x v="12"/>
    <x v="60"/>
    <n v="20"/>
  </r>
  <r>
    <x v="19"/>
    <x v="12"/>
    <x v="61"/>
    <n v="20"/>
  </r>
  <r>
    <x v="19"/>
    <x v="12"/>
    <x v="62"/>
    <n v="20"/>
  </r>
  <r>
    <x v="19"/>
    <x v="12"/>
    <x v="63"/>
    <n v="20"/>
  </r>
  <r>
    <x v="19"/>
    <x v="12"/>
    <x v="64"/>
    <n v="20"/>
  </r>
  <r>
    <x v="19"/>
    <x v="12"/>
    <x v="65"/>
    <n v="20"/>
  </r>
  <r>
    <x v="19"/>
    <x v="12"/>
    <x v="66"/>
    <n v="20"/>
  </r>
  <r>
    <x v="19"/>
    <x v="12"/>
    <x v="67"/>
    <n v="20"/>
  </r>
  <r>
    <x v="19"/>
    <x v="12"/>
    <x v="68"/>
    <n v="20"/>
  </r>
  <r>
    <x v="19"/>
    <x v="12"/>
    <x v="69"/>
    <n v="20"/>
  </r>
  <r>
    <x v="19"/>
    <x v="12"/>
    <x v="70"/>
    <n v="20"/>
  </r>
  <r>
    <x v="19"/>
    <x v="12"/>
    <x v="71"/>
    <n v="20"/>
  </r>
  <r>
    <x v="19"/>
    <x v="12"/>
    <x v="72"/>
    <n v="20"/>
  </r>
  <r>
    <x v="20"/>
    <x v="12"/>
    <x v="0"/>
    <n v="13"/>
  </r>
  <r>
    <x v="20"/>
    <x v="12"/>
    <x v="1"/>
    <n v="14"/>
  </r>
  <r>
    <x v="20"/>
    <x v="12"/>
    <x v="2"/>
    <n v="24"/>
  </r>
  <r>
    <x v="20"/>
    <x v="12"/>
    <x v="3"/>
    <n v="9"/>
  </r>
  <r>
    <x v="20"/>
    <x v="12"/>
    <x v="4"/>
    <n v="9"/>
  </r>
  <r>
    <x v="20"/>
    <x v="12"/>
    <x v="5"/>
    <n v="9"/>
  </r>
  <r>
    <x v="20"/>
    <x v="12"/>
    <x v="6"/>
    <n v="24"/>
  </r>
  <r>
    <x v="20"/>
    <x v="12"/>
    <x v="7"/>
    <n v="25"/>
  </r>
  <r>
    <x v="20"/>
    <x v="12"/>
    <x v="8"/>
    <n v="27"/>
  </r>
  <r>
    <x v="20"/>
    <x v="12"/>
    <x v="9"/>
    <n v="31"/>
  </r>
  <r>
    <x v="20"/>
    <x v="12"/>
    <x v="10"/>
    <n v="30"/>
  </r>
  <r>
    <x v="20"/>
    <x v="12"/>
    <x v="11"/>
    <n v="29"/>
  </r>
  <r>
    <x v="20"/>
    <x v="12"/>
    <x v="12"/>
    <n v="19"/>
  </r>
  <r>
    <x v="20"/>
    <x v="12"/>
    <x v="13"/>
    <n v="23"/>
  </r>
  <r>
    <x v="20"/>
    <x v="12"/>
    <x v="14"/>
    <n v="25"/>
  </r>
  <r>
    <x v="20"/>
    <x v="12"/>
    <x v="15"/>
    <n v="30"/>
  </r>
  <r>
    <x v="20"/>
    <x v="12"/>
    <x v="16"/>
    <n v="13"/>
  </r>
  <r>
    <x v="20"/>
    <x v="12"/>
    <x v="17"/>
    <n v="18"/>
  </r>
  <r>
    <x v="20"/>
    <x v="12"/>
    <x v="18"/>
    <n v="20"/>
  </r>
  <r>
    <x v="20"/>
    <x v="12"/>
    <x v="19"/>
    <n v="22"/>
  </r>
  <r>
    <x v="20"/>
    <x v="12"/>
    <x v="20"/>
    <n v="20"/>
  </r>
  <r>
    <x v="20"/>
    <x v="12"/>
    <x v="21"/>
    <n v="9"/>
  </r>
  <r>
    <x v="20"/>
    <x v="12"/>
    <x v="22"/>
    <n v="6"/>
  </r>
  <r>
    <x v="20"/>
    <x v="12"/>
    <x v="23"/>
    <n v="11"/>
  </r>
  <r>
    <x v="20"/>
    <x v="12"/>
    <x v="24"/>
    <n v="25"/>
  </r>
  <r>
    <x v="20"/>
    <x v="12"/>
    <x v="25"/>
    <n v="22"/>
  </r>
  <r>
    <x v="20"/>
    <x v="12"/>
    <x v="26"/>
    <n v="22"/>
  </r>
  <r>
    <x v="20"/>
    <x v="12"/>
    <x v="27"/>
    <n v="20"/>
  </r>
  <r>
    <x v="20"/>
    <x v="12"/>
    <x v="28"/>
    <n v="20"/>
  </r>
  <r>
    <x v="20"/>
    <x v="12"/>
    <x v="29"/>
    <n v="20"/>
  </r>
  <r>
    <x v="20"/>
    <x v="12"/>
    <x v="30"/>
    <n v="20"/>
  </r>
  <r>
    <x v="20"/>
    <x v="12"/>
    <x v="31"/>
    <n v="20"/>
  </r>
  <r>
    <x v="20"/>
    <x v="12"/>
    <x v="32"/>
    <n v="20"/>
  </r>
  <r>
    <x v="20"/>
    <x v="12"/>
    <x v="33"/>
    <n v="20"/>
  </r>
  <r>
    <x v="20"/>
    <x v="12"/>
    <x v="34"/>
    <n v="20"/>
  </r>
  <r>
    <x v="20"/>
    <x v="12"/>
    <x v="35"/>
    <n v="20"/>
  </r>
  <r>
    <x v="20"/>
    <x v="12"/>
    <x v="36"/>
    <n v="20"/>
  </r>
  <r>
    <x v="20"/>
    <x v="12"/>
    <x v="37"/>
    <n v="20"/>
  </r>
  <r>
    <x v="20"/>
    <x v="12"/>
    <x v="38"/>
    <n v="20"/>
  </r>
  <r>
    <x v="20"/>
    <x v="12"/>
    <x v="39"/>
    <n v="20"/>
  </r>
  <r>
    <x v="20"/>
    <x v="12"/>
    <x v="40"/>
    <n v="20"/>
  </r>
  <r>
    <x v="20"/>
    <x v="12"/>
    <x v="41"/>
    <n v="20"/>
  </r>
  <r>
    <x v="20"/>
    <x v="12"/>
    <x v="42"/>
    <n v="20"/>
  </r>
  <r>
    <x v="20"/>
    <x v="12"/>
    <x v="43"/>
    <n v="20"/>
  </r>
  <r>
    <x v="20"/>
    <x v="12"/>
    <x v="44"/>
    <n v="20"/>
  </r>
  <r>
    <x v="20"/>
    <x v="12"/>
    <x v="45"/>
    <n v="20"/>
  </r>
  <r>
    <x v="20"/>
    <x v="12"/>
    <x v="46"/>
    <n v="20"/>
  </r>
  <r>
    <x v="20"/>
    <x v="12"/>
    <x v="47"/>
    <n v="20"/>
  </r>
  <r>
    <x v="20"/>
    <x v="12"/>
    <x v="48"/>
    <n v="20"/>
  </r>
  <r>
    <x v="20"/>
    <x v="12"/>
    <x v="49"/>
    <n v="20"/>
  </r>
  <r>
    <x v="20"/>
    <x v="12"/>
    <x v="50"/>
    <n v="20"/>
  </r>
  <r>
    <x v="20"/>
    <x v="12"/>
    <x v="51"/>
    <n v="20"/>
  </r>
  <r>
    <x v="20"/>
    <x v="12"/>
    <x v="52"/>
    <n v="20"/>
  </r>
  <r>
    <x v="20"/>
    <x v="12"/>
    <x v="53"/>
    <n v="20"/>
  </r>
  <r>
    <x v="20"/>
    <x v="12"/>
    <x v="54"/>
    <n v="20"/>
  </r>
  <r>
    <x v="20"/>
    <x v="12"/>
    <x v="55"/>
    <n v="20"/>
  </r>
  <r>
    <x v="20"/>
    <x v="12"/>
    <x v="56"/>
    <n v="20"/>
  </r>
  <r>
    <x v="20"/>
    <x v="12"/>
    <x v="57"/>
    <n v="20"/>
  </r>
  <r>
    <x v="20"/>
    <x v="12"/>
    <x v="58"/>
    <n v="20"/>
  </r>
  <r>
    <x v="20"/>
    <x v="12"/>
    <x v="59"/>
    <n v="20"/>
  </r>
  <r>
    <x v="20"/>
    <x v="12"/>
    <x v="60"/>
    <n v="20"/>
  </r>
  <r>
    <x v="20"/>
    <x v="12"/>
    <x v="61"/>
    <n v="20"/>
  </r>
  <r>
    <x v="20"/>
    <x v="12"/>
    <x v="62"/>
    <n v="20"/>
  </r>
  <r>
    <x v="20"/>
    <x v="12"/>
    <x v="63"/>
    <n v="20"/>
  </r>
  <r>
    <x v="20"/>
    <x v="12"/>
    <x v="64"/>
    <n v="20"/>
  </r>
  <r>
    <x v="20"/>
    <x v="12"/>
    <x v="65"/>
    <n v="20"/>
  </r>
  <r>
    <x v="20"/>
    <x v="12"/>
    <x v="66"/>
    <n v="20"/>
  </r>
  <r>
    <x v="20"/>
    <x v="12"/>
    <x v="67"/>
    <n v="20"/>
  </r>
  <r>
    <x v="20"/>
    <x v="12"/>
    <x v="68"/>
    <n v="20"/>
  </r>
  <r>
    <x v="20"/>
    <x v="12"/>
    <x v="69"/>
    <n v="20"/>
  </r>
  <r>
    <x v="20"/>
    <x v="12"/>
    <x v="70"/>
    <n v="20"/>
  </r>
  <r>
    <x v="20"/>
    <x v="12"/>
    <x v="71"/>
    <n v="20"/>
  </r>
  <r>
    <x v="20"/>
    <x v="12"/>
    <x v="72"/>
    <n v="20"/>
  </r>
  <r>
    <x v="21"/>
    <x v="13"/>
    <x v="0"/>
    <n v="1"/>
  </r>
  <r>
    <x v="21"/>
    <x v="13"/>
    <x v="1"/>
    <n v="1"/>
  </r>
  <r>
    <x v="21"/>
    <x v="13"/>
    <x v="2"/>
    <n v="3"/>
  </r>
  <r>
    <x v="21"/>
    <x v="13"/>
    <x v="3"/>
    <n v="27"/>
  </r>
  <r>
    <x v="21"/>
    <x v="13"/>
    <x v="4"/>
    <n v="27"/>
  </r>
  <r>
    <x v="21"/>
    <x v="13"/>
    <x v="5"/>
    <n v="39"/>
  </r>
  <r>
    <x v="21"/>
    <x v="13"/>
    <x v="6"/>
    <n v="49"/>
  </r>
  <r>
    <x v="21"/>
    <x v="13"/>
    <x v="7"/>
    <n v="49"/>
  </r>
  <r>
    <x v="21"/>
    <x v="13"/>
    <x v="8"/>
    <n v="64"/>
  </r>
  <r>
    <x v="21"/>
    <x v="13"/>
    <x v="9"/>
    <n v="65"/>
  </r>
  <r>
    <x v="21"/>
    <x v="13"/>
    <x v="10"/>
    <n v="61"/>
  </r>
  <r>
    <x v="21"/>
    <x v="13"/>
    <x v="11"/>
    <n v="54"/>
  </r>
  <r>
    <x v="21"/>
    <x v="13"/>
    <x v="12"/>
    <n v="59"/>
  </r>
  <r>
    <x v="21"/>
    <x v="13"/>
    <x v="13"/>
    <n v="59"/>
  </r>
  <r>
    <x v="21"/>
    <x v="13"/>
    <x v="14"/>
    <n v="55"/>
  </r>
  <r>
    <x v="21"/>
    <x v="13"/>
    <x v="15"/>
    <n v="41"/>
  </r>
  <r>
    <x v="21"/>
    <x v="13"/>
    <x v="16"/>
    <n v="50"/>
  </r>
  <r>
    <x v="21"/>
    <x v="13"/>
    <x v="17"/>
    <n v="54"/>
  </r>
  <r>
    <x v="21"/>
    <x v="13"/>
    <x v="18"/>
    <n v="51"/>
  </r>
  <r>
    <x v="21"/>
    <x v="13"/>
    <x v="19"/>
    <n v="50"/>
  </r>
  <r>
    <x v="21"/>
    <x v="13"/>
    <x v="20"/>
    <n v="53"/>
  </r>
  <r>
    <x v="21"/>
    <x v="13"/>
    <x v="21"/>
    <n v="59"/>
  </r>
  <r>
    <x v="21"/>
    <x v="13"/>
    <x v="22"/>
    <n v="60"/>
  </r>
  <r>
    <x v="21"/>
    <x v="13"/>
    <x v="23"/>
    <n v="40"/>
  </r>
  <r>
    <x v="21"/>
    <x v="13"/>
    <x v="24"/>
    <n v="42"/>
  </r>
  <r>
    <x v="21"/>
    <x v="13"/>
    <x v="25"/>
    <n v="41"/>
  </r>
  <r>
    <x v="21"/>
    <x v="13"/>
    <x v="26"/>
    <n v="41"/>
  </r>
  <r>
    <x v="21"/>
    <x v="13"/>
    <x v="27"/>
    <n v="36"/>
  </r>
  <r>
    <x v="21"/>
    <x v="13"/>
    <x v="28"/>
    <n v="22"/>
  </r>
  <r>
    <x v="21"/>
    <x v="13"/>
    <x v="29"/>
    <n v="22"/>
  </r>
  <r>
    <x v="21"/>
    <x v="13"/>
    <x v="30"/>
    <n v="22"/>
  </r>
  <r>
    <x v="21"/>
    <x v="13"/>
    <x v="31"/>
    <n v="22"/>
  </r>
  <r>
    <x v="21"/>
    <x v="13"/>
    <x v="32"/>
    <n v="22"/>
  </r>
  <r>
    <x v="21"/>
    <x v="13"/>
    <x v="33"/>
    <n v="22"/>
  </r>
  <r>
    <x v="21"/>
    <x v="13"/>
    <x v="34"/>
    <n v="22"/>
  </r>
  <r>
    <x v="21"/>
    <x v="13"/>
    <x v="35"/>
    <n v="22"/>
  </r>
  <r>
    <x v="21"/>
    <x v="13"/>
    <x v="36"/>
    <n v="22"/>
  </r>
  <r>
    <x v="21"/>
    <x v="13"/>
    <x v="37"/>
    <n v="22"/>
  </r>
  <r>
    <x v="21"/>
    <x v="13"/>
    <x v="38"/>
    <n v="22"/>
  </r>
  <r>
    <x v="21"/>
    <x v="13"/>
    <x v="39"/>
    <n v="22"/>
  </r>
  <r>
    <x v="21"/>
    <x v="13"/>
    <x v="40"/>
    <n v="22"/>
  </r>
  <r>
    <x v="21"/>
    <x v="13"/>
    <x v="41"/>
    <n v="22"/>
  </r>
  <r>
    <x v="21"/>
    <x v="13"/>
    <x v="42"/>
    <n v="22"/>
  </r>
  <r>
    <x v="21"/>
    <x v="13"/>
    <x v="43"/>
    <n v="22"/>
  </r>
  <r>
    <x v="21"/>
    <x v="13"/>
    <x v="44"/>
    <n v="22"/>
  </r>
  <r>
    <x v="21"/>
    <x v="13"/>
    <x v="45"/>
    <n v="22"/>
  </r>
  <r>
    <x v="21"/>
    <x v="13"/>
    <x v="46"/>
    <n v="22"/>
  </r>
  <r>
    <x v="21"/>
    <x v="13"/>
    <x v="47"/>
    <n v="22"/>
  </r>
  <r>
    <x v="21"/>
    <x v="13"/>
    <x v="48"/>
    <n v="22"/>
  </r>
  <r>
    <x v="21"/>
    <x v="13"/>
    <x v="49"/>
    <n v="22"/>
  </r>
  <r>
    <x v="21"/>
    <x v="13"/>
    <x v="50"/>
    <n v="22"/>
  </r>
  <r>
    <x v="21"/>
    <x v="13"/>
    <x v="51"/>
    <n v="22"/>
  </r>
  <r>
    <x v="21"/>
    <x v="13"/>
    <x v="52"/>
    <n v="22"/>
  </r>
  <r>
    <x v="21"/>
    <x v="13"/>
    <x v="53"/>
    <n v="22"/>
  </r>
  <r>
    <x v="21"/>
    <x v="13"/>
    <x v="54"/>
    <n v="22"/>
  </r>
  <r>
    <x v="21"/>
    <x v="13"/>
    <x v="55"/>
    <n v="22"/>
  </r>
  <r>
    <x v="21"/>
    <x v="13"/>
    <x v="56"/>
    <n v="22"/>
  </r>
  <r>
    <x v="21"/>
    <x v="13"/>
    <x v="57"/>
    <n v="22"/>
  </r>
  <r>
    <x v="21"/>
    <x v="13"/>
    <x v="58"/>
    <n v="22"/>
  </r>
  <r>
    <x v="21"/>
    <x v="13"/>
    <x v="59"/>
    <n v="22"/>
  </r>
  <r>
    <x v="21"/>
    <x v="13"/>
    <x v="60"/>
    <n v="22"/>
  </r>
  <r>
    <x v="21"/>
    <x v="13"/>
    <x v="61"/>
    <n v="22"/>
  </r>
  <r>
    <x v="21"/>
    <x v="13"/>
    <x v="62"/>
    <n v="22"/>
  </r>
  <r>
    <x v="21"/>
    <x v="13"/>
    <x v="63"/>
    <n v="22"/>
  </r>
  <r>
    <x v="21"/>
    <x v="13"/>
    <x v="64"/>
    <n v="22"/>
  </r>
  <r>
    <x v="21"/>
    <x v="13"/>
    <x v="65"/>
    <n v="22"/>
  </r>
  <r>
    <x v="21"/>
    <x v="13"/>
    <x v="66"/>
    <n v="22"/>
  </r>
  <r>
    <x v="21"/>
    <x v="13"/>
    <x v="67"/>
    <n v="22"/>
  </r>
  <r>
    <x v="21"/>
    <x v="13"/>
    <x v="68"/>
    <n v="22"/>
  </r>
  <r>
    <x v="21"/>
    <x v="13"/>
    <x v="69"/>
    <n v="22"/>
  </r>
  <r>
    <x v="21"/>
    <x v="13"/>
    <x v="70"/>
    <n v="22"/>
  </r>
  <r>
    <x v="21"/>
    <x v="13"/>
    <x v="71"/>
    <n v="22"/>
  </r>
  <r>
    <x v="21"/>
    <x v="13"/>
    <x v="72"/>
    <n v="22"/>
  </r>
  <r>
    <x v="22"/>
    <x v="13"/>
    <x v="0"/>
    <n v="13"/>
  </r>
  <r>
    <x v="22"/>
    <x v="13"/>
    <x v="1"/>
    <n v="14"/>
  </r>
  <r>
    <x v="22"/>
    <x v="13"/>
    <x v="2"/>
    <n v="3"/>
  </r>
  <r>
    <x v="22"/>
    <x v="13"/>
    <x v="3"/>
    <n v="38"/>
  </r>
  <r>
    <x v="22"/>
    <x v="13"/>
    <x v="4"/>
    <n v="39"/>
  </r>
  <r>
    <x v="22"/>
    <x v="13"/>
    <x v="5"/>
    <n v="23"/>
  </r>
  <r>
    <x v="22"/>
    <x v="13"/>
    <x v="6"/>
    <n v="27"/>
  </r>
  <r>
    <x v="22"/>
    <x v="13"/>
    <x v="7"/>
    <n v="27"/>
  </r>
  <r>
    <x v="22"/>
    <x v="13"/>
    <x v="8"/>
    <n v="27"/>
  </r>
  <r>
    <x v="22"/>
    <x v="13"/>
    <x v="9"/>
    <n v="25"/>
  </r>
  <r>
    <x v="22"/>
    <x v="13"/>
    <x v="10"/>
    <n v="23"/>
  </r>
  <r>
    <x v="22"/>
    <x v="13"/>
    <x v="11"/>
    <n v="22"/>
  </r>
  <r>
    <x v="22"/>
    <x v="13"/>
    <x v="12"/>
    <n v="16"/>
  </r>
  <r>
    <x v="22"/>
    <x v="13"/>
    <x v="13"/>
    <n v="15"/>
  </r>
  <r>
    <x v="22"/>
    <x v="13"/>
    <x v="14"/>
    <n v="16"/>
  </r>
  <r>
    <x v="22"/>
    <x v="13"/>
    <x v="15"/>
    <n v="19"/>
  </r>
  <r>
    <x v="22"/>
    <x v="13"/>
    <x v="16"/>
    <n v="23"/>
  </r>
  <r>
    <x v="22"/>
    <x v="13"/>
    <x v="17"/>
    <n v="29"/>
  </r>
  <r>
    <x v="22"/>
    <x v="13"/>
    <x v="18"/>
    <n v="31"/>
  </r>
  <r>
    <x v="22"/>
    <x v="13"/>
    <x v="19"/>
    <n v="31"/>
  </r>
  <r>
    <x v="22"/>
    <x v="13"/>
    <x v="20"/>
    <n v="32"/>
  </r>
  <r>
    <x v="22"/>
    <x v="13"/>
    <x v="21"/>
    <n v="16"/>
  </r>
  <r>
    <x v="22"/>
    <x v="13"/>
    <x v="22"/>
    <n v="17"/>
  </r>
  <r>
    <x v="22"/>
    <x v="13"/>
    <x v="23"/>
    <n v="17"/>
  </r>
  <r>
    <x v="22"/>
    <x v="13"/>
    <x v="24"/>
    <n v="11"/>
  </r>
  <r>
    <x v="22"/>
    <x v="13"/>
    <x v="25"/>
    <n v="16"/>
  </r>
  <r>
    <x v="22"/>
    <x v="13"/>
    <x v="26"/>
    <n v="16"/>
  </r>
  <r>
    <x v="22"/>
    <x v="13"/>
    <x v="27"/>
    <n v="22"/>
  </r>
  <r>
    <x v="22"/>
    <x v="13"/>
    <x v="28"/>
    <n v="22"/>
  </r>
  <r>
    <x v="22"/>
    <x v="13"/>
    <x v="29"/>
    <n v="22"/>
  </r>
  <r>
    <x v="22"/>
    <x v="13"/>
    <x v="30"/>
    <n v="22"/>
  </r>
  <r>
    <x v="22"/>
    <x v="13"/>
    <x v="31"/>
    <n v="22"/>
  </r>
  <r>
    <x v="22"/>
    <x v="13"/>
    <x v="32"/>
    <n v="22"/>
  </r>
  <r>
    <x v="22"/>
    <x v="13"/>
    <x v="33"/>
    <n v="22"/>
  </r>
  <r>
    <x v="22"/>
    <x v="13"/>
    <x v="34"/>
    <n v="22"/>
  </r>
  <r>
    <x v="22"/>
    <x v="13"/>
    <x v="35"/>
    <n v="22"/>
  </r>
  <r>
    <x v="22"/>
    <x v="13"/>
    <x v="36"/>
    <n v="22"/>
  </r>
  <r>
    <x v="22"/>
    <x v="13"/>
    <x v="37"/>
    <n v="22"/>
  </r>
  <r>
    <x v="22"/>
    <x v="13"/>
    <x v="38"/>
    <n v="22"/>
  </r>
  <r>
    <x v="22"/>
    <x v="13"/>
    <x v="39"/>
    <n v="22"/>
  </r>
  <r>
    <x v="22"/>
    <x v="13"/>
    <x v="40"/>
    <n v="22"/>
  </r>
  <r>
    <x v="22"/>
    <x v="13"/>
    <x v="41"/>
    <n v="22"/>
  </r>
  <r>
    <x v="22"/>
    <x v="13"/>
    <x v="42"/>
    <n v="22"/>
  </r>
  <r>
    <x v="22"/>
    <x v="13"/>
    <x v="43"/>
    <n v="22"/>
  </r>
  <r>
    <x v="22"/>
    <x v="13"/>
    <x v="44"/>
    <n v="22"/>
  </r>
  <r>
    <x v="22"/>
    <x v="13"/>
    <x v="45"/>
    <n v="22"/>
  </r>
  <r>
    <x v="22"/>
    <x v="13"/>
    <x v="46"/>
    <n v="22"/>
  </r>
  <r>
    <x v="22"/>
    <x v="13"/>
    <x v="47"/>
    <n v="22"/>
  </r>
  <r>
    <x v="22"/>
    <x v="13"/>
    <x v="48"/>
    <n v="22"/>
  </r>
  <r>
    <x v="22"/>
    <x v="13"/>
    <x v="49"/>
    <n v="22"/>
  </r>
  <r>
    <x v="22"/>
    <x v="13"/>
    <x v="50"/>
    <n v="22"/>
  </r>
  <r>
    <x v="22"/>
    <x v="13"/>
    <x v="51"/>
    <n v="22"/>
  </r>
  <r>
    <x v="22"/>
    <x v="13"/>
    <x v="52"/>
    <n v="22"/>
  </r>
  <r>
    <x v="22"/>
    <x v="13"/>
    <x v="53"/>
    <n v="22"/>
  </r>
  <r>
    <x v="22"/>
    <x v="13"/>
    <x v="54"/>
    <n v="22"/>
  </r>
  <r>
    <x v="22"/>
    <x v="13"/>
    <x v="55"/>
    <n v="22"/>
  </r>
  <r>
    <x v="22"/>
    <x v="13"/>
    <x v="56"/>
    <n v="22"/>
  </r>
  <r>
    <x v="22"/>
    <x v="13"/>
    <x v="57"/>
    <n v="22"/>
  </r>
  <r>
    <x v="22"/>
    <x v="13"/>
    <x v="58"/>
    <n v="22"/>
  </r>
  <r>
    <x v="22"/>
    <x v="13"/>
    <x v="59"/>
    <n v="22"/>
  </r>
  <r>
    <x v="22"/>
    <x v="13"/>
    <x v="60"/>
    <n v="22"/>
  </r>
  <r>
    <x v="22"/>
    <x v="13"/>
    <x v="61"/>
    <n v="22"/>
  </r>
  <r>
    <x v="22"/>
    <x v="13"/>
    <x v="62"/>
    <n v="22"/>
  </r>
  <r>
    <x v="22"/>
    <x v="13"/>
    <x v="63"/>
    <n v="22"/>
  </r>
  <r>
    <x v="22"/>
    <x v="13"/>
    <x v="64"/>
    <n v="22"/>
  </r>
  <r>
    <x v="22"/>
    <x v="13"/>
    <x v="65"/>
    <n v="22"/>
  </r>
  <r>
    <x v="22"/>
    <x v="13"/>
    <x v="66"/>
    <n v="22"/>
  </r>
  <r>
    <x v="22"/>
    <x v="13"/>
    <x v="67"/>
    <n v="22"/>
  </r>
  <r>
    <x v="22"/>
    <x v="13"/>
    <x v="68"/>
    <n v="22"/>
  </r>
  <r>
    <x v="22"/>
    <x v="13"/>
    <x v="69"/>
    <n v="22"/>
  </r>
  <r>
    <x v="22"/>
    <x v="13"/>
    <x v="70"/>
    <n v="22"/>
  </r>
  <r>
    <x v="22"/>
    <x v="13"/>
    <x v="71"/>
    <n v="22"/>
  </r>
  <r>
    <x v="22"/>
    <x v="13"/>
    <x v="72"/>
    <n v="22"/>
  </r>
  <r>
    <x v="23"/>
    <x v="13"/>
    <x v="0"/>
    <n v="13"/>
  </r>
  <r>
    <x v="23"/>
    <x v="13"/>
    <x v="1"/>
    <n v="14"/>
  </r>
  <r>
    <x v="23"/>
    <x v="13"/>
    <x v="2"/>
    <n v="3"/>
  </r>
  <r>
    <x v="23"/>
    <x v="13"/>
    <x v="3"/>
    <n v="38"/>
  </r>
  <r>
    <x v="23"/>
    <x v="13"/>
    <x v="4"/>
    <n v="39"/>
  </r>
  <r>
    <x v="23"/>
    <x v="13"/>
    <x v="5"/>
    <n v="41"/>
  </r>
  <r>
    <x v="23"/>
    <x v="13"/>
    <x v="6"/>
    <n v="61"/>
  </r>
  <r>
    <x v="23"/>
    <x v="13"/>
    <x v="7"/>
    <n v="65"/>
  </r>
  <r>
    <x v="23"/>
    <x v="13"/>
    <x v="8"/>
    <n v="64"/>
  </r>
  <r>
    <x v="23"/>
    <x v="13"/>
    <x v="9"/>
    <n v="65"/>
  </r>
  <r>
    <x v="23"/>
    <x v="13"/>
    <x v="10"/>
    <n v="61"/>
  </r>
  <r>
    <x v="23"/>
    <x v="13"/>
    <x v="11"/>
    <n v="54"/>
  </r>
  <r>
    <x v="23"/>
    <x v="13"/>
    <x v="12"/>
    <n v="59"/>
  </r>
  <r>
    <x v="23"/>
    <x v="13"/>
    <x v="13"/>
    <n v="70"/>
  </r>
  <r>
    <x v="23"/>
    <x v="13"/>
    <x v="14"/>
    <n v="69"/>
  </r>
  <r>
    <x v="23"/>
    <x v="13"/>
    <x v="15"/>
    <n v="59"/>
  </r>
  <r>
    <x v="23"/>
    <x v="13"/>
    <x v="16"/>
    <n v="43"/>
  </r>
  <r>
    <x v="23"/>
    <x v="13"/>
    <x v="17"/>
    <n v="48"/>
  </r>
  <r>
    <x v="23"/>
    <x v="13"/>
    <x v="18"/>
    <n v="49"/>
  </r>
  <r>
    <x v="23"/>
    <x v="13"/>
    <x v="19"/>
    <n v="48"/>
  </r>
  <r>
    <x v="23"/>
    <x v="13"/>
    <x v="20"/>
    <n v="46"/>
  </r>
  <r>
    <x v="23"/>
    <x v="13"/>
    <x v="21"/>
    <n v="52"/>
  </r>
  <r>
    <x v="23"/>
    <x v="13"/>
    <x v="22"/>
    <n v="39"/>
  </r>
  <r>
    <x v="23"/>
    <x v="13"/>
    <x v="23"/>
    <n v="27"/>
  </r>
  <r>
    <x v="23"/>
    <x v="13"/>
    <x v="24"/>
    <n v="17"/>
  </r>
  <r>
    <x v="23"/>
    <x v="13"/>
    <x v="25"/>
    <n v="18"/>
  </r>
  <r>
    <x v="23"/>
    <x v="13"/>
    <x v="26"/>
    <n v="18"/>
  </r>
  <r>
    <x v="23"/>
    <x v="13"/>
    <x v="27"/>
    <n v="17"/>
  </r>
  <r>
    <x v="23"/>
    <x v="13"/>
    <x v="28"/>
    <n v="22"/>
  </r>
  <r>
    <x v="23"/>
    <x v="13"/>
    <x v="29"/>
    <n v="22"/>
  </r>
  <r>
    <x v="23"/>
    <x v="13"/>
    <x v="30"/>
    <n v="22"/>
  </r>
  <r>
    <x v="23"/>
    <x v="13"/>
    <x v="31"/>
    <n v="22"/>
  </r>
  <r>
    <x v="23"/>
    <x v="13"/>
    <x v="32"/>
    <n v="22"/>
  </r>
  <r>
    <x v="23"/>
    <x v="13"/>
    <x v="33"/>
    <n v="22"/>
  </r>
  <r>
    <x v="23"/>
    <x v="13"/>
    <x v="34"/>
    <n v="22"/>
  </r>
  <r>
    <x v="23"/>
    <x v="13"/>
    <x v="35"/>
    <n v="22"/>
  </r>
  <r>
    <x v="23"/>
    <x v="13"/>
    <x v="36"/>
    <n v="22"/>
  </r>
  <r>
    <x v="23"/>
    <x v="13"/>
    <x v="37"/>
    <n v="22"/>
  </r>
  <r>
    <x v="23"/>
    <x v="13"/>
    <x v="38"/>
    <n v="22"/>
  </r>
  <r>
    <x v="23"/>
    <x v="13"/>
    <x v="39"/>
    <n v="22"/>
  </r>
  <r>
    <x v="23"/>
    <x v="13"/>
    <x v="40"/>
    <n v="22"/>
  </r>
  <r>
    <x v="23"/>
    <x v="13"/>
    <x v="41"/>
    <n v="22"/>
  </r>
  <r>
    <x v="23"/>
    <x v="13"/>
    <x v="42"/>
    <n v="22"/>
  </r>
  <r>
    <x v="23"/>
    <x v="13"/>
    <x v="43"/>
    <n v="22"/>
  </r>
  <r>
    <x v="23"/>
    <x v="13"/>
    <x v="44"/>
    <n v="22"/>
  </r>
  <r>
    <x v="23"/>
    <x v="13"/>
    <x v="45"/>
    <n v="22"/>
  </r>
  <r>
    <x v="23"/>
    <x v="13"/>
    <x v="46"/>
    <n v="22"/>
  </r>
  <r>
    <x v="23"/>
    <x v="13"/>
    <x v="47"/>
    <n v="22"/>
  </r>
  <r>
    <x v="23"/>
    <x v="13"/>
    <x v="48"/>
    <n v="22"/>
  </r>
  <r>
    <x v="23"/>
    <x v="13"/>
    <x v="49"/>
    <n v="22"/>
  </r>
  <r>
    <x v="23"/>
    <x v="13"/>
    <x v="50"/>
    <n v="22"/>
  </r>
  <r>
    <x v="23"/>
    <x v="13"/>
    <x v="51"/>
    <n v="22"/>
  </r>
  <r>
    <x v="23"/>
    <x v="13"/>
    <x v="52"/>
    <n v="22"/>
  </r>
  <r>
    <x v="23"/>
    <x v="13"/>
    <x v="53"/>
    <n v="22"/>
  </r>
  <r>
    <x v="23"/>
    <x v="13"/>
    <x v="54"/>
    <n v="22"/>
  </r>
  <r>
    <x v="23"/>
    <x v="13"/>
    <x v="55"/>
    <n v="22"/>
  </r>
  <r>
    <x v="23"/>
    <x v="13"/>
    <x v="56"/>
    <n v="22"/>
  </r>
  <r>
    <x v="23"/>
    <x v="13"/>
    <x v="57"/>
    <n v="22"/>
  </r>
  <r>
    <x v="23"/>
    <x v="13"/>
    <x v="58"/>
    <n v="22"/>
  </r>
  <r>
    <x v="23"/>
    <x v="13"/>
    <x v="59"/>
    <n v="22"/>
  </r>
  <r>
    <x v="23"/>
    <x v="13"/>
    <x v="60"/>
    <n v="22"/>
  </r>
  <r>
    <x v="23"/>
    <x v="13"/>
    <x v="61"/>
    <n v="22"/>
  </r>
  <r>
    <x v="23"/>
    <x v="13"/>
    <x v="62"/>
    <n v="22"/>
  </r>
  <r>
    <x v="23"/>
    <x v="13"/>
    <x v="63"/>
    <n v="22"/>
  </r>
  <r>
    <x v="23"/>
    <x v="13"/>
    <x v="64"/>
    <n v="22"/>
  </r>
  <r>
    <x v="23"/>
    <x v="13"/>
    <x v="65"/>
    <n v="22"/>
  </r>
  <r>
    <x v="23"/>
    <x v="13"/>
    <x v="66"/>
    <n v="22"/>
  </r>
  <r>
    <x v="23"/>
    <x v="13"/>
    <x v="67"/>
    <n v="22"/>
  </r>
  <r>
    <x v="23"/>
    <x v="13"/>
    <x v="68"/>
    <n v="22"/>
  </r>
  <r>
    <x v="23"/>
    <x v="13"/>
    <x v="69"/>
    <n v="22"/>
  </r>
  <r>
    <x v="23"/>
    <x v="13"/>
    <x v="70"/>
    <n v="22"/>
  </r>
  <r>
    <x v="23"/>
    <x v="13"/>
    <x v="71"/>
    <n v="22"/>
  </r>
  <r>
    <x v="23"/>
    <x v="13"/>
    <x v="72"/>
    <n v="22"/>
  </r>
  <r>
    <x v="24"/>
    <x v="14"/>
    <x v="0"/>
    <n v="13"/>
  </r>
  <r>
    <x v="24"/>
    <x v="14"/>
    <x v="1"/>
    <n v="62"/>
  </r>
  <r>
    <x v="24"/>
    <x v="14"/>
    <x v="2"/>
    <n v="82"/>
  </r>
  <r>
    <x v="24"/>
    <x v="14"/>
    <x v="3"/>
    <n v="54"/>
  </r>
  <r>
    <x v="24"/>
    <x v="14"/>
    <x v="4"/>
    <n v="55"/>
  </r>
  <r>
    <x v="24"/>
    <x v="14"/>
    <x v="5"/>
    <n v="53"/>
  </r>
  <r>
    <x v="24"/>
    <x v="14"/>
    <x v="6"/>
    <n v="71"/>
  </r>
  <r>
    <x v="24"/>
    <x v="14"/>
    <x v="7"/>
    <n v="76"/>
  </r>
  <r>
    <x v="24"/>
    <x v="14"/>
    <x v="8"/>
    <n v="52"/>
  </r>
  <r>
    <x v="24"/>
    <x v="14"/>
    <x v="9"/>
    <n v="42"/>
  </r>
  <r>
    <x v="24"/>
    <x v="14"/>
    <x v="10"/>
    <n v="40"/>
  </r>
  <r>
    <x v="24"/>
    <x v="14"/>
    <x v="11"/>
    <n v="41"/>
  </r>
  <r>
    <x v="24"/>
    <x v="14"/>
    <x v="12"/>
    <n v="22"/>
  </r>
  <r>
    <x v="24"/>
    <x v="14"/>
    <x v="13"/>
    <n v="23"/>
  </r>
  <r>
    <x v="24"/>
    <x v="14"/>
    <x v="14"/>
    <n v="21"/>
  </r>
  <r>
    <x v="24"/>
    <x v="14"/>
    <x v="15"/>
    <n v="26"/>
  </r>
  <r>
    <x v="24"/>
    <x v="14"/>
    <x v="16"/>
    <n v="9"/>
  </r>
  <r>
    <x v="24"/>
    <x v="14"/>
    <x v="17"/>
    <n v="5"/>
  </r>
  <r>
    <x v="24"/>
    <x v="14"/>
    <x v="18"/>
    <n v="10"/>
  </r>
  <r>
    <x v="24"/>
    <x v="14"/>
    <x v="19"/>
    <n v="16"/>
  </r>
  <r>
    <x v="24"/>
    <x v="14"/>
    <x v="20"/>
    <n v="17"/>
  </r>
  <r>
    <x v="24"/>
    <x v="14"/>
    <x v="21"/>
    <n v="8"/>
  </r>
  <r>
    <x v="24"/>
    <x v="14"/>
    <x v="22"/>
    <n v="20"/>
  </r>
  <r>
    <x v="24"/>
    <x v="14"/>
    <x v="23"/>
    <n v="32"/>
  </r>
  <r>
    <x v="24"/>
    <x v="14"/>
    <x v="24"/>
    <n v="20"/>
  </r>
  <r>
    <x v="24"/>
    <x v="14"/>
    <x v="25"/>
    <n v="22"/>
  </r>
  <r>
    <x v="24"/>
    <x v="14"/>
    <x v="26"/>
    <n v="22"/>
  </r>
  <r>
    <x v="24"/>
    <x v="14"/>
    <x v="27"/>
    <n v="25"/>
  </r>
  <r>
    <x v="24"/>
    <x v="14"/>
    <x v="28"/>
    <n v="25"/>
  </r>
  <r>
    <x v="24"/>
    <x v="14"/>
    <x v="29"/>
    <n v="25"/>
  </r>
  <r>
    <x v="24"/>
    <x v="14"/>
    <x v="30"/>
    <n v="25"/>
  </r>
  <r>
    <x v="24"/>
    <x v="14"/>
    <x v="31"/>
    <n v="25"/>
  </r>
  <r>
    <x v="24"/>
    <x v="14"/>
    <x v="32"/>
    <n v="25"/>
  </r>
  <r>
    <x v="24"/>
    <x v="14"/>
    <x v="33"/>
    <n v="25"/>
  </r>
  <r>
    <x v="24"/>
    <x v="14"/>
    <x v="34"/>
    <n v="25"/>
  </r>
  <r>
    <x v="24"/>
    <x v="14"/>
    <x v="35"/>
    <n v="25"/>
  </r>
  <r>
    <x v="24"/>
    <x v="14"/>
    <x v="36"/>
    <n v="25"/>
  </r>
  <r>
    <x v="24"/>
    <x v="14"/>
    <x v="37"/>
    <n v="25"/>
  </r>
  <r>
    <x v="24"/>
    <x v="14"/>
    <x v="38"/>
    <n v="25"/>
  </r>
  <r>
    <x v="24"/>
    <x v="14"/>
    <x v="39"/>
    <n v="25"/>
  </r>
  <r>
    <x v="24"/>
    <x v="14"/>
    <x v="40"/>
    <n v="25"/>
  </r>
  <r>
    <x v="24"/>
    <x v="14"/>
    <x v="41"/>
    <n v="25"/>
  </r>
  <r>
    <x v="24"/>
    <x v="14"/>
    <x v="42"/>
    <n v="25"/>
  </r>
  <r>
    <x v="24"/>
    <x v="14"/>
    <x v="43"/>
    <n v="25"/>
  </r>
  <r>
    <x v="24"/>
    <x v="14"/>
    <x v="44"/>
    <n v="25"/>
  </r>
  <r>
    <x v="24"/>
    <x v="14"/>
    <x v="45"/>
    <n v="25"/>
  </r>
  <r>
    <x v="24"/>
    <x v="14"/>
    <x v="46"/>
    <n v="25"/>
  </r>
  <r>
    <x v="24"/>
    <x v="14"/>
    <x v="47"/>
    <n v="25"/>
  </r>
  <r>
    <x v="24"/>
    <x v="14"/>
    <x v="48"/>
    <n v="25"/>
  </r>
  <r>
    <x v="24"/>
    <x v="14"/>
    <x v="49"/>
    <n v="25"/>
  </r>
  <r>
    <x v="24"/>
    <x v="14"/>
    <x v="50"/>
    <n v="25"/>
  </r>
  <r>
    <x v="24"/>
    <x v="14"/>
    <x v="51"/>
    <n v="25"/>
  </r>
  <r>
    <x v="24"/>
    <x v="14"/>
    <x v="52"/>
    <n v="25"/>
  </r>
  <r>
    <x v="24"/>
    <x v="14"/>
    <x v="53"/>
    <n v="25"/>
  </r>
  <r>
    <x v="24"/>
    <x v="14"/>
    <x v="54"/>
    <n v="25"/>
  </r>
  <r>
    <x v="24"/>
    <x v="14"/>
    <x v="55"/>
    <n v="25"/>
  </r>
  <r>
    <x v="24"/>
    <x v="14"/>
    <x v="56"/>
    <n v="25"/>
  </r>
  <r>
    <x v="24"/>
    <x v="14"/>
    <x v="57"/>
    <n v="25"/>
  </r>
  <r>
    <x v="24"/>
    <x v="14"/>
    <x v="58"/>
    <n v="25"/>
  </r>
  <r>
    <x v="24"/>
    <x v="14"/>
    <x v="59"/>
    <n v="25"/>
  </r>
  <r>
    <x v="24"/>
    <x v="14"/>
    <x v="60"/>
    <n v="25"/>
  </r>
  <r>
    <x v="24"/>
    <x v="14"/>
    <x v="61"/>
    <n v="25"/>
  </r>
  <r>
    <x v="24"/>
    <x v="14"/>
    <x v="62"/>
    <n v="25"/>
  </r>
  <r>
    <x v="24"/>
    <x v="14"/>
    <x v="63"/>
    <n v="25"/>
  </r>
  <r>
    <x v="24"/>
    <x v="14"/>
    <x v="64"/>
    <n v="25"/>
  </r>
  <r>
    <x v="24"/>
    <x v="14"/>
    <x v="65"/>
    <n v="25"/>
  </r>
  <r>
    <x v="24"/>
    <x v="14"/>
    <x v="66"/>
    <n v="25"/>
  </r>
  <r>
    <x v="24"/>
    <x v="14"/>
    <x v="67"/>
    <n v="25"/>
  </r>
  <r>
    <x v="24"/>
    <x v="14"/>
    <x v="68"/>
    <n v="25"/>
  </r>
  <r>
    <x v="24"/>
    <x v="14"/>
    <x v="69"/>
    <n v="25"/>
  </r>
  <r>
    <x v="24"/>
    <x v="14"/>
    <x v="70"/>
    <n v="25"/>
  </r>
  <r>
    <x v="24"/>
    <x v="14"/>
    <x v="71"/>
    <n v="25"/>
  </r>
  <r>
    <x v="24"/>
    <x v="14"/>
    <x v="72"/>
    <n v="25"/>
  </r>
  <r>
    <x v="25"/>
    <x v="15"/>
    <x v="0"/>
    <n v="13"/>
  </r>
  <r>
    <x v="25"/>
    <x v="15"/>
    <x v="1"/>
    <n v="14"/>
  </r>
  <r>
    <x v="25"/>
    <x v="15"/>
    <x v="2"/>
    <n v="24"/>
  </r>
  <r>
    <x v="25"/>
    <x v="15"/>
    <x v="3"/>
    <n v="9"/>
  </r>
  <r>
    <x v="25"/>
    <x v="15"/>
    <x v="4"/>
    <n v="9"/>
  </r>
  <r>
    <x v="25"/>
    <x v="15"/>
    <x v="5"/>
    <n v="9"/>
  </r>
  <r>
    <x v="25"/>
    <x v="15"/>
    <x v="6"/>
    <n v="27"/>
  </r>
  <r>
    <x v="25"/>
    <x v="15"/>
    <x v="7"/>
    <n v="27"/>
  </r>
  <r>
    <x v="25"/>
    <x v="15"/>
    <x v="8"/>
    <n v="27"/>
  </r>
  <r>
    <x v="25"/>
    <x v="15"/>
    <x v="9"/>
    <n v="31"/>
  </r>
  <r>
    <x v="25"/>
    <x v="15"/>
    <x v="10"/>
    <n v="30"/>
  </r>
  <r>
    <x v="25"/>
    <x v="15"/>
    <x v="11"/>
    <n v="29"/>
  </r>
  <r>
    <x v="25"/>
    <x v="15"/>
    <x v="12"/>
    <n v="37"/>
  </r>
  <r>
    <x v="25"/>
    <x v="15"/>
    <x v="13"/>
    <n v="39"/>
  </r>
  <r>
    <x v="25"/>
    <x v="15"/>
    <x v="14"/>
    <n v="39"/>
  </r>
  <r>
    <x v="25"/>
    <x v="15"/>
    <x v="15"/>
    <n v="46"/>
  </r>
  <r>
    <x v="25"/>
    <x v="15"/>
    <x v="16"/>
    <n v="53"/>
  </r>
  <r>
    <x v="25"/>
    <x v="15"/>
    <x v="17"/>
    <n v="56"/>
  </r>
  <r>
    <x v="25"/>
    <x v="15"/>
    <x v="18"/>
    <n v="57"/>
  </r>
  <r>
    <x v="25"/>
    <x v="15"/>
    <x v="19"/>
    <n v="61"/>
  </r>
  <r>
    <x v="25"/>
    <x v="15"/>
    <x v="20"/>
    <n v="62"/>
  </r>
  <r>
    <x v="25"/>
    <x v="15"/>
    <x v="21"/>
    <n v="67"/>
  </r>
  <r>
    <x v="25"/>
    <x v="15"/>
    <x v="22"/>
    <n v="56"/>
  </r>
  <r>
    <x v="25"/>
    <x v="15"/>
    <x v="23"/>
    <n v="37"/>
  </r>
  <r>
    <x v="25"/>
    <x v="15"/>
    <x v="24"/>
    <n v="37"/>
  </r>
  <r>
    <x v="25"/>
    <x v="15"/>
    <x v="25"/>
    <n v="41"/>
  </r>
  <r>
    <x v="25"/>
    <x v="15"/>
    <x v="26"/>
    <n v="41"/>
  </r>
  <r>
    <x v="25"/>
    <x v="15"/>
    <x v="27"/>
    <n v="42"/>
  </r>
  <r>
    <x v="25"/>
    <x v="15"/>
    <x v="28"/>
    <n v="26"/>
  </r>
  <r>
    <x v="25"/>
    <x v="15"/>
    <x v="29"/>
    <n v="26"/>
  </r>
  <r>
    <x v="25"/>
    <x v="15"/>
    <x v="30"/>
    <n v="26"/>
  </r>
  <r>
    <x v="25"/>
    <x v="15"/>
    <x v="31"/>
    <n v="26"/>
  </r>
  <r>
    <x v="25"/>
    <x v="15"/>
    <x v="32"/>
    <n v="26"/>
  </r>
  <r>
    <x v="25"/>
    <x v="15"/>
    <x v="33"/>
    <n v="26"/>
  </r>
  <r>
    <x v="25"/>
    <x v="15"/>
    <x v="34"/>
    <n v="26"/>
  </r>
  <r>
    <x v="25"/>
    <x v="15"/>
    <x v="35"/>
    <n v="26"/>
  </r>
  <r>
    <x v="25"/>
    <x v="15"/>
    <x v="36"/>
    <n v="26"/>
  </r>
  <r>
    <x v="25"/>
    <x v="15"/>
    <x v="37"/>
    <n v="26"/>
  </r>
  <r>
    <x v="25"/>
    <x v="15"/>
    <x v="38"/>
    <n v="26"/>
  </r>
  <r>
    <x v="25"/>
    <x v="15"/>
    <x v="39"/>
    <n v="26"/>
  </r>
  <r>
    <x v="25"/>
    <x v="15"/>
    <x v="40"/>
    <n v="26"/>
  </r>
  <r>
    <x v="25"/>
    <x v="15"/>
    <x v="41"/>
    <n v="26"/>
  </r>
  <r>
    <x v="25"/>
    <x v="15"/>
    <x v="42"/>
    <n v="26"/>
  </r>
  <r>
    <x v="25"/>
    <x v="15"/>
    <x v="43"/>
    <n v="26"/>
  </r>
  <r>
    <x v="25"/>
    <x v="15"/>
    <x v="44"/>
    <n v="26"/>
  </r>
  <r>
    <x v="25"/>
    <x v="15"/>
    <x v="45"/>
    <n v="26"/>
  </r>
  <r>
    <x v="25"/>
    <x v="15"/>
    <x v="46"/>
    <n v="26"/>
  </r>
  <r>
    <x v="25"/>
    <x v="15"/>
    <x v="47"/>
    <n v="26"/>
  </r>
  <r>
    <x v="25"/>
    <x v="15"/>
    <x v="48"/>
    <n v="26"/>
  </r>
  <r>
    <x v="25"/>
    <x v="15"/>
    <x v="49"/>
    <n v="26"/>
  </r>
  <r>
    <x v="25"/>
    <x v="15"/>
    <x v="50"/>
    <n v="26"/>
  </r>
  <r>
    <x v="25"/>
    <x v="15"/>
    <x v="51"/>
    <n v="26"/>
  </r>
  <r>
    <x v="25"/>
    <x v="15"/>
    <x v="52"/>
    <n v="26"/>
  </r>
  <r>
    <x v="25"/>
    <x v="15"/>
    <x v="53"/>
    <n v="26"/>
  </r>
  <r>
    <x v="25"/>
    <x v="15"/>
    <x v="54"/>
    <n v="26"/>
  </r>
  <r>
    <x v="25"/>
    <x v="15"/>
    <x v="55"/>
    <n v="26"/>
  </r>
  <r>
    <x v="25"/>
    <x v="15"/>
    <x v="56"/>
    <n v="26"/>
  </r>
  <r>
    <x v="25"/>
    <x v="15"/>
    <x v="57"/>
    <n v="26"/>
  </r>
  <r>
    <x v="25"/>
    <x v="15"/>
    <x v="58"/>
    <n v="26"/>
  </r>
  <r>
    <x v="25"/>
    <x v="15"/>
    <x v="59"/>
    <n v="26"/>
  </r>
  <r>
    <x v="25"/>
    <x v="15"/>
    <x v="60"/>
    <n v="26"/>
  </r>
  <r>
    <x v="25"/>
    <x v="15"/>
    <x v="61"/>
    <n v="26"/>
  </r>
  <r>
    <x v="25"/>
    <x v="15"/>
    <x v="62"/>
    <n v="26"/>
  </r>
  <r>
    <x v="25"/>
    <x v="15"/>
    <x v="63"/>
    <n v="26"/>
  </r>
  <r>
    <x v="25"/>
    <x v="15"/>
    <x v="64"/>
    <n v="26"/>
  </r>
  <r>
    <x v="25"/>
    <x v="15"/>
    <x v="65"/>
    <n v="26"/>
  </r>
  <r>
    <x v="25"/>
    <x v="15"/>
    <x v="66"/>
    <n v="26"/>
  </r>
  <r>
    <x v="25"/>
    <x v="15"/>
    <x v="67"/>
    <n v="26"/>
  </r>
  <r>
    <x v="25"/>
    <x v="15"/>
    <x v="68"/>
    <n v="26"/>
  </r>
  <r>
    <x v="25"/>
    <x v="15"/>
    <x v="69"/>
    <n v="26"/>
  </r>
  <r>
    <x v="25"/>
    <x v="15"/>
    <x v="70"/>
    <n v="26"/>
  </r>
  <r>
    <x v="25"/>
    <x v="15"/>
    <x v="71"/>
    <n v="26"/>
  </r>
  <r>
    <x v="25"/>
    <x v="15"/>
    <x v="72"/>
    <n v="26"/>
  </r>
  <r>
    <x v="26"/>
    <x v="15"/>
    <x v="0"/>
    <n v="13"/>
  </r>
  <r>
    <x v="26"/>
    <x v="15"/>
    <x v="1"/>
    <n v="14"/>
  </r>
  <r>
    <x v="26"/>
    <x v="15"/>
    <x v="2"/>
    <n v="24"/>
  </r>
  <r>
    <x v="26"/>
    <x v="15"/>
    <x v="3"/>
    <n v="71"/>
  </r>
  <r>
    <x v="26"/>
    <x v="15"/>
    <x v="4"/>
    <n v="71"/>
  </r>
  <r>
    <x v="26"/>
    <x v="15"/>
    <x v="5"/>
    <n v="71"/>
  </r>
  <r>
    <x v="26"/>
    <x v="15"/>
    <x v="6"/>
    <n v="82"/>
  </r>
  <r>
    <x v="26"/>
    <x v="15"/>
    <x v="7"/>
    <n v="86"/>
  </r>
  <r>
    <x v="26"/>
    <x v="15"/>
    <x v="8"/>
    <n v="85"/>
  </r>
  <r>
    <x v="26"/>
    <x v="15"/>
    <x v="9"/>
    <n v="83"/>
  </r>
  <r>
    <x v="26"/>
    <x v="15"/>
    <x v="10"/>
    <n v="80"/>
  </r>
  <r>
    <x v="26"/>
    <x v="15"/>
    <x v="11"/>
    <n v="73"/>
  </r>
  <r>
    <x v="26"/>
    <x v="15"/>
    <x v="12"/>
    <n v="46"/>
  </r>
  <r>
    <x v="26"/>
    <x v="15"/>
    <x v="13"/>
    <n v="45"/>
  </r>
  <r>
    <x v="26"/>
    <x v="15"/>
    <x v="14"/>
    <n v="45"/>
  </r>
  <r>
    <x v="26"/>
    <x v="15"/>
    <x v="15"/>
    <n v="55"/>
  </r>
  <r>
    <x v="26"/>
    <x v="15"/>
    <x v="16"/>
    <n v="61"/>
  </r>
  <r>
    <x v="26"/>
    <x v="15"/>
    <x v="17"/>
    <n v="63"/>
  </r>
  <r>
    <x v="26"/>
    <x v="15"/>
    <x v="18"/>
    <n v="62"/>
  </r>
  <r>
    <x v="26"/>
    <x v="15"/>
    <x v="19"/>
    <n v="61"/>
  </r>
  <r>
    <x v="26"/>
    <x v="15"/>
    <x v="20"/>
    <n v="62"/>
  </r>
  <r>
    <x v="26"/>
    <x v="15"/>
    <x v="21"/>
    <n v="67"/>
  </r>
  <r>
    <x v="26"/>
    <x v="15"/>
    <x v="22"/>
    <n v="68"/>
  </r>
  <r>
    <x v="26"/>
    <x v="15"/>
    <x v="23"/>
    <n v="49"/>
  </r>
  <r>
    <x v="26"/>
    <x v="15"/>
    <x v="24"/>
    <n v="37"/>
  </r>
  <r>
    <x v="26"/>
    <x v="15"/>
    <x v="25"/>
    <n v="41"/>
  </r>
  <r>
    <x v="26"/>
    <x v="15"/>
    <x v="26"/>
    <n v="41"/>
  </r>
  <r>
    <x v="26"/>
    <x v="15"/>
    <x v="27"/>
    <n v="42"/>
  </r>
  <r>
    <x v="26"/>
    <x v="15"/>
    <x v="28"/>
    <n v="26"/>
  </r>
  <r>
    <x v="26"/>
    <x v="15"/>
    <x v="29"/>
    <n v="26"/>
  </r>
  <r>
    <x v="26"/>
    <x v="15"/>
    <x v="30"/>
    <n v="26"/>
  </r>
  <r>
    <x v="26"/>
    <x v="15"/>
    <x v="31"/>
    <n v="26"/>
  </r>
  <r>
    <x v="26"/>
    <x v="15"/>
    <x v="32"/>
    <n v="26"/>
  </r>
  <r>
    <x v="26"/>
    <x v="15"/>
    <x v="33"/>
    <n v="26"/>
  </r>
  <r>
    <x v="26"/>
    <x v="15"/>
    <x v="34"/>
    <n v="26"/>
  </r>
  <r>
    <x v="26"/>
    <x v="15"/>
    <x v="35"/>
    <n v="26"/>
  </r>
  <r>
    <x v="26"/>
    <x v="15"/>
    <x v="36"/>
    <n v="26"/>
  </r>
  <r>
    <x v="26"/>
    <x v="15"/>
    <x v="37"/>
    <n v="26"/>
  </r>
  <r>
    <x v="26"/>
    <x v="15"/>
    <x v="38"/>
    <n v="26"/>
  </r>
  <r>
    <x v="26"/>
    <x v="15"/>
    <x v="39"/>
    <n v="26"/>
  </r>
  <r>
    <x v="26"/>
    <x v="15"/>
    <x v="40"/>
    <n v="26"/>
  </r>
  <r>
    <x v="26"/>
    <x v="15"/>
    <x v="41"/>
    <n v="26"/>
  </r>
  <r>
    <x v="26"/>
    <x v="15"/>
    <x v="42"/>
    <n v="26"/>
  </r>
  <r>
    <x v="26"/>
    <x v="15"/>
    <x v="43"/>
    <n v="26"/>
  </r>
  <r>
    <x v="26"/>
    <x v="15"/>
    <x v="44"/>
    <n v="26"/>
  </r>
  <r>
    <x v="26"/>
    <x v="15"/>
    <x v="45"/>
    <n v="26"/>
  </r>
  <r>
    <x v="26"/>
    <x v="15"/>
    <x v="46"/>
    <n v="26"/>
  </r>
  <r>
    <x v="26"/>
    <x v="15"/>
    <x v="47"/>
    <n v="26"/>
  </r>
  <r>
    <x v="26"/>
    <x v="15"/>
    <x v="48"/>
    <n v="26"/>
  </r>
  <r>
    <x v="26"/>
    <x v="15"/>
    <x v="49"/>
    <n v="26"/>
  </r>
  <r>
    <x v="26"/>
    <x v="15"/>
    <x v="50"/>
    <n v="26"/>
  </r>
  <r>
    <x v="26"/>
    <x v="15"/>
    <x v="51"/>
    <n v="26"/>
  </r>
  <r>
    <x v="26"/>
    <x v="15"/>
    <x v="52"/>
    <n v="26"/>
  </r>
  <r>
    <x v="26"/>
    <x v="15"/>
    <x v="53"/>
    <n v="26"/>
  </r>
  <r>
    <x v="26"/>
    <x v="15"/>
    <x v="54"/>
    <n v="26"/>
  </r>
  <r>
    <x v="26"/>
    <x v="15"/>
    <x v="55"/>
    <n v="26"/>
  </r>
  <r>
    <x v="26"/>
    <x v="15"/>
    <x v="56"/>
    <n v="26"/>
  </r>
  <r>
    <x v="26"/>
    <x v="15"/>
    <x v="57"/>
    <n v="26"/>
  </r>
  <r>
    <x v="26"/>
    <x v="15"/>
    <x v="58"/>
    <n v="26"/>
  </r>
  <r>
    <x v="26"/>
    <x v="15"/>
    <x v="59"/>
    <n v="26"/>
  </r>
  <r>
    <x v="26"/>
    <x v="15"/>
    <x v="60"/>
    <n v="26"/>
  </r>
  <r>
    <x v="26"/>
    <x v="15"/>
    <x v="61"/>
    <n v="26"/>
  </r>
  <r>
    <x v="26"/>
    <x v="15"/>
    <x v="62"/>
    <n v="26"/>
  </r>
  <r>
    <x v="26"/>
    <x v="15"/>
    <x v="63"/>
    <n v="26"/>
  </r>
  <r>
    <x v="26"/>
    <x v="15"/>
    <x v="64"/>
    <n v="26"/>
  </r>
  <r>
    <x v="26"/>
    <x v="15"/>
    <x v="65"/>
    <n v="26"/>
  </r>
  <r>
    <x v="26"/>
    <x v="15"/>
    <x v="66"/>
    <n v="26"/>
  </r>
  <r>
    <x v="26"/>
    <x v="15"/>
    <x v="67"/>
    <n v="26"/>
  </r>
  <r>
    <x v="26"/>
    <x v="15"/>
    <x v="68"/>
    <n v="26"/>
  </r>
  <r>
    <x v="26"/>
    <x v="15"/>
    <x v="69"/>
    <n v="26"/>
  </r>
  <r>
    <x v="26"/>
    <x v="15"/>
    <x v="70"/>
    <n v="26"/>
  </r>
  <r>
    <x v="26"/>
    <x v="15"/>
    <x v="71"/>
    <n v="26"/>
  </r>
  <r>
    <x v="26"/>
    <x v="15"/>
    <x v="72"/>
    <n v="26"/>
  </r>
  <r>
    <x v="27"/>
    <x v="15"/>
    <x v="0"/>
    <n v="13"/>
  </r>
  <r>
    <x v="27"/>
    <x v="15"/>
    <x v="1"/>
    <n v="14"/>
  </r>
  <r>
    <x v="27"/>
    <x v="15"/>
    <x v="2"/>
    <n v="24"/>
  </r>
  <r>
    <x v="27"/>
    <x v="15"/>
    <x v="3"/>
    <n v="9"/>
  </r>
  <r>
    <x v="27"/>
    <x v="15"/>
    <x v="4"/>
    <n v="9"/>
  </r>
  <r>
    <x v="27"/>
    <x v="15"/>
    <x v="5"/>
    <n v="9"/>
  </r>
  <r>
    <x v="27"/>
    <x v="15"/>
    <x v="6"/>
    <n v="24"/>
  </r>
  <r>
    <x v="27"/>
    <x v="15"/>
    <x v="7"/>
    <n v="25"/>
  </r>
  <r>
    <x v="27"/>
    <x v="15"/>
    <x v="8"/>
    <n v="27"/>
  </r>
  <r>
    <x v="27"/>
    <x v="15"/>
    <x v="9"/>
    <n v="31"/>
  </r>
  <r>
    <x v="27"/>
    <x v="15"/>
    <x v="10"/>
    <n v="30"/>
  </r>
  <r>
    <x v="27"/>
    <x v="15"/>
    <x v="11"/>
    <n v="29"/>
  </r>
  <r>
    <x v="27"/>
    <x v="15"/>
    <x v="12"/>
    <n v="37"/>
  </r>
  <r>
    <x v="27"/>
    <x v="15"/>
    <x v="13"/>
    <n v="45"/>
  </r>
  <r>
    <x v="27"/>
    <x v="15"/>
    <x v="14"/>
    <n v="45"/>
  </r>
  <r>
    <x v="27"/>
    <x v="15"/>
    <x v="15"/>
    <n v="55"/>
  </r>
  <r>
    <x v="27"/>
    <x v="15"/>
    <x v="16"/>
    <n v="38"/>
  </r>
  <r>
    <x v="27"/>
    <x v="15"/>
    <x v="17"/>
    <n v="43"/>
  </r>
  <r>
    <x v="27"/>
    <x v="15"/>
    <x v="18"/>
    <n v="38"/>
  </r>
  <r>
    <x v="27"/>
    <x v="15"/>
    <x v="19"/>
    <n v="39"/>
  </r>
  <r>
    <x v="27"/>
    <x v="15"/>
    <x v="20"/>
    <n v="32"/>
  </r>
  <r>
    <x v="27"/>
    <x v="15"/>
    <x v="21"/>
    <n v="48"/>
  </r>
  <r>
    <x v="27"/>
    <x v="15"/>
    <x v="22"/>
    <n v="36"/>
  </r>
  <r>
    <x v="27"/>
    <x v="15"/>
    <x v="23"/>
    <n v="23"/>
  </r>
  <r>
    <x v="27"/>
    <x v="15"/>
    <x v="24"/>
    <n v="22"/>
  </r>
  <r>
    <x v="27"/>
    <x v="15"/>
    <x v="25"/>
    <n v="27"/>
  </r>
  <r>
    <x v="27"/>
    <x v="15"/>
    <x v="26"/>
    <n v="27"/>
  </r>
  <r>
    <x v="27"/>
    <x v="15"/>
    <x v="27"/>
    <n v="28"/>
  </r>
  <r>
    <x v="27"/>
    <x v="15"/>
    <x v="28"/>
    <n v="26"/>
  </r>
  <r>
    <x v="27"/>
    <x v="15"/>
    <x v="29"/>
    <n v="26"/>
  </r>
  <r>
    <x v="27"/>
    <x v="15"/>
    <x v="30"/>
    <n v="26"/>
  </r>
  <r>
    <x v="27"/>
    <x v="15"/>
    <x v="31"/>
    <n v="26"/>
  </r>
  <r>
    <x v="27"/>
    <x v="15"/>
    <x v="32"/>
    <n v="26"/>
  </r>
  <r>
    <x v="27"/>
    <x v="15"/>
    <x v="33"/>
    <n v="26"/>
  </r>
  <r>
    <x v="27"/>
    <x v="15"/>
    <x v="34"/>
    <n v="26"/>
  </r>
  <r>
    <x v="27"/>
    <x v="15"/>
    <x v="35"/>
    <n v="26"/>
  </r>
  <r>
    <x v="27"/>
    <x v="15"/>
    <x v="36"/>
    <n v="26"/>
  </r>
  <r>
    <x v="27"/>
    <x v="15"/>
    <x v="37"/>
    <n v="26"/>
  </r>
  <r>
    <x v="27"/>
    <x v="15"/>
    <x v="38"/>
    <n v="26"/>
  </r>
  <r>
    <x v="27"/>
    <x v="15"/>
    <x v="39"/>
    <n v="26"/>
  </r>
  <r>
    <x v="27"/>
    <x v="15"/>
    <x v="40"/>
    <n v="26"/>
  </r>
  <r>
    <x v="27"/>
    <x v="15"/>
    <x v="41"/>
    <n v="26"/>
  </r>
  <r>
    <x v="27"/>
    <x v="15"/>
    <x v="42"/>
    <n v="26"/>
  </r>
  <r>
    <x v="27"/>
    <x v="15"/>
    <x v="43"/>
    <n v="26"/>
  </r>
  <r>
    <x v="27"/>
    <x v="15"/>
    <x v="44"/>
    <n v="26"/>
  </r>
  <r>
    <x v="27"/>
    <x v="15"/>
    <x v="45"/>
    <n v="26"/>
  </r>
  <r>
    <x v="27"/>
    <x v="15"/>
    <x v="46"/>
    <n v="26"/>
  </r>
  <r>
    <x v="27"/>
    <x v="15"/>
    <x v="47"/>
    <n v="26"/>
  </r>
  <r>
    <x v="27"/>
    <x v="15"/>
    <x v="48"/>
    <n v="26"/>
  </r>
  <r>
    <x v="27"/>
    <x v="15"/>
    <x v="49"/>
    <n v="26"/>
  </r>
  <r>
    <x v="27"/>
    <x v="15"/>
    <x v="50"/>
    <n v="26"/>
  </r>
  <r>
    <x v="27"/>
    <x v="15"/>
    <x v="51"/>
    <n v="26"/>
  </r>
  <r>
    <x v="27"/>
    <x v="15"/>
    <x v="52"/>
    <n v="26"/>
  </r>
  <r>
    <x v="27"/>
    <x v="15"/>
    <x v="53"/>
    <n v="26"/>
  </r>
  <r>
    <x v="27"/>
    <x v="15"/>
    <x v="54"/>
    <n v="26"/>
  </r>
  <r>
    <x v="27"/>
    <x v="15"/>
    <x v="55"/>
    <n v="26"/>
  </r>
  <r>
    <x v="27"/>
    <x v="15"/>
    <x v="56"/>
    <n v="26"/>
  </r>
  <r>
    <x v="27"/>
    <x v="15"/>
    <x v="57"/>
    <n v="26"/>
  </r>
  <r>
    <x v="27"/>
    <x v="15"/>
    <x v="58"/>
    <n v="26"/>
  </r>
  <r>
    <x v="27"/>
    <x v="15"/>
    <x v="59"/>
    <n v="26"/>
  </r>
  <r>
    <x v="27"/>
    <x v="15"/>
    <x v="60"/>
    <n v="26"/>
  </r>
  <r>
    <x v="27"/>
    <x v="15"/>
    <x v="61"/>
    <n v="26"/>
  </r>
  <r>
    <x v="27"/>
    <x v="15"/>
    <x v="62"/>
    <n v="26"/>
  </r>
  <r>
    <x v="27"/>
    <x v="15"/>
    <x v="63"/>
    <n v="26"/>
  </r>
  <r>
    <x v="27"/>
    <x v="15"/>
    <x v="64"/>
    <n v="26"/>
  </r>
  <r>
    <x v="27"/>
    <x v="15"/>
    <x v="65"/>
    <n v="26"/>
  </r>
  <r>
    <x v="27"/>
    <x v="15"/>
    <x v="66"/>
    <n v="26"/>
  </r>
  <r>
    <x v="27"/>
    <x v="15"/>
    <x v="67"/>
    <n v="26"/>
  </r>
  <r>
    <x v="27"/>
    <x v="15"/>
    <x v="68"/>
    <n v="26"/>
  </r>
  <r>
    <x v="27"/>
    <x v="15"/>
    <x v="69"/>
    <n v="26"/>
  </r>
  <r>
    <x v="27"/>
    <x v="15"/>
    <x v="70"/>
    <n v="26"/>
  </r>
  <r>
    <x v="27"/>
    <x v="15"/>
    <x v="71"/>
    <n v="26"/>
  </r>
  <r>
    <x v="27"/>
    <x v="15"/>
    <x v="72"/>
    <n v="26"/>
  </r>
  <r>
    <x v="28"/>
    <x v="16"/>
    <x v="0"/>
    <n v="13"/>
  </r>
  <r>
    <x v="28"/>
    <x v="16"/>
    <x v="1"/>
    <n v="14"/>
  </r>
  <r>
    <x v="28"/>
    <x v="16"/>
    <x v="2"/>
    <n v="24"/>
  </r>
  <r>
    <x v="28"/>
    <x v="16"/>
    <x v="3"/>
    <n v="9"/>
  </r>
  <r>
    <x v="28"/>
    <x v="16"/>
    <x v="4"/>
    <n v="9"/>
  </r>
  <r>
    <x v="28"/>
    <x v="16"/>
    <x v="5"/>
    <n v="23"/>
  </r>
  <r>
    <x v="28"/>
    <x v="16"/>
    <x v="6"/>
    <n v="37"/>
  </r>
  <r>
    <x v="28"/>
    <x v="16"/>
    <x v="7"/>
    <n v="39"/>
  </r>
  <r>
    <x v="28"/>
    <x v="16"/>
    <x v="8"/>
    <n v="41"/>
  </r>
  <r>
    <x v="28"/>
    <x v="16"/>
    <x v="9"/>
    <n v="42"/>
  </r>
  <r>
    <x v="28"/>
    <x v="16"/>
    <x v="10"/>
    <n v="40"/>
  </r>
  <r>
    <x v="28"/>
    <x v="16"/>
    <x v="11"/>
    <n v="50"/>
  </r>
  <r>
    <x v="28"/>
    <x v="16"/>
    <x v="12"/>
    <n v="73"/>
  </r>
  <r>
    <x v="28"/>
    <x v="16"/>
    <x v="13"/>
    <n v="77"/>
  </r>
  <r>
    <x v="28"/>
    <x v="16"/>
    <x v="14"/>
    <n v="76"/>
  </r>
  <r>
    <x v="28"/>
    <x v="16"/>
    <x v="15"/>
    <n v="65"/>
  </r>
  <r>
    <x v="28"/>
    <x v="16"/>
    <x v="16"/>
    <n v="46"/>
  </r>
  <r>
    <x v="28"/>
    <x v="16"/>
    <x v="17"/>
    <n v="24"/>
  </r>
  <r>
    <x v="28"/>
    <x v="16"/>
    <x v="18"/>
    <n v="9"/>
  </r>
  <r>
    <x v="28"/>
    <x v="16"/>
    <x v="19"/>
    <n v="13"/>
  </r>
  <r>
    <x v="28"/>
    <x v="16"/>
    <x v="20"/>
    <n v="13"/>
  </r>
  <r>
    <x v="28"/>
    <x v="16"/>
    <x v="21"/>
    <n v="19"/>
  </r>
  <r>
    <x v="28"/>
    <x v="16"/>
    <x v="22"/>
    <n v="12"/>
  </r>
  <r>
    <x v="28"/>
    <x v="16"/>
    <x v="23"/>
    <n v="20"/>
  </r>
  <r>
    <x v="28"/>
    <x v="16"/>
    <x v="24"/>
    <n v="25"/>
  </r>
  <r>
    <x v="28"/>
    <x v="16"/>
    <x v="25"/>
    <n v="22"/>
  </r>
  <r>
    <x v="28"/>
    <x v="16"/>
    <x v="26"/>
    <n v="22"/>
  </r>
  <r>
    <x v="28"/>
    <x v="16"/>
    <x v="27"/>
    <n v="20"/>
  </r>
  <r>
    <x v="28"/>
    <x v="16"/>
    <x v="28"/>
    <n v="29"/>
  </r>
  <r>
    <x v="28"/>
    <x v="16"/>
    <x v="29"/>
    <n v="29"/>
  </r>
  <r>
    <x v="28"/>
    <x v="16"/>
    <x v="30"/>
    <n v="29"/>
  </r>
  <r>
    <x v="28"/>
    <x v="16"/>
    <x v="31"/>
    <n v="29"/>
  </r>
  <r>
    <x v="28"/>
    <x v="16"/>
    <x v="32"/>
    <n v="29"/>
  </r>
  <r>
    <x v="28"/>
    <x v="16"/>
    <x v="33"/>
    <n v="29"/>
  </r>
  <r>
    <x v="28"/>
    <x v="16"/>
    <x v="34"/>
    <n v="29"/>
  </r>
  <r>
    <x v="28"/>
    <x v="16"/>
    <x v="35"/>
    <n v="29"/>
  </r>
  <r>
    <x v="28"/>
    <x v="16"/>
    <x v="36"/>
    <n v="29"/>
  </r>
  <r>
    <x v="28"/>
    <x v="16"/>
    <x v="37"/>
    <n v="29"/>
  </r>
  <r>
    <x v="28"/>
    <x v="16"/>
    <x v="38"/>
    <n v="29"/>
  </r>
  <r>
    <x v="28"/>
    <x v="16"/>
    <x v="39"/>
    <n v="29"/>
  </r>
  <r>
    <x v="28"/>
    <x v="16"/>
    <x v="40"/>
    <n v="29"/>
  </r>
  <r>
    <x v="28"/>
    <x v="16"/>
    <x v="41"/>
    <n v="29"/>
  </r>
  <r>
    <x v="28"/>
    <x v="16"/>
    <x v="42"/>
    <n v="29"/>
  </r>
  <r>
    <x v="28"/>
    <x v="16"/>
    <x v="43"/>
    <n v="29"/>
  </r>
  <r>
    <x v="28"/>
    <x v="16"/>
    <x v="44"/>
    <n v="29"/>
  </r>
  <r>
    <x v="28"/>
    <x v="16"/>
    <x v="45"/>
    <n v="29"/>
  </r>
  <r>
    <x v="28"/>
    <x v="16"/>
    <x v="46"/>
    <n v="29"/>
  </r>
  <r>
    <x v="28"/>
    <x v="16"/>
    <x v="47"/>
    <n v="29"/>
  </r>
  <r>
    <x v="28"/>
    <x v="16"/>
    <x v="48"/>
    <n v="29"/>
  </r>
  <r>
    <x v="28"/>
    <x v="16"/>
    <x v="49"/>
    <n v="29"/>
  </r>
  <r>
    <x v="28"/>
    <x v="16"/>
    <x v="50"/>
    <n v="29"/>
  </r>
  <r>
    <x v="28"/>
    <x v="16"/>
    <x v="51"/>
    <n v="29"/>
  </r>
  <r>
    <x v="28"/>
    <x v="16"/>
    <x v="52"/>
    <n v="29"/>
  </r>
  <r>
    <x v="28"/>
    <x v="16"/>
    <x v="53"/>
    <n v="29"/>
  </r>
  <r>
    <x v="28"/>
    <x v="16"/>
    <x v="54"/>
    <n v="29"/>
  </r>
  <r>
    <x v="28"/>
    <x v="16"/>
    <x v="55"/>
    <n v="29"/>
  </r>
  <r>
    <x v="28"/>
    <x v="16"/>
    <x v="56"/>
    <n v="29"/>
  </r>
  <r>
    <x v="28"/>
    <x v="16"/>
    <x v="57"/>
    <n v="29"/>
  </r>
  <r>
    <x v="28"/>
    <x v="16"/>
    <x v="58"/>
    <n v="29"/>
  </r>
  <r>
    <x v="28"/>
    <x v="16"/>
    <x v="59"/>
    <n v="29"/>
  </r>
  <r>
    <x v="28"/>
    <x v="16"/>
    <x v="60"/>
    <n v="29"/>
  </r>
  <r>
    <x v="28"/>
    <x v="16"/>
    <x v="61"/>
    <n v="29"/>
  </r>
  <r>
    <x v="28"/>
    <x v="16"/>
    <x v="62"/>
    <n v="29"/>
  </r>
  <r>
    <x v="28"/>
    <x v="16"/>
    <x v="63"/>
    <n v="29"/>
  </r>
  <r>
    <x v="28"/>
    <x v="16"/>
    <x v="64"/>
    <n v="29"/>
  </r>
  <r>
    <x v="28"/>
    <x v="16"/>
    <x v="65"/>
    <n v="29"/>
  </r>
  <r>
    <x v="28"/>
    <x v="16"/>
    <x v="66"/>
    <n v="29"/>
  </r>
  <r>
    <x v="28"/>
    <x v="16"/>
    <x v="67"/>
    <n v="29"/>
  </r>
  <r>
    <x v="28"/>
    <x v="16"/>
    <x v="68"/>
    <n v="29"/>
  </r>
  <r>
    <x v="28"/>
    <x v="16"/>
    <x v="69"/>
    <n v="29"/>
  </r>
  <r>
    <x v="28"/>
    <x v="16"/>
    <x v="70"/>
    <n v="29"/>
  </r>
  <r>
    <x v="28"/>
    <x v="16"/>
    <x v="71"/>
    <n v="29"/>
  </r>
  <r>
    <x v="28"/>
    <x v="16"/>
    <x v="72"/>
    <n v="29"/>
  </r>
  <r>
    <x v="29"/>
    <x v="17"/>
    <x v="0"/>
    <n v="13"/>
  </r>
  <r>
    <x v="29"/>
    <x v="17"/>
    <x v="1"/>
    <n v="14"/>
  </r>
  <r>
    <x v="29"/>
    <x v="17"/>
    <x v="2"/>
    <n v="3"/>
  </r>
  <r>
    <x v="29"/>
    <x v="17"/>
    <x v="3"/>
    <n v="1"/>
  </r>
  <r>
    <x v="29"/>
    <x v="17"/>
    <x v="4"/>
    <n v="1"/>
  </r>
  <r>
    <x v="29"/>
    <x v="17"/>
    <x v="5"/>
    <n v="1"/>
  </r>
  <r>
    <x v="29"/>
    <x v="17"/>
    <x v="6"/>
    <n v="4"/>
  </r>
  <r>
    <x v="29"/>
    <x v="17"/>
    <x v="7"/>
    <n v="6"/>
  </r>
  <r>
    <x v="29"/>
    <x v="17"/>
    <x v="8"/>
    <n v="8"/>
  </r>
  <r>
    <x v="29"/>
    <x v="17"/>
    <x v="9"/>
    <n v="10"/>
  </r>
  <r>
    <x v="29"/>
    <x v="17"/>
    <x v="10"/>
    <n v="9"/>
  </r>
  <r>
    <x v="29"/>
    <x v="17"/>
    <x v="11"/>
    <n v="12"/>
  </r>
  <r>
    <x v="29"/>
    <x v="17"/>
    <x v="12"/>
    <n v="7"/>
  </r>
  <r>
    <x v="29"/>
    <x v="17"/>
    <x v="13"/>
    <n v="6"/>
  </r>
  <r>
    <x v="29"/>
    <x v="17"/>
    <x v="14"/>
    <n v="5"/>
  </r>
  <r>
    <x v="29"/>
    <x v="17"/>
    <x v="15"/>
    <n v="5"/>
  </r>
  <r>
    <x v="29"/>
    <x v="17"/>
    <x v="16"/>
    <n v="4"/>
  </r>
  <r>
    <x v="29"/>
    <x v="17"/>
    <x v="17"/>
    <n v="3"/>
  </r>
  <r>
    <x v="29"/>
    <x v="17"/>
    <x v="18"/>
    <n v="2"/>
  </r>
  <r>
    <x v="29"/>
    <x v="17"/>
    <x v="19"/>
    <n v="2"/>
  </r>
  <r>
    <x v="29"/>
    <x v="17"/>
    <x v="20"/>
    <n v="2"/>
  </r>
  <r>
    <x v="29"/>
    <x v="17"/>
    <x v="21"/>
    <n v="9"/>
  </r>
  <r>
    <x v="29"/>
    <x v="17"/>
    <x v="22"/>
    <n v="13"/>
  </r>
  <r>
    <x v="29"/>
    <x v="17"/>
    <x v="23"/>
    <n v="23"/>
  </r>
  <r>
    <x v="29"/>
    <x v="17"/>
    <x v="24"/>
    <n v="22"/>
  </r>
  <r>
    <x v="29"/>
    <x v="17"/>
    <x v="25"/>
    <n v="27"/>
  </r>
  <r>
    <x v="29"/>
    <x v="17"/>
    <x v="26"/>
    <n v="27"/>
  </r>
  <r>
    <x v="29"/>
    <x v="17"/>
    <x v="27"/>
    <n v="22"/>
  </r>
  <r>
    <x v="29"/>
    <x v="17"/>
    <x v="28"/>
    <n v="30"/>
  </r>
  <r>
    <x v="29"/>
    <x v="17"/>
    <x v="29"/>
    <n v="30"/>
  </r>
  <r>
    <x v="29"/>
    <x v="17"/>
    <x v="30"/>
    <n v="30"/>
  </r>
  <r>
    <x v="29"/>
    <x v="17"/>
    <x v="31"/>
    <n v="30"/>
  </r>
  <r>
    <x v="29"/>
    <x v="17"/>
    <x v="32"/>
    <n v="30"/>
  </r>
  <r>
    <x v="29"/>
    <x v="17"/>
    <x v="33"/>
    <n v="30"/>
  </r>
  <r>
    <x v="29"/>
    <x v="17"/>
    <x v="34"/>
    <n v="30"/>
  </r>
  <r>
    <x v="29"/>
    <x v="17"/>
    <x v="35"/>
    <n v="30"/>
  </r>
  <r>
    <x v="29"/>
    <x v="17"/>
    <x v="36"/>
    <n v="30"/>
  </r>
  <r>
    <x v="29"/>
    <x v="17"/>
    <x v="37"/>
    <n v="30"/>
  </r>
  <r>
    <x v="29"/>
    <x v="17"/>
    <x v="38"/>
    <n v="30"/>
  </r>
  <r>
    <x v="29"/>
    <x v="17"/>
    <x v="39"/>
    <n v="30"/>
  </r>
  <r>
    <x v="29"/>
    <x v="17"/>
    <x v="40"/>
    <n v="30"/>
  </r>
  <r>
    <x v="29"/>
    <x v="17"/>
    <x v="41"/>
    <n v="30"/>
  </r>
  <r>
    <x v="29"/>
    <x v="17"/>
    <x v="42"/>
    <n v="30"/>
  </r>
  <r>
    <x v="29"/>
    <x v="17"/>
    <x v="43"/>
    <n v="30"/>
  </r>
  <r>
    <x v="29"/>
    <x v="17"/>
    <x v="44"/>
    <n v="30"/>
  </r>
  <r>
    <x v="29"/>
    <x v="17"/>
    <x v="45"/>
    <n v="30"/>
  </r>
  <r>
    <x v="29"/>
    <x v="17"/>
    <x v="46"/>
    <n v="30"/>
  </r>
  <r>
    <x v="29"/>
    <x v="17"/>
    <x v="47"/>
    <n v="30"/>
  </r>
  <r>
    <x v="29"/>
    <x v="17"/>
    <x v="48"/>
    <n v="30"/>
  </r>
  <r>
    <x v="29"/>
    <x v="17"/>
    <x v="49"/>
    <n v="30"/>
  </r>
  <r>
    <x v="29"/>
    <x v="17"/>
    <x v="50"/>
    <n v="30"/>
  </r>
  <r>
    <x v="29"/>
    <x v="17"/>
    <x v="51"/>
    <n v="30"/>
  </r>
  <r>
    <x v="29"/>
    <x v="17"/>
    <x v="52"/>
    <n v="30"/>
  </r>
  <r>
    <x v="29"/>
    <x v="17"/>
    <x v="53"/>
    <n v="30"/>
  </r>
  <r>
    <x v="29"/>
    <x v="17"/>
    <x v="54"/>
    <n v="30"/>
  </r>
  <r>
    <x v="29"/>
    <x v="17"/>
    <x v="55"/>
    <n v="30"/>
  </r>
  <r>
    <x v="29"/>
    <x v="17"/>
    <x v="56"/>
    <n v="30"/>
  </r>
  <r>
    <x v="29"/>
    <x v="17"/>
    <x v="57"/>
    <n v="30"/>
  </r>
  <r>
    <x v="29"/>
    <x v="17"/>
    <x v="58"/>
    <n v="30"/>
  </r>
  <r>
    <x v="29"/>
    <x v="17"/>
    <x v="59"/>
    <n v="30"/>
  </r>
  <r>
    <x v="29"/>
    <x v="17"/>
    <x v="60"/>
    <n v="30"/>
  </r>
  <r>
    <x v="29"/>
    <x v="17"/>
    <x v="61"/>
    <n v="30"/>
  </r>
  <r>
    <x v="29"/>
    <x v="17"/>
    <x v="62"/>
    <n v="30"/>
  </r>
  <r>
    <x v="29"/>
    <x v="17"/>
    <x v="63"/>
    <n v="30"/>
  </r>
  <r>
    <x v="29"/>
    <x v="17"/>
    <x v="64"/>
    <n v="30"/>
  </r>
  <r>
    <x v="29"/>
    <x v="17"/>
    <x v="65"/>
    <n v="30"/>
  </r>
  <r>
    <x v="29"/>
    <x v="17"/>
    <x v="66"/>
    <n v="30"/>
  </r>
  <r>
    <x v="29"/>
    <x v="17"/>
    <x v="67"/>
    <n v="30"/>
  </r>
  <r>
    <x v="29"/>
    <x v="17"/>
    <x v="68"/>
    <n v="30"/>
  </r>
  <r>
    <x v="29"/>
    <x v="17"/>
    <x v="69"/>
    <n v="30"/>
  </r>
  <r>
    <x v="29"/>
    <x v="17"/>
    <x v="70"/>
    <n v="30"/>
  </r>
  <r>
    <x v="29"/>
    <x v="17"/>
    <x v="71"/>
    <n v="30"/>
  </r>
  <r>
    <x v="29"/>
    <x v="17"/>
    <x v="72"/>
    <n v="30"/>
  </r>
  <r>
    <x v="30"/>
    <x v="17"/>
    <x v="0"/>
    <n v="13"/>
  </r>
  <r>
    <x v="30"/>
    <x v="17"/>
    <x v="1"/>
    <n v="62"/>
  </r>
  <r>
    <x v="30"/>
    <x v="17"/>
    <x v="2"/>
    <n v="50"/>
  </r>
  <r>
    <x v="30"/>
    <x v="17"/>
    <x v="3"/>
    <n v="54"/>
  </r>
  <r>
    <x v="30"/>
    <x v="17"/>
    <x v="4"/>
    <n v="55"/>
  </r>
  <r>
    <x v="30"/>
    <x v="17"/>
    <x v="5"/>
    <n v="53"/>
  </r>
  <r>
    <x v="30"/>
    <x v="17"/>
    <x v="6"/>
    <n v="61"/>
  </r>
  <r>
    <x v="30"/>
    <x v="17"/>
    <x v="7"/>
    <n v="65"/>
  </r>
  <r>
    <x v="30"/>
    <x v="17"/>
    <x v="8"/>
    <n v="64"/>
  </r>
  <r>
    <x v="30"/>
    <x v="17"/>
    <x v="9"/>
    <n v="65"/>
  </r>
  <r>
    <x v="30"/>
    <x v="17"/>
    <x v="10"/>
    <n v="75"/>
  </r>
  <r>
    <x v="30"/>
    <x v="17"/>
    <x v="11"/>
    <n v="76"/>
  </r>
  <r>
    <x v="30"/>
    <x v="17"/>
    <x v="12"/>
    <n v="50"/>
  </r>
  <r>
    <x v="30"/>
    <x v="17"/>
    <x v="13"/>
    <n v="35"/>
  </r>
  <r>
    <x v="30"/>
    <x v="17"/>
    <x v="14"/>
    <n v="36"/>
  </r>
  <r>
    <x v="30"/>
    <x v="17"/>
    <x v="15"/>
    <n v="27"/>
  </r>
  <r>
    <x v="30"/>
    <x v="17"/>
    <x v="16"/>
    <n v="32"/>
  </r>
  <r>
    <x v="30"/>
    <x v="17"/>
    <x v="17"/>
    <n v="37"/>
  </r>
  <r>
    <x v="30"/>
    <x v="17"/>
    <x v="18"/>
    <n v="42"/>
  </r>
  <r>
    <x v="30"/>
    <x v="17"/>
    <x v="19"/>
    <n v="41"/>
  </r>
  <r>
    <x v="30"/>
    <x v="17"/>
    <x v="20"/>
    <n v="36"/>
  </r>
  <r>
    <x v="30"/>
    <x v="17"/>
    <x v="21"/>
    <n v="40"/>
  </r>
  <r>
    <x v="30"/>
    <x v="17"/>
    <x v="22"/>
    <n v="32"/>
  </r>
  <r>
    <x v="30"/>
    <x v="17"/>
    <x v="23"/>
    <n v="20"/>
  </r>
  <r>
    <x v="30"/>
    <x v="17"/>
    <x v="24"/>
    <n v="15"/>
  </r>
  <r>
    <x v="30"/>
    <x v="17"/>
    <x v="25"/>
    <n v="18"/>
  </r>
  <r>
    <x v="30"/>
    <x v="17"/>
    <x v="26"/>
    <n v="18"/>
  </r>
  <r>
    <x v="30"/>
    <x v="17"/>
    <x v="27"/>
    <n v="22"/>
  </r>
  <r>
    <x v="30"/>
    <x v="17"/>
    <x v="28"/>
    <n v="30"/>
  </r>
  <r>
    <x v="30"/>
    <x v="17"/>
    <x v="29"/>
    <n v="30"/>
  </r>
  <r>
    <x v="30"/>
    <x v="17"/>
    <x v="30"/>
    <n v="30"/>
  </r>
  <r>
    <x v="30"/>
    <x v="17"/>
    <x v="31"/>
    <n v="30"/>
  </r>
  <r>
    <x v="30"/>
    <x v="17"/>
    <x v="32"/>
    <n v="30"/>
  </r>
  <r>
    <x v="30"/>
    <x v="17"/>
    <x v="33"/>
    <n v="30"/>
  </r>
  <r>
    <x v="30"/>
    <x v="17"/>
    <x v="34"/>
    <n v="30"/>
  </r>
  <r>
    <x v="30"/>
    <x v="17"/>
    <x v="35"/>
    <n v="30"/>
  </r>
  <r>
    <x v="30"/>
    <x v="17"/>
    <x v="36"/>
    <n v="30"/>
  </r>
  <r>
    <x v="30"/>
    <x v="17"/>
    <x v="37"/>
    <n v="30"/>
  </r>
  <r>
    <x v="30"/>
    <x v="17"/>
    <x v="38"/>
    <n v="30"/>
  </r>
  <r>
    <x v="30"/>
    <x v="17"/>
    <x v="39"/>
    <n v="30"/>
  </r>
  <r>
    <x v="30"/>
    <x v="17"/>
    <x v="40"/>
    <n v="30"/>
  </r>
  <r>
    <x v="30"/>
    <x v="17"/>
    <x v="41"/>
    <n v="30"/>
  </r>
  <r>
    <x v="30"/>
    <x v="17"/>
    <x v="42"/>
    <n v="30"/>
  </r>
  <r>
    <x v="30"/>
    <x v="17"/>
    <x v="43"/>
    <n v="30"/>
  </r>
  <r>
    <x v="30"/>
    <x v="17"/>
    <x v="44"/>
    <n v="30"/>
  </r>
  <r>
    <x v="30"/>
    <x v="17"/>
    <x v="45"/>
    <n v="30"/>
  </r>
  <r>
    <x v="30"/>
    <x v="17"/>
    <x v="46"/>
    <n v="30"/>
  </r>
  <r>
    <x v="30"/>
    <x v="17"/>
    <x v="47"/>
    <n v="30"/>
  </r>
  <r>
    <x v="30"/>
    <x v="17"/>
    <x v="48"/>
    <n v="30"/>
  </r>
  <r>
    <x v="30"/>
    <x v="17"/>
    <x v="49"/>
    <n v="30"/>
  </r>
  <r>
    <x v="30"/>
    <x v="17"/>
    <x v="50"/>
    <n v="30"/>
  </r>
  <r>
    <x v="30"/>
    <x v="17"/>
    <x v="51"/>
    <n v="30"/>
  </r>
  <r>
    <x v="30"/>
    <x v="17"/>
    <x v="52"/>
    <n v="30"/>
  </r>
  <r>
    <x v="30"/>
    <x v="17"/>
    <x v="53"/>
    <n v="30"/>
  </r>
  <r>
    <x v="30"/>
    <x v="17"/>
    <x v="54"/>
    <n v="30"/>
  </r>
  <r>
    <x v="30"/>
    <x v="17"/>
    <x v="55"/>
    <n v="30"/>
  </r>
  <r>
    <x v="30"/>
    <x v="17"/>
    <x v="56"/>
    <n v="30"/>
  </r>
  <r>
    <x v="30"/>
    <x v="17"/>
    <x v="57"/>
    <n v="30"/>
  </r>
  <r>
    <x v="30"/>
    <x v="17"/>
    <x v="58"/>
    <n v="30"/>
  </r>
  <r>
    <x v="30"/>
    <x v="17"/>
    <x v="59"/>
    <n v="30"/>
  </r>
  <r>
    <x v="30"/>
    <x v="17"/>
    <x v="60"/>
    <n v="30"/>
  </r>
  <r>
    <x v="30"/>
    <x v="17"/>
    <x v="61"/>
    <n v="30"/>
  </r>
  <r>
    <x v="30"/>
    <x v="17"/>
    <x v="62"/>
    <n v="30"/>
  </r>
  <r>
    <x v="30"/>
    <x v="17"/>
    <x v="63"/>
    <n v="30"/>
  </r>
  <r>
    <x v="30"/>
    <x v="17"/>
    <x v="64"/>
    <n v="30"/>
  </r>
  <r>
    <x v="30"/>
    <x v="17"/>
    <x v="65"/>
    <n v="30"/>
  </r>
  <r>
    <x v="30"/>
    <x v="17"/>
    <x v="66"/>
    <n v="30"/>
  </r>
  <r>
    <x v="30"/>
    <x v="17"/>
    <x v="67"/>
    <n v="30"/>
  </r>
  <r>
    <x v="30"/>
    <x v="17"/>
    <x v="68"/>
    <n v="30"/>
  </r>
  <r>
    <x v="30"/>
    <x v="17"/>
    <x v="69"/>
    <n v="30"/>
  </r>
  <r>
    <x v="30"/>
    <x v="17"/>
    <x v="70"/>
    <n v="30"/>
  </r>
  <r>
    <x v="30"/>
    <x v="17"/>
    <x v="71"/>
    <n v="30"/>
  </r>
  <r>
    <x v="30"/>
    <x v="17"/>
    <x v="72"/>
    <n v="30"/>
  </r>
  <r>
    <x v="31"/>
    <x v="18"/>
    <x v="0"/>
    <n v="65"/>
  </r>
  <r>
    <x v="31"/>
    <x v="18"/>
    <x v="1"/>
    <n v="62"/>
  </r>
  <r>
    <x v="31"/>
    <x v="18"/>
    <x v="2"/>
    <n v="75"/>
  </r>
  <r>
    <x v="31"/>
    <x v="18"/>
    <x v="3"/>
    <n v="38"/>
  </r>
  <r>
    <x v="31"/>
    <x v="18"/>
    <x v="4"/>
    <n v="38"/>
  </r>
  <r>
    <x v="31"/>
    <x v="18"/>
    <x v="5"/>
    <n v="9"/>
  </r>
  <r>
    <x v="31"/>
    <x v="18"/>
    <x v="6"/>
    <n v="5"/>
  </r>
  <r>
    <x v="31"/>
    <x v="18"/>
    <x v="7"/>
    <n v="8"/>
  </r>
  <r>
    <x v="31"/>
    <x v="18"/>
    <x v="8"/>
    <n v="3"/>
  </r>
  <r>
    <x v="31"/>
    <x v="18"/>
    <x v="9"/>
    <n v="2"/>
  </r>
  <r>
    <x v="31"/>
    <x v="18"/>
    <x v="10"/>
    <n v="2"/>
  </r>
  <r>
    <x v="31"/>
    <x v="18"/>
    <x v="11"/>
    <n v="3"/>
  </r>
  <r>
    <x v="31"/>
    <x v="18"/>
    <x v="12"/>
    <n v="10"/>
  </r>
  <r>
    <x v="31"/>
    <x v="18"/>
    <x v="13"/>
    <n v="10"/>
  </r>
  <r>
    <x v="31"/>
    <x v="18"/>
    <x v="14"/>
    <n v="9"/>
  </r>
  <r>
    <x v="31"/>
    <x v="18"/>
    <x v="15"/>
    <n v="3"/>
  </r>
  <r>
    <x v="31"/>
    <x v="18"/>
    <x v="16"/>
    <n v="7"/>
  </r>
  <r>
    <x v="31"/>
    <x v="18"/>
    <x v="17"/>
    <n v="9"/>
  </r>
  <r>
    <x v="31"/>
    <x v="18"/>
    <x v="18"/>
    <n v="16"/>
  </r>
  <r>
    <x v="31"/>
    <x v="18"/>
    <x v="19"/>
    <n v="13"/>
  </r>
  <r>
    <x v="31"/>
    <x v="18"/>
    <x v="20"/>
    <n v="13"/>
  </r>
  <r>
    <x v="31"/>
    <x v="18"/>
    <x v="21"/>
    <n v="19"/>
  </r>
  <r>
    <x v="31"/>
    <x v="18"/>
    <x v="22"/>
    <n v="39"/>
  </r>
  <r>
    <x v="31"/>
    <x v="18"/>
    <x v="23"/>
    <n v="49"/>
  </r>
  <r>
    <x v="31"/>
    <x v="18"/>
    <x v="24"/>
    <n v="49"/>
  </r>
  <r>
    <x v="31"/>
    <x v="18"/>
    <x v="25"/>
    <n v="50"/>
  </r>
  <r>
    <x v="31"/>
    <x v="18"/>
    <x v="26"/>
    <n v="51"/>
  </r>
  <r>
    <x v="31"/>
    <x v="18"/>
    <x v="27"/>
    <n v="49"/>
  </r>
  <r>
    <x v="31"/>
    <x v="18"/>
    <x v="28"/>
    <n v="32"/>
  </r>
  <r>
    <x v="31"/>
    <x v="18"/>
    <x v="29"/>
    <n v="32"/>
  </r>
  <r>
    <x v="31"/>
    <x v="18"/>
    <x v="30"/>
    <n v="32"/>
  </r>
  <r>
    <x v="31"/>
    <x v="18"/>
    <x v="31"/>
    <n v="32"/>
  </r>
  <r>
    <x v="31"/>
    <x v="18"/>
    <x v="32"/>
    <n v="32"/>
  </r>
  <r>
    <x v="31"/>
    <x v="18"/>
    <x v="33"/>
    <n v="32"/>
  </r>
  <r>
    <x v="31"/>
    <x v="18"/>
    <x v="34"/>
    <n v="32"/>
  </r>
  <r>
    <x v="31"/>
    <x v="18"/>
    <x v="35"/>
    <n v="32"/>
  </r>
  <r>
    <x v="31"/>
    <x v="18"/>
    <x v="36"/>
    <n v="32"/>
  </r>
  <r>
    <x v="31"/>
    <x v="18"/>
    <x v="37"/>
    <n v="32"/>
  </r>
  <r>
    <x v="31"/>
    <x v="18"/>
    <x v="38"/>
    <n v="32"/>
  </r>
  <r>
    <x v="31"/>
    <x v="18"/>
    <x v="39"/>
    <n v="32"/>
  </r>
  <r>
    <x v="31"/>
    <x v="18"/>
    <x v="40"/>
    <n v="32"/>
  </r>
  <r>
    <x v="31"/>
    <x v="18"/>
    <x v="41"/>
    <n v="32"/>
  </r>
  <r>
    <x v="31"/>
    <x v="18"/>
    <x v="42"/>
    <n v="32"/>
  </r>
  <r>
    <x v="31"/>
    <x v="18"/>
    <x v="43"/>
    <n v="32"/>
  </r>
  <r>
    <x v="31"/>
    <x v="18"/>
    <x v="44"/>
    <n v="32"/>
  </r>
  <r>
    <x v="31"/>
    <x v="18"/>
    <x v="45"/>
    <n v="32"/>
  </r>
  <r>
    <x v="31"/>
    <x v="18"/>
    <x v="46"/>
    <n v="32"/>
  </r>
  <r>
    <x v="31"/>
    <x v="18"/>
    <x v="47"/>
    <n v="32"/>
  </r>
  <r>
    <x v="31"/>
    <x v="18"/>
    <x v="48"/>
    <n v="32"/>
  </r>
  <r>
    <x v="31"/>
    <x v="18"/>
    <x v="49"/>
    <n v="32"/>
  </r>
  <r>
    <x v="31"/>
    <x v="18"/>
    <x v="50"/>
    <n v="32"/>
  </r>
  <r>
    <x v="31"/>
    <x v="18"/>
    <x v="51"/>
    <n v="32"/>
  </r>
  <r>
    <x v="31"/>
    <x v="18"/>
    <x v="52"/>
    <n v="32"/>
  </r>
  <r>
    <x v="31"/>
    <x v="18"/>
    <x v="53"/>
    <n v="32"/>
  </r>
  <r>
    <x v="31"/>
    <x v="18"/>
    <x v="54"/>
    <n v="32"/>
  </r>
  <r>
    <x v="31"/>
    <x v="18"/>
    <x v="55"/>
    <n v="32"/>
  </r>
  <r>
    <x v="31"/>
    <x v="18"/>
    <x v="56"/>
    <n v="32"/>
  </r>
  <r>
    <x v="31"/>
    <x v="18"/>
    <x v="57"/>
    <n v="32"/>
  </r>
  <r>
    <x v="31"/>
    <x v="18"/>
    <x v="58"/>
    <n v="32"/>
  </r>
  <r>
    <x v="31"/>
    <x v="18"/>
    <x v="59"/>
    <n v="32"/>
  </r>
  <r>
    <x v="31"/>
    <x v="18"/>
    <x v="60"/>
    <n v="32"/>
  </r>
  <r>
    <x v="31"/>
    <x v="18"/>
    <x v="61"/>
    <n v="32"/>
  </r>
  <r>
    <x v="31"/>
    <x v="18"/>
    <x v="62"/>
    <n v="32"/>
  </r>
  <r>
    <x v="31"/>
    <x v="18"/>
    <x v="63"/>
    <n v="32"/>
  </r>
  <r>
    <x v="31"/>
    <x v="18"/>
    <x v="64"/>
    <n v="32"/>
  </r>
  <r>
    <x v="31"/>
    <x v="18"/>
    <x v="65"/>
    <n v="32"/>
  </r>
  <r>
    <x v="31"/>
    <x v="18"/>
    <x v="66"/>
    <n v="32"/>
  </r>
  <r>
    <x v="31"/>
    <x v="18"/>
    <x v="67"/>
    <n v="32"/>
  </r>
  <r>
    <x v="31"/>
    <x v="18"/>
    <x v="68"/>
    <n v="32"/>
  </r>
  <r>
    <x v="31"/>
    <x v="18"/>
    <x v="69"/>
    <n v="32"/>
  </r>
  <r>
    <x v="31"/>
    <x v="18"/>
    <x v="70"/>
    <n v="32"/>
  </r>
  <r>
    <x v="31"/>
    <x v="18"/>
    <x v="71"/>
    <n v="32"/>
  </r>
  <r>
    <x v="31"/>
    <x v="18"/>
    <x v="72"/>
    <n v="32"/>
  </r>
  <r>
    <x v="32"/>
    <x v="18"/>
    <x v="0"/>
    <n v="13"/>
  </r>
  <r>
    <x v="32"/>
    <x v="18"/>
    <x v="1"/>
    <n v="14"/>
  </r>
  <r>
    <x v="32"/>
    <x v="18"/>
    <x v="2"/>
    <n v="24"/>
  </r>
  <r>
    <x v="32"/>
    <x v="18"/>
    <x v="3"/>
    <n v="71"/>
  </r>
  <r>
    <x v="32"/>
    <x v="18"/>
    <x v="4"/>
    <n v="71"/>
  </r>
  <r>
    <x v="32"/>
    <x v="18"/>
    <x v="5"/>
    <n v="71"/>
  </r>
  <r>
    <x v="32"/>
    <x v="18"/>
    <x v="6"/>
    <n v="59"/>
  </r>
  <r>
    <x v="32"/>
    <x v="18"/>
    <x v="7"/>
    <n v="61"/>
  </r>
  <r>
    <x v="32"/>
    <x v="18"/>
    <x v="8"/>
    <n v="60"/>
  </r>
  <r>
    <x v="32"/>
    <x v="18"/>
    <x v="9"/>
    <n v="62"/>
  </r>
  <r>
    <x v="32"/>
    <x v="18"/>
    <x v="10"/>
    <n v="69"/>
  </r>
  <r>
    <x v="32"/>
    <x v="18"/>
    <x v="11"/>
    <n v="62"/>
  </r>
  <r>
    <x v="32"/>
    <x v="18"/>
    <x v="12"/>
    <n v="56"/>
  </r>
  <r>
    <x v="32"/>
    <x v="18"/>
    <x v="13"/>
    <n v="43"/>
  </r>
  <r>
    <x v="32"/>
    <x v="18"/>
    <x v="14"/>
    <n v="43"/>
  </r>
  <r>
    <x v="32"/>
    <x v="18"/>
    <x v="15"/>
    <n v="49"/>
  </r>
  <r>
    <x v="32"/>
    <x v="18"/>
    <x v="16"/>
    <n v="32"/>
  </r>
  <r>
    <x v="32"/>
    <x v="18"/>
    <x v="17"/>
    <n v="37"/>
  </r>
  <r>
    <x v="32"/>
    <x v="18"/>
    <x v="18"/>
    <n v="42"/>
  </r>
  <r>
    <x v="32"/>
    <x v="18"/>
    <x v="19"/>
    <n v="41"/>
  </r>
  <r>
    <x v="32"/>
    <x v="18"/>
    <x v="20"/>
    <n v="36"/>
  </r>
  <r>
    <x v="32"/>
    <x v="18"/>
    <x v="21"/>
    <n v="40"/>
  </r>
  <r>
    <x v="32"/>
    <x v="18"/>
    <x v="22"/>
    <n v="32"/>
  </r>
  <r>
    <x v="32"/>
    <x v="18"/>
    <x v="23"/>
    <n v="43"/>
  </r>
  <r>
    <x v="32"/>
    <x v="18"/>
    <x v="24"/>
    <n v="43"/>
  </r>
  <r>
    <x v="32"/>
    <x v="18"/>
    <x v="25"/>
    <n v="50"/>
  </r>
  <r>
    <x v="32"/>
    <x v="18"/>
    <x v="26"/>
    <n v="51"/>
  </r>
  <r>
    <x v="32"/>
    <x v="18"/>
    <x v="27"/>
    <n v="49"/>
  </r>
  <r>
    <x v="32"/>
    <x v="18"/>
    <x v="28"/>
    <n v="32"/>
  </r>
  <r>
    <x v="32"/>
    <x v="18"/>
    <x v="29"/>
    <n v="32"/>
  </r>
  <r>
    <x v="32"/>
    <x v="18"/>
    <x v="30"/>
    <n v="32"/>
  </r>
  <r>
    <x v="32"/>
    <x v="18"/>
    <x v="31"/>
    <n v="32"/>
  </r>
  <r>
    <x v="32"/>
    <x v="18"/>
    <x v="32"/>
    <n v="32"/>
  </r>
  <r>
    <x v="32"/>
    <x v="18"/>
    <x v="33"/>
    <n v="32"/>
  </r>
  <r>
    <x v="32"/>
    <x v="18"/>
    <x v="34"/>
    <n v="32"/>
  </r>
  <r>
    <x v="32"/>
    <x v="18"/>
    <x v="35"/>
    <n v="32"/>
  </r>
  <r>
    <x v="32"/>
    <x v="18"/>
    <x v="36"/>
    <n v="32"/>
  </r>
  <r>
    <x v="32"/>
    <x v="18"/>
    <x v="37"/>
    <n v="32"/>
  </r>
  <r>
    <x v="32"/>
    <x v="18"/>
    <x v="38"/>
    <n v="32"/>
  </r>
  <r>
    <x v="32"/>
    <x v="18"/>
    <x v="39"/>
    <n v="32"/>
  </r>
  <r>
    <x v="32"/>
    <x v="18"/>
    <x v="40"/>
    <n v="32"/>
  </r>
  <r>
    <x v="32"/>
    <x v="18"/>
    <x v="41"/>
    <n v="32"/>
  </r>
  <r>
    <x v="32"/>
    <x v="18"/>
    <x v="42"/>
    <n v="32"/>
  </r>
  <r>
    <x v="32"/>
    <x v="18"/>
    <x v="43"/>
    <n v="32"/>
  </r>
  <r>
    <x v="32"/>
    <x v="18"/>
    <x v="44"/>
    <n v="32"/>
  </r>
  <r>
    <x v="32"/>
    <x v="18"/>
    <x v="45"/>
    <n v="32"/>
  </r>
  <r>
    <x v="32"/>
    <x v="18"/>
    <x v="46"/>
    <n v="32"/>
  </r>
  <r>
    <x v="32"/>
    <x v="18"/>
    <x v="47"/>
    <n v="32"/>
  </r>
  <r>
    <x v="32"/>
    <x v="18"/>
    <x v="48"/>
    <n v="32"/>
  </r>
  <r>
    <x v="32"/>
    <x v="18"/>
    <x v="49"/>
    <n v="32"/>
  </r>
  <r>
    <x v="32"/>
    <x v="18"/>
    <x v="50"/>
    <n v="32"/>
  </r>
  <r>
    <x v="32"/>
    <x v="18"/>
    <x v="51"/>
    <n v="32"/>
  </r>
  <r>
    <x v="32"/>
    <x v="18"/>
    <x v="52"/>
    <n v="32"/>
  </r>
  <r>
    <x v="32"/>
    <x v="18"/>
    <x v="53"/>
    <n v="32"/>
  </r>
  <r>
    <x v="32"/>
    <x v="18"/>
    <x v="54"/>
    <n v="32"/>
  </r>
  <r>
    <x v="32"/>
    <x v="18"/>
    <x v="55"/>
    <n v="32"/>
  </r>
  <r>
    <x v="32"/>
    <x v="18"/>
    <x v="56"/>
    <n v="32"/>
  </r>
  <r>
    <x v="32"/>
    <x v="18"/>
    <x v="57"/>
    <n v="32"/>
  </r>
  <r>
    <x v="32"/>
    <x v="18"/>
    <x v="58"/>
    <n v="32"/>
  </r>
  <r>
    <x v="32"/>
    <x v="18"/>
    <x v="59"/>
    <n v="32"/>
  </r>
  <r>
    <x v="32"/>
    <x v="18"/>
    <x v="60"/>
    <n v="32"/>
  </r>
  <r>
    <x v="32"/>
    <x v="18"/>
    <x v="61"/>
    <n v="32"/>
  </r>
  <r>
    <x v="32"/>
    <x v="18"/>
    <x v="62"/>
    <n v="32"/>
  </r>
  <r>
    <x v="32"/>
    <x v="18"/>
    <x v="63"/>
    <n v="32"/>
  </r>
  <r>
    <x v="32"/>
    <x v="18"/>
    <x v="64"/>
    <n v="32"/>
  </r>
  <r>
    <x v="32"/>
    <x v="18"/>
    <x v="65"/>
    <n v="32"/>
  </r>
  <r>
    <x v="32"/>
    <x v="18"/>
    <x v="66"/>
    <n v="32"/>
  </r>
  <r>
    <x v="32"/>
    <x v="18"/>
    <x v="67"/>
    <n v="32"/>
  </r>
  <r>
    <x v="32"/>
    <x v="18"/>
    <x v="68"/>
    <n v="32"/>
  </r>
  <r>
    <x v="32"/>
    <x v="18"/>
    <x v="69"/>
    <n v="32"/>
  </r>
  <r>
    <x v="32"/>
    <x v="18"/>
    <x v="70"/>
    <n v="32"/>
  </r>
  <r>
    <x v="32"/>
    <x v="18"/>
    <x v="71"/>
    <n v="32"/>
  </r>
  <r>
    <x v="32"/>
    <x v="18"/>
    <x v="72"/>
    <n v="32"/>
  </r>
  <r>
    <x v="33"/>
    <x v="19"/>
    <x v="0"/>
    <n v="65"/>
  </r>
  <r>
    <x v="33"/>
    <x v="19"/>
    <x v="1"/>
    <n v="62"/>
  </r>
  <r>
    <x v="33"/>
    <x v="19"/>
    <x v="2"/>
    <n v="50"/>
  </r>
  <r>
    <x v="33"/>
    <x v="19"/>
    <x v="3"/>
    <n v="83"/>
  </r>
  <r>
    <x v="33"/>
    <x v="19"/>
    <x v="4"/>
    <n v="77"/>
  </r>
  <r>
    <x v="33"/>
    <x v="19"/>
    <x v="5"/>
    <n v="53"/>
  </r>
  <r>
    <x v="33"/>
    <x v="19"/>
    <x v="6"/>
    <n v="71"/>
  </r>
  <r>
    <x v="33"/>
    <x v="19"/>
    <x v="7"/>
    <n v="76"/>
  </r>
  <r>
    <x v="33"/>
    <x v="19"/>
    <x v="8"/>
    <n v="52"/>
  </r>
  <r>
    <x v="33"/>
    <x v="19"/>
    <x v="9"/>
    <n v="42"/>
  </r>
  <r>
    <x v="33"/>
    <x v="19"/>
    <x v="10"/>
    <n v="40"/>
  </r>
  <r>
    <x v="33"/>
    <x v="19"/>
    <x v="11"/>
    <n v="41"/>
  </r>
  <r>
    <x v="33"/>
    <x v="19"/>
    <x v="12"/>
    <n v="22"/>
  </r>
  <r>
    <x v="33"/>
    <x v="19"/>
    <x v="13"/>
    <n v="23"/>
  </r>
  <r>
    <x v="33"/>
    <x v="19"/>
    <x v="14"/>
    <n v="25"/>
  </r>
  <r>
    <x v="33"/>
    <x v="19"/>
    <x v="15"/>
    <n v="15"/>
  </r>
  <r>
    <x v="33"/>
    <x v="19"/>
    <x v="16"/>
    <n v="18"/>
  </r>
  <r>
    <x v="33"/>
    <x v="19"/>
    <x v="17"/>
    <n v="18"/>
  </r>
  <r>
    <x v="33"/>
    <x v="19"/>
    <x v="18"/>
    <n v="35"/>
  </r>
  <r>
    <x v="33"/>
    <x v="19"/>
    <x v="19"/>
    <n v="34"/>
  </r>
  <r>
    <x v="33"/>
    <x v="19"/>
    <x v="20"/>
    <n v="30"/>
  </r>
  <r>
    <x v="33"/>
    <x v="19"/>
    <x v="21"/>
    <n v="40"/>
  </r>
  <r>
    <x v="33"/>
    <x v="19"/>
    <x v="22"/>
    <n v="47"/>
  </r>
  <r>
    <x v="33"/>
    <x v="19"/>
    <x v="23"/>
    <n v="45"/>
  </r>
  <r>
    <x v="33"/>
    <x v="19"/>
    <x v="24"/>
    <n v="45"/>
  </r>
  <r>
    <x v="33"/>
    <x v="19"/>
    <x v="25"/>
    <n v="53"/>
  </r>
  <r>
    <x v="33"/>
    <x v="19"/>
    <x v="26"/>
    <n v="54"/>
  </r>
  <r>
    <x v="33"/>
    <x v="19"/>
    <x v="27"/>
    <n v="54"/>
  </r>
  <r>
    <x v="33"/>
    <x v="19"/>
    <x v="28"/>
    <n v="34"/>
  </r>
  <r>
    <x v="33"/>
    <x v="19"/>
    <x v="29"/>
    <n v="34"/>
  </r>
  <r>
    <x v="33"/>
    <x v="19"/>
    <x v="30"/>
    <n v="34"/>
  </r>
  <r>
    <x v="33"/>
    <x v="19"/>
    <x v="31"/>
    <n v="34"/>
  </r>
  <r>
    <x v="33"/>
    <x v="19"/>
    <x v="32"/>
    <n v="34"/>
  </r>
  <r>
    <x v="33"/>
    <x v="19"/>
    <x v="33"/>
    <n v="34"/>
  </r>
  <r>
    <x v="33"/>
    <x v="19"/>
    <x v="34"/>
    <n v="34"/>
  </r>
  <r>
    <x v="33"/>
    <x v="19"/>
    <x v="35"/>
    <n v="34"/>
  </r>
  <r>
    <x v="33"/>
    <x v="19"/>
    <x v="36"/>
    <n v="34"/>
  </r>
  <r>
    <x v="33"/>
    <x v="19"/>
    <x v="37"/>
    <n v="34"/>
  </r>
  <r>
    <x v="33"/>
    <x v="19"/>
    <x v="38"/>
    <n v="34"/>
  </r>
  <r>
    <x v="33"/>
    <x v="19"/>
    <x v="39"/>
    <n v="34"/>
  </r>
  <r>
    <x v="33"/>
    <x v="19"/>
    <x v="40"/>
    <n v="34"/>
  </r>
  <r>
    <x v="33"/>
    <x v="19"/>
    <x v="41"/>
    <n v="34"/>
  </r>
  <r>
    <x v="33"/>
    <x v="19"/>
    <x v="42"/>
    <n v="34"/>
  </r>
  <r>
    <x v="33"/>
    <x v="19"/>
    <x v="43"/>
    <n v="34"/>
  </r>
  <r>
    <x v="33"/>
    <x v="19"/>
    <x v="44"/>
    <n v="34"/>
  </r>
  <r>
    <x v="33"/>
    <x v="19"/>
    <x v="45"/>
    <n v="34"/>
  </r>
  <r>
    <x v="33"/>
    <x v="19"/>
    <x v="46"/>
    <n v="34"/>
  </r>
  <r>
    <x v="33"/>
    <x v="19"/>
    <x v="47"/>
    <n v="34"/>
  </r>
  <r>
    <x v="33"/>
    <x v="19"/>
    <x v="48"/>
    <n v="34"/>
  </r>
  <r>
    <x v="33"/>
    <x v="19"/>
    <x v="49"/>
    <n v="34"/>
  </r>
  <r>
    <x v="33"/>
    <x v="19"/>
    <x v="50"/>
    <n v="34"/>
  </r>
  <r>
    <x v="33"/>
    <x v="19"/>
    <x v="51"/>
    <n v="34"/>
  </r>
  <r>
    <x v="33"/>
    <x v="19"/>
    <x v="52"/>
    <n v="34"/>
  </r>
  <r>
    <x v="33"/>
    <x v="19"/>
    <x v="53"/>
    <n v="34"/>
  </r>
  <r>
    <x v="33"/>
    <x v="19"/>
    <x v="54"/>
    <n v="34"/>
  </r>
  <r>
    <x v="33"/>
    <x v="19"/>
    <x v="55"/>
    <n v="34"/>
  </r>
  <r>
    <x v="33"/>
    <x v="19"/>
    <x v="56"/>
    <n v="34"/>
  </r>
  <r>
    <x v="33"/>
    <x v="19"/>
    <x v="57"/>
    <n v="34"/>
  </r>
  <r>
    <x v="33"/>
    <x v="19"/>
    <x v="58"/>
    <n v="34"/>
  </r>
  <r>
    <x v="33"/>
    <x v="19"/>
    <x v="59"/>
    <n v="34"/>
  </r>
  <r>
    <x v="33"/>
    <x v="19"/>
    <x v="60"/>
    <n v="34"/>
  </r>
  <r>
    <x v="33"/>
    <x v="19"/>
    <x v="61"/>
    <n v="34"/>
  </r>
  <r>
    <x v="33"/>
    <x v="19"/>
    <x v="62"/>
    <n v="34"/>
  </r>
  <r>
    <x v="33"/>
    <x v="19"/>
    <x v="63"/>
    <n v="34"/>
  </r>
  <r>
    <x v="33"/>
    <x v="19"/>
    <x v="64"/>
    <n v="34"/>
  </r>
  <r>
    <x v="33"/>
    <x v="19"/>
    <x v="65"/>
    <n v="34"/>
  </r>
  <r>
    <x v="33"/>
    <x v="19"/>
    <x v="66"/>
    <n v="34"/>
  </r>
  <r>
    <x v="33"/>
    <x v="19"/>
    <x v="67"/>
    <n v="34"/>
  </r>
  <r>
    <x v="33"/>
    <x v="19"/>
    <x v="68"/>
    <n v="34"/>
  </r>
  <r>
    <x v="33"/>
    <x v="19"/>
    <x v="69"/>
    <n v="34"/>
  </r>
  <r>
    <x v="33"/>
    <x v="19"/>
    <x v="70"/>
    <n v="34"/>
  </r>
  <r>
    <x v="33"/>
    <x v="19"/>
    <x v="71"/>
    <n v="34"/>
  </r>
  <r>
    <x v="33"/>
    <x v="19"/>
    <x v="72"/>
    <n v="34"/>
  </r>
  <r>
    <x v="34"/>
    <x v="20"/>
    <x v="0"/>
    <n v="13"/>
  </r>
  <r>
    <x v="34"/>
    <x v="20"/>
    <x v="1"/>
    <n v="14"/>
  </r>
  <r>
    <x v="34"/>
    <x v="20"/>
    <x v="2"/>
    <n v="24"/>
  </r>
  <r>
    <x v="34"/>
    <x v="20"/>
    <x v="3"/>
    <n v="52"/>
  </r>
  <r>
    <x v="34"/>
    <x v="20"/>
    <x v="4"/>
    <n v="52"/>
  </r>
  <r>
    <x v="34"/>
    <x v="20"/>
    <x v="5"/>
    <n v="66"/>
  </r>
  <r>
    <x v="34"/>
    <x v="20"/>
    <x v="6"/>
    <n v="79"/>
  </r>
  <r>
    <x v="34"/>
    <x v="20"/>
    <x v="7"/>
    <n v="73"/>
  </r>
  <r>
    <x v="34"/>
    <x v="20"/>
    <x v="8"/>
    <n v="80"/>
  </r>
  <r>
    <x v="34"/>
    <x v="20"/>
    <x v="9"/>
    <n v="83"/>
  </r>
  <r>
    <x v="34"/>
    <x v="20"/>
    <x v="10"/>
    <n v="82"/>
  </r>
  <r>
    <x v="34"/>
    <x v="20"/>
    <x v="11"/>
    <n v="85"/>
  </r>
  <r>
    <x v="34"/>
    <x v="20"/>
    <x v="12"/>
    <n v="59"/>
  </r>
  <r>
    <x v="34"/>
    <x v="20"/>
    <x v="13"/>
    <n v="59"/>
  </r>
  <r>
    <x v="34"/>
    <x v="20"/>
    <x v="14"/>
    <n v="61"/>
  </r>
  <r>
    <x v="34"/>
    <x v="20"/>
    <x v="15"/>
    <n v="49"/>
  </r>
  <r>
    <x v="34"/>
    <x v="20"/>
    <x v="16"/>
    <n v="32"/>
  </r>
  <r>
    <x v="34"/>
    <x v="20"/>
    <x v="17"/>
    <n v="37"/>
  </r>
  <r>
    <x v="34"/>
    <x v="20"/>
    <x v="18"/>
    <n v="16"/>
  </r>
  <r>
    <x v="34"/>
    <x v="20"/>
    <x v="19"/>
    <n v="24"/>
  </r>
  <r>
    <x v="34"/>
    <x v="20"/>
    <x v="20"/>
    <n v="29"/>
  </r>
  <r>
    <x v="34"/>
    <x v="20"/>
    <x v="21"/>
    <n v="37"/>
  </r>
  <r>
    <x v="34"/>
    <x v="20"/>
    <x v="22"/>
    <n v="29"/>
  </r>
  <r>
    <x v="34"/>
    <x v="20"/>
    <x v="23"/>
    <n v="34"/>
  </r>
  <r>
    <x v="34"/>
    <x v="20"/>
    <x v="24"/>
    <n v="35"/>
  </r>
  <r>
    <x v="34"/>
    <x v="20"/>
    <x v="25"/>
    <n v="36"/>
  </r>
  <r>
    <x v="34"/>
    <x v="20"/>
    <x v="26"/>
    <n v="35"/>
  </r>
  <r>
    <x v="34"/>
    <x v="20"/>
    <x v="27"/>
    <n v="29"/>
  </r>
  <r>
    <x v="34"/>
    <x v="20"/>
    <x v="28"/>
    <n v="35"/>
  </r>
  <r>
    <x v="34"/>
    <x v="20"/>
    <x v="29"/>
    <n v="35"/>
  </r>
  <r>
    <x v="34"/>
    <x v="20"/>
    <x v="30"/>
    <n v="35"/>
  </r>
  <r>
    <x v="34"/>
    <x v="20"/>
    <x v="31"/>
    <n v="35"/>
  </r>
  <r>
    <x v="34"/>
    <x v="20"/>
    <x v="32"/>
    <n v="35"/>
  </r>
  <r>
    <x v="34"/>
    <x v="20"/>
    <x v="33"/>
    <n v="35"/>
  </r>
  <r>
    <x v="34"/>
    <x v="20"/>
    <x v="34"/>
    <n v="35"/>
  </r>
  <r>
    <x v="34"/>
    <x v="20"/>
    <x v="35"/>
    <n v="35"/>
  </r>
  <r>
    <x v="34"/>
    <x v="20"/>
    <x v="36"/>
    <n v="35"/>
  </r>
  <r>
    <x v="34"/>
    <x v="20"/>
    <x v="37"/>
    <n v="35"/>
  </r>
  <r>
    <x v="34"/>
    <x v="20"/>
    <x v="38"/>
    <n v="35"/>
  </r>
  <r>
    <x v="34"/>
    <x v="20"/>
    <x v="39"/>
    <n v="35"/>
  </r>
  <r>
    <x v="34"/>
    <x v="20"/>
    <x v="40"/>
    <n v="35"/>
  </r>
  <r>
    <x v="34"/>
    <x v="20"/>
    <x v="41"/>
    <n v="35"/>
  </r>
  <r>
    <x v="34"/>
    <x v="20"/>
    <x v="42"/>
    <n v="35"/>
  </r>
  <r>
    <x v="34"/>
    <x v="20"/>
    <x v="43"/>
    <n v="35"/>
  </r>
  <r>
    <x v="34"/>
    <x v="20"/>
    <x v="44"/>
    <n v="35"/>
  </r>
  <r>
    <x v="34"/>
    <x v="20"/>
    <x v="45"/>
    <n v="35"/>
  </r>
  <r>
    <x v="34"/>
    <x v="20"/>
    <x v="46"/>
    <n v="35"/>
  </r>
  <r>
    <x v="34"/>
    <x v="20"/>
    <x v="47"/>
    <n v="35"/>
  </r>
  <r>
    <x v="34"/>
    <x v="20"/>
    <x v="48"/>
    <n v="35"/>
  </r>
  <r>
    <x v="34"/>
    <x v="20"/>
    <x v="49"/>
    <n v="35"/>
  </r>
  <r>
    <x v="34"/>
    <x v="20"/>
    <x v="50"/>
    <n v="35"/>
  </r>
  <r>
    <x v="34"/>
    <x v="20"/>
    <x v="51"/>
    <n v="35"/>
  </r>
  <r>
    <x v="34"/>
    <x v="20"/>
    <x v="52"/>
    <n v="35"/>
  </r>
  <r>
    <x v="34"/>
    <x v="20"/>
    <x v="53"/>
    <n v="35"/>
  </r>
  <r>
    <x v="34"/>
    <x v="20"/>
    <x v="54"/>
    <n v="35"/>
  </r>
  <r>
    <x v="34"/>
    <x v="20"/>
    <x v="55"/>
    <n v="35"/>
  </r>
  <r>
    <x v="34"/>
    <x v="20"/>
    <x v="56"/>
    <n v="35"/>
  </r>
  <r>
    <x v="34"/>
    <x v="20"/>
    <x v="57"/>
    <n v="35"/>
  </r>
  <r>
    <x v="34"/>
    <x v="20"/>
    <x v="58"/>
    <n v="35"/>
  </r>
  <r>
    <x v="34"/>
    <x v="20"/>
    <x v="59"/>
    <n v="35"/>
  </r>
  <r>
    <x v="34"/>
    <x v="20"/>
    <x v="60"/>
    <n v="35"/>
  </r>
  <r>
    <x v="34"/>
    <x v="20"/>
    <x v="61"/>
    <n v="35"/>
  </r>
  <r>
    <x v="34"/>
    <x v="20"/>
    <x v="62"/>
    <n v="35"/>
  </r>
  <r>
    <x v="34"/>
    <x v="20"/>
    <x v="63"/>
    <n v="35"/>
  </r>
  <r>
    <x v="34"/>
    <x v="20"/>
    <x v="64"/>
    <n v="35"/>
  </r>
  <r>
    <x v="34"/>
    <x v="20"/>
    <x v="65"/>
    <n v="35"/>
  </r>
  <r>
    <x v="34"/>
    <x v="20"/>
    <x v="66"/>
    <n v="35"/>
  </r>
  <r>
    <x v="34"/>
    <x v="20"/>
    <x v="67"/>
    <n v="35"/>
  </r>
  <r>
    <x v="34"/>
    <x v="20"/>
    <x v="68"/>
    <n v="35"/>
  </r>
  <r>
    <x v="34"/>
    <x v="20"/>
    <x v="69"/>
    <n v="35"/>
  </r>
  <r>
    <x v="34"/>
    <x v="20"/>
    <x v="70"/>
    <n v="35"/>
  </r>
  <r>
    <x v="34"/>
    <x v="20"/>
    <x v="71"/>
    <n v="35"/>
  </r>
  <r>
    <x v="34"/>
    <x v="20"/>
    <x v="72"/>
    <n v="35"/>
  </r>
  <r>
    <x v="35"/>
    <x v="20"/>
    <x v="0"/>
    <n v="78"/>
  </r>
  <r>
    <x v="35"/>
    <x v="20"/>
    <x v="1"/>
    <n v="77"/>
  </r>
  <r>
    <x v="35"/>
    <x v="20"/>
    <x v="2"/>
    <n v="82"/>
  </r>
  <r>
    <x v="35"/>
    <x v="20"/>
    <x v="3"/>
    <n v="105"/>
  </r>
  <r>
    <x v="35"/>
    <x v="20"/>
    <x v="4"/>
    <n v="105"/>
  </r>
  <r>
    <x v="35"/>
    <x v="20"/>
    <x v="5"/>
    <n v="105"/>
  </r>
  <r>
    <x v="35"/>
    <x v="20"/>
    <x v="6"/>
    <n v="103"/>
  </r>
  <r>
    <x v="35"/>
    <x v="20"/>
    <x v="7"/>
    <n v="102"/>
  </r>
  <r>
    <x v="35"/>
    <x v="20"/>
    <x v="8"/>
    <n v="102"/>
  </r>
  <r>
    <x v="35"/>
    <x v="20"/>
    <x v="9"/>
    <n v="98"/>
  </r>
  <r>
    <x v="35"/>
    <x v="20"/>
    <x v="10"/>
    <n v="99"/>
  </r>
  <r>
    <x v="35"/>
    <x v="20"/>
    <x v="11"/>
    <n v="98"/>
  </r>
  <r>
    <x v="35"/>
    <x v="20"/>
    <x v="12"/>
    <n v="80"/>
  </r>
  <r>
    <x v="35"/>
    <x v="20"/>
    <x v="13"/>
    <n v="77"/>
  </r>
  <r>
    <x v="35"/>
    <x v="20"/>
    <x v="14"/>
    <n v="76"/>
  </r>
  <r>
    <x v="35"/>
    <x v="20"/>
    <x v="15"/>
    <n v="75"/>
  </r>
  <r>
    <x v="35"/>
    <x v="20"/>
    <x v="16"/>
    <n v="64"/>
  </r>
  <r>
    <x v="35"/>
    <x v="20"/>
    <x v="17"/>
    <n v="67"/>
  </r>
  <r>
    <x v="35"/>
    <x v="20"/>
    <x v="18"/>
    <n v="64"/>
  </r>
  <r>
    <x v="35"/>
    <x v="20"/>
    <x v="19"/>
    <n v="64"/>
  </r>
  <r>
    <x v="35"/>
    <x v="20"/>
    <x v="20"/>
    <n v="53"/>
  </r>
  <r>
    <x v="35"/>
    <x v="20"/>
    <x v="21"/>
    <n v="25"/>
  </r>
  <r>
    <x v="35"/>
    <x v="20"/>
    <x v="22"/>
    <n v="55"/>
  </r>
  <r>
    <x v="35"/>
    <x v="20"/>
    <x v="23"/>
    <n v="36"/>
  </r>
  <r>
    <x v="35"/>
    <x v="20"/>
    <x v="24"/>
    <n v="52"/>
  </r>
  <r>
    <x v="35"/>
    <x v="20"/>
    <x v="25"/>
    <n v="30"/>
  </r>
  <r>
    <x v="35"/>
    <x v="20"/>
    <x v="26"/>
    <n v="30"/>
  </r>
  <r>
    <x v="35"/>
    <x v="20"/>
    <x v="27"/>
    <n v="29"/>
  </r>
  <r>
    <x v="35"/>
    <x v="20"/>
    <x v="28"/>
    <n v="35"/>
  </r>
  <r>
    <x v="35"/>
    <x v="20"/>
    <x v="29"/>
    <n v="35"/>
  </r>
  <r>
    <x v="35"/>
    <x v="20"/>
    <x v="30"/>
    <n v="35"/>
  </r>
  <r>
    <x v="35"/>
    <x v="20"/>
    <x v="31"/>
    <n v="35"/>
  </r>
  <r>
    <x v="35"/>
    <x v="20"/>
    <x v="32"/>
    <n v="35"/>
  </r>
  <r>
    <x v="35"/>
    <x v="20"/>
    <x v="33"/>
    <n v="35"/>
  </r>
  <r>
    <x v="35"/>
    <x v="20"/>
    <x v="34"/>
    <n v="35"/>
  </r>
  <r>
    <x v="35"/>
    <x v="20"/>
    <x v="35"/>
    <n v="35"/>
  </r>
  <r>
    <x v="35"/>
    <x v="20"/>
    <x v="36"/>
    <n v="35"/>
  </r>
  <r>
    <x v="35"/>
    <x v="20"/>
    <x v="37"/>
    <n v="35"/>
  </r>
  <r>
    <x v="35"/>
    <x v="20"/>
    <x v="38"/>
    <n v="35"/>
  </r>
  <r>
    <x v="35"/>
    <x v="20"/>
    <x v="39"/>
    <n v="35"/>
  </r>
  <r>
    <x v="35"/>
    <x v="20"/>
    <x v="40"/>
    <n v="35"/>
  </r>
  <r>
    <x v="35"/>
    <x v="20"/>
    <x v="41"/>
    <n v="35"/>
  </r>
  <r>
    <x v="35"/>
    <x v="20"/>
    <x v="42"/>
    <n v="35"/>
  </r>
  <r>
    <x v="35"/>
    <x v="20"/>
    <x v="43"/>
    <n v="35"/>
  </r>
  <r>
    <x v="35"/>
    <x v="20"/>
    <x v="44"/>
    <n v="35"/>
  </r>
  <r>
    <x v="35"/>
    <x v="20"/>
    <x v="45"/>
    <n v="35"/>
  </r>
  <r>
    <x v="35"/>
    <x v="20"/>
    <x v="46"/>
    <n v="35"/>
  </r>
  <r>
    <x v="35"/>
    <x v="20"/>
    <x v="47"/>
    <n v="35"/>
  </r>
  <r>
    <x v="35"/>
    <x v="20"/>
    <x v="48"/>
    <n v="35"/>
  </r>
  <r>
    <x v="35"/>
    <x v="20"/>
    <x v="49"/>
    <n v="35"/>
  </r>
  <r>
    <x v="35"/>
    <x v="20"/>
    <x v="50"/>
    <n v="35"/>
  </r>
  <r>
    <x v="35"/>
    <x v="20"/>
    <x v="51"/>
    <n v="35"/>
  </r>
  <r>
    <x v="35"/>
    <x v="20"/>
    <x v="52"/>
    <n v="35"/>
  </r>
  <r>
    <x v="35"/>
    <x v="20"/>
    <x v="53"/>
    <n v="35"/>
  </r>
  <r>
    <x v="35"/>
    <x v="20"/>
    <x v="54"/>
    <n v="35"/>
  </r>
  <r>
    <x v="35"/>
    <x v="20"/>
    <x v="55"/>
    <n v="35"/>
  </r>
  <r>
    <x v="35"/>
    <x v="20"/>
    <x v="56"/>
    <n v="35"/>
  </r>
  <r>
    <x v="35"/>
    <x v="20"/>
    <x v="57"/>
    <n v="35"/>
  </r>
  <r>
    <x v="35"/>
    <x v="20"/>
    <x v="58"/>
    <n v="35"/>
  </r>
  <r>
    <x v="35"/>
    <x v="20"/>
    <x v="59"/>
    <n v="35"/>
  </r>
  <r>
    <x v="35"/>
    <x v="20"/>
    <x v="60"/>
    <n v="35"/>
  </r>
  <r>
    <x v="35"/>
    <x v="20"/>
    <x v="61"/>
    <n v="35"/>
  </r>
  <r>
    <x v="35"/>
    <x v="20"/>
    <x v="62"/>
    <n v="35"/>
  </r>
  <r>
    <x v="35"/>
    <x v="20"/>
    <x v="63"/>
    <n v="35"/>
  </r>
  <r>
    <x v="35"/>
    <x v="20"/>
    <x v="64"/>
    <n v="35"/>
  </r>
  <r>
    <x v="35"/>
    <x v="20"/>
    <x v="65"/>
    <n v="35"/>
  </r>
  <r>
    <x v="35"/>
    <x v="20"/>
    <x v="66"/>
    <n v="35"/>
  </r>
  <r>
    <x v="35"/>
    <x v="20"/>
    <x v="67"/>
    <n v="35"/>
  </r>
  <r>
    <x v="35"/>
    <x v="20"/>
    <x v="68"/>
    <n v="35"/>
  </r>
  <r>
    <x v="35"/>
    <x v="20"/>
    <x v="69"/>
    <n v="35"/>
  </r>
  <r>
    <x v="35"/>
    <x v="20"/>
    <x v="70"/>
    <n v="35"/>
  </r>
  <r>
    <x v="35"/>
    <x v="20"/>
    <x v="71"/>
    <n v="35"/>
  </r>
  <r>
    <x v="35"/>
    <x v="20"/>
    <x v="72"/>
    <n v="35"/>
  </r>
  <r>
    <x v="36"/>
    <x v="20"/>
    <x v="0"/>
    <n v="65"/>
  </r>
  <r>
    <x v="36"/>
    <x v="20"/>
    <x v="1"/>
    <n v="62"/>
  </r>
  <r>
    <x v="36"/>
    <x v="20"/>
    <x v="2"/>
    <n v="75"/>
  </r>
  <r>
    <x v="36"/>
    <x v="20"/>
    <x v="3"/>
    <n v="77"/>
  </r>
  <r>
    <x v="36"/>
    <x v="20"/>
    <x v="4"/>
    <n v="79"/>
  </r>
  <r>
    <x v="36"/>
    <x v="20"/>
    <x v="5"/>
    <n v="77"/>
  </r>
  <r>
    <x v="36"/>
    <x v="20"/>
    <x v="6"/>
    <n v="67"/>
  </r>
  <r>
    <x v="36"/>
    <x v="20"/>
    <x v="7"/>
    <n v="61"/>
  </r>
  <r>
    <x v="36"/>
    <x v="20"/>
    <x v="8"/>
    <n v="60"/>
  </r>
  <r>
    <x v="36"/>
    <x v="20"/>
    <x v="9"/>
    <n v="50"/>
  </r>
  <r>
    <x v="36"/>
    <x v="20"/>
    <x v="10"/>
    <n v="49"/>
  </r>
  <r>
    <x v="36"/>
    <x v="20"/>
    <x v="11"/>
    <n v="48"/>
  </r>
  <r>
    <x v="36"/>
    <x v="20"/>
    <x v="12"/>
    <n v="68"/>
  </r>
  <r>
    <x v="36"/>
    <x v="20"/>
    <x v="13"/>
    <n v="52"/>
  </r>
  <r>
    <x v="36"/>
    <x v="20"/>
    <x v="14"/>
    <n v="51"/>
  </r>
  <r>
    <x v="36"/>
    <x v="20"/>
    <x v="15"/>
    <n v="59"/>
  </r>
  <r>
    <x v="36"/>
    <x v="20"/>
    <x v="16"/>
    <n v="64"/>
  </r>
  <r>
    <x v="36"/>
    <x v="20"/>
    <x v="17"/>
    <n v="67"/>
  </r>
  <r>
    <x v="36"/>
    <x v="20"/>
    <x v="18"/>
    <n v="64"/>
  </r>
  <r>
    <x v="36"/>
    <x v="20"/>
    <x v="19"/>
    <n v="70"/>
  </r>
  <r>
    <x v="36"/>
    <x v="20"/>
    <x v="20"/>
    <n v="67"/>
  </r>
  <r>
    <x v="36"/>
    <x v="20"/>
    <x v="21"/>
    <n v="40"/>
  </r>
  <r>
    <x v="36"/>
    <x v="20"/>
    <x v="22"/>
    <n v="32"/>
  </r>
  <r>
    <x v="36"/>
    <x v="20"/>
    <x v="23"/>
    <n v="20"/>
  </r>
  <r>
    <x v="36"/>
    <x v="20"/>
    <x v="24"/>
    <n v="25"/>
  </r>
  <r>
    <x v="36"/>
    <x v="20"/>
    <x v="25"/>
    <n v="22"/>
  </r>
  <r>
    <x v="36"/>
    <x v="20"/>
    <x v="26"/>
    <n v="22"/>
  </r>
  <r>
    <x v="36"/>
    <x v="20"/>
    <x v="27"/>
    <n v="25"/>
  </r>
  <r>
    <x v="36"/>
    <x v="20"/>
    <x v="28"/>
    <n v="35"/>
  </r>
  <r>
    <x v="36"/>
    <x v="20"/>
    <x v="29"/>
    <n v="35"/>
  </r>
  <r>
    <x v="36"/>
    <x v="20"/>
    <x v="30"/>
    <n v="35"/>
  </r>
  <r>
    <x v="36"/>
    <x v="20"/>
    <x v="31"/>
    <n v="35"/>
  </r>
  <r>
    <x v="36"/>
    <x v="20"/>
    <x v="32"/>
    <n v="35"/>
  </r>
  <r>
    <x v="36"/>
    <x v="20"/>
    <x v="33"/>
    <n v="35"/>
  </r>
  <r>
    <x v="36"/>
    <x v="20"/>
    <x v="34"/>
    <n v="35"/>
  </r>
  <r>
    <x v="36"/>
    <x v="20"/>
    <x v="35"/>
    <n v="35"/>
  </r>
  <r>
    <x v="36"/>
    <x v="20"/>
    <x v="36"/>
    <n v="35"/>
  </r>
  <r>
    <x v="36"/>
    <x v="20"/>
    <x v="37"/>
    <n v="35"/>
  </r>
  <r>
    <x v="36"/>
    <x v="20"/>
    <x v="38"/>
    <n v="35"/>
  </r>
  <r>
    <x v="36"/>
    <x v="20"/>
    <x v="39"/>
    <n v="35"/>
  </r>
  <r>
    <x v="36"/>
    <x v="20"/>
    <x v="40"/>
    <n v="35"/>
  </r>
  <r>
    <x v="36"/>
    <x v="20"/>
    <x v="41"/>
    <n v="35"/>
  </r>
  <r>
    <x v="36"/>
    <x v="20"/>
    <x v="42"/>
    <n v="35"/>
  </r>
  <r>
    <x v="36"/>
    <x v="20"/>
    <x v="43"/>
    <n v="35"/>
  </r>
  <r>
    <x v="36"/>
    <x v="20"/>
    <x v="44"/>
    <n v="35"/>
  </r>
  <r>
    <x v="36"/>
    <x v="20"/>
    <x v="45"/>
    <n v="35"/>
  </r>
  <r>
    <x v="36"/>
    <x v="20"/>
    <x v="46"/>
    <n v="35"/>
  </r>
  <r>
    <x v="36"/>
    <x v="20"/>
    <x v="47"/>
    <n v="35"/>
  </r>
  <r>
    <x v="36"/>
    <x v="20"/>
    <x v="48"/>
    <n v="35"/>
  </r>
  <r>
    <x v="36"/>
    <x v="20"/>
    <x v="49"/>
    <n v="35"/>
  </r>
  <r>
    <x v="36"/>
    <x v="20"/>
    <x v="50"/>
    <n v="35"/>
  </r>
  <r>
    <x v="36"/>
    <x v="20"/>
    <x v="51"/>
    <n v="35"/>
  </r>
  <r>
    <x v="36"/>
    <x v="20"/>
    <x v="52"/>
    <n v="35"/>
  </r>
  <r>
    <x v="36"/>
    <x v="20"/>
    <x v="53"/>
    <n v="35"/>
  </r>
  <r>
    <x v="36"/>
    <x v="20"/>
    <x v="54"/>
    <n v="35"/>
  </r>
  <r>
    <x v="36"/>
    <x v="20"/>
    <x v="55"/>
    <n v="35"/>
  </r>
  <r>
    <x v="36"/>
    <x v="20"/>
    <x v="56"/>
    <n v="35"/>
  </r>
  <r>
    <x v="36"/>
    <x v="20"/>
    <x v="57"/>
    <n v="35"/>
  </r>
  <r>
    <x v="36"/>
    <x v="20"/>
    <x v="58"/>
    <n v="35"/>
  </r>
  <r>
    <x v="36"/>
    <x v="20"/>
    <x v="59"/>
    <n v="35"/>
  </r>
  <r>
    <x v="36"/>
    <x v="20"/>
    <x v="60"/>
    <n v="35"/>
  </r>
  <r>
    <x v="36"/>
    <x v="20"/>
    <x v="61"/>
    <n v="35"/>
  </r>
  <r>
    <x v="36"/>
    <x v="20"/>
    <x v="62"/>
    <n v="35"/>
  </r>
  <r>
    <x v="36"/>
    <x v="20"/>
    <x v="63"/>
    <n v="35"/>
  </r>
  <r>
    <x v="36"/>
    <x v="20"/>
    <x v="64"/>
    <n v="35"/>
  </r>
  <r>
    <x v="36"/>
    <x v="20"/>
    <x v="65"/>
    <n v="35"/>
  </r>
  <r>
    <x v="36"/>
    <x v="20"/>
    <x v="66"/>
    <n v="35"/>
  </r>
  <r>
    <x v="36"/>
    <x v="20"/>
    <x v="67"/>
    <n v="35"/>
  </r>
  <r>
    <x v="36"/>
    <x v="20"/>
    <x v="68"/>
    <n v="35"/>
  </r>
  <r>
    <x v="36"/>
    <x v="20"/>
    <x v="69"/>
    <n v="35"/>
  </r>
  <r>
    <x v="36"/>
    <x v="20"/>
    <x v="70"/>
    <n v="35"/>
  </r>
  <r>
    <x v="36"/>
    <x v="20"/>
    <x v="71"/>
    <n v="35"/>
  </r>
  <r>
    <x v="36"/>
    <x v="20"/>
    <x v="72"/>
    <n v="35"/>
  </r>
  <r>
    <x v="37"/>
    <x v="20"/>
    <x v="0"/>
    <n v="78"/>
  </r>
  <r>
    <x v="37"/>
    <x v="20"/>
    <x v="1"/>
    <n v="77"/>
  </r>
  <r>
    <x v="37"/>
    <x v="20"/>
    <x v="2"/>
    <n v="82"/>
  </r>
  <r>
    <x v="37"/>
    <x v="20"/>
    <x v="3"/>
    <n v="105"/>
  </r>
  <r>
    <x v="37"/>
    <x v="20"/>
    <x v="4"/>
    <n v="105"/>
  </r>
  <r>
    <x v="37"/>
    <x v="20"/>
    <x v="5"/>
    <n v="105"/>
  </r>
  <r>
    <x v="37"/>
    <x v="20"/>
    <x v="6"/>
    <n v="97"/>
  </r>
  <r>
    <x v="37"/>
    <x v="20"/>
    <x v="7"/>
    <n v="98"/>
  </r>
  <r>
    <x v="37"/>
    <x v="20"/>
    <x v="8"/>
    <n v="97"/>
  </r>
  <r>
    <x v="37"/>
    <x v="20"/>
    <x v="9"/>
    <n v="96"/>
  </r>
  <r>
    <x v="37"/>
    <x v="20"/>
    <x v="10"/>
    <n v="88"/>
  </r>
  <r>
    <x v="37"/>
    <x v="20"/>
    <x v="11"/>
    <n v="85"/>
  </r>
  <r>
    <x v="37"/>
    <x v="20"/>
    <x v="12"/>
    <n v="59"/>
  </r>
  <r>
    <x v="37"/>
    <x v="20"/>
    <x v="13"/>
    <n v="59"/>
  </r>
  <r>
    <x v="37"/>
    <x v="20"/>
    <x v="14"/>
    <n v="61"/>
  </r>
  <r>
    <x v="37"/>
    <x v="20"/>
    <x v="15"/>
    <n v="49"/>
  </r>
  <r>
    <x v="37"/>
    <x v="20"/>
    <x v="16"/>
    <n v="57"/>
  </r>
  <r>
    <x v="37"/>
    <x v="20"/>
    <x v="17"/>
    <n v="60"/>
  </r>
  <r>
    <x v="37"/>
    <x v="20"/>
    <x v="18"/>
    <n v="60"/>
  </r>
  <r>
    <x v="37"/>
    <x v="20"/>
    <x v="19"/>
    <n v="58"/>
  </r>
  <r>
    <x v="37"/>
    <x v="20"/>
    <x v="20"/>
    <n v="60"/>
  </r>
  <r>
    <x v="37"/>
    <x v="20"/>
    <x v="21"/>
    <n v="29"/>
  </r>
  <r>
    <x v="37"/>
    <x v="20"/>
    <x v="22"/>
    <n v="36"/>
  </r>
  <r>
    <x v="37"/>
    <x v="20"/>
    <x v="23"/>
    <n v="34"/>
  </r>
  <r>
    <x v="37"/>
    <x v="20"/>
    <x v="24"/>
    <n v="35"/>
  </r>
  <r>
    <x v="37"/>
    <x v="20"/>
    <x v="25"/>
    <n v="36"/>
  </r>
  <r>
    <x v="37"/>
    <x v="20"/>
    <x v="26"/>
    <n v="37"/>
  </r>
  <r>
    <x v="37"/>
    <x v="20"/>
    <x v="27"/>
    <n v="36"/>
  </r>
  <r>
    <x v="37"/>
    <x v="20"/>
    <x v="28"/>
    <n v="35"/>
  </r>
  <r>
    <x v="37"/>
    <x v="20"/>
    <x v="29"/>
    <n v="35"/>
  </r>
  <r>
    <x v="37"/>
    <x v="20"/>
    <x v="30"/>
    <n v="35"/>
  </r>
  <r>
    <x v="37"/>
    <x v="20"/>
    <x v="31"/>
    <n v="35"/>
  </r>
  <r>
    <x v="37"/>
    <x v="20"/>
    <x v="32"/>
    <n v="35"/>
  </r>
  <r>
    <x v="37"/>
    <x v="20"/>
    <x v="33"/>
    <n v="35"/>
  </r>
  <r>
    <x v="37"/>
    <x v="20"/>
    <x v="34"/>
    <n v="35"/>
  </r>
  <r>
    <x v="37"/>
    <x v="20"/>
    <x v="35"/>
    <n v="35"/>
  </r>
  <r>
    <x v="37"/>
    <x v="20"/>
    <x v="36"/>
    <n v="35"/>
  </r>
  <r>
    <x v="37"/>
    <x v="20"/>
    <x v="37"/>
    <n v="35"/>
  </r>
  <r>
    <x v="37"/>
    <x v="20"/>
    <x v="38"/>
    <n v="35"/>
  </r>
  <r>
    <x v="37"/>
    <x v="20"/>
    <x v="39"/>
    <n v="35"/>
  </r>
  <r>
    <x v="37"/>
    <x v="20"/>
    <x v="40"/>
    <n v="35"/>
  </r>
  <r>
    <x v="37"/>
    <x v="20"/>
    <x v="41"/>
    <n v="35"/>
  </r>
  <r>
    <x v="37"/>
    <x v="20"/>
    <x v="42"/>
    <n v="35"/>
  </r>
  <r>
    <x v="37"/>
    <x v="20"/>
    <x v="43"/>
    <n v="35"/>
  </r>
  <r>
    <x v="37"/>
    <x v="20"/>
    <x v="44"/>
    <n v="35"/>
  </r>
  <r>
    <x v="37"/>
    <x v="20"/>
    <x v="45"/>
    <n v="35"/>
  </r>
  <r>
    <x v="37"/>
    <x v="20"/>
    <x v="46"/>
    <n v="35"/>
  </r>
  <r>
    <x v="37"/>
    <x v="20"/>
    <x v="47"/>
    <n v="35"/>
  </r>
  <r>
    <x v="37"/>
    <x v="20"/>
    <x v="48"/>
    <n v="35"/>
  </r>
  <r>
    <x v="37"/>
    <x v="20"/>
    <x v="49"/>
    <n v="35"/>
  </r>
  <r>
    <x v="37"/>
    <x v="20"/>
    <x v="50"/>
    <n v="35"/>
  </r>
  <r>
    <x v="37"/>
    <x v="20"/>
    <x v="51"/>
    <n v="35"/>
  </r>
  <r>
    <x v="37"/>
    <x v="20"/>
    <x v="52"/>
    <n v="35"/>
  </r>
  <r>
    <x v="37"/>
    <x v="20"/>
    <x v="53"/>
    <n v="35"/>
  </r>
  <r>
    <x v="37"/>
    <x v="20"/>
    <x v="54"/>
    <n v="35"/>
  </r>
  <r>
    <x v="37"/>
    <x v="20"/>
    <x v="55"/>
    <n v="35"/>
  </r>
  <r>
    <x v="37"/>
    <x v="20"/>
    <x v="56"/>
    <n v="35"/>
  </r>
  <r>
    <x v="37"/>
    <x v="20"/>
    <x v="57"/>
    <n v="35"/>
  </r>
  <r>
    <x v="37"/>
    <x v="20"/>
    <x v="58"/>
    <n v="35"/>
  </r>
  <r>
    <x v="37"/>
    <x v="20"/>
    <x v="59"/>
    <n v="35"/>
  </r>
  <r>
    <x v="37"/>
    <x v="20"/>
    <x v="60"/>
    <n v="35"/>
  </r>
  <r>
    <x v="37"/>
    <x v="20"/>
    <x v="61"/>
    <n v="35"/>
  </r>
  <r>
    <x v="37"/>
    <x v="20"/>
    <x v="62"/>
    <n v="35"/>
  </r>
  <r>
    <x v="37"/>
    <x v="20"/>
    <x v="63"/>
    <n v="35"/>
  </r>
  <r>
    <x v="37"/>
    <x v="20"/>
    <x v="64"/>
    <n v="35"/>
  </r>
  <r>
    <x v="37"/>
    <x v="20"/>
    <x v="65"/>
    <n v="35"/>
  </r>
  <r>
    <x v="37"/>
    <x v="20"/>
    <x v="66"/>
    <n v="35"/>
  </r>
  <r>
    <x v="37"/>
    <x v="20"/>
    <x v="67"/>
    <n v="35"/>
  </r>
  <r>
    <x v="37"/>
    <x v="20"/>
    <x v="68"/>
    <n v="35"/>
  </r>
  <r>
    <x v="37"/>
    <x v="20"/>
    <x v="69"/>
    <n v="35"/>
  </r>
  <r>
    <x v="37"/>
    <x v="20"/>
    <x v="70"/>
    <n v="35"/>
  </r>
  <r>
    <x v="37"/>
    <x v="20"/>
    <x v="71"/>
    <n v="35"/>
  </r>
  <r>
    <x v="37"/>
    <x v="20"/>
    <x v="72"/>
    <n v="35"/>
  </r>
  <r>
    <x v="38"/>
    <x v="21"/>
    <x v="0"/>
    <n v="13"/>
  </r>
  <r>
    <x v="38"/>
    <x v="21"/>
    <x v="1"/>
    <n v="14"/>
  </r>
  <r>
    <x v="38"/>
    <x v="21"/>
    <x v="2"/>
    <n v="3"/>
  </r>
  <r>
    <x v="38"/>
    <x v="21"/>
    <x v="3"/>
    <n v="1"/>
  </r>
  <r>
    <x v="38"/>
    <x v="21"/>
    <x v="4"/>
    <n v="1"/>
  </r>
  <r>
    <x v="38"/>
    <x v="21"/>
    <x v="5"/>
    <n v="1"/>
  </r>
  <r>
    <x v="38"/>
    <x v="21"/>
    <x v="6"/>
    <n v="1"/>
  </r>
  <r>
    <x v="38"/>
    <x v="21"/>
    <x v="7"/>
    <n v="2"/>
  </r>
  <r>
    <x v="38"/>
    <x v="21"/>
    <x v="8"/>
    <n v="5"/>
  </r>
  <r>
    <x v="38"/>
    <x v="21"/>
    <x v="9"/>
    <n v="5"/>
  </r>
  <r>
    <x v="38"/>
    <x v="21"/>
    <x v="10"/>
    <n v="4"/>
  </r>
  <r>
    <x v="38"/>
    <x v="21"/>
    <x v="11"/>
    <n v="7"/>
  </r>
  <r>
    <x v="38"/>
    <x v="21"/>
    <x v="12"/>
    <n v="1"/>
  </r>
  <r>
    <x v="38"/>
    <x v="21"/>
    <x v="13"/>
    <n v="6"/>
  </r>
  <r>
    <x v="38"/>
    <x v="21"/>
    <x v="14"/>
    <n v="5"/>
  </r>
  <r>
    <x v="38"/>
    <x v="21"/>
    <x v="15"/>
    <n v="5"/>
  </r>
  <r>
    <x v="38"/>
    <x v="21"/>
    <x v="16"/>
    <n v="9"/>
  </r>
  <r>
    <x v="38"/>
    <x v="21"/>
    <x v="17"/>
    <n v="11"/>
  </r>
  <r>
    <x v="38"/>
    <x v="21"/>
    <x v="18"/>
    <n v="26"/>
  </r>
  <r>
    <x v="38"/>
    <x v="21"/>
    <x v="19"/>
    <n v="27"/>
  </r>
  <r>
    <x v="38"/>
    <x v="21"/>
    <x v="20"/>
    <n v="30"/>
  </r>
  <r>
    <x v="38"/>
    <x v="21"/>
    <x v="21"/>
    <n v="34"/>
  </r>
  <r>
    <x v="38"/>
    <x v="21"/>
    <x v="22"/>
    <n v="43"/>
  </r>
  <r>
    <x v="38"/>
    <x v="21"/>
    <x v="23"/>
    <n v="28"/>
  </r>
  <r>
    <x v="38"/>
    <x v="21"/>
    <x v="24"/>
    <n v="32"/>
  </r>
  <r>
    <x v="38"/>
    <x v="21"/>
    <x v="25"/>
    <n v="31"/>
  </r>
  <r>
    <x v="38"/>
    <x v="21"/>
    <x v="26"/>
    <n v="31"/>
  </r>
  <r>
    <x v="38"/>
    <x v="21"/>
    <x v="27"/>
    <n v="31"/>
  </r>
  <r>
    <x v="38"/>
    <x v="21"/>
    <x v="28"/>
    <n v="39"/>
  </r>
  <r>
    <x v="38"/>
    <x v="21"/>
    <x v="29"/>
    <n v="39"/>
  </r>
  <r>
    <x v="38"/>
    <x v="21"/>
    <x v="30"/>
    <n v="39"/>
  </r>
  <r>
    <x v="38"/>
    <x v="21"/>
    <x v="31"/>
    <n v="39"/>
  </r>
  <r>
    <x v="38"/>
    <x v="21"/>
    <x v="32"/>
    <n v="39"/>
  </r>
  <r>
    <x v="38"/>
    <x v="21"/>
    <x v="33"/>
    <n v="39"/>
  </r>
  <r>
    <x v="38"/>
    <x v="21"/>
    <x v="34"/>
    <n v="39"/>
  </r>
  <r>
    <x v="38"/>
    <x v="21"/>
    <x v="35"/>
    <n v="39"/>
  </r>
  <r>
    <x v="38"/>
    <x v="21"/>
    <x v="36"/>
    <n v="39"/>
  </r>
  <r>
    <x v="38"/>
    <x v="21"/>
    <x v="37"/>
    <n v="39"/>
  </r>
  <r>
    <x v="38"/>
    <x v="21"/>
    <x v="38"/>
    <n v="39"/>
  </r>
  <r>
    <x v="38"/>
    <x v="21"/>
    <x v="39"/>
    <n v="39"/>
  </r>
  <r>
    <x v="38"/>
    <x v="21"/>
    <x v="40"/>
    <n v="39"/>
  </r>
  <r>
    <x v="38"/>
    <x v="21"/>
    <x v="41"/>
    <n v="39"/>
  </r>
  <r>
    <x v="38"/>
    <x v="21"/>
    <x v="42"/>
    <n v="39"/>
  </r>
  <r>
    <x v="38"/>
    <x v="21"/>
    <x v="43"/>
    <n v="39"/>
  </r>
  <r>
    <x v="38"/>
    <x v="21"/>
    <x v="44"/>
    <n v="39"/>
  </r>
  <r>
    <x v="38"/>
    <x v="21"/>
    <x v="45"/>
    <n v="39"/>
  </r>
  <r>
    <x v="38"/>
    <x v="21"/>
    <x v="46"/>
    <n v="39"/>
  </r>
  <r>
    <x v="38"/>
    <x v="21"/>
    <x v="47"/>
    <n v="39"/>
  </r>
  <r>
    <x v="38"/>
    <x v="21"/>
    <x v="48"/>
    <n v="39"/>
  </r>
  <r>
    <x v="38"/>
    <x v="21"/>
    <x v="49"/>
    <n v="39"/>
  </r>
  <r>
    <x v="38"/>
    <x v="21"/>
    <x v="50"/>
    <n v="39"/>
  </r>
  <r>
    <x v="38"/>
    <x v="21"/>
    <x v="51"/>
    <n v="39"/>
  </r>
  <r>
    <x v="38"/>
    <x v="21"/>
    <x v="52"/>
    <n v="39"/>
  </r>
  <r>
    <x v="38"/>
    <x v="21"/>
    <x v="53"/>
    <n v="39"/>
  </r>
  <r>
    <x v="38"/>
    <x v="21"/>
    <x v="54"/>
    <n v="39"/>
  </r>
  <r>
    <x v="38"/>
    <x v="21"/>
    <x v="55"/>
    <n v="39"/>
  </r>
  <r>
    <x v="38"/>
    <x v="21"/>
    <x v="56"/>
    <n v="39"/>
  </r>
  <r>
    <x v="38"/>
    <x v="21"/>
    <x v="57"/>
    <n v="39"/>
  </r>
  <r>
    <x v="38"/>
    <x v="21"/>
    <x v="58"/>
    <n v="39"/>
  </r>
  <r>
    <x v="38"/>
    <x v="21"/>
    <x v="59"/>
    <n v="39"/>
  </r>
  <r>
    <x v="38"/>
    <x v="21"/>
    <x v="60"/>
    <n v="39"/>
  </r>
  <r>
    <x v="38"/>
    <x v="21"/>
    <x v="61"/>
    <n v="39"/>
  </r>
  <r>
    <x v="38"/>
    <x v="21"/>
    <x v="62"/>
    <n v="39"/>
  </r>
  <r>
    <x v="38"/>
    <x v="21"/>
    <x v="63"/>
    <n v="39"/>
  </r>
  <r>
    <x v="38"/>
    <x v="21"/>
    <x v="64"/>
    <n v="39"/>
  </r>
  <r>
    <x v="38"/>
    <x v="21"/>
    <x v="65"/>
    <n v="39"/>
  </r>
  <r>
    <x v="38"/>
    <x v="21"/>
    <x v="66"/>
    <n v="39"/>
  </r>
  <r>
    <x v="38"/>
    <x v="21"/>
    <x v="67"/>
    <n v="39"/>
  </r>
  <r>
    <x v="38"/>
    <x v="21"/>
    <x v="68"/>
    <n v="39"/>
  </r>
  <r>
    <x v="38"/>
    <x v="21"/>
    <x v="69"/>
    <n v="39"/>
  </r>
  <r>
    <x v="38"/>
    <x v="21"/>
    <x v="70"/>
    <n v="39"/>
  </r>
  <r>
    <x v="38"/>
    <x v="21"/>
    <x v="71"/>
    <n v="39"/>
  </r>
  <r>
    <x v="38"/>
    <x v="21"/>
    <x v="72"/>
    <n v="39"/>
  </r>
  <r>
    <x v="39"/>
    <x v="21"/>
    <x v="0"/>
    <n v="13"/>
  </r>
  <r>
    <x v="39"/>
    <x v="21"/>
    <x v="1"/>
    <n v="14"/>
  </r>
  <r>
    <x v="39"/>
    <x v="21"/>
    <x v="2"/>
    <n v="24"/>
  </r>
  <r>
    <x v="39"/>
    <x v="21"/>
    <x v="3"/>
    <n v="71"/>
  </r>
  <r>
    <x v="39"/>
    <x v="21"/>
    <x v="4"/>
    <n v="71"/>
  </r>
  <r>
    <x v="39"/>
    <x v="21"/>
    <x v="5"/>
    <n v="71"/>
  </r>
  <r>
    <x v="39"/>
    <x v="21"/>
    <x v="6"/>
    <n v="79"/>
  </r>
  <r>
    <x v="39"/>
    <x v="21"/>
    <x v="7"/>
    <n v="80"/>
  </r>
  <r>
    <x v="39"/>
    <x v="21"/>
    <x v="8"/>
    <n v="80"/>
  </r>
  <r>
    <x v="39"/>
    <x v="21"/>
    <x v="9"/>
    <n v="74"/>
  </r>
  <r>
    <x v="39"/>
    <x v="21"/>
    <x v="10"/>
    <n v="69"/>
  </r>
  <r>
    <x v="39"/>
    <x v="21"/>
    <x v="11"/>
    <n v="73"/>
  </r>
  <r>
    <x v="39"/>
    <x v="21"/>
    <x v="12"/>
    <n v="46"/>
  </r>
  <r>
    <x v="39"/>
    <x v="21"/>
    <x v="13"/>
    <n v="32"/>
  </r>
  <r>
    <x v="39"/>
    <x v="21"/>
    <x v="14"/>
    <n v="29"/>
  </r>
  <r>
    <x v="39"/>
    <x v="21"/>
    <x v="15"/>
    <n v="19"/>
  </r>
  <r>
    <x v="39"/>
    <x v="21"/>
    <x v="16"/>
    <n v="23"/>
  </r>
  <r>
    <x v="39"/>
    <x v="21"/>
    <x v="17"/>
    <n v="29"/>
  </r>
  <r>
    <x v="39"/>
    <x v="21"/>
    <x v="18"/>
    <n v="23"/>
  </r>
  <r>
    <x v="39"/>
    <x v="21"/>
    <x v="19"/>
    <n v="31"/>
  </r>
  <r>
    <x v="39"/>
    <x v="21"/>
    <x v="20"/>
    <n v="32"/>
  </r>
  <r>
    <x v="39"/>
    <x v="21"/>
    <x v="21"/>
    <n v="37"/>
  </r>
  <r>
    <x v="39"/>
    <x v="21"/>
    <x v="22"/>
    <n v="29"/>
  </r>
  <r>
    <x v="39"/>
    <x v="21"/>
    <x v="23"/>
    <n v="40"/>
  </r>
  <r>
    <x v="39"/>
    <x v="21"/>
    <x v="24"/>
    <n v="32"/>
  </r>
  <r>
    <x v="39"/>
    <x v="21"/>
    <x v="25"/>
    <n v="31"/>
  </r>
  <r>
    <x v="39"/>
    <x v="21"/>
    <x v="26"/>
    <n v="31"/>
  </r>
  <r>
    <x v="39"/>
    <x v="21"/>
    <x v="27"/>
    <n v="31"/>
  </r>
  <r>
    <x v="39"/>
    <x v="21"/>
    <x v="28"/>
    <n v="39"/>
  </r>
  <r>
    <x v="39"/>
    <x v="21"/>
    <x v="29"/>
    <n v="39"/>
  </r>
  <r>
    <x v="39"/>
    <x v="21"/>
    <x v="30"/>
    <n v="39"/>
  </r>
  <r>
    <x v="39"/>
    <x v="21"/>
    <x v="31"/>
    <n v="39"/>
  </r>
  <r>
    <x v="39"/>
    <x v="21"/>
    <x v="32"/>
    <n v="39"/>
  </r>
  <r>
    <x v="39"/>
    <x v="21"/>
    <x v="33"/>
    <n v="39"/>
  </r>
  <r>
    <x v="39"/>
    <x v="21"/>
    <x v="34"/>
    <n v="39"/>
  </r>
  <r>
    <x v="39"/>
    <x v="21"/>
    <x v="35"/>
    <n v="39"/>
  </r>
  <r>
    <x v="39"/>
    <x v="21"/>
    <x v="36"/>
    <n v="39"/>
  </r>
  <r>
    <x v="39"/>
    <x v="21"/>
    <x v="37"/>
    <n v="39"/>
  </r>
  <r>
    <x v="39"/>
    <x v="21"/>
    <x v="38"/>
    <n v="39"/>
  </r>
  <r>
    <x v="39"/>
    <x v="21"/>
    <x v="39"/>
    <n v="39"/>
  </r>
  <r>
    <x v="39"/>
    <x v="21"/>
    <x v="40"/>
    <n v="39"/>
  </r>
  <r>
    <x v="39"/>
    <x v="21"/>
    <x v="41"/>
    <n v="39"/>
  </r>
  <r>
    <x v="39"/>
    <x v="21"/>
    <x v="42"/>
    <n v="39"/>
  </r>
  <r>
    <x v="39"/>
    <x v="21"/>
    <x v="43"/>
    <n v="39"/>
  </r>
  <r>
    <x v="39"/>
    <x v="21"/>
    <x v="44"/>
    <n v="39"/>
  </r>
  <r>
    <x v="39"/>
    <x v="21"/>
    <x v="45"/>
    <n v="39"/>
  </r>
  <r>
    <x v="39"/>
    <x v="21"/>
    <x v="46"/>
    <n v="39"/>
  </r>
  <r>
    <x v="39"/>
    <x v="21"/>
    <x v="47"/>
    <n v="39"/>
  </r>
  <r>
    <x v="39"/>
    <x v="21"/>
    <x v="48"/>
    <n v="39"/>
  </r>
  <r>
    <x v="39"/>
    <x v="21"/>
    <x v="49"/>
    <n v="39"/>
  </r>
  <r>
    <x v="39"/>
    <x v="21"/>
    <x v="50"/>
    <n v="39"/>
  </r>
  <r>
    <x v="39"/>
    <x v="21"/>
    <x v="51"/>
    <n v="39"/>
  </r>
  <r>
    <x v="39"/>
    <x v="21"/>
    <x v="52"/>
    <n v="39"/>
  </r>
  <r>
    <x v="39"/>
    <x v="21"/>
    <x v="53"/>
    <n v="39"/>
  </r>
  <r>
    <x v="39"/>
    <x v="21"/>
    <x v="54"/>
    <n v="39"/>
  </r>
  <r>
    <x v="39"/>
    <x v="21"/>
    <x v="55"/>
    <n v="39"/>
  </r>
  <r>
    <x v="39"/>
    <x v="21"/>
    <x v="56"/>
    <n v="39"/>
  </r>
  <r>
    <x v="39"/>
    <x v="21"/>
    <x v="57"/>
    <n v="39"/>
  </r>
  <r>
    <x v="39"/>
    <x v="21"/>
    <x v="58"/>
    <n v="39"/>
  </r>
  <r>
    <x v="39"/>
    <x v="21"/>
    <x v="59"/>
    <n v="39"/>
  </r>
  <r>
    <x v="39"/>
    <x v="21"/>
    <x v="60"/>
    <n v="39"/>
  </r>
  <r>
    <x v="39"/>
    <x v="21"/>
    <x v="61"/>
    <n v="39"/>
  </r>
  <r>
    <x v="39"/>
    <x v="21"/>
    <x v="62"/>
    <n v="39"/>
  </r>
  <r>
    <x v="39"/>
    <x v="21"/>
    <x v="63"/>
    <n v="39"/>
  </r>
  <r>
    <x v="39"/>
    <x v="21"/>
    <x v="64"/>
    <n v="39"/>
  </r>
  <r>
    <x v="39"/>
    <x v="21"/>
    <x v="65"/>
    <n v="39"/>
  </r>
  <r>
    <x v="39"/>
    <x v="21"/>
    <x v="66"/>
    <n v="39"/>
  </r>
  <r>
    <x v="39"/>
    <x v="21"/>
    <x v="67"/>
    <n v="39"/>
  </r>
  <r>
    <x v="39"/>
    <x v="21"/>
    <x v="68"/>
    <n v="39"/>
  </r>
  <r>
    <x v="39"/>
    <x v="21"/>
    <x v="69"/>
    <n v="39"/>
  </r>
  <r>
    <x v="39"/>
    <x v="21"/>
    <x v="70"/>
    <n v="39"/>
  </r>
  <r>
    <x v="39"/>
    <x v="21"/>
    <x v="71"/>
    <n v="39"/>
  </r>
  <r>
    <x v="39"/>
    <x v="21"/>
    <x v="72"/>
    <n v="39"/>
  </r>
  <r>
    <x v="40"/>
    <x v="21"/>
    <x v="0"/>
    <n v="78"/>
  </r>
  <r>
    <x v="40"/>
    <x v="21"/>
    <x v="1"/>
    <n v="77"/>
  </r>
  <r>
    <x v="40"/>
    <x v="21"/>
    <x v="2"/>
    <n v="82"/>
  </r>
  <r>
    <x v="40"/>
    <x v="21"/>
    <x v="3"/>
    <n v="54"/>
  </r>
  <r>
    <x v="40"/>
    <x v="21"/>
    <x v="4"/>
    <n v="55"/>
  </r>
  <r>
    <x v="40"/>
    <x v="21"/>
    <x v="5"/>
    <n v="68"/>
  </r>
  <r>
    <x v="40"/>
    <x v="21"/>
    <x v="6"/>
    <n v="49"/>
  </r>
  <r>
    <x v="40"/>
    <x v="21"/>
    <x v="7"/>
    <n v="49"/>
  </r>
  <r>
    <x v="40"/>
    <x v="21"/>
    <x v="8"/>
    <n v="64"/>
  </r>
  <r>
    <x v="40"/>
    <x v="21"/>
    <x v="9"/>
    <n v="65"/>
  </r>
  <r>
    <x v="40"/>
    <x v="21"/>
    <x v="10"/>
    <n v="61"/>
  </r>
  <r>
    <x v="40"/>
    <x v="21"/>
    <x v="11"/>
    <n v="69"/>
  </r>
  <r>
    <x v="40"/>
    <x v="21"/>
    <x v="12"/>
    <n v="43"/>
  </r>
  <r>
    <x v="40"/>
    <x v="21"/>
    <x v="13"/>
    <n v="29"/>
  </r>
  <r>
    <x v="40"/>
    <x v="21"/>
    <x v="14"/>
    <n v="32"/>
  </r>
  <r>
    <x v="40"/>
    <x v="21"/>
    <x v="15"/>
    <n v="41"/>
  </r>
  <r>
    <x v="40"/>
    <x v="21"/>
    <x v="16"/>
    <n v="28"/>
  </r>
  <r>
    <x v="40"/>
    <x v="21"/>
    <x v="17"/>
    <n v="34"/>
  </r>
  <r>
    <x v="40"/>
    <x v="21"/>
    <x v="18"/>
    <n v="26"/>
  </r>
  <r>
    <x v="40"/>
    <x v="21"/>
    <x v="19"/>
    <n v="34"/>
  </r>
  <r>
    <x v="40"/>
    <x v="21"/>
    <x v="20"/>
    <n v="36"/>
  </r>
  <r>
    <x v="40"/>
    <x v="21"/>
    <x v="21"/>
    <n v="40"/>
  </r>
  <r>
    <x v="40"/>
    <x v="21"/>
    <x v="22"/>
    <n v="32"/>
  </r>
  <r>
    <x v="40"/>
    <x v="21"/>
    <x v="23"/>
    <n v="43"/>
  </r>
  <r>
    <x v="40"/>
    <x v="21"/>
    <x v="24"/>
    <n v="43"/>
  </r>
  <r>
    <x v="40"/>
    <x v="21"/>
    <x v="25"/>
    <n v="44"/>
  </r>
  <r>
    <x v="40"/>
    <x v="21"/>
    <x v="26"/>
    <n v="44"/>
  </r>
  <r>
    <x v="40"/>
    <x v="21"/>
    <x v="27"/>
    <n v="39"/>
  </r>
  <r>
    <x v="40"/>
    <x v="21"/>
    <x v="28"/>
    <n v="39"/>
  </r>
  <r>
    <x v="40"/>
    <x v="21"/>
    <x v="29"/>
    <n v="39"/>
  </r>
  <r>
    <x v="40"/>
    <x v="21"/>
    <x v="30"/>
    <n v="39"/>
  </r>
  <r>
    <x v="40"/>
    <x v="21"/>
    <x v="31"/>
    <n v="39"/>
  </r>
  <r>
    <x v="40"/>
    <x v="21"/>
    <x v="32"/>
    <n v="39"/>
  </r>
  <r>
    <x v="40"/>
    <x v="21"/>
    <x v="33"/>
    <n v="39"/>
  </r>
  <r>
    <x v="40"/>
    <x v="21"/>
    <x v="34"/>
    <n v="39"/>
  </r>
  <r>
    <x v="40"/>
    <x v="21"/>
    <x v="35"/>
    <n v="39"/>
  </r>
  <r>
    <x v="40"/>
    <x v="21"/>
    <x v="36"/>
    <n v="39"/>
  </r>
  <r>
    <x v="40"/>
    <x v="21"/>
    <x v="37"/>
    <n v="39"/>
  </r>
  <r>
    <x v="40"/>
    <x v="21"/>
    <x v="38"/>
    <n v="39"/>
  </r>
  <r>
    <x v="40"/>
    <x v="21"/>
    <x v="39"/>
    <n v="39"/>
  </r>
  <r>
    <x v="40"/>
    <x v="21"/>
    <x v="40"/>
    <n v="39"/>
  </r>
  <r>
    <x v="40"/>
    <x v="21"/>
    <x v="41"/>
    <n v="39"/>
  </r>
  <r>
    <x v="40"/>
    <x v="21"/>
    <x v="42"/>
    <n v="39"/>
  </r>
  <r>
    <x v="40"/>
    <x v="21"/>
    <x v="43"/>
    <n v="39"/>
  </r>
  <r>
    <x v="40"/>
    <x v="21"/>
    <x v="44"/>
    <n v="39"/>
  </r>
  <r>
    <x v="40"/>
    <x v="21"/>
    <x v="45"/>
    <n v="39"/>
  </r>
  <r>
    <x v="40"/>
    <x v="21"/>
    <x v="46"/>
    <n v="39"/>
  </r>
  <r>
    <x v="40"/>
    <x v="21"/>
    <x v="47"/>
    <n v="39"/>
  </r>
  <r>
    <x v="40"/>
    <x v="21"/>
    <x v="48"/>
    <n v="39"/>
  </r>
  <r>
    <x v="40"/>
    <x v="21"/>
    <x v="49"/>
    <n v="39"/>
  </r>
  <r>
    <x v="40"/>
    <x v="21"/>
    <x v="50"/>
    <n v="39"/>
  </r>
  <r>
    <x v="40"/>
    <x v="21"/>
    <x v="51"/>
    <n v="39"/>
  </r>
  <r>
    <x v="40"/>
    <x v="21"/>
    <x v="52"/>
    <n v="39"/>
  </r>
  <r>
    <x v="40"/>
    <x v="21"/>
    <x v="53"/>
    <n v="39"/>
  </r>
  <r>
    <x v="40"/>
    <x v="21"/>
    <x v="54"/>
    <n v="39"/>
  </r>
  <r>
    <x v="40"/>
    <x v="21"/>
    <x v="55"/>
    <n v="39"/>
  </r>
  <r>
    <x v="40"/>
    <x v="21"/>
    <x v="56"/>
    <n v="39"/>
  </r>
  <r>
    <x v="40"/>
    <x v="21"/>
    <x v="57"/>
    <n v="39"/>
  </r>
  <r>
    <x v="40"/>
    <x v="21"/>
    <x v="58"/>
    <n v="39"/>
  </r>
  <r>
    <x v="40"/>
    <x v="21"/>
    <x v="59"/>
    <n v="39"/>
  </r>
  <r>
    <x v="40"/>
    <x v="21"/>
    <x v="60"/>
    <n v="39"/>
  </r>
  <r>
    <x v="40"/>
    <x v="21"/>
    <x v="61"/>
    <n v="39"/>
  </r>
  <r>
    <x v="40"/>
    <x v="21"/>
    <x v="62"/>
    <n v="39"/>
  </r>
  <r>
    <x v="40"/>
    <x v="21"/>
    <x v="63"/>
    <n v="39"/>
  </r>
  <r>
    <x v="40"/>
    <x v="21"/>
    <x v="64"/>
    <n v="39"/>
  </r>
  <r>
    <x v="40"/>
    <x v="21"/>
    <x v="65"/>
    <n v="39"/>
  </r>
  <r>
    <x v="40"/>
    <x v="21"/>
    <x v="66"/>
    <n v="39"/>
  </r>
  <r>
    <x v="40"/>
    <x v="21"/>
    <x v="67"/>
    <n v="39"/>
  </r>
  <r>
    <x v="40"/>
    <x v="21"/>
    <x v="68"/>
    <n v="39"/>
  </r>
  <r>
    <x v="40"/>
    <x v="21"/>
    <x v="69"/>
    <n v="39"/>
  </r>
  <r>
    <x v="40"/>
    <x v="21"/>
    <x v="70"/>
    <n v="39"/>
  </r>
  <r>
    <x v="40"/>
    <x v="21"/>
    <x v="71"/>
    <n v="39"/>
  </r>
  <r>
    <x v="40"/>
    <x v="21"/>
    <x v="72"/>
    <n v="39"/>
  </r>
  <r>
    <x v="41"/>
    <x v="21"/>
    <x v="0"/>
    <n v="78"/>
  </r>
  <r>
    <x v="41"/>
    <x v="21"/>
    <x v="1"/>
    <n v="77"/>
  </r>
  <r>
    <x v="41"/>
    <x v="21"/>
    <x v="2"/>
    <n v="61"/>
  </r>
  <r>
    <x v="41"/>
    <x v="21"/>
    <x v="3"/>
    <n v="32"/>
  </r>
  <r>
    <x v="41"/>
    <x v="21"/>
    <x v="4"/>
    <n v="32"/>
  </r>
  <r>
    <x v="41"/>
    <x v="21"/>
    <x v="5"/>
    <n v="33"/>
  </r>
  <r>
    <x v="41"/>
    <x v="21"/>
    <x v="6"/>
    <n v="23"/>
  </r>
  <r>
    <x v="41"/>
    <x v="21"/>
    <x v="7"/>
    <n v="15"/>
  </r>
  <r>
    <x v="41"/>
    <x v="21"/>
    <x v="8"/>
    <n v="16"/>
  </r>
  <r>
    <x v="41"/>
    <x v="21"/>
    <x v="9"/>
    <n v="10"/>
  </r>
  <r>
    <x v="41"/>
    <x v="21"/>
    <x v="10"/>
    <n v="9"/>
  </r>
  <r>
    <x v="41"/>
    <x v="21"/>
    <x v="11"/>
    <n v="12"/>
  </r>
  <r>
    <x v="41"/>
    <x v="21"/>
    <x v="12"/>
    <n v="7"/>
  </r>
  <r>
    <x v="41"/>
    <x v="21"/>
    <x v="13"/>
    <n v="6"/>
  </r>
  <r>
    <x v="41"/>
    <x v="21"/>
    <x v="14"/>
    <n v="5"/>
  </r>
  <r>
    <x v="41"/>
    <x v="21"/>
    <x v="15"/>
    <n v="5"/>
  </r>
  <r>
    <x v="41"/>
    <x v="21"/>
    <x v="16"/>
    <n v="4"/>
  </r>
  <r>
    <x v="41"/>
    <x v="21"/>
    <x v="17"/>
    <n v="6"/>
  </r>
  <r>
    <x v="41"/>
    <x v="21"/>
    <x v="18"/>
    <n v="5"/>
  </r>
  <r>
    <x v="41"/>
    <x v="21"/>
    <x v="19"/>
    <n v="5"/>
  </r>
  <r>
    <x v="41"/>
    <x v="21"/>
    <x v="20"/>
    <n v="7"/>
  </r>
  <r>
    <x v="41"/>
    <x v="21"/>
    <x v="21"/>
    <n v="14"/>
  </r>
  <r>
    <x v="41"/>
    <x v="21"/>
    <x v="22"/>
    <n v="16"/>
  </r>
  <r>
    <x v="41"/>
    <x v="21"/>
    <x v="23"/>
    <n v="28"/>
  </r>
  <r>
    <x v="41"/>
    <x v="21"/>
    <x v="24"/>
    <n v="28"/>
  </r>
  <r>
    <x v="41"/>
    <x v="21"/>
    <x v="25"/>
    <n v="31"/>
  </r>
  <r>
    <x v="41"/>
    <x v="21"/>
    <x v="26"/>
    <n v="31"/>
  </r>
  <r>
    <x v="41"/>
    <x v="21"/>
    <x v="27"/>
    <n v="39"/>
  </r>
  <r>
    <x v="41"/>
    <x v="21"/>
    <x v="28"/>
    <n v="39"/>
  </r>
  <r>
    <x v="41"/>
    <x v="21"/>
    <x v="29"/>
    <n v="39"/>
  </r>
  <r>
    <x v="41"/>
    <x v="21"/>
    <x v="30"/>
    <n v="39"/>
  </r>
  <r>
    <x v="41"/>
    <x v="21"/>
    <x v="31"/>
    <n v="39"/>
  </r>
  <r>
    <x v="41"/>
    <x v="21"/>
    <x v="32"/>
    <n v="39"/>
  </r>
  <r>
    <x v="41"/>
    <x v="21"/>
    <x v="33"/>
    <n v="39"/>
  </r>
  <r>
    <x v="41"/>
    <x v="21"/>
    <x v="34"/>
    <n v="39"/>
  </r>
  <r>
    <x v="41"/>
    <x v="21"/>
    <x v="35"/>
    <n v="39"/>
  </r>
  <r>
    <x v="41"/>
    <x v="21"/>
    <x v="36"/>
    <n v="39"/>
  </r>
  <r>
    <x v="41"/>
    <x v="21"/>
    <x v="37"/>
    <n v="39"/>
  </r>
  <r>
    <x v="41"/>
    <x v="21"/>
    <x v="38"/>
    <n v="39"/>
  </r>
  <r>
    <x v="41"/>
    <x v="21"/>
    <x v="39"/>
    <n v="39"/>
  </r>
  <r>
    <x v="41"/>
    <x v="21"/>
    <x v="40"/>
    <n v="39"/>
  </r>
  <r>
    <x v="41"/>
    <x v="21"/>
    <x v="41"/>
    <n v="39"/>
  </r>
  <r>
    <x v="41"/>
    <x v="21"/>
    <x v="42"/>
    <n v="39"/>
  </r>
  <r>
    <x v="41"/>
    <x v="21"/>
    <x v="43"/>
    <n v="39"/>
  </r>
  <r>
    <x v="41"/>
    <x v="21"/>
    <x v="44"/>
    <n v="39"/>
  </r>
  <r>
    <x v="41"/>
    <x v="21"/>
    <x v="45"/>
    <n v="39"/>
  </r>
  <r>
    <x v="41"/>
    <x v="21"/>
    <x v="46"/>
    <n v="39"/>
  </r>
  <r>
    <x v="41"/>
    <x v="21"/>
    <x v="47"/>
    <n v="39"/>
  </r>
  <r>
    <x v="41"/>
    <x v="21"/>
    <x v="48"/>
    <n v="39"/>
  </r>
  <r>
    <x v="41"/>
    <x v="21"/>
    <x v="49"/>
    <n v="39"/>
  </r>
  <r>
    <x v="41"/>
    <x v="21"/>
    <x v="50"/>
    <n v="39"/>
  </r>
  <r>
    <x v="41"/>
    <x v="21"/>
    <x v="51"/>
    <n v="39"/>
  </r>
  <r>
    <x v="41"/>
    <x v="21"/>
    <x v="52"/>
    <n v="39"/>
  </r>
  <r>
    <x v="41"/>
    <x v="21"/>
    <x v="53"/>
    <n v="39"/>
  </r>
  <r>
    <x v="41"/>
    <x v="21"/>
    <x v="54"/>
    <n v="39"/>
  </r>
  <r>
    <x v="41"/>
    <x v="21"/>
    <x v="55"/>
    <n v="39"/>
  </r>
  <r>
    <x v="41"/>
    <x v="21"/>
    <x v="56"/>
    <n v="39"/>
  </r>
  <r>
    <x v="41"/>
    <x v="21"/>
    <x v="57"/>
    <n v="39"/>
  </r>
  <r>
    <x v="41"/>
    <x v="21"/>
    <x v="58"/>
    <n v="39"/>
  </r>
  <r>
    <x v="41"/>
    <x v="21"/>
    <x v="59"/>
    <n v="39"/>
  </r>
  <r>
    <x v="41"/>
    <x v="21"/>
    <x v="60"/>
    <n v="39"/>
  </r>
  <r>
    <x v="41"/>
    <x v="21"/>
    <x v="61"/>
    <n v="39"/>
  </r>
  <r>
    <x v="41"/>
    <x v="21"/>
    <x v="62"/>
    <n v="39"/>
  </r>
  <r>
    <x v="41"/>
    <x v="21"/>
    <x v="63"/>
    <n v="39"/>
  </r>
  <r>
    <x v="41"/>
    <x v="21"/>
    <x v="64"/>
    <n v="39"/>
  </r>
  <r>
    <x v="41"/>
    <x v="21"/>
    <x v="65"/>
    <n v="39"/>
  </r>
  <r>
    <x v="41"/>
    <x v="21"/>
    <x v="66"/>
    <n v="39"/>
  </r>
  <r>
    <x v="41"/>
    <x v="21"/>
    <x v="67"/>
    <n v="39"/>
  </r>
  <r>
    <x v="41"/>
    <x v="21"/>
    <x v="68"/>
    <n v="39"/>
  </r>
  <r>
    <x v="41"/>
    <x v="21"/>
    <x v="69"/>
    <n v="39"/>
  </r>
  <r>
    <x v="41"/>
    <x v="21"/>
    <x v="70"/>
    <n v="39"/>
  </r>
  <r>
    <x v="41"/>
    <x v="21"/>
    <x v="71"/>
    <n v="39"/>
  </r>
  <r>
    <x v="41"/>
    <x v="21"/>
    <x v="72"/>
    <n v="39"/>
  </r>
  <r>
    <x v="42"/>
    <x v="21"/>
    <x v="0"/>
    <n v="13"/>
  </r>
  <r>
    <x v="42"/>
    <x v="21"/>
    <x v="1"/>
    <n v="14"/>
  </r>
  <r>
    <x v="42"/>
    <x v="21"/>
    <x v="2"/>
    <n v="24"/>
  </r>
  <r>
    <x v="42"/>
    <x v="21"/>
    <x v="3"/>
    <n v="9"/>
  </r>
  <r>
    <x v="42"/>
    <x v="21"/>
    <x v="4"/>
    <n v="9"/>
  </r>
  <r>
    <x v="42"/>
    <x v="21"/>
    <x v="5"/>
    <n v="9"/>
  </r>
  <r>
    <x v="42"/>
    <x v="21"/>
    <x v="6"/>
    <n v="5"/>
  </r>
  <r>
    <x v="42"/>
    <x v="21"/>
    <x v="7"/>
    <n v="8"/>
  </r>
  <r>
    <x v="42"/>
    <x v="21"/>
    <x v="8"/>
    <n v="11"/>
  </r>
  <r>
    <x v="42"/>
    <x v="21"/>
    <x v="9"/>
    <n v="15"/>
  </r>
  <r>
    <x v="42"/>
    <x v="21"/>
    <x v="10"/>
    <n v="14"/>
  </r>
  <r>
    <x v="42"/>
    <x v="21"/>
    <x v="11"/>
    <n v="14"/>
  </r>
  <r>
    <x v="42"/>
    <x v="21"/>
    <x v="12"/>
    <n v="9"/>
  </r>
  <r>
    <x v="42"/>
    <x v="21"/>
    <x v="13"/>
    <n v="9"/>
  </r>
  <r>
    <x v="42"/>
    <x v="21"/>
    <x v="14"/>
    <n v="8"/>
  </r>
  <r>
    <x v="42"/>
    <x v="21"/>
    <x v="15"/>
    <n v="9"/>
  </r>
  <r>
    <x v="42"/>
    <x v="21"/>
    <x v="16"/>
    <n v="12"/>
  </r>
  <r>
    <x v="42"/>
    <x v="21"/>
    <x v="17"/>
    <n v="16"/>
  </r>
  <r>
    <x v="42"/>
    <x v="21"/>
    <x v="18"/>
    <n v="16"/>
  </r>
  <r>
    <x v="42"/>
    <x v="21"/>
    <x v="19"/>
    <n v="21"/>
  </r>
  <r>
    <x v="42"/>
    <x v="21"/>
    <x v="20"/>
    <n v="19"/>
  </r>
  <r>
    <x v="42"/>
    <x v="21"/>
    <x v="21"/>
    <n v="24"/>
  </r>
  <r>
    <x v="42"/>
    <x v="21"/>
    <x v="22"/>
    <n v="27"/>
  </r>
  <r>
    <x v="42"/>
    <x v="21"/>
    <x v="23"/>
    <n v="32"/>
  </r>
  <r>
    <x v="42"/>
    <x v="21"/>
    <x v="24"/>
    <n v="32"/>
  </r>
  <r>
    <x v="42"/>
    <x v="21"/>
    <x v="25"/>
    <n v="31"/>
  </r>
  <r>
    <x v="42"/>
    <x v="21"/>
    <x v="26"/>
    <n v="31"/>
  </r>
  <r>
    <x v="42"/>
    <x v="21"/>
    <x v="27"/>
    <n v="31"/>
  </r>
  <r>
    <x v="42"/>
    <x v="21"/>
    <x v="28"/>
    <n v="39"/>
  </r>
  <r>
    <x v="42"/>
    <x v="21"/>
    <x v="29"/>
    <n v="39"/>
  </r>
  <r>
    <x v="42"/>
    <x v="21"/>
    <x v="30"/>
    <n v="39"/>
  </r>
  <r>
    <x v="42"/>
    <x v="21"/>
    <x v="31"/>
    <n v="39"/>
  </r>
  <r>
    <x v="42"/>
    <x v="21"/>
    <x v="32"/>
    <n v="39"/>
  </r>
  <r>
    <x v="42"/>
    <x v="21"/>
    <x v="33"/>
    <n v="39"/>
  </r>
  <r>
    <x v="42"/>
    <x v="21"/>
    <x v="34"/>
    <n v="39"/>
  </r>
  <r>
    <x v="42"/>
    <x v="21"/>
    <x v="35"/>
    <n v="39"/>
  </r>
  <r>
    <x v="42"/>
    <x v="21"/>
    <x v="36"/>
    <n v="39"/>
  </r>
  <r>
    <x v="42"/>
    <x v="21"/>
    <x v="37"/>
    <n v="39"/>
  </r>
  <r>
    <x v="42"/>
    <x v="21"/>
    <x v="38"/>
    <n v="39"/>
  </r>
  <r>
    <x v="42"/>
    <x v="21"/>
    <x v="39"/>
    <n v="39"/>
  </r>
  <r>
    <x v="42"/>
    <x v="21"/>
    <x v="40"/>
    <n v="39"/>
  </r>
  <r>
    <x v="42"/>
    <x v="21"/>
    <x v="41"/>
    <n v="39"/>
  </r>
  <r>
    <x v="42"/>
    <x v="21"/>
    <x v="42"/>
    <n v="39"/>
  </r>
  <r>
    <x v="42"/>
    <x v="21"/>
    <x v="43"/>
    <n v="39"/>
  </r>
  <r>
    <x v="42"/>
    <x v="21"/>
    <x v="44"/>
    <n v="39"/>
  </r>
  <r>
    <x v="42"/>
    <x v="21"/>
    <x v="45"/>
    <n v="39"/>
  </r>
  <r>
    <x v="42"/>
    <x v="21"/>
    <x v="46"/>
    <n v="39"/>
  </r>
  <r>
    <x v="42"/>
    <x v="21"/>
    <x v="47"/>
    <n v="39"/>
  </r>
  <r>
    <x v="42"/>
    <x v="21"/>
    <x v="48"/>
    <n v="39"/>
  </r>
  <r>
    <x v="42"/>
    <x v="21"/>
    <x v="49"/>
    <n v="39"/>
  </r>
  <r>
    <x v="42"/>
    <x v="21"/>
    <x v="50"/>
    <n v="39"/>
  </r>
  <r>
    <x v="42"/>
    <x v="21"/>
    <x v="51"/>
    <n v="39"/>
  </r>
  <r>
    <x v="42"/>
    <x v="21"/>
    <x v="52"/>
    <n v="39"/>
  </r>
  <r>
    <x v="42"/>
    <x v="21"/>
    <x v="53"/>
    <n v="39"/>
  </r>
  <r>
    <x v="42"/>
    <x v="21"/>
    <x v="54"/>
    <n v="39"/>
  </r>
  <r>
    <x v="42"/>
    <x v="21"/>
    <x v="55"/>
    <n v="39"/>
  </r>
  <r>
    <x v="42"/>
    <x v="21"/>
    <x v="56"/>
    <n v="39"/>
  </r>
  <r>
    <x v="42"/>
    <x v="21"/>
    <x v="57"/>
    <n v="39"/>
  </r>
  <r>
    <x v="42"/>
    <x v="21"/>
    <x v="58"/>
    <n v="39"/>
  </r>
  <r>
    <x v="42"/>
    <x v="21"/>
    <x v="59"/>
    <n v="39"/>
  </r>
  <r>
    <x v="42"/>
    <x v="21"/>
    <x v="60"/>
    <n v="39"/>
  </r>
  <r>
    <x v="42"/>
    <x v="21"/>
    <x v="61"/>
    <n v="39"/>
  </r>
  <r>
    <x v="42"/>
    <x v="21"/>
    <x v="62"/>
    <n v="39"/>
  </r>
  <r>
    <x v="42"/>
    <x v="21"/>
    <x v="63"/>
    <n v="39"/>
  </r>
  <r>
    <x v="42"/>
    <x v="21"/>
    <x v="64"/>
    <n v="39"/>
  </r>
  <r>
    <x v="42"/>
    <x v="21"/>
    <x v="65"/>
    <n v="39"/>
  </r>
  <r>
    <x v="42"/>
    <x v="21"/>
    <x v="66"/>
    <n v="39"/>
  </r>
  <r>
    <x v="42"/>
    <x v="21"/>
    <x v="67"/>
    <n v="39"/>
  </r>
  <r>
    <x v="42"/>
    <x v="21"/>
    <x v="68"/>
    <n v="39"/>
  </r>
  <r>
    <x v="42"/>
    <x v="21"/>
    <x v="69"/>
    <n v="39"/>
  </r>
  <r>
    <x v="42"/>
    <x v="21"/>
    <x v="70"/>
    <n v="39"/>
  </r>
  <r>
    <x v="42"/>
    <x v="21"/>
    <x v="71"/>
    <n v="39"/>
  </r>
  <r>
    <x v="42"/>
    <x v="21"/>
    <x v="72"/>
    <n v="39"/>
  </r>
  <r>
    <x v="43"/>
    <x v="21"/>
    <x v="0"/>
    <n v="78"/>
  </r>
  <r>
    <x v="43"/>
    <x v="21"/>
    <x v="1"/>
    <n v="77"/>
  </r>
  <r>
    <x v="43"/>
    <x v="21"/>
    <x v="2"/>
    <n v="61"/>
  </r>
  <r>
    <x v="43"/>
    <x v="21"/>
    <x v="3"/>
    <n v="32"/>
  </r>
  <r>
    <x v="43"/>
    <x v="21"/>
    <x v="4"/>
    <n v="32"/>
  </r>
  <r>
    <x v="43"/>
    <x v="21"/>
    <x v="5"/>
    <n v="40"/>
  </r>
  <r>
    <x v="43"/>
    <x v="21"/>
    <x v="6"/>
    <n v="26"/>
  </r>
  <r>
    <x v="43"/>
    <x v="21"/>
    <x v="7"/>
    <n v="24"/>
  </r>
  <r>
    <x v="43"/>
    <x v="21"/>
    <x v="8"/>
    <n v="8"/>
  </r>
  <r>
    <x v="43"/>
    <x v="21"/>
    <x v="9"/>
    <n v="5"/>
  </r>
  <r>
    <x v="43"/>
    <x v="21"/>
    <x v="10"/>
    <n v="4"/>
  </r>
  <r>
    <x v="43"/>
    <x v="21"/>
    <x v="11"/>
    <n v="2"/>
  </r>
  <r>
    <x v="43"/>
    <x v="21"/>
    <x v="12"/>
    <n v="1"/>
  </r>
  <r>
    <x v="43"/>
    <x v="21"/>
    <x v="13"/>
    <n v="3"/>
  </r>
  <r>
    <x v="43"/>
    <x v="21"/>
    <x v="14"/>
    <n v="3"/>
  </r>
  <r>
    <x v="43"/>
    <x v="21"/>
    <x v="15"/>
    <n v="15"/>
  </r>
  <r>
    <x v="43"/>
    <x v="21"/>
    <x v="16"/>
    <n v="18"/>
  </r>
  <r>
    <x v="43"/>
    <x v="21"/>
    <x v="17"/>
    <n v="24"/>
  </r>
  <r>
    <x v="43"/>
    <x v="21"/>
    <x v="18"/>
    <n v="26"/>
  </r>
  <r>
    <x v="43"/>
    <x v="21"/>
    <x v="19"/>
    <n v="34"/>
  </r>
  <r>
    <x v="43"/>
    <x v="21"/>
    <x v="20"/>
    <n v="36"/>
  </r>
  <r>
    <x v="43"/>
    <x v="21"/>
    <x v="21"/>
    <n v="52"/>
  </r>
  <r>
    <x v="43"/>
    <x v="21"/>
    <x v="22"/>
    <n v="58"/>
  </r>
  <r>
    <x v="43"/>
    <x v="21"/>
    <x v="23"/>
    <n v="69"/>
  </r>
  <r>
    <x v="43"/>
    <x v="21"/>
    <x v="24"/>
    <n v="68"/>
  </r>
  <r>
    <x v="43"/>
    <x v="21"/>
    <x v="25"/>
    <n v="44"/>
  </r>
  <r>
    <x v="43"/>
    <x v="21"/>
    <x v="26"/>
    <n v="44"/>
  </r>
  <r>
    <x v="43"/>
    <x v="21"/>
    <x v="27"/>
    <n v="39"/>
  </r>
  <r>
    <x v="43"/>
    <x v="21"/>
    <x v="28"/>
    <n v="39"/>
  </r>
  <r>
    <x v="43"/>
    <x v="21"/>
    <x v="29"/>
    <n v="39"/>
  </r>
  <r>
    <x v="43"/>
    <x v="21"/>
    <x v="30"/>
    <n v="39"/>
  </r>
  <r>
    <x v="43"/>
    <x v="21"/>
    <x v="31"/>
    <n v="39"/>
  </r>
  <r>
    <x v="43"/>
    <x v="21"/>
    <x v="32"/>
    <n v="39"/>
  </r>
  <r>
    <x v="43"/>
    <x v="21"/>
    <x v="33"/>
    <n v="39"/>
  </r>
  <r>
    <x v="43"/>
    <x v="21"/>
    <x v="34"/>
    <n v="39"/>
  </r>
  <r>
    <x v="43"/>
    <x v="21"/>
    <x v="35"/>
    <n v="39"/>
  </r>
  <r>
    <x v="43"/>
    <x v="21"/>
    <x v="36"/>
    <n v="39"/>
  </r>
  <r>
    <x v="43"/>
    <x v="21"/>
    <x v="37"/>
    <n v="39"/>
  </r>
  <r>
    <x v="43"/>
    <x v="21"/>
    <x v="38"/>
    <n v="39"/>
  </r>
  <r>
    <x v="43"/>
    <x v="21"/>
    <x v="39"/>
    <n v="39"/>
  </r>
  <r>
    <x v="43"/>
    <x v="21"/>
    <x v="40"/>
    <n v="39"/>
  </r>
  <r>
    <x v="43"/>
    <x v="21"/>
    <x v="41"/>
    <n v="39"/>
  </r>
  <r>
    <x v="43"/>
    <x v="21"/>
    <x v="42"/>
    <n v="39"/>
  </r>
  <r>
    <x v="43"/>
    <x v="21"/>
    <x v="43"/>
    <n v="39"/>
  </r>
  <r>
    <x v="43"/>
    <x v="21"/>
    <x v="44"/>
    <n v="39"/>
  </r>
  <r>
    <x v="43"/>
    <x v="21"/>
    <x v="45"/>
    <n v="39"/>
  </r>
  <r>
    <x v="43"/>
    <x v="21"/>
    <x v="46"/>
    <n v="39"/>
  </r>
  <r>
    <x v="43"/>
    <x v="21"/>
    <x v="47"/>
    <n v="39"/>
  </r>
  <r>
    <x v="43"/>
    <x v="21"/>
    <x v="48"/>
    <n v="39"/>
  </r>
  <r>
    <x v="43"/>
    <x v="21"/>
    <x v="49"/>
    <n v="39"/>
  </r>
  <r>
    <x v="43"/>
    <x v="21"/>
    <x v="50"/>
    <n v="39"/>
  </r>
  <r>
    <x v="43"/>
    <x v="21"/>
    <x v="51"/>
    <n v="39"/>
  </r>
  <r>
    <x v="43"/>
    <x v="21"/>
    <x v="52"/>
    <n v="39"/>
  </r>
  <r>
    <x v="43"/>
    <x v="21"/>
    <x v="53"/>
    <n v="39"/>
  </r>
  <r>
    <x v="43"/>
    <x v="21"/>
    <x v="54"/>
    <n v="39"/>
  </r>
  <r>
    <x v="43"/>
    <x v="21"/>
    <x v="55"/>
    <n v="39"/>
  </r>
  <r>
    <x v="43"/>
    <x v="21"/>
    <x v="56"/>
    <n v="39"/>
  </r>
  <r>
    <x v="43"/>
    <x v="21"/>
    <x v="57"/>
    <n v="39"/>
  </r>
  <r>
    <x v="43"/>
    <x v="21"/>
    <x v="58"/>
    <n v="39"/>
  </r>
  <r>
    <x v="43"/>
    <x v="21"/>
    <x v="59"/>
    <n v="39"/>
  </r>
  <r>
    <x v="43"/>
    <x v="21"/>
    <x v="60"/>
    <n v="39"/>
  </r>
  <r>
    <x v="43"/>
    <x v="21"/>
    <x v="61"/>
    <n v="39"/>
  </r>
  <r>
    <x v="43"/>
    <x v="21"/>
    <x v="62"/>
    <n v="39"/>
  </r>
  <r>
    <x v="43"/>
    <x v="21"/>
    <x v="63"/>
    <n v="39"/>
  </r>
  <r>
    <x v="43"/>
    <x v="21"/>
    <x v="64"/>
    <n v="39"/>
  </r>
  <r>
    <x v="43"/>
    <x v="21"/>
    <x v="65"/>
    <n v="39"/>
  </r>
  <r>
    <x v="43"/>
    <x v="21"/>
    <x v="66"/>
    <n v="39"/>
  </r>
  <r>
    <x v="43"/>
    <x v="21"/>
    <x v="67"/>
    <n v="39"/>
  </r>
  <r>
    <x v="43"/>
    <x v="21"/>
    <x v="68"/>
    <n v="39"/>
  </r>
  <r>
    <x v="43"/>
    <x v="21"/>
    <x v="69"/>
    <n v="39"/>
  </r>
  <r>
    <x v="43"/>
    <x v="21"/>
    <x v="70"/>
    <n v="39"/>
  </r>
  <r>
    <x v="43"/>
    <x v="21"/>
    <x v="71"/>
    <n v="39"/>
  </r>
  <r>
    <x v="43"/>
    <x v="21"/>
    <x v="72"/>
    <n v="39"/>
  </r>
  <r>
    <x v="44"/>
    <x v="22"/>
    <x v="0"/>
    <n v="13"/>
  </r>
  <r>
    <x v="44"/>
    <x v="22"/>
    <x v="1"/>
    <n v="14"/>
  </r>
  <r>
    <x v="44"/>
    <x v="22"/>
    <x v="2"/>
    <n v="24"/>
  </r>
  <r>
    <x v="44"/>
    <x v="22"/>
    <x v="3"/>
    <n v="9"/>
  </r>
  <r>
    <x v="44"/>
    <x v="22"/>
    <x v="4"/>
    <n v="9"/>
  </r>
  <r>
    <x v="44"/>
    <x v="22"/>
    <x v="5"/>
    <n v="9"/>
  </r>
  <r>
    <x v="44"/>
    <x v="22"/>
    <x v="6"/>
    <n v="5"/>
  </r>
  <r>
    <x v="44"/>
    <x v="22"/>
    <x v="7"/>
    <n v="8"/>
  </r>
  <r>
    <x v="44"/>
    <x v="22"/>
    <x v="8"/>
    <n v="11"/>
  </r>
  <r>
    <x v="44"/>
    <x v="22"/>
    <x v="9"/>
    <n v="15"/>
  </r>
  <r>
    <x v="44"/>
    <x v="22"/>
    <x v="10"/>
    <n v="17"/>
  </r>
  <r>
    <x v="44"/>
    <x v="22"/>
    <x v="11"/>
    <n v="17"/>
  </r>
  <r>
    <x v="44"/>
    <x v="22"/>
    <x v="12"/>
    <n v="26"/>
  </r>
  <r>
    <x v="44"/>
    <x v="22"/>
    <x v="13"/>
    <n v="27"/>
  </r>
  <r>
    <x v="44"/>
    <x v="22"/>
    <x v="14"/>
    <n v="29"/>
  </r>
  <r>
    <x v="44"/>
    <x v="22"/>
    <x v="15"/>
    <n v="39"/>
  </r>
  <r>
    <x v="44"/>
    <x v="22"/>
    <x v="16"/>
    <n v="46"/>
  </r>
  <r>
    <x v="44"/>
    <x v="22"/>
    <x v="17"/>
    <n v="52"/>
  </r>
  <r>
    <x v="44"/>
    <x v="22"/>
    <x v="18"/>
    <n v="52"/>
  </r>
  <r>
    <x v="44"/>
    <x v="22"/>
    <x v="19"/>
    <n v="52"/>
  </r>
  <r>
    <x v="44"/>
    <x v="22"/>
    <x v="20"/>
    <n v="56"/>
  </r>
  <r>
    <x v="44"/>
    <x v="22"/>
    <x v="21"/>
    <n v="62"/>
  </r>
  <r>
    <x v="44"/>
    <x v="22"/>
    <x v="22"/>
    <n v="62"/>
  </r>
  <r>
    <x v="44"/>
    <x v="22"/>
    <x v="23"/>
    <n v="69"/>
  </r>
  <r>
    <x v="44"/>
    <x v="22"/>
    <x v="24"/>
    <n v="68"/>
  </r>
  <r>
    <x v="44"/>
    <x v="22"/>
    <x v="25"/>
    <n v="59"/>
  </r>
  <r>
    <x v="44"/>
    <x v="22"/>
    <x v="26"/>
    <n v="59"/>
  </r>
  <r>
    <x v="44"/>
    <x v="22"/>
    <x v="27"/>
    <n v="60"/>
  </r>
  <r>
    <x v="44"/>
    <x v="22"/>
    <x v="28"/>
    <n v="45"/>
  </r>
  <r>
    <x v="44"/>
    <x v="22"/>
    <x v="29"/>
    <n v="45"/>
  </r>
  <r>
    <x v="44"/>
    <x v="22"/>
    <x v="30"/>
    <n v="45"/>
  </r>
  <r>
    <x v="44"/>
    <x v="22"/>
    <x v="31"/>
    <n v="45"/>
  </r>
  <r>
    <x v="44"/>
    <x v="22"/>
    <x v="32"/>
    <n v="45"/>
  </r>
  <r>
    <x v="44"/>
    <x v="22"/>
    <x v="33"/>
    <n v="45"/>
  </r>
  <r>
    <x v="44"/>
    <x v="22"/>
    <x v="34"/>
    <n v="45"/>
  </r>
  <r>
    <x v="44"/>
    <x v="22"/>
    <x v="35"/>
    <n v="45"/>
  </r>
  <r>
    <x v="44"/>
    <x v="22"/>
    <x v="36"/>
    <n v="45"/>
  </r>
  <r>
    <x v="44"/>
    <x v="22"/>
    <x v="37"/>
    <n v="45"/>
  </r>
  <r>
    <x v="44"/>
    <x v="22"/>
    <x v="38"/>
    <n v="45"/>
  </r>
  <r>
    <x v="44"/>
    <x v="22"/>
    <x v="39"/>
    <n v="45"/>
  </r>
  <r>
    <x v="44"/>
    <x v="22"/>
    <x v="40"/>
    <n v="45"/>
  </r>
  <r>
    <x v="44"/>
    <x v="22"/>
    <x v="41"/>
    <n v="45"/>
  </r>
  <r>
    <x v="44"/>
    <x v="22"/>
    <x v="42"/>
    <n v="45"/>
  </r>
  <r>
    <x v="44"/>
    <x v="22"/>
    <x v="43"/>
    <n v="45"/>
  </r>
  <r>
    <x v="44"/>
    <x v="22"/>
    <x v="44"/>
    <n v="45"/>
  </r>
  <r>
    <x v="44"/>
    <x v="22"/>
    <x v="45"/>
    <n v="45"/>
  </r>
  <r>
    <x v="44"/>
    <x v="22"/>
    <x v="46"/>
    <n v="45"/>
  </r>
  <r>
    <x v="44"/>
    <x v="22"/>
    <x v="47"/>
    <n v="45"/>
  </r>
  <r>
    <x v="44"/>
    <x v="22"/>
    <x v="48"/>
    <n v="45"/>
  </r>
  <r>
    <x v="44"/>
    <x v="22"/>
    <x v="49"/>
    <n v="45"/>
  </r>
  <r>
    <x v="44"/>
    <x v="22"/>
    <x v="50"/>
    <n v="45"/>
  </r>
  <r>
    <x v="44"/>
    <x v="22"/>
    <x v="51"/>
    <n v="45"/>
  </r>
  <r>
    <x v="44"/>
    <x v="22"/>
    <x v="52"/>
    <n v="45"/>
  </r>
  <r>
    <x v="44"/>
    <x v="22"/>
    <x v="53"/>
    <n v="45"/>
  </r>
  <r>
    <x v="44"/>
    <x v="22"/>
    <x v="54"/>
    <n v="45"/>
  </r>
  <r>
    <x v="44"/>
    <x v="22"/>
    <x v="55"/>
    <n v="45"/>
  </r>
  <r>
    <x v="44"/>
    <x v="22"/>
    <x v="56"/>
    <n v="45"/>
  </r>
  <r>
    <x v="44"/>
    <x v="22"/>
    <x v="57"/>
    <n v="45"/>
  </r>
  <r>
    <x v="44"/>
    <x v="22"/>
    <x v="58"/>
    <n v="45"/>
  </r>
  <r>
    <x v="44"/>
    <x v="22"/>
    <x v="59"/>
    <n v="45"/>
  </r>
  <r>
    <x v="44"/>
    <x v="22"/>
    <x v="60"/>
    <n v="45"/>
  </r>
  <r>
    <x v="44"/>
    <x v="22"/>
    <x v="61"/>
    <n v="45"/>
  </r>
  <r>
    <x v="44"/>
    <x v="22"/>
    <x v="62"/>
    <n v="45"/>
  </r>
  <r>
    <x v="44"/>
    <x v="22"/>
    <x v="63"/>
    <n v="45"/>
  </r>
  <r>
    <x v="44"/>
    <x v="22"/>
    <x v="64"/>
    <n v="45"/>
  </r>
  <r>
    <x v="44"/>
    <x v="22"/>
    <x v="65"/>
    <n v="45"/>
  </r>
  <r>
    <x v="44"/>
    <x v="22"/>
    <x v="66"/>
    <n v="45"/>
  </r>
  <r>
    <x v="44"/>
    <x v="22"/>
    <x v="67"/>
    <n v="45"/>
  </r>
  <r>
    <x v="44"/>
    <x v="22"/>
    <x v="68"/>
    <n v="45"/>
  </r>
  <r>
    <x v="44"/>
    <x v="22"/>
    <x v="69"/>
    <n v="45"/>
  </r>
  <r>
    <x v="44"/>
    <x v="22"/>
    <x v="70"/>
    <n v="45"/>
  </r>
  <r>
    <x v="44"/>
    <x v="22"/>
    <x v="71"/>
    <n v="45"/>
  </r>
  <r>
    <x v="44"/>
    <x v="22"/>
    <x v="72"/>
    <n v="45"/>
  </r>
  <r>
    <x v="45"/>
    <x v="23"/>
    <x v="0"/>
    <n v="13"/>
  </r>
  <r>
    <x v="45"/>
    <x v="23"/>
    <x v="1"/>
    <n v="14"/>
  </r>
  <r>
    <x v="45"/>
    <x v="23"/>
    <x v="2"/>
    <n v="3"/>
  </r>
  <r>
    <x v="45"/>
    <x v="23"/>
    <x v="3"/>
    <n v="1"/>
  </r>
  <r>
    <x v="45"/>
    <x v="23"/>
    <x v="4"/>
    <n v="1"/>
  </r>
  <r>
    <x v="45"/>
    <x v="23"/>
    <x v="5"/>
    <n v="1"/>
  </r>
  <r>
    <x v="45"/>
    <x v="23"/>
    <x v="6"/>
    <n v="11"/>
  </r>
  <r>
    <x v="45"/>
    <x v="23"/>
    <x v="7"/>
    <n v="15"/>
  </r>
  <r>
    <x v="45"/>
    <x v="23"/>
    <x v="8"/>
    <n v="23"/>
  </r>
  <r>
    <x v="45"/>
    <x v="23"/>
    <x v="9"/>
    <n v="23"/>
  </r>
  <r>
    <x v="45"/>
    <x v="23"/>
    <x v="10"/>
    <n v="20"/>
  </r>
  <r>
    <x v="45"/>
    <x v="23"/>
    <x v="11"/>
    <n v="19"/>
  </r>
  <r>
    <x v="45"/>
    <x v="23"/>
    <x v="12"/>
    <n v="29"/>
  </r>
  <r>
    <x v="45"/>
    <x v="23"/>
    <x v="13"/>
    <n v="29"/>
  </r>
  <r>
    <x v="45"/>
    <x v="23"/>
    <x v="14"/>
    <n v="25"/>
  </r>
  <r>
    <x v="45"/>
    <x v="23"/>
    <x v="15"/>
    <n v="30"/>
  </r>
  <r>
    <x v="45"/>
    <x v="23"/>
    <x v="16"/>
    <n v="38"/>
  </r>
  <r>
    <x v="45"/>
    <x v="23"/>
    <x v="17"/>
    <n v="43"/>
  </r>
  <r>
    <x v="45"/>
    <x v="23"/>
    <x v="18"/>
    <n v="47"/>
  </r>
  <r>
    <x v="45"/>
    <x v="23"/>
    <x v="19"/>
    <n v="50"/>
  </r>
  <r>
    <x v="45"/>
    <x v="23"/>
    <x v="20"/>
    <n v="47"/>
  </r>
  <r>
    <x v="45"/>
    <x v="23"/>
    <x v="21"/>
    <n v="55"/>
  </r>
  <r>
    <x v="45"/>
    <x v="23"/>
    <x v="22"/>
    <n v="43"/>
  </r>
  <r>
    <x v="45"/>
    <x v="23"/>
    <x v="23"/>
    <n v="37"/>
  </r>
  <r>
    <x v="45"/>
    <x v="23"/>
    <x v="24"/>
    <n v="37"/>
  </r>
  <r>
    <x v="45"/>
    <x v="23"/>
    <x v="25"/>
    <n v="36"/>
  </r>
  <r>
    <x v="45"/>
    <x v="23"/>
    <x v="26"/>
    <n v="37"/>
  </r>
  <r>
    <x v="45"/>
    <x v="23"/>
    <x v="27"/>
    <n v="36"/>
  </r>
  <r>
    <x v="45"/>
    <x v="23"/>
    <x v="28"/>
    <n v="46"/>
  </r>
  <r>
    <x v="45"/>
    <x v="23"/>
    <x v="29"/>
    <n v="46"/>
  </r>
  <r>
    <x v="45"/>
    <x v="23"/>
    <x v="30"/>
    <n v="46"/>
  </r>
  <r>
    <x v="45"/>
    <x v="23"/>
    <x v="31"/>
    <n v="46"/>
  </r>
  <r>
    <x v="45"/>
    <x v="23"/>
    <x v="32"/>
    <n v="46"/>
  </r>
  <r>
    <x v="45"/>
    <x v="23"/>
    <x v="33"/>
    <n v="46"/>
  </r>
  <r>
    <x v="45"/>
    <x v="23"/>
    <x v="34"/>
    <n v="46"/>
  </r>
  <r>
    <x v="45"/>
    <x v="23"/>
    <x v="35"/>
    <n v="46"/>
  </r>
  <r>
    <x v="45"/>
    <x v="23"/>
    <x v="36"/>
    <n v="46"/>
  </r>
  <r>
    <x v="45"/>
    <x v="23"/>
    <x v="37"/>
    <n v="46"/>
  </r>
  <r>
    <x v="45"/>
    <x v="23"/>
    <x v="38"/>
    <n v="46"/>
  </r>
  <r>
    <x v="45"/>
    <x v="23"/>
    <x v="39"/>
    <n v="46"/>
  </r>
  <r>
    <x v="45"/>
    <x v="23"/>
    <x v="40"/>
    <n v="46"/>
  </r>
  <r>
    <x v="45"/>
    <x v="23"/>
    <x v="41"/>
    <n v="46"/>
  </r>
  <r>
    <x v="45"/>
    <x v="23"/>
    <x v="42"/>
    <n v="46"/>
  </r>
  <r>
    <x v="45"/>
    <x v="23"/>
    <x v="43"/>
    <n v="46"/>
  </r>
  <r>
    <x v="45"/>
    <x v="23"/>
    <x v="44"/>
    <n v="46"/>
  </r>
  <r>
    <x v="45"/>
    <x v="23"/>
    <x v="45"/>
    <n v="46"/>
  </r>
  <r>
    <x v="45"/>
    <x v="23"/>
    <x v="46"/>
    <n v="46"/>
  </r>
  <r>
    <x v="45"/>
    <x v="23"/>
    <x v="47"/>
    <n v="46"/>
  </r>
  <r>
    <x v="45"/>
    <x v="23"/>
    <x v="48"/>
    <n v="46"/>
  </r>
  <r>
    <x v="45"/>
    <x v="23"/>
    <x v="49"/>
    <n v="46"/>
  </r>
  <r>
    <x v="45"/>
    <x v="23"/>
    <x v="50"/>
    <n v="46"/>
  </r>
  <r>
    <x v="45"/>
    <x v="23"/>
    <x v="51"/>
    <n v="46"/>
  </r>
  <r>
    <x v="45"/>
    <x v="23"/>
    <x v="52"/>
    <n v="46"/>
  </r>
  <r>
    <x v="45"/>
    <x v="23"/>
    <x v="53"/>
    <n v="46"/>
  </r>
  <r>
    <x v="45"/>
    <x v="23"/>
    <x v="54"/>
    <n v="46"/>
  </r>
  <r>
    <x v="45"/>
    <x v="23"/>
    <x v="55"/>
    <n v="46"/>
  </r>
  <r>
    <x v="45"/>
    <x v="23"/>
    <x v="56"/>
    <n v="46"/>
  </r>
  <r>
    <x v="45"/>
    <x v="23"/>
    <x v="57"/>
    <n v="46"/>
  </r>
  <r>
    <x v="45"/>
    <x v="23"/>
    <x v="58"/>
    <n v="46"/>
  </r>
  <r>
    <x v="45"/>
    <x v="23"/>
    <x v="59"/>
    <n v="46"/>
  </r>
  <r>
    <x v="45"/>
    <x v="23"/>
    <x v="60"/>
    <n v="46"/>
  </r>
  <r>
    <x v="45"/>
    <x v="23"/>
    <x v="61"/>
    <n v="46"/>
  </r>
  <r>
    <x v="45"/>
    <x v="23"/>
    <x v="62"/>
    <n v="46"/>
  </r>
  <r>
    <x v="45"/>
    <x v="23"/>
    <x v="63"/>
    <n v="46"/>
  </r>
  <r>
    <x v="45"/>
    <x v="23"/>
    <x v="64"/>
    <n v="46"/>
  </r>
  <r>
    <x v="45"/>
    <x v="23"/>
    <x v="65"/>
    <n v="46"/>
  </r>
  <r>
    <x v="45"/>
    <x v="23"/>
    <x v="66"/>
    <n v="46"/>
  </r>
  <r>
    <x v="45"/>
    <x v="23"/>
    <x v="67"/>
    <n v="46"/>
  </r>
  <r>
    <x v="45"/>
    <x v="23"/>
    <x v="68"/>
    <n v="46"/>
  </r>
  <r>
    <x v="45"/>
    <x v="23"/>
    <x v="69"/>
    <n v="46"/>
  </r>
  <r>
    <x v="45"/>
    <x v="23"/>
    <x v="70"/>
    <n v="46"/>
  </r>
  <r>
    <x v="45"/>
    <x v="23"/>
    <x v="71"/>
    <n v="46"/>
  </r>
  <r>
    <x v="45"/>
    <x v="23"/>
    <x v="72"/>
    <n v="46"/>
  </r>
  <r>
    <x v="46"/>
    <x v="23"/>
    <x v="0"/>
    <n v="13"/>
  </r>
  <r>
    <x v="46"/>
    <x v="23"/>
    <x v="1"/>
    <n v="14"/>
  </r>
  <r>
    <x v="46"/>
    <x v="23"/>
    <x v="2"/>
    <n v="24"/>
  </r>
  <r>
    <x v="46"/>
    <x v="23"/>
    <x v="3"/>
    <n v="9"/>
  </r>
  <r>
    <x v="46"/>
    <x v="23"/>
    <x v="4"/>
    <n v="9"/>
  </r>
  <r>
    <x v="46"/>
    <x v="23"/>
    <x v="5"/>
    <n v="9"/>
  </r>
  <r>
    <x v="46"/>
    <x v="23"/>
    <x v="6"/>
    <n v="27"/>
  </r>
  <r>
    <x v="46"/>
    <x v="23"/>
    <x v="7"/>
    <n v="27"/>
  </r>
  <r>
    <x v="46"/>
    <x v="23"/>
    <x v="8"/>
    <n v="27"/>
  </r>
  <r>
    <x v="46"/>
    <x v="23"/>
    <x v="9"/>
    <n v="31"/>
  </r>
  <r>
    <x v="46"/>
    <x v="23"/>
    <x v="10"/>
    <n v="40"/>
  </r>
  <r>
    <x v="46"/>
    <x v="23"/>
    <x v="11"/>
    <n v="41"/>
  </r>
  <r>
    <x v="46"/>
    <x v="23"/>
    <x v="12"/>
    <n v="59"/>
  </r>
  <r>
    <x v="46"/>
    <x v="23"/>
    <x v="13"/>
    <n v="59"/>
  </r>
  <r>
    <x v="46"/>
    <x v="23"/>
    <x v="14"/>
    <n v="61"/>
  </r>
  <r>
    <x v="46"/>
    <x v="23"/>
    <x v="15"/>
    <n v="49"/>
  </r>
  <r>
    <x v="46"/>
    <x v="23"/>
    <x v="16"/>
    <n v="32"/>
  </r>
  <r>
    <x v="46"/>
    <x v="23"/>
    <x v="17"/>
    <n v="37"/>
  </r>
  <r>
    <x v="46"/>
    <x v="23"/>
    <x v="18"/>
    <n v="42"/>
  </r>
  <r>
    <x v="46"/>
    <x v="23"/>
    <x v="19"/>
    <n v="41"/>
  </r>
  <r>
    <x v="46"/>
    <x v="23"/>
    <x v="20"/>
    <n v="36"/>
  </r>
  <r>
    <x v="46"/>
    <x v="23"/>
    <x v="21"/>
    <n v="29"/>
  </r>
  <r>
    <x v="46"/>
    <x v="23"/>
    <x v="22"/>
    <n v="36"/>
  </r>
  <r>
    <x v="46"/>
    <x v="23"/>
    <x v="23"/>
    <n v="45"/>
  </r>
  <r>
    <x v="46"/>
    <x v="23"/>
    <x v="24"/>
    <n v="45"/>
  </r>
  <r>
    <x v="46"/>
    <x v="23"/>
    <x v="25"/>
    <n v="47"/>
  </r>
  <r>
    <x v="46"/>
    <x v="23"/>
    <x v="26"/>
    <n v="47"/>
  </r>
  <r>
    <x v="46"/>
    <x v="23"/>
    <x v="27"/>
    <n v="48"/>
  </r>
  <r>
    <x v="46"/>
    <x v="23"/>
    <x v="28"/>
    <n v="46"/>
  </r>
  <r>
    <x v="46"/>
    <x v="23"/>
    <x v="29"/>
    <n v="46"/>
  </r>
  <r>
    <x v="46"/>
    <x v="23"/>
    <x v="30"/>
    <n v="46"/>
  </r>
  <r>
    <x v="46"/>
    <x v="23"/>
    <x v="31"/>
    <n v="46"/>
  </r>
  <r>
    <x v="46"/>
    <x v="23"/>
    <x v="32"/>
    <n v="46"/>
  </r>
  <r>
    <x v="46"/>
    <x v="23"/>
    <x v="33"/>
    <n v="46"/>
  </r>
  <r>
    <x v="46"/>
    <x v="23"/>
    <x v="34"/>
    <n v="46"/>
  </r>
  <r>
    <x v="46"/>
    <x v="23"/>
    <x v="35"/>
    <n v="46"/>
  </r>
  <r>
    <x v="46"/>
    <x v="23"/>
    <x v="36"/>
    <n v="46"/>
  </r>
  <r>
    <x v="46"/>
    <x v="23"/>
    <x v="37"/>
    <n v="46"/>
  </r>
  <r>
    <x v="46"/>
    <x v="23"/>
    <x v="38"/>
    <n v="46"/>
  </r>
  <r>
    <x v="46"/>
    <x v="23"/>
    <x v="39"/>
    <n v="46"/>
  </r>
  <r>
    <x v="46"/>
    <x v="23"/>
    <x v="40"/>
    <n v="46"/>
  </r>
  <r>
    <x v="46"/>
    <x v="23"/>
    <x v="41"/>
    <n v="46"/>
  </r>
  <r>
    <x v="46"/>
    <x v="23"/>
    <x v="42"/>
    <n v="46"/>
  </r>
  <r>
    <x v="46"/>
    <x v="23"/>
    <x v="43"/>
    <n v="46"/>
  </r>
  <r>
    <x v="46"/>
    <x v="23"/>
    <x v="44"/>
    <n v="46"/>
  </r>
  <r>
    <x v="46"/>
    <x v="23"/>
    <x v="45"/>
    <n v="46"/>
  </r>
  <r>
    <x v="46"/>
    <x v="23"/>
    <x v="46"/>
    <n v="46"/>
  </r>
  <r>
    <x v="46"/>
    <x v="23"/>
    <x v="47"/>
    <n v="46"/>
  </r>
  <r>
    <x v="46"/>
    <x v="23"/>
    <x v="48"/>
    <n v="46"/>
  </r>
  <r>
    <x v="46"/>
    <x v="23"/>
    <x v="49"/>
    <n v="46"/>
  </r>
  <r>
    <x v="46"/>
    <x v="23"/>
    <x v="50"/>
    <n v="46"/>
  </r>
  <r>
    <x v="46"/>
    <x v="23"/>
    <x v="51"/>
    <n v="46"/>
  </r>
  <r>
    <x v="46"/>
    <x v="23"/>
    <x v="52"/>
    <n v="46"/>
  </r>
  <r>
    <x v="46"/>
    <x v="23"/>
    <x v="53"/>
    <n v="46"/>
  </r>
  <r>
    <x v="46"/>
    <x v="23"/>
    <x v="54"/>
    <n v="46"/>
  </r>
  <r>
    <x v="46"/>
    <x v="23"/>
    <x v="55"/>
    <n v="46"/>
  </r>
  <r>
    <x v="46"/>
    <x v="23"/>
    <x v="56"/>
    <n v="46"/>
  </r>
  <r>
    <x v="46"/>
    <x v="23"/>
    <x v="57"/>
    <n v="46"/>
  </r>
  <r>
    <x v="46"/>
    <x v="23"/>
    <x v="58"/>
    <n v="46"/>
  </r>
  <r>
    <x v="46"/>
    <x v="23"/>
    <x v="59"/>
    <n v="46"/>
  </r>
  <r>
    <x v="46"/>
    <x v="23"/>
    <x v="60"/>
    <n v="46"/>
  </r>
  <r>
    <x v="46"/>
    <x v="23"/>
    <x v="61"/>
    <n v="46"/>
  </r>
  <r>
    <x v="46"/>
    <x v="23"/>
    <x v="62"/>
    <n v="46"/>
  </r>
  <r>
    <x v="46"/>
    <x v="23"/>
    <x v="63"/>
    <n v="46"/>
  </r>
  <r>
    <x v="46"/>
    <x v="23"/>
    <x v="64"/>
    <n v="46"/>
  </r>
  <r>
    <x v="46"/>
    <x v="23"/>
    <x v="65"/>
    <n v="46"/>
  </r>
  <r>
    <x v="46"/>
    <x v="23"/>
    <x v="66"/>
    <n v="46"/>
  </r>
  <r>
    <x v="46"/>
    <x v="23"/>
    <x v="67"/>
    <n v="46"/>
  </r>
  <r>
    <x v="46"/>
    <x v="23"/>
    <x v="68"/>
    <n v="46"/>
  </r>
  <r>
    <x v="46"/>
    <x v="23"/>
    <x v="69"/>
    <n v="46"/>
  </r>
  <r>
    <x v="46"/>
    <x v="23"/>
    <x v="70"/>
    <n v="46"/>
  </r>
  <r>
    <x v="46"/>
    <x v="23"/>
    <x v="71"/>
    <n v="46"/>
  </r>
  <r>
    <x v="46"/>
    <x v="23"/>
    <x v="72"/>
    <n v="46"/>
  </r>
  <r>
    <x v="47"/>
    <x v="23"/>
    <x v="0"/>
    <n v="13"/>
  </r>
  <r>
    <x v="47"/>
    <x v="23"/>
    <x v="1"/>
    <n v="14"/>
  </r>
  <r>
    <x v="47"/>
    <x v="23"/>
    <x v="2"/>
    <n v="24"/>
  </r>
  <r>
    <x v="47"/>
    <x v="23"/>
    <x v="3"/>
    <n v="9"/>
  </r>
  <r>
    <x v="47"/>
    <x v="23"/>
    <x v="4"/>
    <n v="9"/>
  </r>
  <r>
    <x v="47"/>
    <x v="23"/>
    <x v="5"/>
    <n v="9"/>
  </r>
  <r>
    <x v="47"/>
    <x v="23"/>
    <x v="6"/>
    <n v="27"/>
  </r>
  <r>
    <x v="47"/>
    <x v="23"/>
    <x v="7"/>
    <n v="27"/>
  </r>
  <r>
    <x v="47"/>
    <x v="23"/>
    <x v="8"/>
    <n v="27"/>
  </r>
  <r>
    <x v="47"/>
    <x v="23"/>
    <x v="9"/>
    <n v="31"/>
  </r>
  <r>
    <x v="47"/>
    <x v="23"/>
    <x v="10"/>
    <n v="30"/>
  </r>
  <r>
    <x v="47"/>
    <x v="23"/>
    <x v="11"/>
    <n v="29"/>
  </r>
  <r>
    <x v="47"/>
    <x v="23"/>
    <x v="12"/>
    <n v="19"/>
  </r>
  <r>
    <x v="47"/>
    <x v="23"/>
    <x v="13"/>
    <n v="21"/>
  </r>
  <r>
    <x v="47"/>
    <x v="23"/>
    <x v="14"/>
    <n v="21"/>
  </r>
  <r>
    <x v="47"/>
    <x v="23"/>
    <x v="15"/>
    <n v="10"/>
  </r>
  <r>
    <x v="47"/>
    <x v="23"/>
    <x v="16"/>
    <n v="13"/>
  </r>
  <r>
    <x v="47"/>
    <x v="23"/>
    <x v="17"/>
    <n v="11"/>
  </r>
  <r>
    <x v="47"/>
    <x v="23"/>
    <x v="18"/>
    <n v="10"/>
  </r>
  <r>
    <x v="47"/>
    <x v="23"/>
    <x v="19"/>
    <n v="16"/>
  </r>
  <r>
    <x v="47"/>
    <x v="23"/>
    <x v="20"/>
    <n v="20"/>
  </r>
  <r>
    <x v="47"/>
    <x v="23"/>
    <x v="21"/>
    <n v="25"/>
  </r>
  <r>
    <x v="47"/>
    <x v="23"/>
    <x v="22"/>
    <n v="29"/>
  </r>
  <r>
    <x v="47"/>
    <x v="23"/>
    <x v="23"/>
    <n v="31"/>
  </r>
  <r>
    <x v="47"/>
    <x v="23"/>
    <x v="24"/>
    <n v="31"/>
  </r>
  <r>
    <x v="47"/>
    <x v="23"/>
    <x v="25"/>
    <n v="35"/>
  </r>
  <r>
    <x v="47"/>
    <x v="23"/>
    <x v="26"/>
    <n v="35"/>
  </r>
  <r>
    <x v="47"/>
    <x v="23"/>
    <x v="27"/>
    <n v="34"/>
  </r>
  <r>
    <x v="47"/>
    <x v="23"/>
    <x v="28"/>
    <n v="46"/>
  </r>
  <r>
    <x v="47"/>
    <x v="23"/>
    <x v="29"/>
    <n v="46"/>
  </r>
  <r>
    <x v="47"/>
    <x v="23"/>
    <x v="30"/>
    <n v="46"/>
  </r>
  <r>
    <x v="47"/>
    <x v="23"/>
    <x v="31"/>
    <n v="46"/>
  </r>
  <r>
    <x v="47"/>
    <x v="23"/>
    <x v="32"/>
    <n v="46"/>
  </r>
  <r>
    <x v="47"/>
    <x v="23"/>
    <x v="33"/>
    <n v="46"/>
  </r>
  <r>
    <x v="47"/>
    <x v="23"/>
    <x v="34"/>
    <n v="46"/>
  </r>
  <r>
    <x v="47"/>
    <x v="23"/>
    <x v="35"/>
    <n v="46"/>
  </r>
  <r>
    <x v="47"/>
    <x v="23"/>
    <x v="36"/>
    <n v="46"/>
  </r>
  <r>
    <x v="47"/>
    <x v="23"/>
    <x v="37"/>
    <n v="46"/>
  </r>
  <r>
    <x v="47"/>
    <x v="23"/>
    <x v="38"/>
    <n v="46"/>
  </r>
  <r>
    <x v="47"/>
    <x v="23"/>
    <x v="39"/>
    <n v="46"/>
  </r>
  <r>
    <x v="47"/>
    <x v="23"/>
    <x v="40"/>
    <n v="46"/>
  </r>
  <r>
    <x v="47"/>
    <x v="23"/>
    <x v="41"/>
    <n v="46"/>
  </r>
  <r>
    <x v="47"/>
    <x v="23"/>
    <x v="42"/>
    <n v="46"/>
  </r>
  <r>
    <x v="47"/>
    <x v="23"/>
    <x v="43"/>
    <n v="46"/>
  </r>
  <r>
    <x v="47"/>
    <x v="23"/>
    <x v="44"/>
    <n v="46"/>
  </r>
  <r>
    <x v="47"/>
    <x v="23"/>
    <x v="45"/>
    <n v="46"/>
  </r>
  <r>
    <x v="47"/>
    <x v="23"/>
    <x v="46"/>
    <n v="46"/>
  </r>
  <r>
    <x v="47"/>
    <x v="23"/>
    <x v="47"/>
    <n v="46"/>
  </r>
  <r>
    <x v="47"/>
    <x v="23"/>
    <x v="48"/>
    <n v="46"/>
  </r>
  <r>
    <x v="47"/>
    <x v="23"/>
    <x v="49"/>
    <n v="46"/>
  </r>
  <r>
    <x v="47"/>
    <x v="23"/>
    <x v="50"/>
    <n v="46"/>
  </r>
  <r>
    <x v="47"/>
    <x v="23"/>
    <x v="51"/>
    <n v="46"/>
  </r>
  <r>
    <x v="47"/>
    <x v="23"/>
    <x v="52"/>
    <n v="46"/>
  </r>
  <r>
    <x v="47"/>
    <x v="23"/>
    <x v="53"/>
    <n v="46"/>
  </r>
  <r>
    <x v="47"/>
    <x v="23"/>
    <x v="54"/>
    <n v="46"/>
  </r>
  <r>
    <x v="47"/>
    <x v="23"/>
    <x v="55"/>
    <n v="46"/>
  </r>
  <r>
    <x v="47"/>
    <x v="23"/>
    <x v="56"/>
    <n v="46"/>
  </r>
  <r>
    <x v="47"/>
    <x v="23"/>
    <x v="57"/>
    <n v="46"/>
  </r>
  <r>
    <x v="47"/>
    <x v="23"/>
    <x v="58"/>
    <n v="46"/>
  </r>
  <r>
    <x v="47"/>
    <x v="23"/>
    <x v="59"/>
    <n v="46"/>
  </r>
  <r>
    <x v="47"/>
    <x v="23"/>
    <x v="60"/>
    <n v="46"/>
  </r>
  <r>
    <x v="47"/>
    <x v="23"/>
    <x v="61"/>
    <n v="46"/>
  </r>
  <r>
    <x v="47"/>
    <x v="23"/>
    <x v="62"/>
    <n v="46"/>
  </r>
  <r>
    <x v="47"/>
    <x v="23"/>
    <x v="63"/>
    <n v="46"/>
  </r>
  <r>
    <x v="47"/>
    <x v="23"/>
    <x v="64"/>
    <n v="46"/>
  </r>
  <r>
    <x v="47"/>
    <x v="23"/>
    <x v="65"/>
    <n v="46"/>
  </r>
  <r>
    <x v="47"/>
    <x v="23"/>
    <x v="66"/>
    <n v="46"/>
  </r>
  <r>
    <x v="47"/>
    <x v="23"/>
    <x v="67"/>
    <n v="46"/>
  </r>
  <r>
    <x v="47"/>
    <x v="23"/>
    <x v="68"/>
    <n v="46"/>
  </r>
  <r>
    <x v="47"/>
    <x v="23"/>
    <x v="69"/>
    <n v="46"/>
  </r>
  <r>
    <x v="47"/>
    <x v="23"/>
    <x v="70"/>
    <n v="46"/>
  </r>
  <r>
    <x v="47"/>
    <x v="23"/>
    <x v="71"/>
    <n v="46"/>
  </r>
  <r>
    <x v="47"/>
    <x v="23"/>
    <x v="72"/>
    <n v="46"/>
  </r>
  <r>
    <x v="48"/>
    <x v="24"/>
    <x v="0"/>
    <n v="62"/>
  </r>
  <r>
    <x v="48"/>
    <x v="24"/>
    <x v="1"/>
    <n v="59"/>
  </r>
  <r>
    <x v="48"/>
    <x v="24"/>
    <x v="2"/>
    <n v="52"/>
  </r>
  <r>
    <x v="48"/>
    <x v="24"/>
    <x v="3"/>
    <n v="77"/>
  </r>
  <r>
    <x v="48"/>
    <x v="24"/>
    <x v="4"/>
    <n v="79"/>
  </r>
  <r>
    <x v="48"/>
    <x v="24"/>
    <x v="5"/>
    <n v="77"/>
  </r>
  <r>
    <x v="48"/>
    <x v="24"/>
    <x v="6"/>
    <n v="82"/>
  </r>
  <r>
    <x v="48"/>
    <x v="24"/>
    <x v="7"/>
    <n v="86"/>
  </r>
  <r>
    <x v="48"/>
    <x v="24"/>
    <x v="8"/>
    <n v="85"/>
  </r>
  <r>
    <x v="48"/>
    <x v="24"/>
    <x v="9"/>
    <n v="86"/>
  </r>
  <r>
    <x v="48"/>
    <x v="24"/>
    <x v="10"/>
    <n v="88"/>
  </r>
  <r>
    <x v="48"/>
    <x v="24"/>
    <x v="11"/>
    <n v="85"/>
  </r>
  <r>
    <x v="48"/>
    <x v="24"/>
    <x v="12"/>
    <n v="98"/>
  </r>
  <r>
    <x v="48"/>
    <x v="24"/>
    <x v="13"/>
    <n v="100"/>
  </r>
  <r>
    <x v="48"/>
    <x v="24"/>
    <x v="14"/>
    <n v="100"/>
  </r>
  <r>
    <x v="48"/>
    <x v="24"/>
    <x v="15"/>
    <n v="98"/>
  </r>
  <r>
    <x v="48"/>
    <x v="24"/>
    <x v="16"/>
    <n v="79"/>
  </r>
  <r>
    <x v="48"/>
    <x v="24"/>
    <x v="17"/>
    <n v="79"/>
  </r>
  <r>
    <x v="48"/>
    <x v="24"/>
    <x v="18"/>
    <n v="76"/>
  </r>
  <r>
    <x v="48"/>
    <x v="24"/>
    <x v="19"/>
    <n v="76"/>
  </r>
  <r>
    <x v="48"/>
    <x v="24"/>
    <x v="20"/>
    <n v="81"/>
  </r>
  <r>
    <x v="48"/>
    <x v="24"/>
    <x v="21"/>
    <n v="59"/>
  </r>
  <r>
    <x v="48"/>
    <x v="24"/>
    <x v="22"/>
    <n v="47"/>
  </r>
  <r>
    <x v="48"/>
    <x v="24"/>
    <x v="23"/>
    <n v="45"/>
  </r>
  <r>
    <x v="48"/>
    <x v="24"/>
    <x v="24"/>
    <n v="63"/>
  </r>
  <r>
    <x v="48"/>
    <x v="24"/>
    <x v="25"/>
    <n v="65"/>
  </r>
  <r>
    <x v="48"/>
    <x v="24"/>
    <x v="26"/>
    <n v="65"/>
  </r>
  <r>
    <x v="48"/>
    <x v="24"/>
    <x v="27"/>
    <n v="63"/>
  </r>
  <r>
    <x v="48"/>
    <x v="24"/>
    <x v="28"/>
    <n v="49"/>
  </r>
  <r>
    <x v="48"/>
    <x v="24"/>
    <x v="29"/>
    <n v="49"/>
  </r>
  <r>
    <x v="48"/>
    <x v="24"/>
    <x v="30"/>
    <n v="49"/>
  </r>
  <r>
    <x v="48"/>
    <x v="24"/>
    <x v="31"/>
    <n v="49"/>
  </r>
  <r>
    <x v="48"/>
    <x v="24"/>
    <x v="32"/>
    <n v="49"/>
  </r>
  <r>
    <x v="48"/>
    <x v="24"/>
    <x v="33"/>
    <n v="49"/>
  </r>
  <r>
    <x v="48"/>
    <x v="24"/>
    <x v="34"/>
    <n v="49"/>
  </r>
  <r>
    <x v="48"/>
    <x v="24"/>
    <x v="35"/>
    <n v="49"/>
  </r>
  <r>
    <x v="48"/>
    <x v="24"/>
    <x v="36"/>
    <n v="49"/>
  </r>
  <r>
    <x v="48"/>
    <x v="24"/>
    <x v="37"/>
    <n v="49"/>
  </r>
  <r>
    <x v="48"/>
    <x v="24"/>
    <x v="38"/>
    <n v="49"/>
  </r>
  <r>
    <x v="48"/>
    <x v="24"/>
    <x v="39"/>
    <n v="49"/>
  </r>
  <r>
    <x v="48"/>
    <x v="24"/>
    <x v="40"/>
    <n v="49"/>
  </r>
  <r>
    <x v="48"/>
    <x v="24"/>
    <x v="41"/>
    <n v="49"/>
  </r>
  <r>
    <x v="48"/>
    <x v="24"/>
    <x v="42"/>
    <n v="49"/>
  </r>
  <r>
    <x v="48"/>
    <x v="24"/>
    <x v="43"/>
    <n v="49"/>
  </r>
  <r>
    <x v="48"/>
    <x v="24"/>
    <x v="44"/>
    <n v="49"/>
  </r>
  <r>
    <x v="48"/>
    <x v="24"/>
    <x v="45"/>
    <n v="49"/>
  </r>
  <r>
    <x v="48"/>
    <x v="24"/>
    <x v="46"/>
    <n v="49"/>
  </r>
  <r>
    <x v="48"/>
    <x v="24"/>
    <x v="47"/>
    <n v="49"/>
  </r>
  <r>
    <x v="48"/>
    <x v="24"/>
    <x v="48"/>
    <n v="49"/>
  </r>
  <r>
    <x v="48"/>
    <x v="24"/>
    <x v="49"/>
    <n v="49"/>
  </r>
  <r>
    <x v="48"/>
    <x v="24"/>
    <x v="50"/>
    <n v="49"/>
  </r>
  <r>
    <x v="48"/>
    <x v="24"/>
    <x v="51"/>
    <n v="49"/>
  </r>
  <r>
    <x v="48"/>
    <x v="24"/>
    <x v="52"/>
    <n v="49"/>
  </r>
  <r>
    <x v="48"/>
    <x v="24"/>
    <x v="53"/>
    <n v="49"/>
  </r>
  <r>
    <x v="48"/>
    <x v="24"/>
    <x v="54"/>
    <n v="49"/>
  </r>
  <r>
    <x v="48"/>
    <x v="24"/>
    <x v="55"/>
    <n v="49"/>
  </r>
  <r>
    <x v="48"/>
    <x v="24"/>
    <x v="56"/>
    <n v="49"/>
  </r>
  <r>
    <x v="48"/>
    <x v="24"/>
    <x v="57"/>
    <n v="49"/>
  </r>
  <r>
    <x v="48"/>
    <x v="24"/>
    <x v="58"/>
    <n v="49"/>
  </r>
  <r>
    <x v="48"/>
    <x v="24"/>
    <x v="59"/>
    <n v="49"/>
  </r>
  <r>
    <x v="48"/>
    <x v="24"/>
    <x v="60"/>
    <n v="49"/>
  </r>
  <r>
    <x v="48"/>
    <x v="24"/>
    <x v="61"/>
    <n v="49"/>
  </r>
  <r>
    <x v="48"/>
    <x v="24"/>
    <x v="62"/>
    <n v="49"/>
  </r>
  <r>
    <x v="48"/>
    <x v="24"/>
    <x v="63"/>
    <n v="49"/>
  </r>
  <r>
    <x v="48"/>
    <x v="24"/>
    <x v="64"/>
    <n v="49"/>
  </r>
  <r>
    <x v="48"/>
    <x v="24"/>
    <x v="65"/>
    <n v="49"/>
  </r>
  <r>
    <x v="48"/>
    <x v="24"/>
    <x v="66"/>
    <n v="49"/>
  </r>
  <r>
    <x v="48"/>
    <x v="24"/>
    <x v="67"/>
    <n v="49"/>
  </r>
  <r>
    <x v="48"/>
    <x v="24"/>
    <x v="68"/>
    <n v="49"/>
  </r>
  <r>
    <x v="48"/>
    <x v="24"/>
    <x v="69"/>
    <n v="49"/>
  </r>
  <r>
    <x v="48"/>
    <x v="24"/>
    <x v="70"/>
    <n v="49"/>
  </r>
  <r>
    <x v="48"/>
    <x v="24"/>
    <x v="71"/>
    <n v="49"/>
  </r>
  <r>
    <x v="48"/>
    <x v="24"/>
    <x v="72"/>
    <n v="49"/>
  </r>
  <r>
    <x v="49"/>
    <x v="24"/>
    <x v="0"/>
    <n v="13"/>
  </r>
  <r>
    <x v="49"/>
    <x v="24"/>
    <x v="1"/>
    <n v="14"/>
  </r>
  <r>
    <x v="49"/>
    <x v="24"/>
    <x v="2"/>
    <n v="24"/>
  </r>
  <r>
    <x v="49"/>
    <x v="24"/>
    <x v="3"/>
    <n v="9"/>
  </r>
  <r>
    <x v="49"/>
    <x v="24"/>
    <x v="4"/>
    <n v="9"/>
  </r>
  <r>
    <x v="49"/>
    <x v="24"/>
    <x v="5"/>
    <n v="23"/>
  </r>
  <r>
    <x v="49"/>
    <x v="24"/>
    <x v="6"/>
    <n v="16"/>
  </r>
  <r>
    <x v="49"/>
    <x v="24"/>
    <x v="7"/>
    <n v="8"/>
  </r>
  <r>
    <x v="49"/>
    <x v="24"/>
    <x v="8"/>
    <n v="11"/>
  </r>
  <r>
    <x v="49"/>
    <x v="24"/>
    <x v="9"/>
    <n v="15"/>
  </r>
  <r>
    <x v="49"/>
    <x v="24"/>
    <x v="10"/>
    <n v="14"/>
  </r>
  <r>
    <x v="49"/>
    <x v="24"/>
    <x v="11"/>
    <n v="17"/>
  </r>
  <r>
    <x v="49"/>
    <x v="24"/>
    <x v="12"/>
    <n v="37"/>
  </r>
  <r>
    <x v="49"/>
    <x v="24"/>
    <x v="13"/>
    <n v="39"/>
  </r>
  <r>
    <x v="49"/>
    <x v="24"/>
    <x v="14"/>
    <n v="39"/>
  </r>
  <r>
    <x v="49"/>
    <x v="24"/>
    <x v="15"/>
    <n v="46"/>
  </r>
  <r>
    <x v="49"/>
    <x v="24"/>
    <x v="16"/>
    <n v="53"/>
  </r>
  <r>
    <x v="49"/>
    <x v="24"/>
    <x v="17"/>
    <n v="56"/>
  </r>
  <r>
    <x v="49"/>
    <x v="24"/>
    <x v="18"/>
    <n v="38"/>
  </r>
  <r>
    <x v="49"/>
    <x v="24"/>
    <x v="19"/>
    <n v="45"/>
  </r>
  <r>
    <x v="49"/>
    <x v="24"/>
    <x v="20"/>
    <n v="47"/>
  </r>
  <r>
    <x v="49"/>
    <x v="24"/>
    <x v="21"/>
    <n v="37"/>
  </r>
  <r>
    <x v="49"/>
    <x v="24"/>
    <x v="22"/>
    <n v="46"/>
  </r>
  <r>
    <x v="49"/>
    <x v="24"/>
    <x v="23"/>
    <n v="53"/>
  </r>
  <r>
    <x v="49"/>
    <x v="24"/>
    <x v="24"/>
    <n v="52"/>
  </r>
  <r>
    <x v="49"/>
    <x v="24"/>
    <x v="25"/>
    <n v="55"/>
  </r>
  <r>
    <x v="49"/>
    <x v="24"/>
    <x v="26"/>
    <n v="55"/>
  </r>
  <r>
    <x v="49"/>
    <x v="24"/>
    <x v="27"/>
    <n v="49"/>
  </r>
  <r>
    <x v="49"/>
    <x v="24"/>
    <x v="28"/>
    <n v="49"/>
  </r>
  <r>
    <x v="49"/>
    <x v="24"/>
    <x v="29"/>
    <n v="49"/>
  </r>
  <r>
    <x v="49"/>
    <x v="24"/>
    <x v="30"/>
    <n v="49"/>
  </r>
  <r>
    <x v="49"/>
    <x v="24"/>
    <x v="31"/>
    <n v="49"/>
  </r>
  <r>
    <x v="49"/>
    <x v="24"/>
    <x v="32"/>
    <n v="49"/>
  </r>
  <r>
    <x v="49"/>
    <x v="24"/>
    <x v="33"/>
    <n v="49"/>
  </r>
  <r>
    <x v="49"/>
    <x v="24"/>
    <x v="34"/>
    <n v="49"/>
  </r>
  <r>
    <x v="49"/>
    <x v="24"/>
    <x v="35"/>
    <n v="49"/>
  </r>
  <r>
    <x v="49"/>
    <x v="24"/>
    <x v="36"/>
    <n v="49"/>
  </r>
  <r>
    <x v="49"/>
    <x v="24"/>
    <x v="37"/>
    <n v="49"/>
  </r>
  <r>
    <x v="49"/>
    <x v="24"/>
    <x v="38"/>
    <n v="49"/>
  </r>
  <r>
    <x v="49"/>
    <x v="24"/>
    <x v="39"/>
    <n v="49"/>
  </r>
  <r>
    <x v="49"/>
    <x v="24"/>
    <x v="40"/>
    <n v="49"/>
  </r>
  <r>
    <x v="49"/>
    <x v="24"/>
    <x v="41"/>
    <n v="49"/>
  </r>
  <r>
    <x v="49"/>
    <x v="24"/>
    <x v="42"/>
    <n v="49"/>
  </r>
  <r>
    <x v="49"/>
    <x v="24"/>
    <x v="43"/>
    <n v="49"/>
  </r>
  <r>
    <x v="49"/>
    <x v="24"/>
    <x v="44"/>
    <n v="49"/>
  </r>
  <r>
    <x v="49"/>
    <x v="24"/>
    <x v="45"/>
    <n v="49"/>
  </r>
  <r>
    <x v="49"/>
    <x v="24"/>
    <x v="46"/>
    <n v="49"/>
  </r>
  <r>
    <x v="49"/>
    <x v="24"/>
    <x v="47"/>
    <n v="49"/>
  </r>
  <r>
    <x v="49"/>
    <x v="24"/>
    <x v="48"/>
    <n v="49"/>
  </r>
  <r>
    <x v="49"/>
    <x v="24"/>
    <x v="49"/>
    <n v="49"/>
  </r>
  <r>
    <x v="49"/>
    <x v="24"/>
    <x v="50"/>
    <n v="49"/>
  </r>
  <r>
    <x v="49"/>
    <x v="24"/>
    <x v="51"/>
    <n v="49"/>
  </r>
  <r>
    <x v="49"/>
    <x v="24"/>
    <x v="52"/>
    <n v="49"/>
  </r>
  <r>
    <x v="49"/>
    <x v="24"/>
    <x v="53"/>
    <n v="49"/>
  </r>
  <r>
    <x v="49"/>
    <x v="24"/>
    <x v="54"/>
    <n v="49"/>
  </r>
  <r>
    <x v="49"/>
    <x v="24"/>
    <x v="55"/>
    <n v="49"/>
  </r>
  <r>
    <x v="49"/>
    <x v="24"/>
    <x v="56"/>
    <n v="49"/>
  </r>
  <r>
    <x v="49"/>
    <x v="24"/>
    <x v="57"/>
    <n v="49"/>
  </r>
  <r>
    <x v="49"/>
    <x v="24"/>
    <x v="58"/>
    <n v="49"/>
  </r>
  <r>
    <x v="49"/>
    <x v="24"/>
    <x v="59"/>
    <n v="49"/>
  </r>
  <r>
    <x v="49"/>
    <x v="24"/>
    <x v="60"/>
    <n v="49"/>
  </r>
  <r>
    <x v="49"/>
    <x v="24"/>
    <x v="61"/>
    <n v="49"/>
  </r>
  <r>
    <x v="49"/>
    <x v="24"/>
    <x v="62"/>
    <n v="49"/>
  </r>
  <r>
    <x v="49"/>
    <x v="24"/>
    <x v="63"/>
    <n v="49"/>
  </r>
  <r>
    <x v="49"/>
    <x v="24"/>
    <x v="64"/>
    <n v="49"/>
  </r>
  <r>
    <x v="49"/>
    <x v="24"/>
    <x v="65"/>
    <n v="49"/>
  </r>
  <r>
    <x v="49"/>
    <x v="24"/>
    <x v="66"/>
    <n v="49"/>
  </r>
  <r>
    <x v="49"/>
    <x v="24"/>
    <x v="67"/>
    <n v="49"/>
  </r>
  <r>
    <x v="49"/>
    <x v="24"/>
    <x v="68"/>
    <n v="49"/>
  </r>
  <r>
    <x v="49"/>
    <x v="24"/>
    <x v="69"/>
    <n v="49"/>
  </r>
  <r>
    <x v="49"/>
    <x v="24"/>
    <x v="70"/>
    <n v="49"/>
  </r>
  <r>
    <x v="49"/>
    <x v="24"/>
    <x v="71"/>
    <n v="49"/>
  </r>
  <r>
    <x v="49"/>
    <x v="24"/>
    <x v="72"/>
    <n v="49"/>
  </r>
  <r>
    <x v="50"/>
    <x v="25"/>
    <x v="0"/>
    <n v="13"/>
  </r>
  <r>
    <x v="50"/>
    <x v="25"/>
    <x v="1"/>
    <n v="14"/>
  </r>
  <r>
    <x v="50"/>
    <x v="25"/>
    <x v="2"/>
    <n v="3"/>
  </r>
  <r>
    <x v="50"/>
    <x v="25"/>
    <x v="3"/>
    <n v="38"/>
  </r>
  <r>
    <x v="50"/>
    <x v="25"/>
    <x v="4"/>
    <n v="39"/>
  </r>
  <r>
    <x v="50"/>
    <x v="25"/>
    <x v="5"/>
    <n v="41"/>
  </r>
  <r>
    <x v="50"/>
    <x v="25"/>
    <x v="6"/>
    <n v="27"/>
  </r>
  <r>
    <x v="50"/>
    <x v="25"/>
    <x v="7"/>
    <n v="27"/>
  </r>
  <r>
    <x v="50"/>
    <x v="25"/>
    <x v="8"/>
    <n v="27"/>
  </r>
  <r>
    <x v="50"/>
    <x v="25"/>
    <x v="9"/>
    <n v="31"/>
  </r>
  <r>
    <x v="50"/>
    <x v="25"/>
    <x v="10"/>
    <n v="30"/>
  </r>
  <r>
    <x v="50"/>
    <x v="25"/>
    <x v="11"/>
    <n v="29"/>
  </r>
  <r>
    <x v="50"/>
    <x v="25"/>
    <x v="12"/>
    <n v="30"/>
  </r>
  <r>
    <x v="50"/>
    <x v="25"/>
    <x v="13"/>
    <n v="32"/>
  </r>
  <r>
    <x v="50"/>
    <x v="25"/>
    <x v="14"/>
    <n v="34"/>
  </r>
  <r>
    <x v="50"/>
    <x v="25"/>
    <x v="15"/>
    <n v="39"/>
  </r>
  <r>
    <x v="50"/>
    <x v="25"/>
    <x v="16"/>
    <n v="46"/>
  </r>
  <r>
    <x v="50"/>
    <x v="25"/>
    <x v="17"/>
    <n v="52"/>
  </r>
  <r>
    <x v="50"/>
    <x v="25"/>
    <x v="18"/>
    <n v="52"/>
  </r>
  <r>
    <x v="50"/>
    <x v="25"/>
    <x v="19"/>
    <n v="55"/>
  </r>
  <r>
    <x v="50"/>
    <x v="25"/>
    <x v="20"/>
    <n v="56"/>
  </r>
  <r>
    <x v="50"/>
    <x v="25"/>
    <x v="21"/>
    <n v="62"/>
  </r>
  <r>
    <x v="50"/>
    <x v="25"/>
    <x v="22"/>
    <n v="62"/>
  </r>
  <r>
    <x v="50"/>
    <x v="25"/>
    <x v="23"/>
    <n v="55"/>
  </r>
  <r>
    <x v="50"/>
    <x v="25"/>
    <x v="24"/>
    <n v="55"/>
  </r>
  <r>
    <x v="50"/>
    <x v="25"/>
    <x v="25"/>
    <n v="47"/>
  </r>
  <r>
    <x v="50"/>
    <x v="25"/>
    <x v="26"/>
    <n v="47"/>
  </r>
  <r>
    <x v="50"/>
    <x v="25"/>
    <x v="27"/>
    <n v="42"/>
  </r>
  <r>
    <x v="50"/>
    <x v="25"/>
    <x v="28"/>
    <n v="51"/>
  </r>
  <r>
    <x v="50"/>
    <x v="25"/>
    <x v="29"/>
    <n v="51"/>
  </r>
  <r>
    <x v="50"/>
    <x v="25"/>
    <x v="30"/>
    <n v="51"/>
  </r>
  <r>
    <x v="50"/>
    <x v="25"/>
    <x v="31"/>
    <n v="51"/>
  </r>
  <r>
    <x v="50"/>
    <x v="25"/>
    <x v="32"/>
    <n v="51"/>
  </r>
  <r>
    <x v="50"/>
    <x v="25"/>
    <x v="33"/>
    <n v="51"/>
  </r>
  <r>
    <x v="50"/>
    <x v="25"/>
    <x v="34"/>
    <n v="51"/>
  </r>
  <r>
    <x v="50"/>
    <x v="25"/>
    <x v="35"/>
    <n v="51"/>
  </r>
  <r>
    <x v="50"/>
    <x v="25"/>
    <x v="36"/>
    <n v="51"/>
  </r>
  <r>
    <x v="50"/>
    <x v="25"/>
    <x v="37"/>
    <n v="51"/>
  </r>
  <r>
    <x v="50"/>
    <x v="25"/>
    <x v="38"/>
    <n v="51"/>
  </r>
  <r>
    <x v="50"/>
    <x v="25"/>
    <x v="39"/>
    <n v="51"/>
  </r>
  <r>
    <x v="50"/>
    <x v="25"/>
    <x v="40"/>
    <n v="51"/>
  </r>
  <r>
    <x v="50"/>
    <x v="25"/>
    <x v="41"/>
    <n v="51"/>
  </r>
  <r>
    <x v="50"/>
    <x v="25"/>
    <x v="42"/>
    <n v="51"/>
  </r>
  <r>
    <x v="50"/>
    <x v="25"/>
    <x v="43"/>
    <n v="51"/>
  </r>
  <r>
    <x v="50"/>
    <x v="25"/>
    <x v="44"/>
    <n v="51"/>
  </r>
  <r>
    <x v="50"/>
    <x v="25"/>
    <x v="45"/>
    <n v="51"/>
  </r>
  <r>
    <x v="50"/>
    <x v="25"/>
    <x v="46"/>
    <n v="51"/>
  </r>
  <r>
    <x v="50"/>
    <x v="25"/>
    <x v="47"/>
    <n v="51"/>
  </r>
  <r>
    <x v="50"/>
    <x v="25"/>
    <x v="48"/>
    <n v="51"/>
  </r>
  <r>
    <x v="50"/>
    <x v="25"/>
    <x v="49"/>
    <n v="51"/>
  </r>
  <r>
    <x v="50"/>
    <x v="25"/>
    <x v="50"/>
    <n v="51"/>
  </r>
  <r>
    <x v="50"/>
    <x v="25"/>
    <x v="51"/>
    <n v="51"/>
  </r>
  <r>
    <x v="50"/>
    <x v="25"/>
    <x v="52"/>
    <n v="51"/>
  </r>
  <r>
    <x v="50"/>
    <x v="25"/>
    <x v="53"/>
    <n v="51"/>
  </r>
  <r>
    <x v="50"/>
    <x v="25"/>
    <x v="54"/>
    <n v="51"/>
  </r>
  <r>
    <x v="50"/>
    <x v="25"/>
    <x v="55"/>
    <n v="51"/>
  </r>
  <r>
    <x v="50"/>
    <x v="25"/>
    <x v="56"/>
    <n v="51"/>
  </r>
  <r>
    <x v="50"/>
    <x v="25"/>
    <x v="57"/>
    <n v="51"/>
  </r>
  <r>
    <x v="50"/>
    <x v="25"/>
    <x v="58"/>
    <n v="51"/>
  </r>
  <r>
    <x v="50"/>
    <x v="25"/>
    <x v="59"/>
    <n v="51"/>
  </r>
  <r>
    <x v="50"/>
    <x v="25"/>
    <x v="60"/>
    <n v="51"/>
  </r>
  <r>
    <x v="50"/>
    <x v="25"/>
    <x v="61"/>
    <n v="51"/>
  </r>
  <r>
    <x v="50"/>
    <x v="25"/>
    <x v="62"/>
    <n v="51"/>
  </r>
  <r>
    <x v="50"/>
    <x v="25"/>
    <x v="63"/>
    <n v="51"/>
  </r>
  <r>
    <x v="50"/>
    <x v="25"/>
    <x v="64"/>
    <n v="51"/>
  </r>
  <r>
    <x v="50"/>
    <x v="25"/>
    <x v="65"/>
    <n v="51"/>
  </r>
  <r>
    <x v="50"/>
    <x v="25"/>
    <x v="66"/>
    <n v="51"/>
  </r>
  <r>
    <x v="50"/>
    <x v="25"/>
    <x v="67"/>
    <n v="51"/>
  </r>
  <r>
    <x v="50"/>
    <x v="25"/>
    <x v="68"/>
    <n v="51"/>
  </r>
  <r>
    <x v="50"/>
    <x v="25"/>
    <x v="69"/>
    <n v="51"/>
  </r>
  <r>
    <x v="50"/>
    <x v="25"/>
    <x v="70"/>
    <n v="51"/>
  </r>
  <r>
    <x v="50"/>
    <x v="25"/>
    <x v="71"/>
    <n v="51"/>
  </r>
  <r>
    <x v="50"/>
    <x v="25"/>
    <x v="72"/>
    <n v="51"/>
  </r>
  <r>
    <x v="51"/>
    <x v="25"/>
    <x v="0"/>
    <n v="13"/>
  </r>
  <r>
    <x v="51"/>
    <x v="25"/>
    <x v="1"/>
    <n v="14"/>
  </r>
  <r>
    <x v="51"/>
    <x v="25"/>
    <x v="2"/>
    <n v="24"/>
  </r>
  <r>
    <x v="51"/>
    <x v="25"/>
    <x v="3"/>
    <n v="77"/>
  </r>
  <r>
    <x v="51"/>
    <x v="25"/>
    <x v="4"/>
    <n v="79"/>
  </r>
  <r>
    <x v="51"/>
    <x v="25"/>
    <x v="5"/>
    <n v="88"/>
  </r>
  <r>
    <x v="51"/>
    <x v="25"/>
    <x v="6"/>
    <n v="97"/>
  </r>
  <r>
    <x v="51"/>
    <x v="25"/>
    <x v="7"/>
    <n v="97"/>
  </r>
  <r>
    <x v="51"/>
    <x v="25"/>
    <x v="8"/>
    <n v="97"/>
  </r>
  <r>
    <x v="51"/>
    <x v="25"/>
    <x v="9"/>
    <n v="98"/>
  </r>
  <r>
    <x v="51"/>
    <x v="25"/>
    <x v="10"/>
    <n v="99"/>
  </r>
  <r>
    <x v="51"/>
    <x v="25"/>
    <x v="11"/>
    <n v="103"/>
  </r>
  <r>
    <x v="51"/>
    <x v="25"/>
    <x v="12"/>
    <n v="85"/>
  </r>
  <r>
    <x v="51"/>
    <x v="25"/>
    <x v="13"/>
    <n v="83"/>
  </r>
  <r>
    <x v="51"/>
    <x v="25"/>
    <x v="14"/>
    <n v="81"/>
  </r>
  <r>
    <x v="51"/>
    <x v="25"/>
    <x v="15"/>
    <n v="69"/>
  </r>
  <r>
    <x v="51"/>
    <x v="25"/>
    <x v="16"/>
    <n v="53"/>
  </r>
  <r>
    <x v="51"/>
    <x v="25"/>
    <x v="17"/>
    <n v="56"/>
  </r>
  <r>
    <x v="51"/>
    <x v="25"/>
    <x v="18"/>
    <n v="38"/>
  </r>
  <r>
    <x v="51"/>
    <x v="25"/>
    <x v="19"/>
    <n v="45"/>
  </r>
  <r>
    <x v="51"/>
    <x v="25"/>
    <x v="20"/>
    <n v="47"/>
  </r>
  <r>
    <x v="51"/>
    <x v="25"/>
    <x v="21"/>
    <n v="59"/>
  </r>
  <r>
    <x v="51"/>
    <x v="25"/>
    <x v="22"/>
    <n v="47"/>
  </r>
  <r>
    <x v="51"/>
    <x v="25"/>
    <x v="23"/>
    <n v="45"/>
  </r>
  <r>
    <x v="51"/>
    <x v="25"/>
    <x v="24"/>
    <n v="45"/>
  </r>
  <r>
    <x v="51"/>
    <x v="25"/>
    <x v="25"/>
    <n v="53"/>
  </r>
  <r>
    <x v="51"/>
    <x v="25"/>
    <x v="26"/>
    <n v="47"/>
  </r>
  <r>
    <x v="51"/>
    <x v="25"/>
    <x v="27"/>
    <n v="42"/>
  </r>
  <r>
    <x v="51"/>
    <x v="25"/>
    <x v="28"/>
    <n v="51"/>
  </r>
  <r>
    <x v="51"/>
    <x v="25"/>
    <x v="29"/>
    <n v="51"/>
  </r>
  <r>
    <x v="51"/>
    <x v="25"/>
    <x v="30"/>
    <n v="51"/>
  </r>
  <r>
    <x v="51"/>
    <x v="25"/>
    <x v="31"/>
    <n v="51"/>
  </r>
  <r>
    <x v="51"/>
    <x v="25"/>
    <x v="32"/>
    <n v="51"/>
  </r>
  <r>
    <x v="51"/>
    <x v="25"/>
    <x v="33"/>
    <n v="51"/>
  </r>
  <r>
    <x v="51"/>
    <x v="25"/>
    <x v="34"/>
    <n v="51"/>
  </r>
  <r>
    <x v="51"/>
    <x v="25"/>
    <x v="35"/>
    <n v="51"/>
  </r>
  <r>
    <x v="51"/>
    <x v="25"/>
    <x v="36"/>
    <n v="51"/>
  </r>
  <r>
    <x v="51"/>
    <x v="25"/>
    <x v="37"/>
    <n v="51"/>
  </r>
  <r>
    <x v="51"/>
    <x v="25"/>
    <x v="38"/>
    <n v="51"/>
  </r>
  <r>
    <x v="51"/>
    <x v="25"/>
    <x v="39"/>
    <n v="51"/>
  </r>
  <r>
    <x v="51"/>
    <x v="25"/>
    <x v="40"/>
    <n v="51"/>
  </r>
  <r>
    <x v="51"/>
    <x v="25"/>
    <x v="41"/>
    <n v="51"/>
  </r>
  <r>
    <x v="51"/>
    <x v="25"/>
    <x v="42"/>
    <n v="51"/>
  </r>
  <r>
    <x v="51"/>
    <x v="25"/>
    <x v="43"/>
    <n v="51"/>
  </r>
  <r>
    <x v="51"/>
    <x v="25"/>
    <x v="44"/>
    <n v="51"/>
  </r>
  <r>
    <x v="51"/>
    <x v="25"/>
    <x v="45"/>
    <n v="51"/>
  </r>
  <r>
    <x v="51"/>
    <x v="25"/>
    <x v="46"/>
    <n v="51"/>
  </r>
  <r>
    <x v="51"/>
    <x v="25"/>
    <x v="47"/>
    <n v="51"/>
  </r>
  <r>
    <x v="51"/>
    <x v="25"/>
    <x v="48"/>
    <n v="51"/>
  </r>
  <r>
    <x v="51"/>
    <x v="25"/>
    <x v="49"/>
    <n v="51"/>
  </r>
  <r>
    <x v="51"/>
    <x v="25"/>
    <x v="50"/>
    <n v="51"/>
  </r>
  <r>
    <x v="51"/>
    <x v="25"/>
    <x v="51"/>
    <n v="51"/>
  </r>
  <r>
    <x v="51"/>
    <x v="25"/>
    <x v="52"/>
    <n v="51"/>
  </r>
  <r>
    <x v="51"/>
    <x v="25"/>
    <x v="53"/>
    <n v="51"/>
  </r>
  <r>
    <x v="51"/>
    <x v="25"/>
    <x v="54"/>
    <n v="51"/>
  </r>
  <r>
    <x v="51"/>
    <x v="25"/>
    <x v="55"/>
    <n v="51"/>
  </r>
  <r>
    <x v="51"/>
    <x v="25"/>
    <x v="56"/>
    <n v="51"/>
  </r>
  <r>
    <x v="51"/>
    <x v="25"/>
    <x v="57"/>
    <n v="51"/>
  </r>
  <r>
    <x v="51"/>
    <x v="25"/>
    <x v="58"/>
    <n v="51"/>
  </r>
  <r>
    <x v="51"/>
    <x v="25"/>
    <x v="59"/>
    <n v="51"/>
  </r>
  <r>
    <x v="51"/>
    <x v="25"/>
    <x v="60"/>
    <n v="51"/>
  </r>
  <r>
    <x v="51"/>
    <x v="25"/>
    <x v="61"/>
    <n v="51"/>
  </r>
  <r>
    <x v="51"/>
    <x v="25"/>
    <x v="62"/>
    <n v="51"/>
  </r>
  <r>
    <x v="51"/>
    <x v="25"/>
    <x v="63"/>
    <n v="51"/>
  </r>
  <r>
    <x v="51"/>
    <x v="25"/>
    <x v="64"/>
    <n v="51"/>
  </r>
  <r>
    <x v="51"/>
    <x v="25"/>
    <x v="65"/>
    <n v="51"/>
  </r>
  <r>
    <x v="51"/>
    <x v="25"/>
    <x v="66"/>
    <n v="51"/>
  </r>
  <r>
    <x v="51"/>
    <x v="25"/>
    <x v="67"/>
    <n v="51"/>
  </r>
  <r>
    <x v="51"/>
    <x v="25"/>
    <x v="68"/>
    <n v="51"/>
  </r>
  <r>
    <x v="51"/>
    <x v="25"/>
    <x v="69"/>
    <n v="51"/>
  </r>
  <r>
    <x v="51"/>
    <x v="25"/>
    <x v="70"/>
    <n v="51"/>
  </r>
  <r>
    <x v="51"/>
    <x v="25"/>
    <x v="71"/>
    <n v="51"/>
  </r>
  <r>
    <x v="51"/>
    <x v="25"/>
    <x v="72"/>
    <n v="51"/>
  </r>
  <r>
    <x v="52"/>
    <x v="26"/>
    <x v="0"/>
    <n v="78"/>
  </r>
  <r>
    <x v="52"/>
    <x v="26"/>
    <x v="1"/>
    <n v="77"/>
  </r>
  <r>
    <x v="52"/>
    <x v="26"/>
    <x v="2"/>
    <n v="61"/>
  </r>
  <r>
    <x v="52"/>
    <x v="26"/>
    <x v="3"/>
    <n v="68"/>
  </r>
  <r>
    <x v="52"/>
    <x v="26"/>
    <x v="4"/>
    <n v="68"/>
  </r>
  <r>
    <x v="52"/>
    <x v="26"/>
    <x v="5"/>
    <n v="68"/>
  </r>
  <r>
    <x v="52"/>
    <x v="26"/>
    <x v="6"/>
    <n v="49"/>
  </r>
  <r>
    <x v="52"/>
    <x v="26"/>
    <x v="7"/>
    <n v="49"/>
  </r>
  <r>
    <x v="52"/>
    <x v="26"/>
    <x v="8"/>
    <n v="27"/>
  </r>
  <r>
    <x v="52"/>
    <x v="26"/>
    <x v="9"/>
    <n v="31"/>
  </r>
  <r>
    <x v="52"/>
    <x v="26"/>
    <x v="10"/>
    <n v="30"/>
  </r>
  <r>
    <x v="52"/>
    <x v="26"/>
    <x v="11"/>
    <n v="29"/>
  </r>
  <r>
    <x v="52"/>
    <x v="26"/>
    <x v="12"/>
    <n v="19"/>
  </r>
  <r>
    <x v="52"/>
    <x v="26"/>
    <x v="13"/>
    <n v="21"/>
  </r>
  <r>
    <x v="52"/>
    <x v="26"/>
    <x v="14"/>
    <n v="21"/>
  </r>
  <r>
    <x v="52"/>
    <x v="26"/>
    <x v="15"/>
    <n v="10"/>
  </r>
  <r>
    <x v="52"/>
    <x v="26"/>
    <x v="16"/>
    <n v="13"/>
  </r>
  <r>
    <x v="52"/>
    <x v="26"/>
    <x v="17"/>
    <n v="18"/>
  </r>
  <r>
    <x v="52"/>
    <x v="26"/>
    <x v="18"/>
    <n v="20"/>
  </r>
  <r>
    <x v="52"/>
    <x v="26"/>
    <x v="19"/>
    <n v="27"/>
  </r>
  <r>
    <x v="52"/>
    <x v="26"/>
    <x v="20"/>
    <n v="25"/>
  </r>
  <r>
    <x v="52"/>
    <x v="26"/>
    <x v="21"/>
    <n v="34"/>
  </r>
  <r>
    <x v="52"/>
    <x v="26"/>
    <x v="22"/>
    <n v="27"/>
  </r>
  <r>
    <x v="52"/>
    <x v="26"/>
    <x v="23"/>
    <n v="39"/>
  </r>
  <r>
    <x v="52"/>
    <x v="26"/>
    <x v="24"/>
    <n v="40"/>
  </r>
  <r>
    <x v="52"/>
    <x v="26"/>
    <x v="25"/>
    <n v="44"/>
  </r>
  <r>
    <x v="52"/>
    <x v="26"/>
    <x v="26"/>
    <n v="44"/>
  </r>
  <r>
    <x v="52"/>
    <x v="26"/>
    <x v="27"/>
    <n v="47"/>
  </r>
  <r>
    <x v="52"/>
    <x v="26"/>
    <x v="28"/>
    <n v="53"/>
  </r>
  <r>
    <x v="52"/>
    <x v="26"/>
    <x v="29"/>
    <n v="53"/>
  </r>
  <r>
    <x v="52"/>
    <x v="26"/>
    <x v="30"/>
    <n v="53"/>
  </r>
  <r>
    <x v="52"/>
    <x v="26"/>
    <x v="31"/>
    <n v="53"/>
  </r>
  <r>
    <x v="52"/>
    <x v="26"/>
    <x v="32"/>
    <n v="53"/>
  </r>
  <r>
    <x v="52"/>
    <x v="26"/>
    <x v="33"/>
    <n v="53"/>
  </r>
  <r>
    <x v="52"/>
    <x v="26"/>
    <x v="34"/>
    <n v="53"/>
  </r>
  <r>
    <x v="52"/>
    <x v="26"/>
    <x v="35"/>
    <n v="53"/>
  </r>
  <r>
    <x v="52"/>
    <x v="26"/>
    <x v="36"/>
    <n v="53"/>
  </r>
  <r>
    <x v="52"/>
    <x v="26"/>
    <x v="37"/>
    <n v="53"/>
  </r>
  <r>
    <x v="52"/>
    <x v="26"/>
    <x v="38"/>
    <n v="53"/>
  </r>
  <r>
    <x v="52"/>
    <x v="26"/>
    <x v="39"/>
    <n v="53"/>
  </r>
  <r>
    <x v="52"/>
    <x v="26"/>
    <x v="40"/>
    <n v="53"/>
  </r>
  <r>
    <x v="52"/>
    <x v="26"/>
    <x v="41"/>
    <n v="53"/>
  </r>
  <r>
    <x v="52"/>
    <x v="26"/>
    <x v="42"/>
    <n v="53"/>
  </r>
  <r>
    <x v="52"/>
    <x v="26"/>
    <x v="43"/>
    <n v="53"/>
  </r>
  <r>
    <x v="52"/>
    <x v="26"/>
    <x v="44"/>
    <n v="53"/>
  </r>
  <r>
    <x v="52"/>
    <x v="26"/>
    <x v="45"/>
    <n v="53"/>
  </r>
  <r>
    <x v="52"/>
    <x v="26"/>
    <x v="46"/>
    <n v="53"/>
  </r>
  <r>
    <x v="52"/>
    <x v="26"/>
    <x v="47"/>
    <n v="53"/>
  </r>
  <r>
    <x v="52"/>
    <x v="26"/>
    <x v="48"/>
    <n v="53"/>
  </r>
  <r>
    <x v="52"/>
    <x v="26"/>
    <x v="49"/>
    <n v="53"/>
  </r>
  <r>
    <x v="52"/>
    <x v="26"/>
    <x v="50"/>
    <n v="53"/>
  </r>
  <r>
    <x v="52"/>
    <x v="26"/>
    <x v="51"/>
    <n v="53"/>
  </r>
  <r>
    <x v="52"/>
    <x v="26"/>
    <x v="52"/>
    <n v="53"/>
  </r>
  <r>
    <x v="52"/>
    <x v="26"/>
    <x v="53"/>
    <n v="53"/>
  </r>
  <r>
    <x v="52"/>
    <x v="26"/>
    <x v="54"/>
    <n v="53"/>
  </r>
  <r>
    <x v="52"/>
    <x v="26"/>
    <x v="55"/>
    <n v="53"/>
  </r>
  <r>
    <x v="52"/>
    <x v="26"/>
    <x v="56"/>
    <n v="53"/>
  </r>
  <r>
    <x v="52"/>
    <x v="26"/>
    <x v="57"/>
    <n v="53"/>
  </r>
  <r>
    <x v="52"/>
    <x v="26"/>
    <x v="58"/>
    <n v="53"/>
  </r>
  <r>
    <x v="52"/>
    <x v="26"/>
    <x v="59"/>
    <n v="53"/>
  </r>
  <r>
    <x v="52"/>
    <x v="26"/>
    <x v="60"/>
    <n v="53"/>
  </r>
  <r>
    <x v="52"/>
    <x v="26"/>
    <x v="61"/>
    <n v="53"/>
  </r>
  <r>
    <x v="52"/>
    <x v="26"/>
    <x v="62"/>
    <n v="53"/>
  </r>
  <r>
    <x v="52"/>
    <x v="26"/>
    <x v="63"/>
    <n v="53"/>
  </r>
  <r>
    <x v="52"/>
    <x v="26"/>
    <x v="64"/>
    <n v="53"/>
  </r>
  <r>
    <x v="52"/>
    <x v="26"/>
    <x v="65"/>
    <n v="53"/>
  </r>
  <r>
    <x v="52"/>
    <x v="26"/>
    <x v="66"/>
    <n v="53"/>
  </r>
  <r>
    <x v="52"/>
    <x v="26"/>
    <x v="67"/>
    <n v="53"/>
  </r>
  <r>
    <x v="52"/>
    <x v="26"/>
    <x v="68"/>
    <n v="53"/>
  </r>
  <r>
    <x v="52"/>
    <x v="26"/>
    <x v="69"/>
    <n v="53"/>
  </r>
  <r>
    <x v="52"/>
    <x v="26"/>
    <x v="70"/>
    <n v="53"/>
  </r>
  <r>
    <x v="52"/>
    <x v="26"/>
    <x v="71"/>
    <n v="53"/>
  </r>
  <r>
    <x v="52"/>
    <x v="26"/>
    <x v="72"/>
    <n v="53"/>
  </r>
  <r>
    <x v="53"/>
    <x v="26"/>
    <x v="0"/>
    <n v="65"/>
  </r>
  <r>
    <x v="53"/>
    <x v="26"/>
    <x v="1"/>
    <n v="62"/>
  </r>
  <r>
    <x v="53"/>
    <x v="26"/>
    <x v="2"/>
    <n v="75"/>
  </r>
  <r>
    <x v="53"/>
    <x v="26"/>
    <x v="3"/>
    <n v="38"/>
  </r>
  <r>
    <x v="53"/>
    <x v="26"/>
    <x v="4"/>
    <n v="39"/>
  </r>
  <r>
    <x v="53"/>
    <x v="26"/>
    <x v="5"/>
    <n v="41"/>
  </r>
  <r>
    <x v="53"/>
    <x v="26"/>
    <x v="6"/>
    <n v="49"/>
  </r>
  <r>
    <x v="53"/>
    <x v="26"/>
    <x v="7"/>
    <n v="49"/>
  </r>
  <r>
    <x v="53"/>
    <x v="26"/>
    <x v="8"/>
    <n v="52"/>
  </r>
  <r>
    <x v="53"/>
    <x v="26"/>
    <x v="9"/>
    <n v="56"/>
  </r>
  <r>
    <x v="53"/>
    <x v="26"/>
    <x v="10"/>
    <n v="51"/>
  </r>
  <r>
    <x v="53"/>
    <x v="26"/>
    <x v="11"/>
    <n v="50"/>
  </r>
  <r>
    <x v="53"/>
    <x v="26"/>
    <x v="12"/>
    <n v="46"/>
  </r>
  <r>
    <x v="53"/>
    <x v="26"/>
    <x v="13"/>
    <n v="45"/>
  </r>
  <r>
    <x v="53"/>
    <x v="26"/>
    <x v="14"/>
    <n v="39"/>
  </r>
  <r>
    <x v="53"/>
    <x v="26"/>
    <x v="15"/>
    <n v="30"/>
  </r>
  <r>
    <x v="53"/>
    <x v="26"/>
    <x v="16"/>
    <n v="38"/>
  </r>
  <r>
    <x v="53"/>
    <x v="26"/>
    <x v="17"/>
    <n v="43"/>
  </r>
  <r>
    <x v="53"/>
    <x v="26"/>
    <x v="18"/>
    <n v="54"/>
  </r>
  <r>
    <x v="53"/>
    <x v="26"/>
    <x v="19"/>
    <n v="22"/>
  </r>
  <r>
    <x v="53"/>
    <x v="26"/>
    <x v="20"/>
    <n v="25"/>
  </r>
  <r>
    <x v="53"/>
    <x v="26"/>
    <x v="21"/>
    <n v="34"/>
  </r>
  <r>
    <x v="53"/>
    <x v="26"/>
    <x v="22"/>
    <n v="43"/>
  </r>
  <r>
    <x v="53"/>
    <x v="26"/>
    <x v="23"/>
    <n v="52"/>
  </r>
  <r>
    <x v="53"/>
    <x v="26"/>
    <x v="24"/>
    <n v="40"/>
  </r>
  <r>
    <x v="53"/>
    <x v="26"/>
    <x v="25"/>
    <n v="39"/>
  </r>
  <r>
    <x v="53"/>
    <x v="26"/>
    <x v="26"/>
    <n v="39"/>
  </r>
  <r>
    <x v="53"/>
    <x v="26"/>
    <x v="27"/>
    <n v="56"/>
  </r>
  <r>
    <x v="53"/>
    <x v="26"/>
    <x v="28"/>
    <n v="53"/>
  </r>
  <r>
    <x v="53"/>
    <x v="26"/>
    <x v="29"/>
    <n v="53"/>
  </r>
  <r>
    <x v="53"/>
    <x v="26"/>
    <x v="30"/>
    <n v="53"/>
  </r>
  <r>
    <x v="53"/>
    <x v="26"/>
    <x v="31"/>
    <n v="53"/>
  </r>
  <r>
    <x v="53"/>
    <x v="26"/>
    <x v="32"/>
    <n v="53"/>
  </r>
  <r>
    <x v="53"/>
    <x v="26"/>
    <x v="33"/>
    <n v="53"/>
  </r>
  <r>
    <x v="53"/>
    <x v="26"/>
    <x v="34"/>
    <n v="53"/>
  </r>
  <r>
    <x v="53"/>
    <x v="26"/>
    <x v="35"/>
    <n v="53"/>
  </r>
  <r>
    <x v="53"/>
    <x v="26"/>
    <x v="36"/>
    <n v="53"/>
  </r>
  <r>
    <x v="53"/>
    <x v="26"/>
    <x v="37"/>
    <n v="53"/>
  </r>
  <r>
    <x v="53"/>
    <x v="26"/>
    <x v="38"/>
    <n v="53"/>
  </r>
  <r>
    <x v="53"/>
    <x v="26"/>
    <x v="39"/>
    <n v="53"/>
  </r>
  <r>
    <x v="53"/>
    <x v="26"/>
    <x v="40"/>
    <n v="53"/>
  </r>
  <r>
    <x v="53"/>
    <x v="26"/>
    <x v="41"/>
    <n v="53"/>
  </r>
  <r>
    <x v="53"/>
    <x v="26"/>
    <x v="42"/>
    <n v="53"/>
  </r>
  <r>
    <x v="53"/>
    <x v="26"/>
    <x v="43"/>
    <n v="53"/>
  </r>
  <r>
    <x v="53"/>
    <x v="26"/>
    <x v="44"/>
    <n v="53"/>
  </r>
  <r>
    <x v="53"/>
    <x v="26"/>
    <x v="45"/>
    <n v="53"/>
  </r>
  <r>
    <x v="53"/>
    <x v="26"/>
    <x v="46"/>
    <n v="53"/>
  </r>
  <r>
    <x v="53"/>
    <x v="26"/>
    <x v="47"/>
    <n v="53"/>
  </r>
  <r>
    <x v="53"/>
    <x v="26"/>
    <x v="48"/>
    <n v="53"/>
  </r>
  <r>
    <x v="53"/>
    <x v="26"/>
    <x v="49"/>
    <n v="53"/>
  </r>
  <r>
    <x v="53"/>
    <x v="26"/>
    <x v="50"/>
    <n v="53"/>
  </r>
  <r>
    <x v="53"/>
    <x v="26"/>
    <x v="51"/>
    <n v="53"/>
  </r>
  <r>
    <x v="53"/>
    <x v="26"/>
    <x v="52"/>
    <n v="53"/>
  </r>
  <r>
    <x v="53"/>
    <x v="26"/>
    <x v="53"/>
    <n v="53"/>
  </r>
  <r>
    <x v="53"/>
    <x v="26"/>
    <x v="54"/>
    <n v="53"/>
  </r>
  <r>
    <x v="53"/>
    <x v="26"/>
    <x v="55"/>
    <n v="53"/>
  </r>
  <r>
    <x v="53"/>
    <x v="26"/>
    <x v="56"/>
    <n v="53"/>
  </r>
  <r>
    <x v="53"/>
    <x v="26"/>
    <x v="57"/>
    <n v="53"/>
  </r>
  <r>
    <x v="53"/>
    <x v="26"/>
    <x v="58"/>
    <n v="53"/>
  </r>
  <r>
    <x v="53"/>
    <x v="26"/>
    <x v="59"/>
    <n v="53"/>
  </r>
  <r>
    <x v="53"/>
    <x v="26"/>
    <x v="60"/>
    <n v="53"/>
  </r>
  <r>
    <x v="53"/>
    <x v="26"/>
    <x v="61"/>
    <n v="53"/>
  </r>
  <r>
    <x v="53"/>
    <x v="26"/>
    <x v="62"/>
    <n v="53"/>
  </r>
  <r>
    <x v="53"/>
    <x v="26"/>
    <x v="63"/>
    <n v="53"/>
  </r>
  <r>
    <x v="53"/>
    <x v="26"/>
    <x v="64"/>
    <n v="53"/>
  </r>
  <r>
    <x v="53"/>
    <x v="26"/>
    <x v="65"/>
    <n v="53"/>
  </r>
  <r>
    <x v="53"/>
    <x v="26"/>
    <x v="66"/>
    <n v="53"/>
  </r>
  <r>
    <x v="53"/>
    <x v="26"/>
    <x v="67"/>
    <n v="53"/>
  </r>
  <r>
    <x v="53"/>
    <x v="26"/>
    <x v="68"/>
    <n v="53"/>
  </r>
  <r>
    <x v="53"/>
    <x v="26"/>
    <x v="69"/>
    <n v="53"/>
  </r>
  <r>
    <x v="53"/>
    <x v="26"/>
    <x v="70"/>
    <n v="53"/>
  </r>
  <r>
    <x v="53"/>
    <x v="26"/>
    <x v="71"/>
    <n v="53"/>
  </r>
  <r>
    <x v="53"/>
    <x v="26"/>
    <x v="72"/>
    <n v="53"/>
  </r>
  <r>
    <x v="54"/>
    <x v="26"/>
    <x v="0"/>
    <n v="78"/>
  </r>
  <r>
    <x v="54"/>
    <x v="26"/>
    <x v="1"/>
    <n v="77"/>
  </r>
  <r>
    <x v="54"/>
    <x v="26"/>
    <x v="2"/>
    <n v="61"/>
  </r>
  <r>
    <x v="54"/>
    <x v="26"/>
    <x v="3"/>
    <n v="32"/>
  </r>
  <r>
    <x v="54"/>
    <x v="26"/>
    <x v="4"/>
    <n v="32"/>
  </r>
  <r>
    <x v="54"/>
    <x v="26"/>
    <x v="5"/>
    <n v="33"/>
  </r>
  <r>
    <x v="54"/>
    <x v="26"/>
    <x v="6"/>
    <n v="42"/>
  </r>
  <r>
    <x v="54"/>
    <x v="26"/>
    <x v="7"/>
    <n v="43"/>
  </r>
  <r>
    <x v="54"/>
    <x v="26"/>
    <x v="8"/>
    <n v="48"/>
  </r>
  <r>
    <x v="54"/>
    <x v="26"/>
    <x v="9"/>
    <n v="50"/>
  </r>
  <r>
    <x v="54"/>
    <x v="26"/>
    <x v="10"/>
    <n v="49"/>
  </r>
  <r>
    <x v="54"/>
    <x v="26"/>
    <x v="11"/>
    <n v="53"/>
  </r>
  <r>
    <x v="54"/>
    <x v="26"/>
    <x v="12"/>
    <n v="77"/>
  </r>
  <r>
    <x v="54"/>
    <x v="26"/>
    <x v="13"/>
    <n v="81"/>
  </r>
  <r>
    <x v="54"/>
    <x v="26"/>
    <x v="14"/>
    <n v="79"/>
  </r>
  <r>
    <x v="54"/>
    <x v="26"/>
    <x v="15"/>
    <n v="78"/>
  </r>
  <r>
    <x v="54"/>
    <x v="26"/>
    <x v="16"/>
    <n v="83"/>
  </r>
  <r>
    <x v="54"/>
    <x v="26"/>
    <x v="17"/>
    <n v="85"/>
  </r>
  <r>
    <x v="54"/>
    <x v="26"/>
    <x v="18"/>
    <n v="84"/>
  </r>
  <r>
    <x v="54"/>
    <x v="26"/>
    <x v="19"/>
    <n v="87"/>
  </r>
  <r>
    <x v="54"/>
    <x v="26"/>
    <x v="20"/>
    <n v="91"/>
  </r>
  <r>
    <x v="54"/>
    <x v="26"/>
    <x v="21"/>
    <n v="70"/>
  </r>
  <r>
    <x v="54"/>
    <x v="26"/>
    <x v="22"/>
    <n v="70"/>
  </r>
  <r>
    <x v="54"/>
    <x v="26"/>
    <x v="23"/>
    <n v="69"/>
  </r>
  <r>
    <x v="54"/>
    <x v="26"/>
    <x v="24"/>
    <n v="68"/>
  </r>
  <r>
    <x v="54"/>
    <x v="26"/>
    <x v="25"/>
    <n v="69"/>
  </r>
  <r>
    <x v="54"/>
    <x v="26"/>
    <x v="26"/>
    <n v="69"/>
  </r>
  <r>
    <x v="54"/>
    <x v="26"/>
    <x v="27"/>
    <n v="68"/>
  </r>
  <r>
    <x v="54"/>
    <x v="26"/>
    <x v="28"/>
    <n v="53"/>
  </r>
  <r>
    <x v="54"/>
    <x v="26"/>
    <x v="29"/>
    <n v="53"/>
  </r>
  <r>
    <x v="54"/>
    <x v="26"/>
    <x v="30"/>
    <n v="53"/>
  </r>
  <r>
    <x v="54"/>
    <x v="26"/>
    <x v="31"/>
    <n v="53"/>
  </r>
  <r>
    <x v="54"/>
    <x v="26"/>
    <x v="32"/>
    <n v="53"/>
  </r>
  <r>
    <x v="54"/>
    <x v="26"/>
    <x v="33"/>
    <n v="53"/>
  </r>
  <r>
    <x v="54"/>
    <x v="26"/>
    <x v="34"/>
    <n v="53"/>
  </r>
  <r>
    <x v="54"/>
    <x v="26"/>
    <x v="35"/>
    <n v="53"/>
  </r>
  <r>
    <x v="54"/>
    <x v="26"/>
    <x v="36"/>
    <n v="53"/>
  </r>
  <r>
    <x v="54"/>
    <x v="26"/>
    <x v="37"/>
    <n v="53"/>
  </r>
  <r>
    <x v="54"/>
    <x v="26"/>
    <x v="38"/>
    <n v="53"/>
  </r>
  <r>
    <x v="54"/>
    <x v="26"/>
    <x v="39"/>
    <n v="53"/>
  </r>
  <r>
    <x v="54"/>
    <x v="26"/>
    <x v="40"/>
    <n v="53"/>
  </r>
  <r>
    <x v="54"/>
    <x v="26"/>
    <x v="41"/>
    <n v="53"/>
  </r>
  <r>
    <x v="54"/>
    <x v="26"/>
    <x v="42"/>
    <n v="53"/>
  </r>
  <r>
    <x v="54"/>
    <x v="26"/>
    <x v="43"/>
    <n v="53"/>
  </r>
  <r>
    <x v="54"/>
    <x v="26"/>
    <x v="44"/>
    <n v="53"/>
  </r>
  <r>
    <x v="54"/>
    <x v="26"/>
    <x v="45"/>
    <n v="53"/>
  </r>
  <r>
    <x v="54"/>
    <x v="26"/>
    <x v="46"/>
    <n v="53"/>
  </r>
  <r>
    <x v="54"/>
    <x v="26"/>
    <x v="47"/>
    <n v="53"/>
  </r>
  <r>
    <x v="54"/>
    <x v="26"/>
    <x v="48"/>
    <n v="53"/>
  </r>
  <r>
    <x v="54"/>
    <x v="26"/>
    <x v="49"/>
    <n v="53"/>
  </r>
  <r>
    <x v="54"/>
    <x v="26"/>
    <x v="50"/>
    <n v="53"/>
  </r>
  <r>
    <x v="54"/>
    <x v="26"/>
    <x v="51"/>
    <n v="53"/>
  </r>
  <r>
    <x v="54"/>
    <x v="26"/>
    <x v="52"/>
    <n v="53"/>
  </r>
  <r>
    <x v="54"/>
    <x v="26"/>
    <x v="53"/>
    <n v="53"/>
  </r>
  <r>
    <x v="54"/>
    <x v="26"/>
    <x v="54"/>
    <n v="53"/>
  </r>
  <r>
    <x v="54"/>
    <x v="26"/>
    <x v="55"/>
    <n v="53"/>
  </r>
  <r>
    <x v="54"/>
    <x v="26"/>
    <x v="56"/>
    <n v="53"/>
  </r>
  <r>
    <x v="54"/>
    <x v="26"/>
    <x v="57"/>
    <n v="53"/>
  </r>
  <r>
    <x v="54"/>
    <x v="26"/>
    <x v="58"/>
    <n v="53"/>
  </r>
  <r>
    <x v="54"/>
    <x v="26"/>
    <x v="59"/>
    <n v="53"/>
  </r>
  <r>
    <x v="54"/>
    <x v="26"/>
    <x v="60"/>
    <n v="53"/>
  </r>
  <r>
    <x v="54"/>
    <x v="26"/>
    <x v="61"/>
    <n v="53"/>
  </r>
  <r>
    <x v="54"/>
    <x v="26"/>
    <x v="62"/>
    <n v="53"/>
  </r>
  <r>
    <x v="54"/>
    <x v="26"/>
    <x v="63"/>
    <n v="53"/>
  </r>
  <r>
    <x v="54"/>
    <x v="26"/>
    <x v="64"/>
    <n v="53"/>
  </r>
  <r>
    <x v="54"/>
    <x v="26"/>
    <x v="65"/>
    <n v="53"/>
  </r>
  <r>
    <x v="54"/>
    <x v="26"/>
    <x v="66"/>
    <n v="53"/>
  </r>
  <r>
    <x v="54"/>
    <x v="26"/>
    <x v="67"/>
    <n v="53"/>
  </r>
  <r>
    <x v="54"/>
    <x v="26"/>
    <x v="68"/>
    <n v="53"/>
  </r>
  <r>
    <x v="54"/>
    <x v="26"/>
    <x v="69"/>
    <n v="53"/>
  </r>
  <r>
    <x v="54"/>
    <x v="26"/>
    <x v="70"/>
    <n v="53"/>
  </r>
  <r>
    <x v="54"/>
    <x v="26"/>
    <x v="71"/>
    <n v="53"/>
  </r>
  <r>
    <x v="54"/>
    <x v="26"/>
    <x v="72"/>
    <n v="53"/>
  </r>
  <r>
    <x v="55"/>
    <x v="27"/>
    <x v="0"/>
    <n v="78"/>
  </r>
  <r>
    <x v="55"/>
    <x v="27"/>
    <x v="1"/>
    <n v="77"/>
  </r>
  <r>
    <x v="55"/>
    <x v="27"/>
    <x v="2"/>
    <n v="61"/>
  </r>
  <r>
    <x v="55"/>
    <x v="27"/>
    <x v="3"/>
    <n v="83"/>
  </r>
  <r>
    <x v="55"/>
    <x v="27"/>
    <x v="4"/>
    <n v="77"/>
  </r>
  <r>
    <x v="55"/>
    <x v="27"/>
    <x v="5"/>
    <n v="75"/>
  </r>
  <r>
    <x v="55"/>
    <x v="27"/>
    <x v="6"/>
    <n v="81"/>
  </r>
  <r>
    <x v="55"/>
    <x v="27"/>
    <x v="7"/>
    <n v="83"/>
  </r>
  <r>
    <x v="55"/>
    <x v="27"/>
    <x v="8"/>
    <n v="82"/>
  </r>
  <r>
    <x v="55"/>
    <x v="27"/>
    <x v="9"/>
    <n v="79"/>
  </r>
  <r>
    <x v="55"/>
    <x v="27"/>
    <x v="10"/>
    <n v="75"/>
  </r>
  <r>
    <x v="55"/>
    <x v="27"/>
    <x v="11"/>
    <n v="48"/>
  </r>
  <r>
    <x v="55"/>
    <x v="27"/>
    <x v="12"/>
    <n v="43"/>
  </r>
  <r>
    <x v="55"/>
    <x v="27"/>
    <x v="13"/>
    <n v="52"/>
  </r>
  <r>
    <x v="55"/>
    <x v="27"/>
    <x v="14"/>
    <n v="51"/>
  </r>
  <r>
    <x v="55"/>
    <x v="27"/>
    <x v="15"/>
    <n v="65"/>
  </r>
  <r>
    <x v="55"/>
    <x v="27"/>
    <x v="16"/>
    <n v="46"/>
  </r>
  <r>
    <x v="55"/>
    <x v="27"/>
    <x v="17"/>
    <n v="24"/>
  </r>
  <r>
    <x v="55"/>
    <x v="27"/>
    <x v="18"/>
    <n v="49"/>
  </r>
  <r>
    <x v="55"/>
    <x v="27"/>
    <x v="19"/>
    <n v="52"/>
  </r>
  <r>
    <x v="55"/>
    <x v="27"/>
    <x v="20"/>
    <n v="51"/>
  </r>
  <r>
    <x v="55"/>
    <x v="27"/>
    <x v="21"/>
    <n v="56"/>
  </r>
  <r>
    <x v="55"/>
    <x v="27"/>
    <x v="22"/>
    <n v="74"/>
  </r>
  <r>
    <x v="55"/>
    <x v="27"/>
    <x v="23"/>
    <n v="57"/>
  </r>
  <r>
    <x v="55"/>
    <x v="27"/>
    <x v="24"/>
    <n v="45"/>
  </r>
  <r>
    <x v="55"/>
    <x v="27"/>
    <x v="25"/>
    <n v="47"/>
  </r>
  <r>
    <x v="55"/>
    <x v="27"/>
    <x v="26"/>
    <n v="47"/>
  </r>
  <r>
    <x v="55"/>
    <x v="27"/>
    <x v="27"/>
    <n v="42"/>
  </r>
  <r>
    <x v="55"/>
    <x v="27"/>
    <x v="28"/>
    <n v="56"/>
  </r>
  <r>
    <x v="55"/>
    <x v="27"/>
    <x v="29"/>
    <n v="56"/>
  </r>
  <r>
    <x v="55"/>
    <x v="27"/>
    <x v="30"/>
    <n v="56"/>
  </r>
  <r>
    <x v="55"/>
    <x v="27"/>
    <x v="31"/>
    <n v="56"/>
  </r>
  <r>
    <x v="55"/>
    <x v="27"/>
    <x v="32"/>
    <n v="56"/>
  </r>
  <r>
    <x v="55"/>
    <x v="27"/>
    <x v="33"/>
    <n v="56"/>
  </r>
  <r>
    <x v="55"/>
    <x v="27"/>
    <x v="34"/>
    <n v="56"/>
  </r>
  <r>
    <x v="55"/>
    <x v="27"/>
    <x v="35"/>
    <n v="56"/>
  </r>
  <r>
    <x v="55"/>
    <x v="27"/>
    <x v="36"/>
    <n v="56"/>
  </r>
  <r>
    <x v="55"/>
    <x v="27"/>
    <x v="37"/>
    <n v="56"/>
  </r>
  <r>
    <x v="55"/>
    <x v="27"/>
    <x v="38"/>
    <n v="56"/>
  </r>
  <r>
    <x v="55"/>
    <x v="27"/>
    <x v="39"/>
    <n v="56"/>
  </r>
  <r>
    <x v="55"/>
    <x v="27"/>
    <x v="40"/>
    <n v="56"/>
  </r>
  <r>
    <x v="55"/>
    <x v="27"/>
    <x v="41"/>
    <n v="56"/>
  </r>
  <r>
    <x v="55"/>
    <x v="27"/>
    <x v="42"/>
    <n v="56"/>
  </r>
  <r>
    <x v="55"/>
    <x v="27"/>
    <x v="43"/>
    <n v="56"/>
  </r>
  <r>
    <x v="55"/>
    <x v="27"/>
    <x v="44"/>
    <n v="56"/>
  </r>
  <r>
    <x v="55"/>
    <x v="27"/>
    <x v="45"/>
    <n v="56"/>
  </r>
  <r>
    <x v="55"/>
    <x v="27"/>
    <x v="46"/>
    <n v="56"/>
  </r>
  <r>
    <x v="55"/>
    <x v="27"/>
    <x v="47"/>
    <n v="56"/>
  </r>
  <r>
    <x v="55"/>
    <x v="27"/>
    <x v="48"/>
    <n v="56"/>
  </r>
  <r>
    <x v="55"/>
    <x v="27"/>
    <x v="49"/>
    <n v="56"/>
  </r>
  <r>
    <x v="55"/>
    <x v="27"/>
    <x v="50"/>
    <n v="56"/>
  </r>
  <r>
    <x v="55"/>
    <x v="27"/>
    <x v="51"/>
    <n v="56"/>
  </r>
  <r>
    <x v="55"/>
    <x v="27"/>
    <x v="52"/>
    <n v="56"/>
  </r>
  <r>
    <x v="55"/>
    <x v="27"/>
    <x v="53"/>
    <n v="56"/>
  </r>
  <r>
    <x v="55"/>
    <x v="27"/>
    <x v="54"/>
    <n v="56"/>
  </r>
  <r>
    <x v="55"/>
    <x v="27"/>
    <x v="55"/>
    <n v="56"/>
  </r>
  <r>
    <x v="55"/>
    <x v="27"/>
    <x v="56"/>
    <n v="56"/>
  </r>
  <r>
    <x v="55"/>
    <x v="27"/>
    <x v="57"/>
    <n v="56"/>
  </r>
  <r>
    <x v="55"/>
    <x v="27"/>
    <x v="58"/>
    <n v="56"/>
  </r>
  <r>
    <x v="55"/>
    <x v="27"/>
    <x v="59"/>
    <n v="56"/>
  </r>
  <r>
    <x v="55"/>
    <x v="27"/>
    <x v="60"/>
    <n v="56"/>
  </r>
  <r>
    <x v="55"/>
    <x v="27"/>
    <x v="61"/>
    <n v="56"/>
  </r>
  <r>
    <x v="55"/>
    <x v="27"/>
    <x v="62"/>
    <n v="56"/>
  </r>
  <r>
    <x v="55"/>
    <x v="27"/>
    <x v="63"/>
    <n v="56"/>
  </r>
  <r>
    <x v="55"/>
    <x v="27"/>
    <x v="64"/>
    <n v="56"/>
  </r>
  <r>
    <x v="55"/>
    <x v="27"/>
    <x v="65"/>
    <n v="56"/>
  </r>
  <r>
    <x v="55"/>
    <x v="27"/>
    <x v="66"/>
    <n v="56"/>
  </r>
  <r>
    <x v="55"/>
    <x v="27"/>
    <x v="67"/>
    <n v="56"/>
  </r>
  <r>
    <x v="55"/>
    <x v="27"/>
    <x v="68"/>
    <n v="56"/>
  </r>
  <r>
    <x v="55"/>
    <x v="27"/>
    <x v="69"/>
    <n v="56"/>
  </r>
  <r>
    <x v="55"/>
    <x v="27"/>
    <x v="70"/>
    <n v="56"/>
  </r>
  <r>
    <x v="55"/>
    <x v="27"/>
    <x v="71"/>
    <n v="56"/>
  </r>
  <r>
    <x v="55"/>
    <x v="27"/>
    <x v="72"/>
    <n v="56"/>
  </r>
  <r>
    <x v="56"/>
    <x v="27"/>
    <x v="0"/>
    <n v="1"/>
  </r>
  <r>
    <x v="56"/>
    <x v="27"/>
    <x v="1"/>
    <n v="1"/>
  </r>
  <r>
    <x v="56"/>
    <x v="27"/>
    <x v="2"/>
    <n v="61"/>
  </r>
  <r>
    <x v="56"/>
    <x v="27"/>
    <x v="3"/>
    <n v="83"/>
  </r>
  <r>
    <x v="56"/>
    <x v="27"/>
    <x v="4"/>
    <n v="85"/>
  </r>
  <r>
    <x v="56"/>
    <x v="27"/>
    <x v="5"/>
    <n v="84"/>
  </r>
  <r>
    <x v="56"/>
    <x v="27"/>
    <x v="6"/>
    <n v="90"/>
  </r>
  <r>
    <x v="56"/>
    <x v="27"/>
    <x v="7"/>
    <n v="94"/>
  </r>
  <r>
    <x v="56"/>
    <x v="27"/>
    <x v="8"/>
    <n v="77"/>
  </r>
  <r>
    <x v="56"/>
    <x v="27"/>
    <x v="9"/>
    <n v="79"/>
  </r>
  <r>
    <x v="56"/>
    <x v="27"/>
    <x v="10"/>
    <n v="75"/>
  </r>
  <r>
    <x v="56"/>
    <x v="27"/>
    <x v="11"/>
    <n v="76"/>
  </r>
  <r>
    <x v="56"/>
    <x v="27"/>
    <x v="12"/>
    <n v="90"/>
  </r>
  <r>
    <x v="56"/>
    <x v="27"/>
    <x v="13"/>
    <n v="92"/>
  </r>
  <r>
    <x v="56"/>
    <x v="27"/>
    <x v="14"/>
    <n v="92"/>
  </r>
  <r>
    <x v="56"/>
    <x v="27"/>
    <x v="15"/>
    <n v="108"/>
  </r>
  <r>
    <x v="56"/>
    <x v="27"/>
    <x v="16"/>
    <n v="97"/>
  </r>
  <r>
    <x v="56"/>
    <x v="27"/>
    <x v="17"/>
    <n v="99"/>
  </r>
  <r>
    <x v="56"/>
    <x v="27"/>
    <x v="18"/>
    <n v="76"/>
  </r>
  <r>
    <x v="56"/>
    <x v="27"/>
    <x v="19"/>
    <n v="76"/>
  </r>
  <r>
    <x v="56"/>
    <x v="27"/>
    <x v="20"/>
    <n v="76"/>
  </r>
  <r>
    <x v="56"/>
    <x v="27"/>
    <x v="21"/>
    <n v="70"/>
  </r>
  <r>
    <x v="56"/>
    <x v="27"/>
    <x v="22"/>
    <n v="60"/>
  </r>
  <r>
    <x v="56"/>
    <x v="27"/>
    <x v="23"/>
    <n v="40"/>
  </r>
  <r>
    <x v="56"/>
    <x v="27"/>
    <x v="24"/>
    <n v="58"/>
  </r>
  <r>
    <x v="56"/>
    <x v="27"/>
    <x v="25"/>
    <n v="59"/>
  </r>
  <r>
    <x v="56"/>
    <x v="27"/>
    <x v="26"/>
    <n v="59"/>
  </r>
  <r>
    <x v="56"/>
    <x v="27"/>
    <x v="27"/>
    <n v="58"/>
  </r>
  <r>
    <x v="56"/>
    <x v="27"/>
    <x v="28"/>
    <n v="56"/>
  </r>
  <r>
    <x v="56"/>
    <x v="27"/>
    <x v="29"/>
    <n v="56"/>
  </r>
  <r>
    <x v="56"/>
    <x v="27"/>
    <x v="30"/>
    <n v="56"/>
  </r>
  <r>
    <x v="56"/>
    <x v="27"/>
    <x v="31"/>
    <n v="56"/>
  </r>
  <r>
    <x v="56"/>
    <x v="27"/>
    <x v="32"/>
    <n v="56"/>
  </r>
  <r>
    <x v="56"/>
    <x v="27"/>
    <x v="33"/>
    <n v="56"/>
  </r>
  <r>
    <x v="56"/>
    <x v="27"/>
    <x v="34"/>
    <n v="56"/>
  </r>
  <r>
    <x v="56"/>
    <x v="27"/>
    <x v="35"/>
    <n v="56"/>
  </r>
  <r>
    <x v="56"/>
    <x v="27"/>
    <x v="36"/>
    <n v="56"/>
  </r>
  <r>
    <x v="56"/>
    <x v="27"/>
    <x v="37"/>
    <n v="56"/>
  </r>
  <r>
    <x v="56"/>
    <x v="27"/>
    <x v="38"/>
    <n v="56"/>
  </r>
  <r>
    <x v="56"/>
    <x v="27"/>
    <x v="39"/>
    <n v="56"/>
  </r>
  <r>
    <x v="56"/>
    <x v="27"/>
    <x v="40"/>
    <n v="56"/>
  </r>
  <r>
    <x v="56"/>
    <x v="27"/>
    <x v="41"/>
    <n v="56"/>
  </r>
  <r>
    <x v="56"/>
    <x v="27"/>
    <x v="42"/>
    <n v="56"/>
  </r>
  <r>
    <x v="56"/>
    <x v="27"/>
    <x v="43"/>
    <n v="56"/>
  </r>
  <r>
    <x v="56"/>
    <x v="27"/>
    <x v="44"/>
    <n v="56"/>
  </r>
  <r>
    <x v="56"/>
    <x v="27"/>
    <x v="45"/>
    <n v="56"/>
  </r>
  <r>
    <x v="56"/>
    <x v="27"/>
    <x v="46"/>
    <n v="56"/>
  </r>
  <r>
    <x v="56"/>
    <x v="27"/>
    <x v="47"/>
    <n v="56"/>
  </r>
  <r>
    <x v="56"/>
    <x v="27"/>
    <x v="48"/>
    <n v="56"/>
  </r>
  <r>
    <x v="56"/>
    <x v="27"/>
    <x v="49"/>
    <n v="56"/>
  </r>
  <r>
    <x v="56"/>
    <x v="27"/>
    <x v="50"/>
    <n v="56"/>
  </r>
  <r>
    <x v="56"/>
    <x v="27"/>
    <x v="51"/>
    <n v="56"/>
  </r>
  <r>
    <x v="56"/>
    <x v="27"/>
    <x v="52"/>
    <n v="56"/>
  </r>
  <r>
    <x v="56"/>
    <x v="27"/>
    <x v="53"/>
    <n v="56"/>
  </r>
  <r>
    <x v="56"/>
    <x v="27"/>
    <x v="54"/>
    <n v="56"/>
  </r>
  <r>
    <x v="56"/>
    <x v="27"/>
    <x v="55"/>
    <n v="56"/>
  </r>
  <r>
    <x v="56"/>
    <x v="27"/>
    <x v="56"/>
    <n v="56"/>
  </r>
  <r>
    <x v="56"/>
    <x v="27"/>
    <x v="57"/>
    <n v="56"/>
  </r>
  <r>
    <x v="56"/>
    <x v="27"/>
    <x v="58"/>
    <n v="56"/>
  </r>
  <r>
    <x v="56"/>
    <x v="27"/>
    <x v="59"/>
    <n v="56"/>
  </r>
  <r>
    <x v="56"/>
    <x v="27"/>
    <x v="60"/>
    <n v="56"/>
  </r>
  <r>
    <x v="56"/>
    <x v="27"/>
    <x v="61"/>
    <n v="56"/>
  </r>
  <r>
    <x v="56"/>
    <x v="27"/>
    <x v="62"/>
    <n v="56"/>
  </r>
  <r>
    <x v="56"/>
    <x v="27"/>
    <x v="63"/>
    <n v="56"/>
  </r>
  <r>
    <x v="56"/>
    <x v="27"/>
    <x v="64"/>
    <n v="56"/>
  </r>
  <r>
    <x v="56"/>
    <x v="27"/>
    <x v="65"/>
    <n v="56"/>
  </r>
  <r>
    <x v="56"/>
    <x v="27"/>
    <x v="66"/>
    <n v="56"/>
  </r>
  <r>
    <x v="56"/>
    <x v="27"/>
    <x v="67"/>
    <n v="56"/>
  </r>
  <r>
    <x v="56"/>
    <x v="27"/>
    <x v="68"/>
    <n v="56"/>
  </r>
  <r>
    <x v="56"/>
    <x v="27"/>
    <x v="69"/>
    <n v="56"/>
  </r>
  <r>
    <x v="56"/>
    <x v="27"/>
    <x v="70"/>
    <n v="56"/>
  </r>
  <r>
    <x v="56"/>
    <x v="27"/>
    <x v="71"/>
    <n v="56"/>
  </r>
  <r>
    <x v="56"/>
    <x v="27"/>
    <x v="72"/>
    <n v="56"/>
  </r>
  <r>
    <x v="57"/>
    <x v="28"/>
    <x v="0"/>
    <n v="78"/>
  </r>
  <r>
    <x v="57"/>
    <x v="28"/>
    <x v="1"/>
    <n v="77"/>
  </r>
  <r>
    <x v="57"/>
    <x v="28"/>
    <x v="2"/>
    <n v="82"/>
  </r>
  <r>
    <x v="57"/>
    <x v="28"/>
    <x v="3"/>
    <n v="89"/>
  </r>
  <r>
    <x v="57"/>
    <x v="28"/>
    <x v="4"/>
    <n v="89"/>
  </r>
  <r>
    <x v="57"/>
    <x v="28"/>
    <x v="5"/>
    <n v="88"/>
  </r>
  <r>
    <x v="57"/>
    <x v="28"/>
    <x v="6"/>
    <n v="93"/>
  </r>
  <r>
    <x v="57"/>
    <x v="28"/>
    <x v="7"/>
    <n v="86"/>
  </r>
  <r>
    <x v="57"/>
    <x v="28"/>
    <x v="8"/>
    <n v="85"/>
  </r>
  <r>
    <x v="57"/>
    <x v="28"/>
    <x v="9"/>
    <n v="86"/>
  </r>
  <r>
    <x v="57"/>
    <x v="28"/>
    <x v="10"/>
    <n v="82"/>
  </r>
  <r>
    <x v="57"/>
    <x v="28"/>
    <x v="11"/>
    <n v="85"/>
  </r>
  <r>
    <x v="57"/>
    <x v="28"/>
    <x v="12"/>
    <n v="59"/>
  </r>
  <r>
    <x v="57"/>
    <x v="28"/>
    <x v="13"/>
    <n v="45"/>
  </r>
  <r>
    <x v="57"/>
    <x v="28"/>
    <x v="14"/>
    <n v="45"/>
  </r>
  <r>
    <x v="57"/>
    <x v="28"/>
    <x v="15"/>
    <n v="36"/>
  </r>
  <r>
    <x v="57"/>
    <x v="28"/>
    <x v="16"/>
    <n v="18"/>
  </r>
  <r>
    <x v="57"/>
    <x v="28"/>
    <x v="17"/>
    <n v="24"/>
  </r>
  <r>
    <x v="57"/>
    <x v="28"/>
    <x v="18"/>
    <n v="26"/>
  </r>
  <r>
    <x v="57"/>
    <x v="28"/>
    <x v="19"/>
    <n v="34"/>
  </r>
  <r>
    <x v="57"/>
    <x v="28"/>
    <x v="20"/>
    <n v="36"/>
  </r>
  <r>
    <x v="57"/>
    <x v="28"/>
    <x v="21"/>
    <n v="52"/>
  </r>
  <r>
    <x v="57"/>
    <x v="28"/>
    <x v="22"/>
    <n v="39"/>
  </r>
  <r>
    <x v="57"/>
    <x v="28"/>
    <x v="23"/>
    <n v="49"/>
  </r>
  <r>
    <x v="57"/>
    <x v="28"/>
    <x v="24"/>
    <n v="49"/>
  </r>
  <r>
    <x v="57"/>
    <x v="28"/>
    <x v="25"/>
    <n v="39"/>
  </r>
  <r>
    <x v="57"/>
    <x v="28"/>
    <x v="26"/>
    <n v="39"/>
  </r>
  <r>
    <x v="57"/>
    <x v="28"/>
    <x v="27"/>
    <n v="49"/>
  </r>
  <r>
    <x v="57"/>
    <x v="28"/>
    <x v="28"/>
    <n v="58"/>
  </r>
  <r>
    <x v="57"/>
    <x v="28"/>
    <x v="29"/>
    <n v="58"/>
  </r>
  <r>
    <x v="57"/>
    <x v="28"/>
    <x v="30"/>
    <n v="58"/>
  </r>
  <r>
    <x v="57"/>
    <x v="28"/>
    <x v="31"/>
    <n v="58"/>
  </r>
  <r>
    <x v="57"/>
    <x v="28"/>
    <x v="32"/>
    <n v="58"/>
  </r>
  <r>
    <x v="57"/>
    <x v="28"/>
    <x v="33"/>
    <n v="58"/>
  </r>
  <r>
    <x v="57"/>
    <x v="28"/>
    <x v="34"/>
    <n v="58"/>
  </r>
  <r>
    <x v="57"/>
    <x v="28"/>
    <x v="35"/>
    <n v="58"/>
  </r>
  <r>
    <x v="57"/>
    <x v="28"/>
    <x v="36"/>
    <n v="58"/>
  </r>
  <r>
    <x v="57"/>
    <x v="28"/>
    <x v="37"/>
    <n v="58"/>
  </r>
  <r>
    <x v="57"/>
    <x v="28"/>
    <x v="38"/>
    <n v="58"/>
  </r>
  <r>
    <x v="57"/>
    <x v="28"/>
    <x v="39"/>
    <n v="58"/>
  </r>
  <r>
    <x v="57"/>
    <x v="28"/>
    <x v="40"/>
    <n v="58"/>
  </r>
  <r>
    <x v="57"/>
    <x v="28"/>
    <x v="41"/>
    <n v="58"/>
  </r>
  <r>
    <x v="57"/>
    <x v="28"/>
    <x v="42"/>
    <n v="58"/>
  </r>
  <r>
    <x v="57"/>
    <x v="28"/>
    <x v="43"/>
    <n v="58"/>
  </r>
  <r>
    <x v="57"/>
    <x v="28"/>
    <x v="44"/>
    <n v="58"/>
  </r>
  <r>
    <x v="57"/>
    <x v="28"/>
    <x v="45"/>
    <n v="58"/>
  </r>
  <r>
    <x v="57"/>
    <x v="28"/>
    <x v="46"/>
    <n v="58"/>
  </r>
  <r>
    <x v="57"/>
    <x v="28"/>
    <x v="47"/>
    <n v="58"/>
  </r>
  <r>
    <x v="57"/>
    <x v="28"/>
    <x v="48"/>
    <n v="58"/>
  </r>
  <r>
    <x v="57"/>
    <x v="28"/>
    <x v="49"/>
    <n v="58"/>
  </r>
  <r>
    <x v="57"/>
    <x v="28"/>
    <x v="50"/>
    <n v="58"/>
  </r>
  <r>
    <x v="57"/>
    <x v="28"/>
    <x v="51"/>
    <n v="58"/>
  </r>
  <r>
    <x v="57"/>
    <x v="28"/>
    <x v="52"/>
    <n v="58"/>
  </r>
  <r>
    <x v="57"/>
    <x v="28"/>
    <x v="53"/>
    <n v="58"/>
  </r>
  <r>
    <x v="57"/>
    <x v="28"/>
    <x v="54"/>
    <n v="58"/>
  </r>
  <r>
    <x v="57"/>
    <x v="28"/>
    <x v="55"/>
    <n v="58"/>
  </r>
  <r>
    <x v="57"/>
    <x v="28"/>
    <x v="56"/>
    <n v="58"/>
  </r>
  <r>
    <x v="57"/>
    <x v="28"/>
    <x v="57"/>
    <n v="58"/>
  </r>
  <r>
    <x v="57"/>
    <x v="28"/>
    <x v="58"/>
    <n v="58"/>
  </r>
  <r>
    <x v="57"/>
    <x v="28"/>
    <x v="59"/>
    <n v="58"/>
  </r>
  <r>
    <x v="57"/>
    <x v="28"/>
    <x v="60"/>
    <n v="58"/>
  </r>
  <r>
    <x v="57"/>
    <x v="28"/>
    <x v="61"/>
    <n v="58"/>
  </r>
  <r>
    <x v="57"/>
    <x v="28"/>
    <x v="62"/>
    <n v="58"/>
  </r>
  <r>
    <x v="57"/>
    <x v="28"/>
    <x v="63"/>
    <n v="58"/>
  </r>
  <r>
    <x v="57"/>
    <x v="28"/>
    <x v="64"/>
    <n v="58"/>
  </r>
  <r>
    <x v="57"/>
    <x v="28"/>
    <x v="65"/>
    <n v="58"/>
  </r>
  <r>
    <x v="57"/>
    <x v="28"/>
    <x v="66"/>
    <n v="58"/>
  </r>
  <r>
    <x v="57"/>
    <x v="28"/>
    <x v="67"/>
    <n v="58"/>
  </r>
  <r>
    <x v="57"/>
    <x v="28"/>
    <x v="68"/>
    <n v="58"/>
  </r>
  <r>
    <x v="57"/>
    <x v="28"/>
    <x v="69"/>
    <n v="58"/>
  </r>
  <r>
    <x v="57"/>
    <x v="28"/>
    <x v="70"/>
    <n v="58"/>
  </r>
  <r>
    <x v="57"/>
    <x v="28"/>
    <x v="71"/>
    <n v="58"/>
  </r>
  <r>
    <x v="57"/>
    <x v="28"/>
    <x v="72"/>
    <n v="58"/>
  </r>
  <r>
    <x v="58"/>
    <x v="28"/>
    <x v="0"/>
    <n v="13"/>
  </r>
  <r>
    <x v="58"/>
    <x v="28"/>
    <x v="1"/>
    <n v="14"/>
  </r>
  <r>
    <x v="58"/>
    <x v="28"/>
    <x v="2"/>
    <n v="3"/>
  </r>
  <r>
    <x v="58"/>
    <x v="28"/>
    <x v="3"/>
    <n v="38"/>
  </r>
  <r>
    <x v="58"/>
    <x v="28"/>
    <x v="4"/>
    <n v="39"/>
  </r>
  <r>
    <x v="58"/>
    <x v="28"/>
    <x v="5"/>
    <n v="41"/>
  </r>
  <r>
    <x v="58"/>
    <x v="28"/>
    <x v="6"/>
    <n v="27"/>
  </r>
  <r>
    <x v="58"/>
    <x v="28"/>
    <x v="7"/>
    <n v="27"/>
  </r>
  <r>
    <x v="58"/>
    <x v="28"/>
    <x v="8"/>
    <n v="27"/>
  </r>
  <r>
    <x v="58"/>
    <x v="28"/>
    <x v="9"/>
    <n v="25"/>
  </r>
  <r>
    <x v="58"/>
    <x v="28"/>
    <x v="10"/>
    <n v="23"/>
  </r>
  <r>
    <x v="58"/>
    <x v="28"/>
    <x v="11"/>
    <n v="22"/>
  </r>
  <r>
    <x v="58"/>
    <x v="28"/>
    <x v="12"/>
    <n v="26"/>
  </r>
  <r>
    <x v="58"/>
    <x v="28"/>
    <x v="13"/>
    <n v="27"/>
  </r>
  <r>
    <x v="58"/>
    <x v="28"/>
    <x v="14"/>
    <n v="24"/>
  </r>
  <r>
    <x v="58"/>
    <x v="28"/>
    <x v="15"/>
    <n v="27"/>
  </r>
  <r>
    <x v="58"/>
    <x v="28"/>
    <x v="16"/>
    <n v="32"/>
  </r>
  <r>
    <x v="58"/>
    <x v="28"/>
    <x v="17"/>
    <n v="37"/>
  </r>
  <r>
    <x v="58"/>
    <x v="28"/>
    <x v="18"/>
    <n v="42"/>
  </r>
  <r>
    <x v="58"/>
    <x v="28"/>
    <x v="19"/>
    <n v="41"/>
  </r>
  <r>
    <x v="58"/>
    <x v="28"/>
    <x v="20"/>
    <n v="36"/>
  </r>
  <r>
    <x v="58"/>
    <x v="28"/>
    <x v="21"/>
    <n v="40"/>
  </r>
  <r>
    <x v="58"/>
    <x v="28"/>
    <x v="22"/>
    <n v="47"/>
  </r>
  <r>
    <x v="58"/>
    <x v="28"/>
    <x v="23"/>
    <n v="61"/>
  </r>
  <r>
    <x v="58"/>
    <x v="28"/>
    <x v="24"/>
    <n v="49"/>
  </r>
  <r>
    <x v="58"/>
    <x v="28"/>
    <x v="25"/>
    <n v="50"/>
  </r>
  <r>
    <x v="58"/>
    <x v="28"/>
    <x v="26"/>
    <n v="51"/>
  </r>
  <r>
    <x v="58"/>
    <x v="28"/>
    <x v="27"/>
    <n v="49"/>
  </r>
  <r>
    <x v="58"/>
    <x v="28"/>
    <x v="28"/>
    <n v="58"/>
  </r>
  <r>
    <x v="58"/>
    <x v="28"/>
    <x v="29"/>
    <n v="58"/>
  </r>
  <r>
    <x v="58"/>
    <x v="28"/>
    <x v="30"/>
    <n v="58"/>
  </r>
  <r>
    <x v="58"/>
    <x v="28"/>
    <x v="31"/>
    <n v="58"/>
  </r>
  <r>
    <x v="58"/>
    <x v="28"/>
    <x v="32"/>
    <n v="58"/>
  </r>
  <r>
    <x v="58"/>
    <x v="28"/>
    <x v="33"/>
    <n v="58"/>
  </r>
  <r>
    <x v="58"/>
    <x v="28"/>
    <x v="34"/>
    <n v="58"/>
  </r>
  <r>
    <x v="58"/>
    <x v="28"/>
    <x v="35"/>
    <n v="58"/>
  </r>
  <r>
    <x v="58"/>
    <x v="28"/>
    <x v="36"/>
    <n v="58"/>
  </r>
  <r>
    <x v="58"/>
    <x v="28"/>
    <x v="37"/>
    <n v="58"/>
  </r>
  <r>
    <x v="58"/>
    <x v="28"/>
    <x v="38"/>
    <n v="58"/>
  </r>
  <r>
    <x v="58"/>
    <x v="28"/>
    <x v="39"/>
    <n v="58"/>
  </r>
  <r>
    <x v="58"/>
    <x v="28"/>
    <x v="40"/>
    <n v="58"/>
  </r>
  <r>
    <x v="58"/>
    <x v="28"/>
    <x v="41"/>
    <n v="58"/>
  </r>
  <r>
    <x v="58"/>
    <x v="28"/>
    <x v="42"/>
    <n v="58"/>
  </r>
  <r>
    <x v="58"/>
    <x v="28"/>
    <x v="43"/>
    <n v="58"/>
  </r>
  <r>
    <x v="58"/>
    <x v="28"/>
    <x v="44"/>
    <n v="58"/>
  </r>
  <r>
    <x v="58"/>
    <x v="28"/>
    <x v="45"/>
    <n v="58"/>
  </r>
  <r>
    <x v="58"/>
    <x v="28"/>
    <x v="46"/>
    <n v="58"/>
  </r>
  <r>
    <x v="58"/>
    <x v="28"/>
    <x v="47"/>
    <n v="58"/>
  </r>
  <r>
    <x v="58"/>
    <x v="28"/>
    <x v="48"/>
    <n v="58"/>
  </r>
  <r>
    <x v="58"/>
    <x v="28"/>
    <x v="49"/>
    <n v="58"/>
  </r>
  <r>
    <x v="58"/>
    <x v="28"/>
    <x v="50"/>
    <n v="58"/>
  </r>
  <r>
    <x v="58"/>
    <x v="28"/>
    <x v="51"/>
    <n v="58"/>
  </r>
  <r>
    <x v="58"/>
    <x v="28"/>
    <x v="52"/>
    <n v="58"/>
  </r>
  <r>
    <x v="58"/>
    <x v="28"/>
    <x v="53"/>
    <n v="58"/>
  </r>
  <r>
    <x v="58"/>
    <x v="28"/>
    <x v="54"/>
    <n v="58"/>
  </r>
  <r>
    <x v="58"/>
    <x v="28"/>
    <x v="55"/>
    <n v="58"/>
  </r>
  <r>
    <x v="58"/>
    <x v="28"/>
    <x v="56"/>
    <n v="58"/>
  </r>
  <r>
    <x v="58"/>
    <x v="28"/>
    <x v="57"/>
    <n v="58"/>
  </r>
  <r>
    <x v="58"/>
    <x v="28"/>
    <x v="58"/>
    <n v="58"/>
  </r>
  <r>
    <x v="58"/>
    <x v="28"/>
    <x v="59"/>
    <n v="58"/>
  </r>
  <r>
    <x v="58"/>
    <x v="28"/>
    <x v="60"/>
    <n v="58"/>
  </r>
  <r>
    <x v="58"/>
    <x v="28"/>
    <x v="61"/>
    <n v="58"/>
  </r>
  <r>
    <x v="58"/>
    <x v="28"/>
    <x v="62"/>
    <n v="58"/>
  </r>
  <r>
    <x v="58"/>
    <x v="28"/>
    <x v="63"/>
    <n v="58"/>
  </r>
  <r>
    <x v="58"/>
    <x v="28"/>
    <x v="64"/>
    <n v="58"/>
  </r>
  <r>
    <x v="58"/>
    <x v="28"/>
    <x v="65"/>
    <n v="58"/>
  </r>
  <r>
    <x v="58"/>
    <x v="28"/>
    <x v="66"/>
    <n v="58"/>
  </r>
  <r>
    <x v="58"/>
    <x v="28"/>
    <x v="67"/>
    <n v="58"/>
  </r>
  <r>
    <x v="58"/>
    <x v="28"/>
    <x v="68"/>
    <n v="58"/>
  </r>
  <r>
    <x v="58"/>
    <x v="28"/>
    <x v="69"/>
    <n v="58"/>
  </r>
  <r>
    <x v="58"/>
    <x v="28"/>
    <x v="70"/>
    <n v="58"/>
  </r>
  <r>
    <x v="58"/>
    <x v="28"/>
    <x v="71"/>
    <n v="58"/>
  </r>
  <r>
    <x v="58"/>
    <x v="28"/>
    <x v="72"/>
    <n v="58"/>
  </r>
  <r>
    <x v="59"/>
    <x v="29"/>
    <x v="0"/>
    <n v="13"/>
  </r>
  <r>
    <x v="59"/>
    <x v="29"/>
    <x v="1"/>
    <n v="62"/>
  </r>
  <r>
    <x v="59"/>
    <x v="29"/>
    <x v="2"/>
    <n v="75"/>
  </r>
  <r>
    <x v="59"/>
    <x v="29"/>
    <x v="3"/>
    <n v="38"/>
  </r>
  <r>
    <x v="59"/>
    <x v="29"/>
    <x v="4"/>
    <n v="39"/>
  </r>
  <r>
    <x v="59"/>
    <x v="29"/>
    <x v="5"/>
    <n v="41"/>
  </r>
  <r>
    <x v="59"/>
    <x v="29"/>
    <x v="6"/>
    <n v="27"/>
  </r>
  <r>
    <x v="59"/>
    <x v="29"/>
    <x v="7"/>
    <n v="49"/>
  </r>
  <r>
    <x v="59"/>
    <x v="29"/>
    <x v="8"/>
    <n v="27"/>
  </r>
  <r>
    <x v="59"/>
    <x v="29"/>
    <x v="9"/>
    <n v="25"/>
  </r>
  <r>
    <x v="59"/>
    <x v="29"/>
    <x v="10"/>
    <n v="23"/>
  </r>
  <r>
    <x v="59"/>
    <x v="29"/>
    <x v="11"/>
    <n v="29"/>
  </r>
  <r>
    <x v="59"/>
    <x v="29"/>
    <x v="12"/>
    <n v="51"/>
  </r>
  <r>
    <x v="59"/>
    <x v="29"/>
    <x v="13"/>
    <n v="59"/>
  </r>
  <r>
    <x v="59"/>
    <x v="29"/>
    <x v="14"/>
    <n v="55"/>
  </r>
  <r>
    <x v="59"/>
    <x v="29"/>
    <x v="15"/>
    <n v="41"/>
  </r>
  <r>
    <x v="59"/>
    <x v="29"/>
    <x v="16"/>
    <n v="28"/>
  </r>
  <r>
    <x v="59"/>
    <x v="29"/>
    <x v="17"/>
    <n v="34"/>
  </r>
  <r>
    <x v="59"/>
    <x v="29"/>
    <x v="18"/>
    <n v="35"/>
  </r>
  <r>
    <x v="59"/>
    <x v="29"/>
    <x v="19"/>
    <n v="34"/>
  </r>
  <r>
    <x v="59"/>
    <x v="29"/>
    <x v="20"/>
    <n v="36"/>
  </r>
  <r>
    <x v="59"/>
    <x v="29"/>
    <x v="21"/>
    <n v="40"/>
  </r>
  <r>
    <x v="59"/>
    <x v="29"/>
    <x v="22"/>
    <n v="47"/>
  </r>
  <r>
    <x v="59"/>
    <x v="29"/>
    <x v="23"/>
    <n v="55"/>
  </r>
  <r>
    <x v="59"/>
    <x v="29"/>
    <x v="24"/>
    <n v="55"/>
  </r>
  <r>
    <x v="59"/>
    <x v="29"/>
    <x v="25"/>
    <n v="57"/>
  </r>
  <r>
    <x v="59"/>
    <x v="29"/>
    <x v="26"/>
    <n v="57"/>
  </r>
  <r>
    <x v="59"/>
    <x v="29"/>
    <x v="27"/>
    <n v="54"/>
  </r>
  <r>
    <x v="59"/>
    <x v="29"/>
    <x v="28"/>
    <n v="60"/>
  </r>
  <r>
    <x v="59"/>
    <x v="29"/>
    <x v="29"/>
    <n v="60"/>
  </r>
  <r>
    <x v="59"/>
    <x v="29"/>
    <x v="30"/>
    <n v="60"/>
  </r>
  <r>
    <x v="59"/>
    <x v="29"/>
    <x v="31"/>
    <n v="60"/>
  </r>
  <r>
    <x v="59"/>
    <x v="29"/>
    <x v="32"/>
    <n v="60"/>
  </r>
  <r>
    <x v="59"/>
    <x v="29"/>
    <x v="33"/>
    <n v="60"/>
  </r>
  <r>
    <x v="59"/>
    <x v="29"/>
    <x v="34"/>
    <n v="60"/>
  </r>
  <r>
    <x v="59"/>
    <x v="29"/>
    <x v="35"/>
    <n v="60"/>
  </r>
  <r>
    <x v="59"/>
    <x v="29"/>
    <x v="36"/>
    <n v="60"/>
  </r>
  <r>
    <x v="59"/>
    <x v="29"/>
    <x v="37"/>
    <n v="60"/>
  </r>
  <r>
    <x v="59"/>
    <x v="29"/>
    <x v="38"/>
    <n v="60"/>
  </r>
  <r>
    <x v="59"/>
    <x v="29"/>
    <x v="39"/>
    <n v="60"/>
  </r>
  <r>
    <x v="59"/>
    <x v="29"/>
    <x v="40"/>
    <n v="60"/>
  </r>
  <r>
    <x v="59"/>
    <x v="29"/>
    <x v="41"/>
    <n v="60"/>
  </r>
  <r>
    <x v="59"/>
    <x v="29"/>
    <x v="42"/>
    <n v="60"/>
  </r>
  <r>
    <x v="59"/>
    <x v="29"/>
    <x v="43"/>
    <n v="60"/>
  </r>
  <r>
    <x v="59"/>
    <x v="29"/>
    <x v="44"/>
    <n v="60"/>
  </r>
  <r>
    <x v="59"/>
    <x v="29"/>
    <x v="45"/>
    <n v="60"/>
  </r>
  <r>
    <x v="59"/>
    <x v="29"/>
    <x v="46"/>
    <n v="60"/>
  </r>
  <r>
    <x v="59"/>
    <x v="29"/>
    <x v="47"/>
    <n v="60"/>
  </r>
  <r>
    <x v="59"/>
    <x v="29"/>
    <x v="48"/>
    <n v="60"/>
  </r>
  <r>
    <x v="59"/>
    <x v="29"/>
    <x v="49"/>
    <n v="60"/>
  </r>
  <r>
    <x v="59"/>
    <x v="29"/>
    <x v="50"/>
    <n v="60"/>
  </r>
  <r>
    <x v="59"/>
    <x v="29"/>
    <x v="51"/>
    <n v="60"/>
  </r>
  <r>
    <x v="59"/>
    <x v="29"/>
    <x v="52"/>
    <n v="60"/>
  </r>
  <r>
    <x v="59"/>
    <x v="29"/>
    <x v="53"/>
    <n v="60"/>
  </r>
  <r>
    <x v="59"/>
    <x v="29"/>
    <x v="54"/>
    <n v="60"/>
  </r>
  <r>
    <x v="59"/>
    <x v="29"/>
    <x v="55"/>
    <n v="60"/>
  </r>
  <r>
    <x v="59"/>
    <x v="29"/>
    <x v="56"/>
    <n v="60"/>
  </r>
  <r>
    <x v="59"/>
    <x v="29"/>
    <x v="57"/>
    <n v="60"/>
  </r>
  <r>
    <x v="59"/>
    <x v="29"/>
    <x v="58"/>
    <n v="60"/>
  </r>
  <r>
    <x v="59"/>
    <x v="29"/>
    <x v="59"/>
    <n v="60"/>
  </r>
  <r>
    <x v="59"/>
    <x v="29"/>
    <x v="60"/>
    <n v="60"/>
  </r>
  <r>
    <x v="59"/>
    <x v="29"/>
    <x v="61"/>
    <n v="60"/>
  </r>
  <r>
    <x v="59"/>
    <x v="29"/>
    <x v="62"/>
    <n v="60"/>
  </r>
  <r>
    <x v="59"/>
    <x v="29"/>
    <x v="63"/>
    <n v="60"/>
  </r>
  <r>
    <x v="59"/>
    <x v="29"/>
    <x v="64"/>
    <n v="60"/>
  </r>
  <r>
    <x v="59"/>
    <x v="29"/>
    <x v="65"/>
    <n v="60"/>
  </r>
  <r>
    <x v="59"/>
    <x v="29"/>
    <x v="66"/>
    <n v="60"/>
  </r>
  <r>
    <x v="59"/>
    <x v="29"/>
    <x v="67"/>
    <n v="60"/>
  </r>
  <r>
    <x v="59"/>
    <x v="29"/>
    <x v="68"/>
    <n v="60"/>
  </r>
  <r>
    <x v="59"/>
    <x v="29"/>
    <x v="69"/>
    <n v="60"/>
  </r>
  <r>
    <x v="59"/>
    <x v="29"/>
    <x v="70"/>
    <n v="60"/>
  </r>
  <r>
    <x v="59"/>
    <x v="29"/>
    <x v="71"/>
    <n v="60"/>
  </r>
  <r>
    <x v="59"/>
    <x v="29"/>
    <x v="72"/>
    <n v="60"/>
  </r>
  <r>
    <x v="60"/>
    <x v="29"/>
    <x v="0"/>
    <n v="78"/>
  </r>
  <r>
    <x v="60"/>
    <x v="29"/>
    <x v="1"/>
    <n v="77"/>
  </r>
  <r>
    <x v="60"/>
    <x v="29"/>
    <x v="2"/>
    <n v="82"/>
  </r>
  <r>
    <x v="60"/>
    <x v="29"/>
    <x v="3"/>
    <n v="54"/>
  </r>
  <r>
    <x v="60"/>
    <x v="29"/>
    <x v="4"/>
    <n v="55"/>
  </r>
  <r>
    <x v="60"/>
    <x v="29"/>
    <x v="5"/>
    <n v="53"/>
  </r>
  <r>
    <x v="60"/>
    <x v="29"/>
    <x v="6"/>
    <n v="37"/>
  </r>
  <r>
    <x v="60"/>
    <x v="29"/>
    <x v="7"/>
    <n v="27"/>
  </r>
  <r>
    <x v="60"/>
    <x v="29"/>
    <x v="8"/>
    <n v="27"/>
  </r>
  <r>
    <x v="60"/>
    <x v="29"/>
    <x v="9"/>
    <n v="31"/>
  </r>
  <r>
    <x v="60"/>
    <x v="29"/>
    <x v="10"/>
    <n v="30"/>
  </r>
  <r>
    <x v="60"/>
    <x v="29"/>
    <x v="11"/>
    <n v="29"/>
  </r>
  <r>
    <x v="60"/>
    <x v="29"/>
    <x v="12"/>
    <n v="51"/>
  </r>
  <r>
    <x v="60"/>
    <x v="29"/>
    <x v="13"/>
    <n v="56"/>
  </r>
  <r>
    <x v="60"/>
    <x v="29"/>
    <x v="14"/>
    <n v="55"/>
  </r>
  <r>
    <x v="60"/>
    <x v="29"/>
    <x v="15"/>
    <n v="41"/>
  </r>
  <r>
    <x v="60"/>
    <x v="29"/>
    <x v="16"/>
    <n v="50"/>
  </r>
  <r>
    <x v="60"/>
    <x v="29"/>
    <x v="17"/>
    <n v="51"/>
  </r>
  <r>
    <x v="60"/>
    <x v="29"/>
    <x v="18"/>
    <n v="47"/>
  </r>
  <r>
    <x v="60"/>
    <x v="29"/>
    <x v="19"/>
    <n v="45"/>
  </r>
  <r>
    <x v="60"/>
    <x v="29"/>
    <x v="20"/>
    <n v="44"/>
  </r>
  <r>
    <x v="60"/>
    <x v="29"/>
    <x v="21"/>
    <n v="48"/>
  </r>
  <r>
    <x v="60"/>
    <x v="29"/>
    <x v="22"/>
    <n v="52"/>
  </r>
  <r>
    <x v="60"/>
    <x v="29"/>
    <x v="23"/>
    <n v="64"/>
  </r>
  <r>
    <x v="60"/>
    <x v="29"/>
    <x v="24"/>
    <n v="75"/>
  </r>
  <r>
    <x v="60"/>
    <x v="29"/>
    <x v="25"/>
    <n v="78"/>
  </r>
  <r>
    <x v="60"/>
    <x v="29"/>
    <x v="26"/>
    <n v="78"/>
  </r>
  <r>
    <x v="60"/>
    <x v="29"/>
    <x v="27"/>
    <n v="77"/>
  </r>
  <r>
    <x v="60"/>
    <x v="29"/>
    <x v="28"/>
    <n v="60"/>
  </r>
  <r>
    <x v="60"/>
    <x v="29"/>
    <x v="29"/>
    <n v="60"/>
  </r>
  <r>
    <x v="60"/>
    <x v="29"/>
    <x v="30"/>
    <n v="60"/>
  </r>
  <r>
    <x v="60"/>
    <x v="29"/>
    <x v="31"/>
    <n v="60"/>
  </r>
  <r>
    <x v="60"/>
    <x v="29"/>
    <x v="32"/>
    <n v="60"/>
  </r>
  <r>
    <x v="60"/>
    <x v="29"/>
    <x v="33"/>
    <n v="60"/>
  </r>
  <r>
    <x v="60"/>
    <x v="29"/>
    <x v="34"/>
    <n v="60"/>
  </r>
  <r>
    <x v="60"/>
    <x v="29"/>
    <x v="35"/>
    <n v="60"/>
  </r>
  <r>
    <x v="60"/>
    <x v="29"/>
    <x v="36"/>
    <n v="60"/>
  </r>
  <r>
    <x v="60"/>
    <x v="29"/>
    <x v="37"/>
    <n v="60"/>
  </r>
  <r>
    <x v="60"/>
    <x v="29"/>
    <x v="38"/>
    <n v="60"/>
  </r>
  <r>
    <x v="60"/>
    <x v="29"/>
    <x v="39"/>
    <n v="60"/>
  </r>
  <r>
    <x v="60"/>
    <x v="29"/>
    <x v="40"/>
    <n v="60"/>
  </r>
  <r>
    <x v="60"/>
    <x v="29"/>
    <x v="41"/>
    <n v="60"/>
  </r>
  <r>
    <x v="60"/>
    <x v="29"/>
    <x v="42"/>
    <n v="60"/>
  </r>
  <r>
    <x v="60"/>
    <x v="29"/>
    <x v="43"/>
    <n v="60"/>
  </r>
  <r>
    <x v="60"/>
    <x v="29"/>
    <x v="44"/>
    <n v="60"/>
  </r>
  <r>
    <x v="60"/>
    <x v="29"/>
    <x v="45"/>
    <n v="60"/>
  </r>
  <r>
    <x v="60"/>
    <x v="29"/>
    <x v="46"/>
    <n v="60"/>
  </r>
  <r>
    <x v="60"/>
    <x v="29"/>
    <x v="47"/>
    <n v="60"/>
  </r>
  <r>
    <x v="60"/>
    <x v="29"/>
    <x v="48"/>
    <n v="60"/>
  </r>
  <r>
    <x v="60"/>
    <x v="29"/>
    <x v="49"/>
    <n v="60"/>
  </r>
  <r>
    <x v="60"/>
    <x v="29"/>
    <x v="50"/>
    <n v="60"/>
  </r>
  <r>
    <x v="60"/>
    <x v="29"/>
    <x v="51"/>
    <n v="60"/>
  </r>
  <r>
    <x v="60"/>
    <x v="29"/>
    <x v="52"/>
    <n v="60"/>
  </r>
  <r>
    <x v="60"/>
    <x v="29"/>
    <x v="53"/>
    <n v="60"/>
  </r>
  <r>
    <x v="60"/>
    <x v="29"/>
    <x v="54"/>
    <n v="60"/>
  </r>
  <r>
    <x v="60"/>
    <x v="29"/>
    <x v="55"/>
    <n v="60"/>
  </r>
  <r>
    <x v="60"/>
    <x v="29"/>
    <x v="56"/>
    <n v="60"/>
  </r>
  <r>
    <x v="60"/>
    <x v="29"/>
    <x v="57"/>
    <n v="60"/>
  </r>
  <r>
    <x v="60"/>
    <x v="29"/>
    <x v="58"/>
    <n v="60"/>
  </r>
  <r>
    <x v="60"/>
    <x v="29"/>
    <x v="59"/>
    <n v="60"/>
  </r>
  <r>
    <x v="60"/>
    <x v="29"/>
    <x v="60"/>
    <n v="60"/>
  </r>
  <r>
    <x v="60"/>
    <x v="29"/>
    <x v="61"/>
    <n v="60"/>
  </r>
  <r>
    <x v="60"/>
    <x v="29"/>
    <x v="62"/>
    <n v="60"/>
  </r>
  <r>
    <x v="60"/>
    <x v="29"/>
    <x v="63"/>
    <n v="60"/>
  </r>
  <r>
    <x v="60"/>
    <x v="29"/>
    <x v="64"/>
    <n v="60"/>
  </r>
  <r>
    <x v="60"/>
    <x v="29"/>
    <x v="65"/>
    <n v="60"/>
  </r>
  <r>
    <x v="60"/>
    <x v="29"/>
    <x v="66"/>
    <n v="60"/>
  </r>
  <r>
    <x v="60"/>
    <x v="29"/>
    <x v="67"/>
    <n v="60"/>
  </r>
  <r>
    <x v="60"/>
    <x v="29"/>
    <x v="68"/>
    <n v="60"/>
  </r>
  <r>
    <x v="60"/>
    <x v="29"/>
    <x v="69"/>
    <n v="60"/>
  </r>
  <r>
    <x v="60"/>
    <x v="29"/>
    <x v="70"/>
    <n v="60"/>
  </r>
  <r>
    <x v="60"/>
    <x v="29"/>
    <x v="71"/>
    <n v="60"/>
  </r>
  <r>
    <x v="60"/>
    <x v="29"/>
    <x v="72"/>
    <n v="60"/>
  </r>
  <r>
    <x v="61"/>
    <x v="30"/>
    <x v="0"/>
    <n v="13"/>
  </r>
  <r>
    <x v="61"/>
    <x v="30"/>
    <x v="1"/>
    <n v="14"/>
  </r>
  <r>
    <x v="61"/>
    <x v="30"/>
    <x v="2"/>
    <n v="24"/>
  </r>
  <r>
    <x v="61"/>
    <x v="30"/>
    <x v="3"/>
    <n v="9"/>
  </r>
  <r>
    <x v="61"/>
    <x v="30"/>
    <x v="4"/>
    <n v="9"/>
  </r>
  <r>
    <x v="61"/>
    <x v="30"/>
    <x v="5"/>
    <n v="9"/>
  </r>
  <r>
    <x v="61"/>
    <x v="30"/>
    <x v="6"/>
    <n v="27"/>
  </r>
  <r>
    <x v="61"/>
    <x v="30"/>
    <x v="7"/>
    <n v="27"/>
  </r>
  <r>
    <x v="61"/>
    <x v="30"/>
    <x v="8"/>
    <n v="41"/>
  </r>
  <r>
    <x v="61"/>
    <x v="30"/>
    <x v="9"/>
    <n v="42"/>
  </r>
  <r>
    <x v="61"/>
    <x v="30"/>
    <x v="10"/>
    <n v="40"/>
  </r>
  <r>
    <x v="61"/>
    <x v="30"/>
    <x v="11"/>
    <n v="41"/>
  </r>
  <r>
    <x v="61"/>
    <x v="30"/>
    <x v="12"/>
    <n v="22"/>
  </r>
  <r>
    <x v="61"/>
    <x v="30"/>
    <x v="13"/>
    <n v="29"/>
  </r>
  <r>
    <x v="61"/>
    <x v="30"/>
    <x v="14"/>
    <n v="32"/>
  </r>
  <r>
    <x v="61"/>
    <x v="30"/>
    <x v="15"/>
    <n v="36"/>
  </r>
  <r>
    <x v="61"/>
    <x v="30"/>
    <x v="16"/>
    <n v="45"/>
  </r>
  <r>
    <x v="61"/>
    <x v="30"/>
    <x v="17"/>
    <n v="22"/>
  </r>
  <r>
    <x v="61"/>
    <x v="30"/>
    <x v="18"/>
    <n v="23"/>
  </r>
  <r>
    <x v="61"/>
    <x v="30"/>
    <x v="19"/>
    <n v="24"/>
  </r>
  <r>
    <x v="61"/>
    <x v="30"/>
    <x v="20"/>
    <n v="24"/>
  </r>
  <r>
    <x v="61"/>
    <x v="30"/>
    <x v="21"/>
    <n v="33"/>
  </r>
  <r>
    <x v="61"/>
    <x v="30"/>
    <x v="22"/>
    <n v="39"/>
  </r>
  <r>
    <x v="61"/>
    <x v="30"/>
    <x v="23"/>
    <n v="53"/>
  </r>
  <r>
    <x v="61"/>
    <x v="30"/>
    <x v="24"/>
    <n v="52"/>
  </r>
  <r>
    <x v="61"/>
    <x v="30"/>
    <x v="25"/>
    <n v="55"/>
  </r>
  <r>
    <x v="61"/>
    <x v="30"/>
    <x v="26"/>
    <n v="55"/>
  </r>
  <r>
    <x v="61"/>
    <x v="30"/>
    <x v="27"/>
    <n v="56"/>
  </r>
  <r>
    <x v="61"/>
    <x v="30"/>
    <x v="28"/>
    <n v="62"/>
  </r>
  <r>
    <x v="61"/>
    <x v="30"/>
    <x v="29"/>
    <n v="62"/>
  </r>
  <r>
    <x v="61"/>
    <x v="30"/>
    <x v="30"/>
    <n v="62"/>
  </r>
  <r>
    <x v="61"/>
    <x v="30"/>
    <x v="31"/>
    <n v="62"/>
  </r>
  <r>
    <x v="61"/>
    <x v="30"/>
    <x v="32"/>
    <n v="62"/>
  </r>
  <r>
    <x v="61"/>
    <x v="30"/>
    <x v="33"/>
    <n v="62"/>
  </r>
  <r>
    <x v="61"/>
    <x v="30"/>
    <x v="34"/>
    <n v="62"/>
  </r>
  <r>
    <x v="61"/>
    <x v="30"/>
    <x v="35"/>
    <n v="62"/>
  </r>
  <r>
    <x v="61"/>
    <x v="30"/>
    <x v="36"/>
    <n v="62"/>
  </r>
  <r>
    <x v="61"/>
    <x v="30"/>
    <x v="37"/>
    <n v="62"/>
  </r>
  <r>
    <x v="61"/>
    <x v="30"/>
    <x v="38"/>
    <n v="62"/>
  </r>
  <r>
    <x v="61"/>
    <x v="30"/>
    <x v="39"/>
    <n v="62"/>
  </r>
  <r>
    <x v="61"/>
    <x v="30"/>
    <x v="40"/>
    <n v="62"/>
  </r>
  <r>
    <x v="61"/>
    <x v="30"/>
    <x v="41"/>
    <n v="62"/>
  </r>
  <r>
    <x v="61"/>
    <x v="30"/>
    <x v="42"/>
    <n v="62"/>
  </r>
  <r>
    <x v="61"/>
    <x v="30"/>
    <x v="43"/>
    <n v="62"/>
  </r>
  <r>
    <x v="61"/>
    <x v="30"/>
    <x v="44"/>
    <n v="62"/>
  </r>
  <r>
    <x v="61"/>
    <x v="30"/>
    <x v="45"/>
    <n v="62"/>
  </r>
  <r>
    <x v="61"/>
    <x v="30"/>
    <x v="46"/>
    <n v="62"/>
  </r>
  <r>
    <x v="61"/>
    <x v="30"/>
    <x v="47"/>
    <n v="62"/>
  </r>
  <r>
    <x v="61"/>
    <x v="30"/>
    <x v="48"/>
    <n v="62"/>
  </r>
  <r>
    <x v="61"/>
    <x v="30"/>
    <x v="49"/>
    <n v="62"/>
  </r>
  <r>
    <x v="61"/>
    <x v="30"/>
    <x v="50"/>
    <n v="62"/>
  </r>
  <r>
    <x v="61"/>
    <x v="30"/>
    <x v="51"/>
    <n v="62"/>
  </r>
  <r>
    <x v="61"/>
    <x v="30"/>
    <x v="52"/>
    <n v="62"/>
  </r>
  <r>
    <x v="61"/>
    <x v="30"/>
    <x v="53"/>
    <n v="62"/>
  </r>
  <r>
    <x v="61"/>
    <x v="30"/>
    <x v="54"/>
    <n v="62"/>
  </r>
  <r>
    <x v="61"/>
    <x v="30"/>
    <x v="55"/>
    <n v="62"/>
  </r>
  <r>
    <x v="61"/>
    <x v="30"/>
    <x v="56"/>
    <n v="62"/>
  </r>
  <r>
    <x v="61"/>
    <x v="30"/>
    <x v="57"/>
    <n v="62"/>
  </r>
  <r>
    <x v="61"/>
    <x v="30"/>
    <x v="58"/>
    <n v="62"/>
  </r>
  <r>
    <x v="61"/>
    <x v="30"/>
    <x v="59"/>
    <n v="62"/>
  </r>
  <r>
    <x v="61"/>
    <x v="30"/>
    <x v="60"/>
    <n v="62"/>
  </r>
  <r>
    <x v="61"/>
    <x v="30"/>
    <x v="61"/>
    <n v="62"/>
  </r>
  <r>
    <x v="61"/>
    <x v="30"/>
    <x v="62"/>
    <n v="62"/>
  </r>
  <r>
    <x v="61"/>
    <x v="30"/>
    <x v="63"/>
    <n v="62"/>
  </r>
  <r>
    <x v="61"/>
    <x v="30"/>
    <x v="64"/>
    <n v="62"/>
  </r>
  <r>
    <x v="61"/>
    <x v="30"/>
    <x v="65"/>
    <n v="62"/>
  </r>
  <r>
    <x v="61"/>
    <x v="30"/>
    <x v="66"/>
    <n v="62"/>
  </r>
  <r>
    <x v="61"/>
    <x v="30"/>
    <x v="67"/>
    <n v="62"/>
  </r>
  <r>
    <x v="61"/>
    <x v="30"/>
    <x v="68"/>
    <n v="62"/>
  </r>
  <r>
    <x v="61"/>
    <x v="30"/>
    <x v="69"/>
    <n v="62"/>
  </r>
  <r>
    <x v="61"/>
    <x v="30"/>
    <x v="70"/>
    <n v="62"/>
  </r>
  <r>
    <x v="61"/>
    <x v="30"/>
    <x v="71"/>
    <n v="62"/>
  </r>
  <r>
    <x v="61"/>
    <x v="30"/>
    <x v="72"/>
    <n v="62"/>
  </r>
  <r>
    <x v="62"/>
    <x v="30"/>
    <x v="0"/>
    <n v="78"/>
  </r>
  <r>
    <x v="62"/>
    <x v="30"/>
    <x v="1"/>
    <n v="77"/>
  </r>
  <r>
    <x v="62"/>
    <x v="30"/>
    <x v="2"/>
    <n v="82"/>
  </r>
  <r>
    <x v="62"/>
    <x v="30"/>
    <x v="3"/>
    <n v="89"/>
  </r>
  <r>
    <x v="62"/>
    <x v="30"/>
    <x v="4"/>
    <n v="89"/>
  </r>
  <r>
    <x v="62"/>
    <x v="30"/>
    <x v="5"/>
    <n v="93"/>
  </r>
  <r>
    <x v="62"/>
    <x v="30"/>
    <x v="6"/>
    <n v="82"/>
  </r>
  <r>
    <x v="62"/>
    <x v="30"/>
    <x v="7"/>
    <n v="86"/>
  </r>
  <r>
    <x v="62"/>
    <x v="30"/>
    <x v="8"/>
    <n v="95"/>
  </r>
  <r>
    <x v="62"/>
    <x v="30"/>
    <x v="9"/>
    <n v="86"/>
  </r>
  <r>
    <x v="62"/>
    <x v="30"/>
    <x v="10"/>
    <n v="88"/>
  </r>
  <r>
    <x v="62"/>
    <x v="30"/>
    <x v="11"/>
    <n v="92"/>
  </r>
  <r>
    <x v="62"/>
    <x v="30"/>
    <x v="12"/>
    <n v="73"/>
  </r>
  <r>
    <x v="62"/>
    <x v="30"/>
    <x v="13"/>
    <n v="70"/>
  </r>
  <r>
    <x v="62"/>
    <x v="30"/>
    <x v="14"/>
    <n v="69"/>
  </r>
  <r>
    <x v="62"/>
    <x v="30"/>
    <x v="15"/>
    <n v="59"/>
  </r>
  <r>
    <x v="62"/>
    <x v="30"/>
    <x v="16"/>
    <n v="64"/>
  </r>
  <r>
    <x v="62"/>
    <x v="30"/>
    <x v="17"/>
    <n v="43"/>
  </r>
  <r>
    <x v="62"/>
    <x v="30"/>
    <x v="18"/>
    <n v="54"/>
  </r>
  <r>
    <x v="62"/>
    <x v="30"/>
    <x v="19"/>
    <n v="58"/>
  </r>
  <r>
    <x v="62"/>
    <x v="30"/>
    <x v="20"/>
    <n v="60"/>
  </r>
  <r>
    <x v="62"/>
    <x v="30"/>
    <x v="21"/>
    <n v="66"/>
  </r>
  <r>
    <x v="62"/>
    <x v="30"/>
    <x v="22"/>
    <n v="67"/>
  </r>
  <r>
    <x v="62"/>
    <x v="30"/>
    <x v="23"/>
    <n v="57"/>
  </r>
  <r>
    <x v="62"/>
    <x v="30"/>
    <x v="24"/>
    <n v="60"/>
  </r>
  <r>
    <x v="62"/>
    <x v="30"/>
    <x v="25"/>
    <n v="63"/>
  </r>
  <r>
    <x v="62"/>
    <x v="30"/>
    <x v="26"/>
    <n v="63"/>
  </r>
  <r>
    <x v="62"/>
    <x v="30"/>
    <x v="27"/>
    <n v="62"/>
  </r>
  <r>
    <x v="62"/>
    <x v="30"/>
    <x v="28"/>
    <n v="62"/>
  </r>
  <r>
    <x v="62"/>
    <x v="30"/>
    <x v="29"/>
    <n v="62"/>
  </r>
  <r>
    <x v="62"/>
    <x v="30"/>
    <x v="30"/>
    <n v="62"/>
  </r>
  <r>
    <x v="62"/>
    <x v="30"/>
    <x v="31"/>
    <n v="62"/>
  </r>
  <r>
    <x v="62"/>
    <x v="30"/>
    <x v="32"/>
    <n v="62"/>
  </r>
  <r>
    <x v="62"/>
    <x v="30"/>
    <x v="33"/>
    <n v="62"/>
  </r>
  <r>
    <x v="62"/>
    <x v="30"/>
    <x v="34"/>
    <n v="62"/>
  </r>
  <r>
    <x v="62"/>
    <x v="30"/>
    <x v="35"/>
    <n v="62"/>
  </r>
  <r>
    <x v="62"/>
    <x v="30"/>
    <x v="36"/>
    <n v="62"/>
  </r>
  <r>
    <x v="62"/>
    <x v="30"/>
    <x v="37"/>
    <n v="62"/>
  </r>
  <r>
    <x v="62"/>
    <x v="30"/>
    <x v="38"/>
    <n v="62"/>
  </r>
  <r>
    <x v="62"/>
    <x v="30"/>
    <x v="39"/>
    <n v="62"/>
  </r>
  <r>
    <x v="62"/>
    <x v="30"/>
    <x v="40"/>
    <n v="62"/>
  </r>
  <r>
    <x v="62"/>
    <x v="30"/>
    <x v="41"/>
    <n v="62"/>
  </r>
  <r>
    <x v="62"/>
    <x v="30"/>
    <x v="42"/>
    <n v="62"/>
  </r>
  <r>
    <x v="62"/>
    <x v="30"/>
    <x v="43"/>
    <n v="62"/>
  </r>
  <r>
    <x v="62"/>
    <x v="30"/>
    <x v="44"/>
    <n v="62"/>
  </r>
  <r>
    <x v="62"/>
    <x v="30"/>
    <x v="45"/>
    <n v="62"/>
  </r>
  <r>
    <x v="62"/>
    <x v="30"/>
    <x v="46"/>
    <n v="62"/>
  </r>
  <r>
    <x v="62"/>
    <x v="30"/>
    <x v="47"/>
    <n v="62"/>
  </r>
  <r>
    <x v="62"/>
    <x v="30"/>
    <x v="48"/>
    <n v="62"/>
  </r>
  <r>
    <x v="62"/>
    <x v="30"/>
    <x v="49"/>
    <n v="62"/>
  </r>
  <r>
    <x v="62"/>
    <x v="30"/>
    <x v="50"/>
    <n v="62"/>
  </r>
  <r>
    <x v="62"/>
    <x v="30"/>
    <x v="51"/>
    <n v="62"/>
  </r>
  <r>
    <x v="62"/>
    <x v="30"/>
    <x v="52"/>
    <n v="62"/>
  </r>
  <r>
    <x v="62"/>
    <x v="30"/>
    <x v="53"/>
    <n v="62"/>
  </r>
  <r>
    <x v="62"/>
    <x v="30"/>
    <x v="54"/>
    <n v="62"/>
  </r>
  <r>
    <x v="62"/>
    <x v="30"/>
    <x v="55"/>
    <n v="62"/>
  </r>
  <r>
    <x v="62"/>
    <x v="30"/>
    <x v="56"/>
    <n v="62"/>
  </r>
  <r>
    <x v="62"/>
    <x v="30"/>
    <x v="57"/>
    <n v="62"/>
  </r>
  <r>
    <x v="62"/>
    <x v="30"/>
    <x v="58"/>
    <n v="62"/>
  </r>
  <r>
    <x v="62"/>
    <x v="30"/>
    <x v="59"/>
    <n v="62"/>
  </r>
  <r>
    <x v="62"/>
    <x v="30"/>
    <x v="60"/>
    <n v="62"/>
  </r>
  <r>
    <x v="62"/>
    <x v="30"/>
    <x v="61"/>
    <n v="62"/>
  </r>
  <r>
    <x v="62"/>
    <x v="30"/>
    <x v="62"/>
    <n v="62"/>
  </r>
  <r>
    <x v="62"/>
    <x v="30"/>
    <x v="63"/>
    <n v="62"/>
  </r>
  <r>
    <x v="62"/>
    <x v="30"/>
    <x v="64"/>
    <n v="62"/>
  </r>
  <r>
    <x v="62"/>
    <x v="30"/>
    <x v="65"/>
    <n v="62"/>
  </r>
  <r>
    <x v="62"/>
    <x v="30"/>
    <x v="66"/>
    <n v="62"/>
  </r>
  <r>
    <x v="62"/>
    <x v="30"/>
    <x v="67"/>
    <n v="62"/>
  </r>
  <r>
    <x v="62"/>
    <x v="30"/>
    <x v="68"/>
    <n v="62"/>
  </r>
  <r>
    <x v="62"/>
    <x v="30"/>
    <x v="69"/>
    <n v="62"/>
  </r>
  <r>
    <x v="62"/>
    <x v="30"/>
    <x v="70"/>
    <n v="62"/>
  </r>
  <r>
    <x v="62"/>
    <x v="30"/>
    <x v="71"/>
    <n v="62"/>
  </r>
  <r>
    <x v="62"/>
    <x v="30"/>
    <x v="72"/>
    <n v="62"/>
  </r>
  <r>
    <x v="63"/>
    <x v="31"/>
    <x v="0"/>
    <n v="13"/>
  </r>
  <r>
    <x v="63"/>
    <x v="31"/>
    <x v="1"/>
    <n v="14"/>
  </r>
  <r>
    <x v="63"/>
    <x v="31"/>
    <x v="2"/>
    <n v="52"/>
  </r>
  <r>
    <x v="63"/>
    <x v="31"/>
    <x v="3"/>
    <n v="27"/>
  </r>
  <r>
    <x v="63"/>
    <x v="31"/>
    <x v="4"/>
    <n v="27"/>
  </r>
  <r>
    <x v="63"/>
    <x v="31"/>
    <x v="5"/>
    <n v="23"/>
  </r>
  <r>
    <x v="63"/>
    <x v="31"/>
    <x v="6"/>
    <n v="16"/>
  </r>
  <r>
    <x v="63"/>
    <x v="31"/>
    <x v="7"/>
    <n v="20"/>
  </r>
  <r>
    <x v="63"/>
    <x v="31"/>
    <x v="8"/>
    <n v="25"/>
  </r>
  <r>
    <x v="63"/>
    <x v="31"/>
    <x v="9"/>
    <n v="25"/>
  </r>
  <r>
    <x v="63"/>
    <x v="31"/>
    <x v="10"/>
    <n v="23"/>
  </r>
  <r>
    <x v="63"/>
    <x v="31"/>
    <x v="11"/>
    <n v="22"/>
  </r>
  <r>
    <x v="63"/>
    <x v="31"/>
    <x v="12"/>
    <n v="16"/>
  </r>
  <r>
    <x v="63"/>
    <x v="31"/>
    <x v="13"/>
    <n v="15"/>
  </r>
  <r>
    <x v="63"/>
    <x v="31"/>
    <x v="14"/>
    <n v="16"/>
  </r>
  <r>
    <x v="63"/>
    <x v="31"/>
    <x v="15"/>
    <n v="19"/>
  </r>
  <r>
    <x v="63"/>
    <x v="31"/>
    <x v="16"/>
    <n v="23"/>
  </r>
  <r>
    <x v="63"/>
    <x v="31"/>
    <x v="17"/>
    <n v="29"/>
  </r>
  <r>
    <x v="63"/>
    <x v="31"/>
    <x v="18"/>
    <n v="31"/>
  </r>
  <r>
    <x v="63"/>
    <x v="31"/>
    <x v="19"/>
    <n v="39"/>
  </r>
  <r>
    <x v="63"/>
    <x v="31"/>
    <x v="20"/>
    <n v="44"/>
  </r>
  <r>
    <x v="63"/>
    <x v="31"/>
    <x v="21"/>
    <n v="48"/>
  </r>
  <r>
    <x v="63"/>
    <x v="31"/>
    <x v="22"/>
    <n v="52"/>
  </r>
  <r>
    <x v="63"/>
    <x v="31"/>
    <x v="23"/>
    <n v="57"/>
  </r>
  <r>
    <x v="63"/>
    <x v="31"/>
    <x v="24"/>
    <n v="57"/>
  </r>
  <r>
    <x v="63"/>
    <x v="31"/>
    <x v="25"/>
    <n v="58"/>
  </r>
  <r>
    <x v="63"/>
    <x v="31"/>
    <x v="26"/>
    <n v="58"/>
  </r>
  <r>
    <x v="63"/>
    <x v="31"/>
    <x v="27"/>
    <n v="59"/>
  </r>
  <r>
    <x v="63"/>
    <x v="31"/>
    <x v="28"/>
    <n v="64"/>
  </r>
  <r>
    <x v="63"/>
    <x v="31"/>
    <x v="29"/>
    <n v="64"/>
  </r>
  <r>
    <x v="63"/>
    <x v="31"/>
    <x v="30"/>
    <n v="64"/>
  </r>
  <r>
    <x v="63"/>
    <x v="31"/>
    <x v="31"/>
    <n v="64"/>
  </r>
  <r>
    <x v="63"/>
    <x v="31"/>
    <x v="32"/>
    <n v="64"/>
  </r>
  <r>
    <x v="63"/>
    <x v="31"/>
    <x v="33"/>
    <n v="64"/>
  </r>
  <r>
    <x v="63"/>
    <x v="31"/>
    <x v="34"/>
    <n v="64"/>
  </r>
  <r>
    <x v="63"/>
    <x v="31"/>
    <x v="35"/>
    <n v="64"/>
  </r>
  <r>
    <x v="63"/>
    <x v="31"/>
    <x v="36"/>
    <n v="64"/>
  </r>
  <r>
    <x v="63"/>
    <x v="31"/>
    <x v="37"/>
    <n v="64"/>
  </r>
  <r>
    <x v="63"/>
    <x v="31"/>
    <x v="38"/>
    <n v="64"/>
  </r>
  <r>
    <x v="63"/>
    <x v="31"/>
    <x v="39"/>
    <n v="64"/>
  </r>
  <r>
    <x v="63"/>
    <x v="31"/>
    <x v="40"/>
    <n v="64"/>
  </r>
  <r>
    <x v="63"/>
    <x v="31"/>
    <x v="41"/>
    <n v="64"/>
  </r>
  <r>
    <x v="63"/>
    <x v="31"/>
    <x v="42"/>
    <n v="64"/>
  </r>
  <r>
    <x v="63"/>
    <x v="31"/>
    <x v="43"/>
    <n v="64"/>
  </r>
  <r>
    <x v="63"/>
    <x v="31"/>
    <x v="44"/>
    <n v="64"/>
  </r>
  <r>
    <x v="63"/>
    <x v="31"/>
    <x v="45"/>
    <n v="64"/>
  </r>
  <r>
    <x v="63"/>
    <x v="31"/>
    <x v="46"/>
    <n v="64"/>
  </r>
  <r>
    <x v="63"/>
    <x v="31"/>
    <x v="47"/>
    <n v="64"/>
  </r>
  <r>
    <x v="63"/>
    <x v="31"/>
    <x v="48"/>
    <n v="64"/>
  </r>
  <r>
    <x v="63"/>
    <x v="31"/>
    <x v="49"/>
    <n v="64"/>
  </r>
  <r>
    <x v="63"/>
    <x v="31"/>
    <x v="50"/>
    <n v="64"/>
  </r>
  <r>
    <x v="63"/>
    <x v="31"/>
    <x v="51"/>
    <n v="64"/>
  </r>
  <r>
    <x v="63"/>
    <x v="31"/>
    <x v="52"/>
    <n v="64"/>
  </r>
  <r>
    <x v="63"/>
    <x v="31"/>
    <x v="53"/>
    <n v="64"/>
  </r>
  <r>
    <x v="63"/>
    <x v="31"/>
    <x v="54"/>
    <n v="64"/>
  </r>
  <r>
    <x v="63"/>
    <x v="31"/>
    <x v="55"/>
    <n v="64"/>
  </r>
  <r>
    <x v="63"/>
    <x v="31"/>
    <x v="56"/>
    <n v="64"/>
  </r>
  <r>
    <x v="63"/>
    <x v="31"/>
    <x v="57"/>
    <n v="64"/>
  </r>
  <r>
    <x v="63"/>
    <x v="31"/>
    <x v="58"/>
    <n v="64"/>
  </r>
  <r>
    <x v="63"/>
    <x v="31"/>
    <x v="59"/>
    <n v="64"/>
  </r>
  <r>
    <x v="63"/>
    <x v="31"/>
    <x v="60"/>
    <n v="64"/>
  </r>
  <r>
    <x v="63"/>
    <x v="31"/>
    <x v="61"/>
    <n v="64"/>
  </r>
  <r>
    <x v="63"/>
    <x v="31"/>
    <x v="62"/>
    <n v="64"/>
  </r>
  <r>
    <x v="63"/>
    <x v="31"/>
    <x v="63"/>
    <n v="64"/>
  </r>
  <r>
    <x v="63"/>
    <x v="31"/>
    <x v="64"/>
    <n v="64"/>
  </r>
  <r>
    <x v="63"/>
    <x v="31"/>
    <x v="65"/>
    <n v="64"/>
  </r>
  <r>
    <x v="63"/>
    <x v="31"/>
    <x v="66"/>
    <n v="64"/>
  </r>
  <r>
    <x v="63"/>
    <x v="31"/>
    <x v="67"/>
    <n v="64"/>
  </r>
  <r>
    <x v="63"/>
    <x v="31"/>
    <x v="68"/>
    <n v="64"/>
  </r>
  <r>
    <x v="63"/>
    <x v="31"/>
    <x v="69"/>
    <n v="64"/>
  </r>
  <r>
    <x v="63"/>
    <x v="31"/>
    <x v="70"/>
    <n v="64"/>
  </r>
  <r>
    <x v="63"/>
    <x v="31"/>
    <x v="71"/>
    <n v="64"/>
  </r>
  <r>
    <x v="63"/>
    <x v="31"/>
    <x v="72"/>
    <n v="64"/>
  </r>
  <r>
    <x v="64"/>
    <x v="31"/>
    <x v="0"/>
    <n v="13"/>
  </r>
  <r>
    <x v="64"/>
    <x v="31"/>
    <x v="1"/>
    <n v="14"/>
  </r>
  <r>
    <x v="64"/>
    <x v="31"/>
    <x v="2"/>
    <n v="52"/>
  </r>
  <r>
    <x v="64"/>
    <x v="31"/>
    <x v="3"/>
    <n v="27"/>
  </r>
  <r>
    <x v="64"/>
    <x v="31"/>
    <x v="4"/>
    <n v="27"/>
  </r>
  <r>
    <x v="64"/>
    <x v="31"/>
    <x v="5"/>
    <n v="23"/>
  </r>
  <r>
    <x v="64"/>
    <x v="31"/>
    <x v="6"/>
    <n v="16"/>
  </r>
  <r>
    <x v="64"/>
    <x v="31"/>
    <x v="7"/>
    <n v="20"/>
  </r>
  <r>
    <x v="64"/>
    <x v="31"/>
    <x v="8"/>
    <n v="25"/>
  </r>
  <r>
    <x v="64"/>
    <x v="31"/>
    <x v="9"/>
    <n v="25"/>
  </r>
  <r>
    <x v="64"/>
    <x v="31"/>
    <x v="10"/>
    <n v="30"/>
  </r>
  <r>
    <x v="64"/>
    <x v="31"/>
    <x v="11"/>
    <n v="29"/>
  </r>
  <r>
    <x v="64"/>
    <x v="31"/>
    <x v="12"/>
    <n v="30"/>
  </r>
  <r>
    <x v="64"/>
    <x v="31"/>
    <x v="13"/>
    <n v="39"/>
  </r>
  <r>
    <x v="64"/>
    <x v="31"/>
    <x v="14"/>
    <n v="34"/>
  </r>
  <r>
    <x v="64"/>
    <x v="31"/>
    <x v="15"/>
    <n v="46"/>
  </r>
  <r>
    <x v="64"/>
    <x v="31"/>
    <x v="16"/>
    <n v="53"/>
  </r>
  <r>
    <x v="64"/>
    <x v="31"/>
    <x v="17"/>
    <n v="56"/>
  </r>
  <r>
    <x v="64"/>
    <x v="31"/>
    <x v="18"/>
    <n v="67"/>
  </r>
  <r>
    <x v="64"/>
    <x v="31"/>
    <x v="19"/>
    <n v="74"/>
  </r>
  <r>
    <x v="64"/>
    <x v="31"/>
    <x v="20"/>
    <n v="62"/>
  </r>
  <r>
    <x v="64"/>
    <x v="31"/>
    <x v="21"/>
    <n v="56"/>
  </r>
  <r>
    <x v="64"/>
    <x v="31"/>
    <x v="22"/>
    <n v="62"/>
  </r>
  <r>
    <x v="64"/>
    <x v="31"/>
    <x v="23"/>
    <n v="69"/>
  </r>
  <r>
    <x v="64"/>
    <x v="31"/>
    <x v="24"/>
    <n v="82"/>
  </r>
  <r>
    <x v="64"/>
    <x v="31"/>
    <x v="25"/>
    <n v="81"/>
  </r>
  <r>
    <x v="64"/>
    <x v="31"/>
    <x v="26"/>
    <n v="81"/>
  </r>
  <r>
    <x v="64"/>
    <x v="31"/>
    <x v="27"/>
    <n v="81"/>
  </r>
  <r>
    <x v="64"/>
    <x v="31"/>
    <x v="28"/>
    <n v="64"/>
  </r>
  <r>
    <x v="64"/>
    <x v="31"/>
    <x v="29"/>
    <n v="64"/>
  </r>
  <r>
    <x v="64"/>
    <x v="31"/>
    <x v="30"/>
    <n v="64"/>
  </r>
  <r>
    <x v="64"/>
    <x v="31"/>
    <x v="31"/>
    <n v="64"/>
  </r>
  <r>
    <x v="64"/>
    <x v="31"/>
    <x v="32"/>
    <n v="64"/>
  </r>
  <r>
    <x v="64"/>
    <x v="31"/>
    <x v="33"/>
    <n v="64"/>
  </r>
  <r>
    <x v="64"/>
    <x v="31"/>
    <x v="34"/>
    <n v="64"/>
  </r>
  <r>
    <x v="64"/>
    <x v="31"/>
    <x v="35"/>
    <n v="64"/>
  </r>
  <r>
    <x v="64"/>
    <x v="31"/>
    <x v="36"/>
    <n v="64"/>
  </r>
  <r>
    <x v="64"/>
    <x v="31"/>
    <x v="37"/>
    <n v="64"/>
  </r>
  <r>
    <x v="64"/>
    <x v="31"/>
    <x v="38"/>
    <n v="64"/>
  </r>
  <r>
    <x v="64"/>
    <x v="31"/>
    <x v="39"/>
    <n v="64"/>
  </r>
  <r>
    <x v="64"/>
    <x v="31"/>
    <x v="40"/>
    <n v="64"/>
  </r>
  <r>
    <x v="64"/>
    <x v="31"/>
    <x v="41"/>
    <n v="64"/>
  </r>
  <r>
    <x v="64"/>
    <x v="31"/>
    <x v="42"/>
    <n v="64"/>
  </r>
  <r>
    <x v="64"/>
    <x v="31"/>
    <x v="43"/>
    <n v="64"/>
  </r>
  <r>
    <x v="64"/>
    <x v="31"/>
    <x v="44"/>
    <n v="64"/>
  </r>
  <r>
    <x v="64"/>
    <x v="31"/>
    <x v="45"/>
    <n v="64"/>
  </r>
  <r>
    <x v="64"/>
    <x v="31"/>
    <x v="46"/>
    <n v="64"/>
  </r>
  <r>
    <x v="64"/>
    <x v="31"/>
    <x v="47"/>
    <n v="64"/>
  </r>
  <r>
    <x v="64"/>
    <x v="31"/>
    <x v="48"/>
    <n v="64"/>
  </r>
  <r>
    <x v="64"/>
    <x v="31"/>
    <x v="49"/>
    <n v="64"/>
  </r>
  <r>
    <x v="64"/>
    <x v="31"/>
    <x v="50"/>
    <n v="64"/>
  </r>
  <r>
    <x v="64"/>
    <x v="31"/>
    <x v="51"/>
    <n v="64"/>
  </r>
  <r>
    <x v="64"/>
    <x v="31"/>
    <x v="52"/>
    <n v="64"/>
  </r>
  <r>
    <x v="64"/>
    <x v="31"/>
    <x v="53"/>
    <n v="64"/>
  </r>
  <r>
    <x v="64"/>
    <x v="31"/>
    <x v="54"/>
    <n v="64"/>
  </r>
  <r>
    <x v="64"/>
    <x v="31"/>
    <x v="55"/>
    <n v="64"/>
  </r>
  <r>
    <x v="64"/>
    <x v="31"/>
    <x v="56"/>
    <n v="64"/>
  </r>
  <r>
    <x v="64"/>
    <x v="31"/>
    <x v="57"/>
    <n v="64"/>
  </r>
  <r>
    <x v="64"/>
    <x v="31"/>
    <x v="58"/>
    <n v="64"/>
  </r>
  <r>
    <x v="64"/>
    <x v="31"/>
    <x v="59"/>
    <n v="64"/>
  </r>
  <r>
    <x v="64"/>
    <x v="31"/>
    <x v="60"/>
    <n v="64"/>
  </r>
  <r>
    <x v="64"/>
    <x v="31"/>
    <x v="61"/>
    <n v="64"/>
  </r>
  <r>
    <x v="64"/>
    <x v="31"/>
    <x v="62"/>
    <n v="64"/>
  </r>
  <r>
    <x v="64"/>
    <x v="31"/>
    <x v="63"/>
    <n v="64"/>
  </r>
  <r>
    <x v="64"/>
    <x v="31"/>
    <x v="64"/>
    <n v="64"/>
  </r>
  <r>
    <x v="64"/>
    <x v="31"/>
    <x v="65"/>
    <n v="64"/>
  </r>
  <r>
    <x v="64"/>
    <x v="31"/>
    <x v="66"/>
    <n v="64"/>
  </r>
  <r>
    <x v="64"/>
    <x v="31"/>
    <x v="67"/>
    <n v="64"/>
  </r>
  <r>
    <x v="64"/>
    <x v="31"/>
    <x v="68"/>
    <n v="64"/>
  </r>
  <r>
    <x v="64"/>
    <x v="31"/>
    <x v="69"/>
    <n v="64"/>
  </r>
  <r>
    <x v="64"/>
    <x v="31"/>
    <x v="70"/>
    <n v="64"/>
  </r>
  <r>
    <x v="64"/>
    <x v="31"/>
    <x v="71"/>
    <n v="64"/>
  </r>
  <r>
    <x v="64"/>
    <x v="31"/>
    <x v="72"/>
    <n v="64"/>
  </r>
  <r>
    <x v="65"/>
    <x v="31"/>
    <x v="0"/>
    <n v="13"/>
  </r>
  <r>
    <x v="65"/>
    <x v="31"/>
    <x v="1"/>
    <n v="14"/>
  </r>
  <r>
    <x v="65"/>
    <x v="31"/>
    <x v="2"/>
    <n v="82"/>
  </r>
  <r>
    <x v="65"/>
    <x v="31"/>
    <x v="3"/>
    <n v="54"/>
  </r>
  <r>
    <x v="65"/>
    <x v="31"/>
    <x v="4"/>
    <n v="55"/>
  </r>
  <r>
    <x v="65"/>
    <x v="31"/>
    <x v="5"/>
    <n v="53"/>
  </r>
  <r>
    <x v="65"/>
    <x v="31"/>
    <x v="6"/>
    <n v="61"/>
  </r>
  <r>
    <x v="65"/>
    <x v="31"/>
    <x v="7"/>
    <n v="65"/>
  </r>
  <r>
    <x v="65"/>
    <x v="31"/>
    <x v="8"/>
    <n v="64"/>
  </r>
  <r>
    <x v="65"/>
    <x v="31"/>
    <x v="9"/>
    <n v="65"/>
  </r>
  <r>
    <x v="65"/>
    <x v="31"/>
    <x v="10"/>
    <n v="75"/>
  </r>
  <r>
    <x v="65"/>
    <x v="31"/>
    <x v="11"/>
    <n v="76"/>
  </r>
  <r>
    <x v="65"/>
    <x v="31"/>
    <x v="12"/>
    <n v="94"/>
  </r>
  <r>
    <x v="65"/>
    <x v="31"/>
    <x v="13"/>
    <n v="96"/>
  </r>
  <r>
    <x v="65"/>
    <x v="31"/>
    <x v="14"/>
    <n v="103"/>
  </r>
  <r>
    <x v="65"/>
    <x v="31"/>
    <x v="15"/>
    <n v="104"/>
  </r>
  <r>
    <x v="65"/>
    <x v="31"/>
    <x v="16"/>
    <n v="107"/>
  </r>
  <r>
    <x v="65"/>
    <x v="31"/>
    <x v="17"/>
    <n v="108"/>
  </r>
  <r>
    <x v="65"/>
    <x v="31"/>
    <x v="18"/>
    <n v="90"/>
  </r>
  <r>
    <x v="65"/>
    <x v="31"/>
    <x v="19"/>
    <n v="87"/>
  </r>
  <r>
    <x v="65"/>
    <x v="31"/>
    <x v="20"/>
    <n v="89"/>
  </r>
  <r>
    <x v="65"/>
    <x v="31"/>
    <x v="21"/>
    <n v="94"/>
  </r>
  <r>
    <x v="65"/>
    <x v="31"/>
    <x v="22"/>
    <n v="80"/>
  </r>
  <r>
    <x v="65"/>
    <x v="31"/>
    <x v="23"/>
    <n v="68"/>
  </r>
  <r>
    <x v="65"/>
    <x v="31"/>
    <x v="24"/>
    <n v="66"/>
  </r>
  <r>
    <x v="65"/>
    <x v="31"/>
    <x v="25"/>
    <n v="72"/>
  </r>
  <r>
    <x v="65"/>
    <x v="31"/>
    <x v="26"/>
    <n v="72"/>
  </r>
  <r>
    <x v="65"/>
    <x v="31"/>
    <x v="27"/>
    <n v="66"/>
  </r>
  <r>
    <x v="65"/>
    <x v="31"/>
    <x v="28"/>
    <n v="64"/>
  </r>
  <r>
    <x v="65"/>
    <x v="31"/>
    <x v="29"/>
    <n v="64"/>
  </r>
  <r>
    <x v="65"/>
    <x v="31"/>
    <x v="30"/>
    <n v="64"/>
  </r>
  <r>
    <x v="65"/>
    <x v="31"/>
    <x v="31"/>
    <n v="64"/>
  </r>
  <r>
    <x v="65"/>
    <x v="31"/>
    <x v="32"/>
    <n v="64"/>
  </r>
  <r>
    <x v="65"/>
    <x v="31"/>
    <x v="33"/>
    <n v="64"/>
  </r>
  <r>
    <x v="65"/>
    <x v="31"/>
    <x v="34"/>
    <n v="64"/>
  </r>
  <r>
    <x v="65"/>
    <x v="31"/>
    <x v="35"/>
    <n v="64"/>
  </r>
  <r>
    <x v="65"/>
    <x v="31"/>
    <x v="36"/>
    <n v="64"/>
  </r>
  <r>
    <x v="65"/>
    <x v="31"/>
    <x v="37"/>
    <n v="64"/>
  </r>
  <r>
    <x v="65"/>
    <x v="31"/>
    <x v="38"/>
    <n v="64"/>
  </r>
  <r>
    <x v="65"/>
    <x v="31"/>
    <x v="39"/>
    <n v="64"/>
  </r>
  <r>
    <x v="65"/>
    <x v="31"/>
    <x v="40"/>
    <n v="64"/>
  </r>
  <r>
    <x v="65"/>
    <x v="31"/>
    <x v="41"/>
    <n v="64"/>
  </r>
  <r>
    <x v="65"/>
    <x v="31"/>
    <x v="42"/>
    <n v="64"/>
  </r>
  <r>
    <x v="65"/>
    <x v="31"/>
    <x v="43"/>
    <n v="64"/>
  </r>
  <r>
    <x v="65"/>
    <x v="31"/>
    <x v="44"/>
    <n v="64"/>
  </r>
  <r>
    <x v="65"/>
    <x v="31"/>
    <x v="45"/>
    <n v="64"/>
  </r>
  <r>
    <x v="65"/>
    <x v="31"/>
    <x v="46"/>
    <n v="64"/>
  </r>
  <r>
    <x v="65"/>
    <x v="31"/>
    <x v="47"/>
    <n v="64"/>
  </r>
  <r>
    <x v="65"/>
    <x v="31"/>
    <x v="48"/>
    <n v="64"/>
  </r>
  <r>
    <x v="65"/>
    <x v="31"/>
    <x v="49"/>
    <n v="64"/>
  </r>
  <r>
    <x v="65"/>
    <x v="31"/>
    <x v="50"/>
    <n v="64"/>
  </r>
  <r>
    <x v="65"/>
    <x v="31"/>
    <x v="51"/>
    <n v="64"/>
  </r>
  <r>
    <x v="65"/>
    <x v="31"/>
    <x v="52"/>
    <n v="64"/>
  </r>
  <r>
    <x v="65"/>
    <x v="31"/>
    <x v="53"/>
    <n v="64"/>
  </r>
  <r>
    <x v="65"/>
    <x v="31"/>
    <x v="54"/>
    <n v="64"/>
  </r>
  <r>
    <x v="65"/>
    <x v="31"/>
    <x v="55"/>
    <n v="64"/>
  </r>
  <r>
    <x v="65"/>
    <x v="31"/>
    <x v="56"/>
    <n v="64"/>
  </r>
  <r>
    <x v="65"/>
    <x v="31"/>
    <x v="57"/>
    <n v="64"/>
  </r>
  <r>
    <x v="65"/>
    <x v="31"/>
    <x v="58"/>
    <n v="64"/>
  </r>
  <r>
    <x v="65"/>
    <x v="31"/>
    <x v="59"/>
    <n v="64"/>
  </r>
  <r>
    <x v="65"/>
    <x v="31"/>
    <x v="60"/>
    <n v="64"/>
  </r>
  <r>
    <x v="65"/>
    <x v="31"/>
    <x v="61"/>
    <n v="64"/>
  </r>
  <r>
    <x v="65"/>
    <x v="31"/>
    <x v="62"/>
    <n v="64"/>
  </r>
  <r>
    <x v="65"/>
    <x v="31"/>
    <x v="63"/>
    <n v="64"/>
  </r>
  <r>
    <x v="65"/>
    <x v="31"/>
    <x v="64"/>
    <n v="64"/>
  </r>
  <r>
    <x v="65"/>
    <x v="31"/>
    <x v="65"/>
    <n v="64"/>
  </r>
  <r>
    <x v="65"/>
    <x v="31"/>
    <x v="66"/>
    <n v="64"/>
  </r>
  <r>
    <x v="65"/>
    <x v="31"/>
    <x v="67"/>
    <n v="64"/>
  </r>
  <r>
    <x v="65"/>
    <x v="31"/>
    <x v="68"/>
    <n v="64"/>
  </r>
  <r>
    <x v="65"/>
    <x v="31"/>
    <x v="69"/>
    <n v="64"/>
  </r>
  <r>
    <x v="65"/>
    <x v="31"/>
    <x v="70"/>
    <n v="64"/>
  </r>
  <r>
    <x v="65"/>
    <x v="31"/>
    <x v="71"/>
    <n v="64"/>
  </r>
  <r>
    <x v="65"/>
    <x v="31"/>
    <x v="72"/>
    <n v="64"/>
  </r>
  <r>
    <x v="66"/>
    <x v="31"/>
    <x v="0"/>
    <n v="65"/>
  </r>
  <r>
    <x v="66"/>
    <x v="31"/>
    <x v="1"/>
    <n v="62"/>
  </r>
  <r>
    <x v="66"/>
    <x v="31"/>
    <x v="2"/>
    <n v="75"/>
  </r>
  <r>
    <x v="66"/>
    <x v="31"/>
    <x v="3"/>
    <n v="38"/>
  </r>
  <r>
    <x v="66"/>
    <x v="31"/>
    <x v="4"/>
    <n v="39"/>
  </r>
  <r>
    <x v="66"/>
    <x v="31"/>
    <x v="5"/>
    <n v="41"/>
  </r>
  <r>
    <x v="66"/>
    <x v="31"/>
    <x v="6"/>
    <n v="61"/>
  </r>
  <r>
    <x v="66"/>
    <x v="31"/>
    <x v="7"/>
    <n v="49"/>
  </r>
  <r>
    <x v="66"/>
    <x v="31"/>
    <x v="8"/>
    <n v="52"/>
  </r>
  <r>
    <x v="66"/>
    <x v="31"/>
    <x v="9"/>
    <n v="56"/>
  </r>
  <r>
    <x v="66"/>
    <x v="31"/>
    <x v="10"/>
    <n v="51"/>
  </r>
  <r>
    <x v="66"/>
    <x v="31"/>
    <x v="11"/>
    <n v="54"/>
  </r>
  <r>
    <x v="66"/>
    <x v="31"/>
    <x v="12"/>
    <n v="33"/>
  </r>
  <r>
    <x v="66"/>
    <x v="31"/>
    <x v="13"/>
    <n v="43"/>
  </r>
  <r>
    <x v="66"/>
    <x v="31"/>
    <x v="14"/>
    <n v="43"/>
  </r>
  <r>
    <x v="66"/>
    <x v="31"/>
    <x v="15"/>
    <n v="35"/>
  </r>
  <r>
    <x v="66"/>
    <x v="31"/>
    <x v="16"/>
    <n v="43"/>
  </r>
  <r>
    <x v="66"/>
    <x v="31"/>
    <x v="17"/>
    <n v="48"/>
  </r>
  <r>
    <x v="66"/>
    <x v="31"/>
    <x v="18"/>
    <n v="23"/>
  </r>
  <r>
    <x v="66"/>
    <x v="31"/>
    <x v="19"/>
    <n v="31"/>
  </r>
  <r>
    <x v="66"/>
    <x v="31"/>
    <x v="20"/>
    <n v="32"/>
  </r>
  <r>
    <x v="66"/>
    <x v="31"/>
    <x v="21"/>
    <n v="48"/>
  </r>
  <r>
    <x v="66"/>
    <x v="31"/>
    <x v="22"/>
    <n v="52"/>
  </r>
  <r>
    <x v="66"/>
    <x v="31"/>
    <x v="23"/>
    <n v="57"/>
  </r>
  <r>
    <x v="66"/>
    <x v="31"/>
    <x v="24"/>
    <n v="60"/>
  </r>
  <r>
    <x v="66"/>
    <x v="31"/>
    <x v="25"/>
    <n v="68"/>
  </r>
  <r>
    <x v="66"/>
    <x v="31"/>
    <x v="26"/>
    <n v="68"/>
  </r>
  <r>
    <x v="66"/>
    <x v="31"/>
    <x v="27"/>
    <n v="66"/>
  </r>
  <r>
    <x v="66"/>
    <x v="31"/>
    <x v="28"/>
    <n v="64"/>
  </r>
  <r>
    <x v="66"/>
    <x v="31"/>
    <x v="29"/>
    <n v="64"/>
  </r>
  <r>
    <x v="66"/>
    <x v="31"/>
    <x v="30"/>
    <n v="64"/>
  </r>
  <r>
    <x v="66"/>
    <x v="31"/>
    <x v="31"/>
    <n v="64"/>
  </r>
  <r>
    <x v="66"/>
    <x v="31"/>
    <x v="32"/>
    <n v="64"/>
  </r>
  <r>
    <x v="66"/>
    <x v="31"/>
    <x v="33"/>
    <n v="64"/>
  </r>
  <r>
    <x v="66"/>
    <x v="31"/>
    <x v="34"/>
    <n v="64"/>
  </r>
  <r>
    <x v="66"/>
    <x v="31"/>
    <x v="35"/>
    <n v="64"/>
  </r>
  <r>
    <x v="66"/>
    <x v="31"/>
    <x v="36"/>
    <n v="64"/>
  </r>
  <r>
    <x v="66"/>
    <x v="31"/>
    <x v="37"/>
    <n v="64"/>
  </r>
  <r>
    <x v="66"/>
    <x v="31"/>
    <x v="38"/>
    <n v="64"/>
  </r>
  <r>
    <x v="66"/>
    <x v="31"/>
    <x v="39"/>
    <n v="64"/>
  </r>
  <r>
    <x v="66"/>
    <x v="31"/>
    <x v="40"/>
    <n v="64"/>
  </r>
  <r>
    <x v="66"/>
    <x v="31"/>
    <x v="41"/>
    <n v="64"/>
  </r>
  <r>
    <x v="66"/>
    <x v="31"/>
    <x v="42"/>
    <n v="64"/>
  </r>
  <r>
    <x v="66"/>
    <x v="31"/>
    <x v="43"/>
    <n v="64"/>
  </r>
  <r>
    <x v="66"/>
    <x v="31"/>
    <x v="44"/>
    <n v="64"/>
  </r>
  <r>
    <x v="66"/>
    <x v="31"/>
    <x v="45"/>
    <n v="64"/>
  </r>
  <r>
    <x v="66"/>
    <x v="31"/>
    <x v="46"/>
    <n v="64"/>
  </r>
  <r>
    <x v="66"/>
    <x v="31"/>
    <x v="47"/>
    <n v="64"/>
  </r>
  <r>
    <x v="66"/>
    <x v="31"/>
    <x v="48"/>
    <n v="64"/>
  </r>
  <r>
    <x v="66"/>
    <x v="31"/>
    <x v="49"/>
    <n v="64"/>
  </r>
  <r>
    <x v="66"/>
    <x v="31"/>
    <x v="50"/>
    <n v="64"/>
  </r>
  <r>
    <x v="66"/>
    <x v="31"/>
    <x v="51"/>
    <n v="64"/>
  </r>
  <r>
    <x v="66"/>
    <x v="31"/>
    <x v="52"/>
    <n v="64"/>
  </r>
  <r>
    <x v="66"/>
    <x v="31"/>
    <x v="53"/>
    <n v="64"/>
  </r>
  <r>
    <x v="66"/>
    <x v="31"/>
    <x v="54"/>
    <n v="64"/>
  </r>
  <r>
    <x v="66"/>
    <x v="31"/>
    <x v="55"/>
    <n v="64"/>
  </r>
  <r>
    <x v="66"/>
    <x v="31"/>
    <x v="56"/>
    <n v="64"/>
  </r>
  <r>
    <x v="66"/>
    <x v="31"/>
    <x v="57"/>
    <n v="64"/>
  </r>
  <r>
    <x v="66"/>
    <x v="31"/>
    <x v="58"/>
    <n v="64"/>
  </r>
  <r>
    <x v="66"/>
    <x v="31"/>
    <x v="59"/>
    <n v="64"/>
  </r>
  <r>
    <x v="66"/>
    <x v="31"/>
    <x v="60"/>
    <n v="64"/>
  </r>
  <r>
    <x v="66"/>
    <x v="31"/>
    <x v="61"/>
    <n v="64"/>
  </r>
  <r>
    <x v="66"/>
    <x v="31"/>
    <x v="62"/>
    <n v="64"/>
  </r>
  <r>
    <x v="66"/>
    <x v="31"/>
    <x v="63"/>
    <n v="64"/>
  </r>
  <r>
    <x v="66"/>
    <x v="31"/>
    <x v="64"/>
    <n v="64"/>
  </r>
  <r>
    <x v="66"/>
    <x v="31"/>
    <x v="65"/>
    <n v="64"/>
  </r>
  <r>
    <x v="66"/>
    <x v="31"/>
    <x v="66"/>
    <n v="64"/>
  </r>
  <r>
    <x v="66"/>
    <x v="31"/>
    <x v="67"/>
    <n v="64"/>
  </r>
  <r>
    <x v="66"/>
    <x v="31"/>
    <x v="68"/>
    <n v="64"/>
  </r>
  <r>
    <x v="66"/>
    <x v="31"/>
    <x v="69"/>
    <n v="64"/>
  </r>
  <r>
    <x v="66"/>
    <x v="31"/>
    <x v="70"/>
    <n v="64"/>
  </r>
  <r>
    <x v="66"/>
    <x v="31"/>
    <x v="71"/>
    <n v="64"/>
  </r>
  <r>
    <x v="66"/>
    <x v="31"/>
    <x v="72"/>
    <n v="64"/>
  </r>
  <r>
    <x v="67"/>
    <x v="31"/>
    <x v="0"/>
    <n v="13"/>
  </r>
  <r>
    <x v="67"/>
    <x v="31"/>
    <x v="1"/>
    <n v="14"/>
  </r>
  <r>
    <x v="67"/>
    <x v="31"/>
    <x v="2"/>
    <n v="24"/>
  </r>
  <r>
    <x v="67"/>
    <x v="31"/>
    <x v="3"/>
    <n v="9"/>
  </r>
  <r>
    <x v="67"/>
    <x v="31"/>
    <x v="4"/>
    <n v="9"/>
  </r>
  <r>
    <x v="67"/>
    <x v="31"/>
    <x v="5"/>
    <n v="23"/>
  </r>
  <r>
    <x v="67"/>
    <x v="31"/>
    <x v="6"/>
    <n v="37"/>
  </r>
  <r>
    <x v="67"/>
    <x v="31"/>
    <x v="7"/>
    <n v="27"/>
  </r>
  <r>
    <x v="67"/>
    <x v="31"/>
    <x v="8"/>
    <n v="41"/>
  </r>
  <r>
    <x v="67"/>
    <x v="31"/>
    <x v="9"/>
    <n v="42"/>
  </r>
  <r>
    <x v="67"/>
    <x v="31"/>
    <x v="10"/>
    <n v="40"/>
  </r>
  <r>
    <x v="67"/>
    <x v="31"/>
    <x v="11"/>
    <n v="50"/>
  </r>
  <r>
    <x v="67"/>
    <x v="31"/>
    <x v="12"/>
    <n v="51"/>
  </r>
  <r>
    <x v="67"/>
    <x v="31"/>
    <x v="13"/>
    <n v="59"/>
  </r>
  <r>
    <x v="67"/>
    <x v="31"/>
    <x v="14"/>
    <n v="55"/>
  </r>
  <r>
    <x v="67"/>
    <x v="31"/>
    <x v="15"/>
    <n v="63"/>
  </r>
  <r>
    <x v="67"/>
    <x v="31"/>
    <x v="16"/>
    <n v="68"/>
  </r>
  <r>
    <x v="67"/>
    <x v="31"/>
    <x v="17"/>
    <n v="63"/>
  </r>
  <r>
    <x v="67"/>
    <x v="31"/>
    <x v="18"/>
    <n v="57"/>
  </r>
  <r>
    <x v="67"/>
    <x v="31"/>
    <x v="19"/>
    <n v="55"/>
  </r>
  <r>
    <x v="67"/>
    <x v="31"/>
    <x v="20"/>
    <n v="56"/>
  </r>
  <r>
    <x v="67"/>
    <x v="31"/>
    <x v="21"/>
    <n v="62"/>
  </r>
  <r>
    <x v="67"/>
    <x v="31"/>
    <x v="22"/>
    <n v="62"/>
  </r>
  <r>
    <x v="67"/>
    <x v="31"/>
    <x v="23"/>
    <n v="69"/>
  </r>
  <r>
    <x v="67"/>
    <x v="31"/>
    <x v="24"/>
    <n v="76"/>
  </r>
  <r>
    <x v="67"/>
    <x v="31"/>
    <x v="25"/>
    <n v="81"/>
  </r>
  <r>
    <x v="67"/>
    <x v="31"/>
    <x v="26"/>
    <n v="81"/>
  </r>
  <r>
    <x v="67"/>
    <x v="31"/>
    <x v="27"/>
    <n v="81"/>
  </r>
  <r>
    <x v="67"/>
    <x v="31"/>
    <x v="28"/>
    <n v="64"/>
  </r>
  <r>
    <x v="67"/>
    <x v="31"/>
    <x v="29"/>
    <n v="64"/>
  </r>
  <r>
    <x v="67"/>
    <x v="31"/>
    <x v="30"/>
    <n v="64"/>
  </r>
  <r>
    <x v="67"/>
    <x v="31"/>
    <x v="31"/>
    <n v="64"/>
  </r>
  <r>
    <x v="67"/>
    <x v="31"/>
    <x v="32"/>
    <n v="64"/>
  </r>
  <r>
    <x v="67"/>
    <x v="31"/>
    <x v="33"/>
    <n v="64"/>
  </r>
  <r>
    <x v="67"/>
    <x v="31"/>
    <x v="34"/>
    <n v="64"/>
  </r>
  <r>
    <x v="67"/>
    <x v="31"/>
    <x v="35"/>
    <n v="64"/>
  </r>
  <r>
    <x v="67"/>
    <x v="31"/>
    <x v="36"/>
    <n v="64"/>
  </r>
  <r>
    <x v="67"/>
    <x v="31"/>
    <x v="37"/>
    <n v="64"/>
  </r>
  <r>
    <x v="67"/>
    <x v="31"/>
    <x v="38"/>
    <n v="64"/>
  </r>
  <r>
    <x v="67"/>
    <x v="31"/>
    <x v="39"/>
    <n v="64"/>
  </r>
  <r>
    <x v="67"/>
    <x v="31"/>
    <x v="40"/>
    <n v="64"/>
  </r>
  <r>
    <x v="67"/>
    <x v="31"/>
    <x v="41"/>
    <n v="64"/>
  </r>
  <r>
    <x v="67"/>
    <x v="31"/>
    <x v="42"/>
    <n v="64"/>
  </r>
  <r>
    <x v="67"/>
    <x v="31"/>
    <x v="43"/>
    <n v="64"/>
  </r>
  <r>
    <x v="67"/>
    <x v="31"/>
    <x v="44"/>
    <n v="64"/>
  </r>
  <r>
    <x v="67"/>
    <x v="31"/>
    <x v="45"/>
    <n v="64"/>
  </r>
  <r>
    <x v="67"/>
    <x v="31"/>
    <x v="46"/>
    <n v="64"/>
  </r>
  <r>
    <x v="67"/>
    <x v="31"/>
    <x v="47"/>
    <n v="64"/>
  </r>
  <r>
    <x v="67"/>
    <x v="31"/>
    <x v="48"/>
    <n v="64"/>
  </r>
  <r>
    <x v="67"/>
    <x v="31"/>
    <x v="49"/>
    <n v="64"/>
  </r>
  <r>
    <x v="67"/>
    <x v="31"/>
    <x v="50"/>
    <n v="64"/>
  </r>
  <r>
    <x v="67"/>
    <x v="31"/>
    <x v="51"/>
    <n v="64"/>
  </r>
  <r>
    <x v="67"/>
    <x v="31"/>
    <x v="52"/>
    <n v="64"/>
  </r>
  <r>
    <x v="67"/>
    <x v="31"/>
    <x v="53"/>
    <n v="64"/>
  </r>
  <r>
    <x v="67"/>
    <x v="31"/>
    <x v="54"/>
    <n v="64"/>
  </r>
  <r>
    <x v="67"/>
    <x v="31"/>
    <x v="55"/>
    <n v="64"/>
  </r>
  <r>
    <x v="67"/>
    <x v="31"/>
    <x v="56"/>
    <n v="64"/>
  </r>
  <r>
    <x v="67"/>
    <x v="31"/>
    <x v="57"/>
    <n v="64"/>
  </r>
  <r>
    <x v="67"/>
    <x v="31"/>
    <x v="58"/>
    <n v="64"/>
  </r>
  <r>
    <x v="67"/>
    <x v="31"/>
    <x v="59"/>
    <n v="64"/>
  </r>
  <r>
    <x v="67"/>
    <x v="31"/>
    <x v="60"/>
    <n v="64"/>
  </r>
  <r>
    <x v="67"/>
    <x v="31"/>
    <x v="61"/>
    <n v="64"/>
  </r>
  <r>
    <x v="67"/>
    <x v="31"/>
    <x v="62"/>
    <n v="64"/>
  </r>
  <r>
    <x v="67"/>
    <x v="31"/>
    <x v="63"/>
    <n v="64"/>
  </r>
  <r>
    <x v="67"/>
    <x v="31"/>
    <x v="64"/>
    <n v="64"/>
  </r>
  <r>
    <x v="67"/>
    <x v="31"/>
    <x v="65"/>
    <n v="64"/>
  </r>
  <r>
    <x v="67"/>
    <x v="31"/>
    <x v="66"/>
    <n v="64"/>
  </r>
  <r>
    <x v="67"/>
    <x v="31"/>
    <x v="67"/>
    <n v="64"/>
  </r>
  <r>
    <x v="67"/>
    <x v="31"/>
    <x v="68"/>
    <n v="64"/>
  </r>
  <r>
    <x v="67"/>
    <x v="31"/>
    <x v="69"/>
    <n v="64"/>
  </r>
  <r>
    <x v="67"/>
    <x v="31"/>
    <x v="70"/>
    <n v="64"/>
  </r>
  <r>
    <x v="67"/>
    <x v="31"/>
    <x v="71"/>
    <n v="64"/>
  </r>
  <r>
    <x v="67"/>
    <x v="31"/>
    <x v="72"/>
    <n v="64"/>
  </r>
  <r>
    <x v="68"/>
    <x v="32"/>
    <x v="0"/>
    <n v="13"/>
  </r>
  <r>
    <x v="68"/>
    <x v="32"/>
    <x v="1"/>
    <n v="14"/>
  </r>
  <r>
    <x v="68"/>
    <x v="32"/>
    <x v="2"/>
    <n v="52"/>
  </r>
  <r>
    <x v="68"/>
    <x v="32"/>
    <x v="3"/>
    <n v="77"/>
  </r>
  <r>
    <x v="68"/>
    <x v="32"/>
    <x v="4"/>
    <n v="79"/>
  </r>
  <r>
    <x v="68"/>
    <x v="32"/>
    <x v="5"/>
    <n v="77"/>
  </r>
  <r>
    <x v="68"/>
    <x v="32"/>
    <x v="6"/>
    <n v="82"/>
  </r>
  <r>
    <x v="68"/>
    <x v="32"/>
    <x v="7"/>
    <n v="80"/>
  </r>
  <r>
    <x v="68"/>
    <x v="32"/>
    <x v="8"/>
    <n v="85"/>
  </r>
  <r>
    <x v="68"/>
    <x v="32"/>
    <x v="9"/>
    <n v="86"/>
  </r>
  <r>
    <x v="68"/>
    <x v="32"/>
    <x v="10"/>
    <n v="82"/>
  </r>
  <r>
    <x v="68"/>
    <x v="32"/>
    <x v="11"/>
    <n v="81"/>
  </r>
  <r>
    <x v="68"/>
    <x v="32"/>
    <x v="12"/>
    <n v="98"/>
  </r>
  <r>
    <x v="68"/>
    <x v="32"/>
    <x v="13"/>
    <n v="100"/>
  </r>
  <r>
    <x v="68"/>
    <x v="32"/>
    <x v="14"/>
    <n v="100"/>
  </r>
  <r>
    <x v="68"/>
    <x v="32"/>
    <x v="15"/>
    <n v="98"/>
  </r>
  <r>
    <x v="68"/>
    <x v="32"/>
    <x v="16"/>
    <n v="104"/>
  </r>
  <r>
    <x v="68"/>
    <x v="32"/>
    <x v="17"/>
    <n v="104"/>
  </r>
  <r>
    <x v="68"/>
    <x v="32"/>
    <x v="18"/>
    <n v="95"/>
  </r>
  <r>
    <x v="68"/>
    <x v="32"/>
    <x v="19"/>
    <n v="98"/>
  </r>
  <r>
    <x v="68"/>
    <x v="32"/>
    <x v="20"/>
    <n v="100"/>
  </r>
  <r>
    <x v="68"/>
    <x v="32"/>
    <x v="21"/>
    <n v="93"/>
  </r>
  <r>
    <x v="68"/>
    <x v="32"/>
    <x v="22"/>
    <n v="89"/>
  </r>
  <r>
    <x v="68"/>
    <x v="32"/>
    <x v="23"/>
    <n v="83"/>
  </r>
  <r>
    <x v="68"/>
    <x v="32"/>
    <x v="24"/>
    <n v="79"/>
  </r>
  <r>
    <x v="68"/>
    <x v="32"/>
    <x v="25"/>
    <n v="59"/>
  </r>
  <r>
    <x v="68"/>
    <x v="32"/>
    <x v="26"/>
    <n v="59"/>
  </r>
  <r>
    <x v="68"/>
    <x v="32"/>
    <x v="27"/>
    <n v="60"/>
  </r>
  <r>
    <x v="68"/>
    <x v="32"/>
    <x v="28"/>
    <n v="69"/>
  </r>
  <r>
    <x v="68"/>
    <x v="32"/>
    <x v="29"/>
    <n v="69"/>
  </r>
  <r>
    <x v="68"/>
    <x v="32"/>
    <x v="30"/>
    <n v="69"/>
  </r>
  <r>
    <x v="68"/>
    <x v="32"/>
    <x v="31"/>
    <n v="69"/>
  </r>
  <r>
    <x v="68"/>
    <x v="32"/>
    <x v="32"/>
    <n v="69"/>
  </r>
  <r>
    <x v="68"/>
    <x v="32"/>
    <x v="33"/>
    <n v="69"/>
  </r>
  <r>
    <x v="68"/>
    <x v="32"/>
    <x v="34"/>
    <n v="69"/>
  </r>
  <r>
    <x v="68"/>
    <x v="32"/>
    <x v="35"/>
    <n v="69"/>
  </r>
  <r>
    <x v="68"/>
    <x v="32"/>
    <x v="36"/>
    <n v="69"/>
  </r>
  <r>
    <x v="68"/>
    <x v="32"/>
    <x v="37"/>
    <n v="69"/>
  </r>
  <r>
    <x v="68"/>
    <x v="32"/>
    <x v="38"/>
    <n v="69"/>
  </r>
  <r>
    <x v="68"/>
    <x v="32"/>
    <x v="39"/>
    <n v="69"/>
  </r>
  <r>
    <x v="68"/>
    <x v="32"/>
    <x v="40"/>
    <n v="69"/>
  </r>
  <r>
    <x v="68"/>
    <x v="32"/>
    <x v="41"/>
    <n v="69"/>
  </r>
  <r>
    <x v="68"/>
    <x v="32"/>
    <x v="42"/>
    <n v="69"/>
  </r>
  <r>
    <x v="68"/>
    <x v="32"/>
    <x v="43"/>
    <n v="69"/>
  </r>
  <r>
    <x v="68"/>
    <x v="32"/>
    <x v="44"/>
    <n v="69"/>
  </r>
  <r>
    <x v="68"/>
    <x v="32"/>
    <x v="45"/>
    <n v="69"/>
  </r>
  <r>
    <x v="68"/>
    <x v="32"/>
    <x v="46"/>
    <n v="69"/>
  </r>
  <r>
    <x v="68"/>
    <x v="32"/>
    <x v="47"/>
    <n v="69"/>
  </r>
  <r>
    <x v="68"/>
    <x v="32"/>
    <x v="48"/>
    <n v="69"/>
  </r>
  <r>
    <x v="68"/>
    <x v="32"/>
    <x v="49"/>
    <n v="69"/>
  </r>
  <r>
    <x v="68"/>
    <x v="32"/>
    <x v="50"/>
    <n v="69"/>
  </r>
  <r>
    <x v="68"/>
    <x v="32"/>
    <x v="51"/>
    <n v="69"/>
  </r>
  <r>
    <x v="68"/>
    <x v="32"/>
    <x v="52"/>
    <n v="69"/>
  </r>
  <r>
    <x v="68"/>
    <x v="32"/>
    <x v="53"/>
    <n v="69"/>
  </r>
  <r>
    <x v="68"/>
    <x v="32"/>
    <x v="54"/>
    <n v="69"/>
  </r>
  <r>
    <x v="68"/>
    <x v="32"/>
    <x v="55"/>
    <n v="69"/>
  </r>
  <r>
    <x v="68"/>
    <x v="32"/>
    <x v="56"/>
    <n v="69"/>
  </r>
  <r>
    <x v="68"/>
    <x v="32"/>
    <x v="57"/>
    <n v="69"/>
  </r>
  <r>
    <x v="68"/>
    <x v="32"/>
    <x v="58"/>
    <n v="69"/>
  </r>
  <r>
    <x v="68"/>
    <x v="32"/>
    <x v="59"/>
    <n v="69"/>
  </r>
  <r>
    <x v="68"/>
    <x v="32"/>
    <x v="60"/>
    <n v="69"/>
  </r>
  <r>
    <x v="68"/>
    <x v="32"/>
    <x v="61"/>
    <n v="69"/>
  </r>
  <r>
    <x v="68"/>
    <x v="32"/>
    <x v="62"/>
    <n v="69"/>
  </r>
  <r>
    <x v="68"/>
    <x v="32"/>
    <x v="63"/>
    <n v="69"/>
  </r>
  <r>
    <x v="68"/>
    <x v="32"/>
    <x v="64"/>
    <n v="69"/>
  </r>
  <r>
    <x v="68"/>
    <x v="32"/>
    <x v="65"/>
    <n v="69"/>
  </r>
  <r>
    <x v="68"/>
    <x v="32"/>
    <x v="66"/>
    <n v="69"/>
  </r>
  <r>
    <x v="68"/>
    <x v="32"/>
    <x v="67"/>
    <n v="69"/>
  </r>
  <r>
    <x v="68"/>
    <x v="32"/>
    <x v="68"/>
    <n v="69"/>
  </r>
  <r>
    <x v="68"/>
    <x v="32"/>
    <x v="69"/>
    <n v="69"/>
  </r>
  <r>
    <x v="68"/>
    <x v="32"/>
    <x v="70"/>
    <n v="69"/>
  </r>
  <r>
    <x v="68"/>
    <x v="32"/>
    <x v="71"/>
    <n v="69"/>
  </r>
  <r>
    <x v="68"/>
    <x v="32"/>
    <x v="72"/>
    <n v="69"/>
  </r>
  <r>
    <x v="69"/>
    <x v="33"/>
    <x v="0"/>
    <n v="78"/>
  </r>
  <r>
    <x v="69"/>
    <x v="33"/>
    <x v="1"/>
    <n v="77"/>
  </r>
  <r>
    <x v="69"/>
    <x v="33"/>
    <x v="2"/>
    <n v="82"/>
  </r>
  <r>
    <x v="69"/>
    <x v="33"/>
    <x v="3"/>
    <n v="98"/>
  </r>
  <r>
    <x v="69"/>
    <x v="33"/>
    <x v="4"/>
    <n v="98"/>
  </r>
  <r>
    <x v="69"/>
    <x v="33"/>
    <x v="5"/>
    <n v="100"/>
  </r>
  <r>
    <x v="69"/>
    <x v="33"/>
    <x v="6"/>
    <n v="103"/>
  </r>
  <r>
    <x v="69"/>
    <x v="33"/>
    <x v="7"/>
    <n v="102"/>
  </r>
  <r>
    <x v="69"/>
    <x v="33"/>
    <x v="8"/>
    <n v="102"/>
  </r>
  <r>
    <x v="69"/>
    <x v="33"/>
    <x v="9"/>
    <n v="103"/>
  </r>
  <r>
    <x v="69"/>
    <x v="33"/>
    <x v="10"/>
    <n v="99"/>
  </r>
  <r>
    <x v="69"/>
    <x v="33"/>
    <x v="11"/>
    <n v="98"/>
  </r>
  <r>
    <x v="69"/>
    <x v="33"/>
    <x v="12"/>
    <n v="80"/>
  </r>
  <r>
    <x v="69"/>
    <x v="33"/>
    <x v="13"/>
    <n v="83"/>
  </r>
  <r>
    <x v="69"/>
    <x v="33"/>
    <x v="14"/>
    <n v="81"/>
  </r>
  <r>
    <x v="69"/>
    <x v="33"/>
    <x v="15"/>
    <n v="84"/>
  </r>
  <r>
    <x v="69"/>
    <x v="33"/>
    <x v="16"/>
    <n v="87"/>
  </r>
  <r>
    <x v="69"/>
    <x v="33"/>
    <x v="17"/>
    <n v="70"/>
  </r>
  <r>
    <x v="69"/>
    <x v="33"/>
    <x v="18"/>
    <n v="67"/>
  </r>
  <r>
    <x v="69"/>
    <x v="33"/>
    <x v="19"/>
    <n v="67"/>
  </r>
  <r>
    <x v="69"/>
    <x v="33"/>
    <x v="20"/>
    <n v="73"/>
  </r>
  <r>
    <x v="69"/>
    <x v="33"/>
    <x v="21"/>
    <n v="75"/>
  </r>
  <r>
    <x v="69"/>
    <x v="33"/>
    <x v="22"/>
    <n v="77"/>
  </r>
  <r>
    <x v="69"/>
    <x v="33"/>
    <x v="23"/>
    <n v="64"/>
  </r>
  <r>
    <x v="69"/>
    <x v="33"/>
    <x v="24"/>
    <n v="66"/>
  </r>
  <r>
    <x v="69"/>
    <x v="33"/>
    <x v="25"/>
    <n v="72"/>
  </r>
  <r>
    <x v="69"/>
    <x v="33"/>
    <x v="26"/>
    <n v="72"/>
  </r>
  <r>
    <x v="69"/>
    <x v="33"/>
    <x v="27"/>
    <n v="71"/>
  </r>
  <r>
    <x v="69"/>
    <x v="33"/>
    <x v="28"/>
    <n v="70"/>
  </r>
  <r>
    <x v="69"/>
    <x v="33"/>
    <x v="29"/>
    <n v="70"/>
  </r>
  <r>
    <x v="69"/>
    <x v="33"/>
    <x v="30"/>
    <n v="70"/>
  </r>
  <r>
    <x v="69"/>
    <x v="33"/>
    <x v="31"/>
    <n v="70"/>
  </r>
  <r>
    <x v="69"/>
    <x v="33"/>
    <x v="32"/>
    <n v="70"/>
  </r>
  <r>
    <x v="69"/>
    <x v="33"/>
    <x v="33"/>
    <n v="70"/>
  </r>
  <r>
    <x v="69"/>
    <x v="33"/>
    <x v="34"/>
    <n v="70"/>
  </r>
  <r>
    <x v="69"/>
    <x v="33"/>
    <x v="35"/>
    <n v="70"/>
  </r>
  <r>
    <x v="69"/>
    <x v="33"/>
    <x v="36"/>
    <n v="70"/>
  </r>
  <r>
    <x v="69"/>
    <x v="33"/>
    <x v="37"/>
    <n v="70"/>
  </r>
  <r>
    <x v="69"/>
    <x v="33"/>
    <x v="38"/>
    <n v="70"/>
  </r>
  <r>
    <x v="69"/>
    <x v="33"/>
    <x v="39"/>
    <n v="70"/>
  </r>
  <r>
    <x v="69"/>
    <x v="33"/>
    <x v="40"/>
    <n v="70"/>
  </r>
  <r>
    <x v="69"/>
    <x v="33"/>
    <x v="41"/>
    <n v="70"/>
  </r>
  <r>
    <x v="69"/>
    <x v="33"/>
    <x v="42"/>
    <n v="70"/>
  </r>
  <r>
    <x v="69"/>
    <x v="33"/>
    <x v="43"/>
    <n v="70"/>
  </r>
  <r>
    <x v="69"/>
    <x v="33"/>
    <x v="44"/>
    <n v="70"/>
  </r>
  <r>
    <x v="69"/>
    <x v="33"/>
    <x v="45"/>
    <n v="70"/>
  </r>
  <r>
    <x v="69"/>
    <x v="33"/>
    <x v="46"/>
    <n v="70"/>
  </r>
  <r>
    <x v="69"/>
    <x v="33"/>
    <x v="47"/>
    <n v="70"/>
  </r>
  <r>
    <x v="69"/>
    <x v="33"/>
    <x v="48"/>
    <n v="70"/>
  </r>
  <r>
    <x v="69"/>
    <x v="33"/>
    <x v="49"/>
    <n v="70"/>
  </r>
  <r>
    <x v="69"/>
    <x v="33"/>
    <x v="50"/>
    <n v="70"/>
  </r>
  <r>
    <x v="69"/>
    <x v="33"/>
    <x v="51"/>
    <n v="70"/>
  </r>
  <r>
    <x v="69"/>
    <x v="33"/>
    <x v="52"/>
    <n v="70"/>
  </r>
  <r>
    <x v="69"/>
    <x v="33"/>
    <x v="53"/>
    <n v="70"/>
  </r>
  <r>
    <x v="69"/>
    <x v="33"/>
    <x v="54"/>
    <n v="70"/>
  </r>
  <r>
    <x v="69"/>
    <x v="33"/>
    <x v="55"/>
    <n v="70"/>
  </r>
  <r>
    <x v="69"/>
    <x v="33"/>
    <x v="56"/>
    <n v="70"/>
  </r>
  <r>
    <x v="69"/>
    <x v="33"/>
    <x v="57"/>
    <n v="70"/>
  </r>
  <r>
    <x v="69"/>
    <x v="33"/>
    <x v="58"/>
    <n v="70"/>
  </r>
  <r>
    <x v="69"/>
    <x v="33"/>
    <x v="59"/>
    <n v="70"/>
  </r>
  <r>
    <x v="69"/>
    <x v="33"/>
    <x v="60"/>
    <n v="70"/>
  </r>
  <r>
    <x v="69"/>
    <x v="33"/>
    <x v="61"/>
    <n v="70"/>
  </r>
  <r>
    <x v="69"/>
    <x v="33"/>
    <x v="62"/>
    <n v="70"/>
  </r>
  <r>
    <x v="69"/>
    <x v="33"/>
    <x v="63"/>
    <n v="70"/>
  </r>
  <r>
    <x v="69"/>
    <x v="33"/>
    <x v="64"/>
    <n v="70"/>
  </r>
  <r>
    <x v="69"/>
    <x v="33"/>
    <x v="65"/>
    <n v="70"/>
  </r>
  <r>
    <x v="69"/>
    <x v="33"/>
    <x v="66"/>
    <n v="70"/>
  </r>
  <r>
    <x v="69"/>
    <x v="33"/>
    <x v="67"/>
    <n v="70"/>
  </r>
  <r>
    <x v="69"/>
    <x v="33"/>
    <x v="68"/>
    <n v="70"/>
  </r>
  <r>
    <x v="69"/>
    <x v="33"/>
    <x v="69"/>
    <n v="70"/>
  </r>
  <r>
    <x v="69"/>
    <x v="33"/>
    <x v="70"/>
    <n v="70"/>
  </r>
  <r>
    <x v="69"/>
    <x v="33"/>
    <x v="71"/>
    <n v="70"/>
  </r>
  <r>
    <x v="69"/>
    <x v="33"/>
    <x v="72"/>
    <n v="70"/>
  </r>
  <r>
    <x v="70"/>
    <x v="34"/>
    <x v="0"/>
    <n v="65"/>
  </r>
  <r>
    <x v="70"/>
    <x v="34"/>
    <x v="1"/>
    <n v="62"/>
  </r>
  <r>
    <x v="70"/>
    <x v="34"/>
    <x v="2"/>
    <n v="110"/>
  </r>
  <r>
    <x v="70"/>
    <x v="34"/>
    <x v="3"/>
    <n v="113"/>
  </r>
  <r>
    <x v="70"/>
    <x v="34"/>
    <x v="4"/>
    <n v="113"/>
  </r>
  <r>
    <x v="70"/>
    <x v="34"/>
    <x v="5"/>
    <n v="113"/>
  </r>
  <r>
    <x v="70"/>
    <x v="34"/>
    <x v="6"/>
    <n v="108"/>
  </r>
  <r>
    <x v="70"/>
    <x v="34"/>
    <x v="7"/>
    <n v="112"/>
  </r>
  <r>
    <x v="70"/>
    <x v="34"/>
    <x v="8"/>
    <n v="112"/>
  </r>
  <r>
    <x v="70"/>
    <x v="34"/>
    <x v="9"/>
    <n v="113"/>
  </r>
  <r>
    <x v="70"/>
    <x v="34"/>
    <x v="10"/>
    <n v="113"/>
  </r>
  <r>
    <x v="70"/>
    <x v="34"/>
    <x v="11"/>
    <n v="110"/>
  </r>
  <r>
    <x v="70"/>
    <x v="34"/>
    <x v="12"/>
    <n v="112"/>
  </r>
  <r>
    <x v="70"/>
    <x v="34"/>
    <x v="13"/>
    <n v="114"/>
  </r>
  <r>
    <x v="70"/>
    <x v="34"/>
    <x v="14"/>
    <n v="114"/>
  </r>
  <r>
    <x v="70"/>
    <x v="34"/>
    <x v="15"/>
    <n v="113"/>
  </r>
  <r>
    <x v="70"/>
    <x v="34"/>
    <x v="16"/>
    <n v="111"/>
  </r>
  <r>
    <x v="70"/>
    <x v="34"/>
    <x v="17"/>
    <n v="111"/>
  </r>
  <r>
    <x v="70"/>
    <x v="34"/>
    <x v="18"/>
    <n v="110"/>
  </r>
  <r>
    <x v="70"/>
    <x v="34"/>
    <x v="19"/>
    <n v="110"/>
  </r>
  <r>
    <x v="70"/>
    <x v="34"/>
    <x v="20"/>
    <n v="100"/>
  </r>
  <r>
    <x v="70"/>
    <x v="34"/>
    <x v="21"/>
    <n v="78"/>
  </r>
  <r>
    <x v="70"/>
    <x v="34"/>
    <x v="22"/>
    <n v="98"/>
  </r>
  <r>
    <x v="70"/>
    <x v="34"/>
    <x v="23"/>
    <n v="80"/>
  </r>
  <r>
    <x v="70"/>
    <x v="34"/>
    <x v="24"/>
    <n v="96"/>
  </r>
  <r>
    <x v="70"/>
    <x v="34"/>
    <x v="25"/>
    <n v="85"/>
  </r>
  <r>
    <x v="70"/>
    <x v="34"/>
    <x v="26"/>
    <n v="85"/>
  </r>
  <r>
    <x v="70"/>
    <x v="34"/>
    <x v="27"/>
    <n v="88"/>
  </r>
  <r>
    <x v="70"/>
    <x v="34"/>
    <x v="28"/>
    <n v="71"/>
  </r>
  <r>
    <x v="70"/>
    <x v="34"/>
    <x v="29"/>
    <n v="71"/>
  </r>
  <r>
    <x v="70"/>
    <x v="34"/>
    <x v="30"/>
    <n v="71"/>
  </r>
  <r>
    <x v="70"/>
    <x v="34"/>
    <x v="31"/>
    <n v="71"/>
  </r>
  <r>
    <x v="70"/>
    <x v="34"/>
    <x v="32"/>
    <n v="71"/>
  </r>
  <r>
    <x v="70"/>
    <x v="34"/>
    <x v="33"/>
    <n v="71"/>
  </r>
  <r>
    <x v="70"/>
    <x v="34"/>
    <x v="34"/>
    <n v="71"/>
  </r>
  <r>
    <x v="70"/>
    <x v="34"/>
    <x v="35"/>
    <n v="71"/>
  </r>
  <r>
    <x v="70"/>
    <x v="34"/>
    <x v="36"/>
    <n v="71"/>
  </r>
  <r>
    <x v="70"/>
    <x v="34"/>
    <x v="37"/>
    <n v="71"/>
  </r>
  <r>
    <x v="70"/>
    <x v="34"/>
    <x v="38"/>
    <n v="71"/>
  </r>
  <r>
    <x v="70"/>
    <x v="34"/>
    <x v="39"/>
    <n v="71"/>
  </r>
  <r>
    <x v="70"/>
    <x v="34"/>
    <x v="40"/>
    <n v="71"/>
  </r>
  <r>
    <x v="70"/>
    <x v="34"/>
    <x v="41"/>
    <n v="71"/>
  </r>
  <r>
    <x v="70"/>
    <x v="34"/>
    <x v="42"/>
    <n v="71"/>
  </r>
  <r>
    <x v="70"/>
    <x v="34"/>
    <x v="43"/>
    <n v="71"/>
  </r>
  <r>
    <x v="70"/>
    <x v="34"/>
    <x v="44"/>
    <n v="71"/>
  </r>
  <r>
    <x v="70"/>
    <x v="34"/>
    <x v="45"/>
    <n v="71"/>
  </r>
  <r>
    <x v="70"/>
    <x v="34"/>
    <x v="46"/>
    <n v="71"/>
  </r>
  <r>
    <x v="70"/>
    <x v="34"/>
    <x v="47"/>
    <n v="71"/>
  </r>
  <r>
    <x v="70"/>
    <x v="34"/>
    <x v="48"/>
    <n v="71"/>
  </r>
  <r>
    <x v="70"/>
    <x v="34"/>
    <x v="49"/>
    <n v="71"/>
  </r>
  <r>
    <x v="70"/>
    <x v="34"/>
    <x v="50"/>
    <n v="71"/>
  </r>
  <r>
    <x v="70"/>
    <x v="34"/>
    <x v="51"/>
    <n v="71"/>
  </r>
  <r>
    <x v="70"/>
    <x v="34"/>
    <x v="52"/>
    <n v="71"/>
  </r>
  <r>
    <x v="70"/>
    <x v="34"/>
    <x v="53"/>
    <n v="71"/>
  </r>
  <r>
    <x v="70"/>
    <x v="34"/>
    <x v="54"/>
    <n v="71"/>
  </r>
  <r>
    <x v="70"/>
    <x v="34"/>
    <x v="55"/>
    <n v="71"/>
  </r>
  <r>
    <x v="70"/>
    <x v="34"/>
    <x v="56"/>
    <n v="71"/>
  </r>
  <r>
    <x v="70"/>
    <x v="34"/>
    <x v="57"/>
    <n v="71"/>
  </r>
  <r>
    <x v="70"/>
    <x v="34"/>
    <x v="58"/>
    <n v="71"/>
  </r>
  <r>
    <x v="70"/>
    <x v="34"/>
    <x v="59"/>
    <n v="71"/>
  </r>
  <r>
    <x v="70"/>
    <x v="34"/>
    <x v="60"/>
    <n v="71"/>
  </r>
  <r>
    <x v="70"/>
    <x v="34"/>
    <x v="61"/>
    <n v="71"/>
  </r>
  <r>
    <x v="70"/>
    <x v="34"/>
    <x v="62"/>
    <n v="71"/>
  </r>
  <r>
    <x v="70"/>
    <x v="34"/>
    <x v="63"/>
    <n v="71"/>
  </r>
  <r>
    <x v="70"/>
    <x v="34"/>
    <x v="64"/>
    <n v="71"/>
  </r>
  <r>
    <x v="70"/>
    <x v="34"/>
    <x v="65"/>
    <n v="71"/>
  </r>
  <r>
    <x v="70"/>
    <x v="34"/>
    <x v="66"/>
    <n v="71"/>
  </r>
  <r>
    <x v="70"/>
    <x v="34"/>
    <x v="67"/>
    <n v="71"/>
  </r>
  <r>
    <x v="70"/>
    <x v="34"/>
    <x v="68"/>
    <n v="71"/>
  </r>
  <r>
    <x v="70"/>
    <x v="34"/>
    <x v="69"/>
    <n v="71"/>
  </r>
  <r>
    <x v="70"/>
    <x v="34"/>
    <x v="70"/>
    <n v="71"/>
  </r>
  <r>
    <x v="70"/>
    <x v="34"/>
    <x v="71"/>
    <n v="71"/>
  </r>
  <r>
    <x v="70"/>
    <x v="34"/>
    <x v="72"/>
    <n v="71"/>
  </r>
  <r>
    <x v="71"/>
    <x v="34"/>
    <x v="0"/>
    <n v="65"/>
  </r>
  <r>
    <x v="71"/>
    <x v="34"/>
    <x v="1"/>
    <n v="62"/>
  </r>
  <r>
    <x v="71"/>
    <x v="34"/>
    <x v="2"/>
    <n v="82"/>
  </r>
  <r>
    <x v="71"/>
    <x v="34"/>
    <x v="3"/>
    <n v="54"/>
  </r>
  <r>
    <x v="71"/>
    <x v="34"/>
    <x v="4"/>
    <n v="55"/>
  </r>
  <r>
    <x v="71"/>
    <x v="34"/>
    <x v="5"/>
    <n v="53"/>
  </r>
  <r>
    <x v="71"/>
    <x v="34"/>
    <x v="6"/>
    <n v="61"/>
  </r>
  <r>
    <x v="71"/>
    <x v="34"/>
    <x v="7"/>
    <n v="65"/>
  </r>
  <r>
    <x v="71"/>
    <x v="34"/>
    <x v="8"/>
    <n v="41"/>
  </r>
  <r>
    <x v="71"/>
    <x v="34"/>
    <x v="9"/>
    <n v="42"/>
  </r>
  <r>
    <x v="71"/>
    <x v="34"/>
    <x v="10"/>
    <n v="51"/>
  </r>
  <r>
    <x v="71"/>
    <x v="34"/>
    <x v="11"/>
    <n v="28"/>
  </r>
  <r>
    <x v="71"/>
    <x v="34"/>
    <x v="12"/>
    <n v="56"/>
  </r>
  <r>
    <x v="71"/>
    <x v="34"/>
    <x v="13"/>
    <n v="58"/>
  </r>
  <r>
    <x v="71"/>
    <x v="34"/>
    <x v="14"/>
    <n v="59"/>
  </r>
  <r>
    <x v="71"/>
    <x v="34"/>
    <x v="15"/>
    <n v="69"/>
  </r>
  <r>
    <x v="71"/>
    <x v="34"/>
    <x v="16"/>
    <n v="75"/>
  </r>
  <r>
    <x v="71"/>
    <x v="34"/>
    <x v="17"/>
    <n v="76"/>
  </r>
  <r>
    <x v="71"/>
    <x v="34"/>
    <x v="18"/>
    <n v="74"/>
  </r>
  <r>
    <x v="71"/>
    <x v="34"/>
    <x v="19"/>
    <n v="81"/>
  </r>
  <r>
    <x v="71"/>
    <x v="34"/>
    <x v="20"/>
    <n v="78"/>
  </r>
  <r>
    <x v="71"/>
    <x v="34"/>
    <x v="21"/>
    <n v="83"/>
  </r>
  <r>
    <x v="71"/>
    <x v="34"/>
    <x v="22"/>
    <n v="95"/>
  </r>
  <r>
    <x v="71"/>
    <x v="34"/>
    <x v="23"/>
    <n v="88"/>
  </r>
  <r>
    <x v="71"/>
    <x v="34"/>
    <x v="24"/>
    <n v="84"/>
  </r>
  <r>
    <x v="71"/>
    <x v="34"/>
    <x v="25"/>
    <n v="65"/>
  </r>
  <r>
    <x v="71"/>
    <x v="34"/>
    <x v="26"/>
    <n v="65"/>
  </r>
  <r>
    <x v="71"/>
    <x v="34"/>
    <x v="27"/>
    <n v="74"/>
  </r>
  <r>
    <x v="71"/>
    <x v="34"/>
    <x v="28"/>
    <n v="71"/>
  </r>
  <r>
    <x v="71"/>
    <x v="34"/>
    <x v="29"/>
    <n v="71"/>
  </r>
  <r>
    <x v="71"/>
    <x v="34"/>
    <x v="30"/>
    <n v="71"/>
  </r>
  <r>
    <x v="71"/>
    <x v="34"/>
    <x v="31"/>
    <n v="71"/>
  </r>
  <r>
    <x v="71"/>
    <x v="34"/>
    <x v="32"/>
    <n v="71"/>
  </r>
  <r>
    <x v="71"/>
    <x v="34"/>
    <x v="33"/>
    <n v="71"/>
  </r>
  <r>
    <x v="71"/>
    <x v="34"/>
    <x v="34"/>
    <n v="71"/>
  </r>
  <r>
    <x v="71"/>
    <x v="34"/>
    <x v="35"/>
    <n v="71"/>
  </r>
  <r>
    <x v="71"/>
    <x v="34"/>
    <x v="36"/>
    <n v="71"/>
  </r>
  <r>
    <x v="71"/>
    <x v="34"/>
    <x v="37"/>
    <n v="71"/>
  </r>
  <r>
    <x v="71"/>
    <x v="34"/>
    <x v="38"/>
    <n v="71"/>
  </r>
  <r>
    <x v="71"/>
    <x v="34"/>
    <x v="39"/>
    <n v="71"/>
  </r>
  <r>
    <x v="71"/>
    <x v="34"/>
    <x v="40"/>
    <n v="71"/>
  </r>
  <r>
    <x v="71"/>
    <x v="34"/>
    <x v="41"/>
    <n v="71"/>
  </r>
  <r>
    <x v="71"/>
    <x v="34"/>
    <x v="42"/>
    <n v="71"/>
  </r>
  <r>
    <x v="71"/>
    <x v="34"/>
    <x v="43"/>
    <n v="71"/>
  </r>
  <r>
    <x v="71"/>
    <x v="34"/>
    <x v="44"/>
    <n v="71"/>
  </r>
  <r>
    <x v="71"/>
    <x v="34"/>
    <x v="45"/>
    <n v="71"/>
  </r>
  <r>
    <x v="71"/>
    <x v="34"/>
    <x v="46"/>
    <n v="71"/>
  </r>
  <r>
    <x v="71"/>
    <x v="34"/>
    <x v="47"/>
    <n v="71"/>
  </r>
  <r>
    <x v="71"/>
    <x v="34"/>
    <x v="48"/>
    <n v="71"/>
  </r>
  <r>
    <x v="71"/>
    <x v="34"/>
    <x v="49"/>
    <n v="71"/>
  </r>
  <r>
    <x v="71"/>
    <x v="34"/>
    <x v="50"/>
    <n v="71"/>
  </r>
  <r>
    <x v="71"/>
    <x v="34"/>
    <x v="51"/>
    <n v="71"/>
  </r>
  <r>
    <x v="71"/>
    <x v="34"/>
    <x v="52"/>
    <n v="71"/>
  </r>
  <r>
    <x v="71"/>
    <x v="34"/>
    <x v="53"/>
    <n v="71"/>
  </r>
  <r>
    <x v="71"/>
    <x v="34"/>
    <x v="54"/>
    <n v="71"/>
  </r>
  <r>
    <x v="71"/>
    <x v="34"/>
    <x v="55"/>
    <n v="71"/>
  </r>
  <r>
    <x v="71"/>
    <x v="34"/>
    <x v="56"/>
    <n v="71"/>
  </r>
  <r>
    <x v="71"/>
    <x v="34"/>
    <x v="57"/>
    <n v="71"/>
  </r>
  <r>
    <x v="71"/>
    <x v="34"/>
    <x v="58"/>
    <n v="71"/>
  </r>
  <r>
    <x v="71"/>
    <x v="34"/>
    <x v="59"/>
    <n v="71"/>
  </r>
  <r>
    <x v="71"/>
    <x v="34"/>
    <x v="60"/>
    <n v="71"/>
  </r>
  <r>
    <x v="71"/>
    <x v="34"/>
    <x v="61"/>
    <n v="71"/>
  </r>
  <r>
    <x v="71"/>
    <x v="34"/>
    <x v="62"/>
    <n v="71"/>
  </r>
  <r>
    <x v="71"/>
    <x v="34"/>
    <x v="63"/>
    <n v="71"/>
  </r>
  <r>
    <x v="71"/>
    <x v="34"/>
    <x v="64"/>
    <n v="71"/>
  </r>
  <r>
    <x v="71"/>
    <x v="34"/>
    <x v="65"/>
    <n v="71"/>
  </r>
  <r>
    <x v="71"/>
    <x v="34"/>
    <x v="66"/>
    <n v="71"/>
  </r>
  <r>
    <x v="71"/>
    <x v="34"/>
    <x v="67"/>
    <n v="71"/>
  </r>
  <r>
    <x v="71"/>
    <x v="34"/>
    <x v="68"/>
    <n v="71"/>
  </r>
  <r>
    <x v="71"/>
    <x v="34"/>
    <x v="69"/>
    <n v="71"/>
  </r>
  <r>
    <x v="71"/>
    <x v="34"/>
    <x v="70"/>
    <n v="71"/>
  </r>
  <r>
    <x v="71"/>
    <x v="34"/>
    <x v="71"/>
    <n v="71"/>
  </r>
  <r>
    <x v="71"/>
    <x v="34"/>
    <x v="72"/>
    <n v="71"/>
  </r>
  <r>
    <x v="72"/>
    <x v="34"/>
    <x v="0"/>
    <n v="13"/>
  </r>
  <r>
    <x v="72"/>
    <x v="34"/>
    <x v="1"/>
    <n v="14"/>
  </r>
  <r>
    <x v="72"/>
    <x v="34"/>
    <x v="2"/>
    <n v="24"/>
  </r>
  <r>
    <x v="72"/>
    <x v="34"/>
    <x v="3"/>
    <n v="71"/>
  </r>
  <r>
    <x v="72"/>
    <x v="34"/>
    <x v="4"/>
    <n v="71"/>
  </r>
  <r>
    <x v="72"/>
    <x v="34"/>
    <x v="5"/>
    <n v="71"/>
  </r>
  <r>
    <x v="72"/>
    <x v="34"/>
    <x v="6"/>
    <n v="59"/>
  </r>
  <r>
    <x v="72"/>
    <x v="34"/>
    <x v="7"/>
    <n v="61"/>
  </r>
  <r>
    <x v="72"/>
    <x v="34"/>
    <x v="8"/>
    <n v="72"/>
  </r>
  <r>
    <x v="72"/>
    <x v="34"/>
    <x v="9"/>
    <n v="74"/>
  </r>
  <r>
    <x v="72"/>
    <x v="34"/>
    <x v="10"/>
    <n v="69"/>
  </r>
  <r>
    <x v="72"/>
    <x v="34"/>
    <x v="11"/>
    <n v="62"/>
  </r>
  <r>
    <x v="72"/>
    <x v="34"/>
    <x v="12"/>
    <n v="37"/>
  </r>
  <r>
    <x v="72"/>
    <x v="34"/>
    <x v="13"/>
    <n v="45"/>
  </r>
  <r>
    <x v="72"/>
    <x v="34"/>
    <x v="14"/>
    <n v="45"/>
  </r>
  <r>
    <x v="72"/>
    <x v="34"/>
    <x v="15"/>
    <n v="63"/>
  </r>
  <r>
    <x v="72"/>
    <x v="34"/>
    <x v="16"/>
    <n v="68"/>
  </r>
  <r>
    <x v="72"/>
    <x v="34"/>
    <x v="17"/>
    <n v="70"/>
  </r>
  <r>
    <x v="72"/>
    <x v="34"/>
    <x v="18"/>
    <n v="67"/>
  </r>
  <r>
    <x v="72"/>
    <x v="34"/>
    <x v="19"/>
    <n v="67"/>
  </r>
  <r>
    <x v="72"/>
    <x v="34"/>
    <x v="20"/>
    <n v="66"/>
  </r>
  <r>
    <x v="72"/>
    <x v="34"/>
    <x v="21"/>
    <n v="62"/>
  </r>
  <r>
    <x v="72"/>
    <x v="34"/>
    <x v="22"/>
    <n v="62"/>
  </r>
  <r>
    <x v="72"/>
    <x v="34"/>
    <x v="23"/>
    <n v="76"/>
  </r>
  <r>
    <x v="72"/>
    <x v="34"/>
    <x v="24"/>
    <n v="71"/>
  </r>
  <r>
    <x v="72"/>
    <x v="34"/>
    <x v="25"/>
    <n v="74"/>
  </r>
  <r>
    <x v="72"/>
    <x v="34"/>
    <x v="26"/>
    <n v="74"/>
  </r>
  <r>
    <x v="72"/>
    <x v="34"/>
    <x v="27"/>
    <n v="74"/>
  </r>
  <r>
    <x v="72"/>
    <x v="34"/>
    <x v="28"/>
    <n v="71"/>
  </r>
  <r>
    <x v="72"/>
    <x v="34"/>
    <x v="29"/>
    <n v="71"/>
  </r>
  <r>
    <x v="72"/>
    <x v="34"/>
    <x v="30"/>
    <n v="71"/>
  </r>
  <r>
    <x v="72"/>
    <x v="34"/>
    <x v="31"/>
    <n v="71"/>
  </r>
  <r>
    <x v="72"/>
    <x v="34"/>
    <x v="32"/>
    <n v="71"/>
  </r>
  <r>
    <x v="72"/>
    <x v="34"/>
    <x v="33"/>
    <n v="71"/>
  </r>
  <r>
    <x v="72"/>
    <x v="34"/>
    <x v="34"/>
    <n v="71"/>
  </r>
  <r>
    <x v="72"/>
    <x v="34"/>
    <x v="35"/>
    <n v="71"/>
  </r>
  <r>
    <x v="72"/>
    <x v="34"/>
    <x v="36"/>
    <n v="71"/>
  </r>
  <r>
    <x v="72"/>
    <x v="34"/>
    <x v="37"/>
    <n v="71"/>
  </r>
  <r>
    <x v="72"/>
    <x v="34"/>
    <x v="38"/>
    <n v="71"/>
  </r>
  <r>
    <x v="72"/>
    <x v="34"/>
    <x v="39"/>
    <n v="71"/>
  </r>
  <r>
    <x v="72"/>
    <x v="34"/>
    <x v="40"/>
    <n v="71"/>
  </r>
  <r>
    <x v="72"/>
    <x v="34"/>
    <x v="41"/>
    <n v="71"/>
  </r>
  <r>
    <x v="72"/>
    <x v="34"/>
    <x v="42"/>
    <n v="71"/>
  </r>
  <r>
    <x v="72"/>
    <x v="34"/>
    <x v="43"/>
    <n v="71"/>
  </r>
  <r>
    <x v="72"/>
    <x v="34"/>
    <x v="44"/>
    <n v="71"/>
  </r>
  <r>
    <x v="72"/>
    <x v="34"/>
    <x v="45"/>
    <n v="71"/>
  </r>
  <r>
    <x v="72"/>
    <x v="34"/>
    <x v="46"/>
    <n v="71"/>
  </r>
  <r>
    <x v="72"/>
    <x v="34"/>
    <x v="47"/>
    <n v="71"/>
  </r>
  <r>
    <x v="72"/>
    <x v="34"/>
    <x v="48"/>
    <n v="71"/>
  </r>
  <r>
    <x v="72"/>
    <x v="34"/>
    <x v="49"/>
    <n v="71"/>
  </r>
  <r>
    <x v="72"/>
    <x v="34"/>
    <x v="50"/>
    <n v="71"/>
  </r>
  <r>
    <x v="72"/>
    <x v="34"/>
    <x v="51"/>
    <n v="71"/>
  </r>
  <r>
    <x v="72"/>
    <x v="34"/>
    <x v="52"/>
    <n v="71"/>
  </r>
  <r>
    <x v="72"/>
    <x v="34"/>
    <x v="53"/>
    <n v="71"/>
  </r>
  <r>
    <x v="72"/>
    <x v="34"/>
    <x v="54"/>
    <n v="71"/>
  </r>
  <r>
    <x v="72"/>
    <x v="34"/>
    <x v="55"/>
    <n v="71"/>
  </r>
  <r>
    <x v="72"/>
    <x v="34"/>
    <x v="56"/>
    <n v="71"/>
  </r>
  <r>
    <x v="72"/>
    <x v="34"/>
    <x v="57"/>
    <n v="71"/>
  </r>
  <r>
    <x v="72"/>
    <x v="34"/>
    <x v="58"/>
    <n v="71"/>
  </r>
  <r>
    <x v="72"/>
    <x v="34"/>
    <x v="59"/>
    <n v="71"/>
  </r>
  <r>
    <x v="72"/>
    <x v="34"/>
    <x v="60"/>
    <n v="71"/>
  </r>
  <r>
    <x v="72"/>
    <x v="34"/>
    <x v="61"/>
    <n v="71"/>
  </r>
  <r>
    <x v="72"/>
    <x v="34"/>
    <x v="62"/>
    <n v="71"/>
  </r>
  <r>
    <x v="72"/>
    <x v="34"/>
    <x v="63"/>
    <n v="71"/>
  </r>
  <r>
    <x v="72"/>
    <x v="34"/>
    <x v="64"/>
    <n v="71"/>
  </r>
  <r>
    <x v="72"/>
    <x v="34"/>
    <x v="65"/>
    <n v="71"/>
  </r>
  <r>
    <x v="72"/>
    <x v="34"/>
    <x v="66"/>
    <n v="71"/>
  </r>
  <r>
    <x v="72"/>
    <x v="34"/>
    <x v="67"/>
    <n v="71"/>
  </r>
  <r>
    <x v="72"/>
    <x v="34"/>
    <x v="68"/>
    <n v="71"/>
  </r>
  <r>
    <x v="72"/>
    <x v="34"/>
    <x v="69"/>
    <n v="71"/>
  </r>
  <r>
    <x v="72"/>
    <x v="34"/>
    <x v="70"/>
    <n v="71"/>
  </r>
  <r>
    <x v="72"/>
    <x v="34"/>
    <x v="71"/>
    <n v="71"/>
  </r>
  <r>
    <x v="72"/>
    <x v="34"/>
    <x v="72"/>
    <n v="71"/>
  </r>
  <r>
    <x v="73"/>
    <x v="34"/>
    <x v="0"/>
    <n v="78"/>
  </r>
  <r>
    <x v="73"/>
    <x v="34"/>
    <x v="1"/>
    <n v="77"/>
  </r>
  <r>
    <x v="73"/>
    <x v="34"/>
    <x v="2"/>
    <n v="82"/>
  </r>
  <r>
    <x v="73"/>
    <x v="34"/>
    <x v="3"/>
    <n v="89"/>
  </r>
  <r>
    <x v="73"/>
    <x v="34"/>
    <x v="4"/>
    <n v="89"/>
  </r>
  <r>
    <x v="73"/>
    <x v="34"/>
    <x v="5"/>
    <n v="88"/>
  </r>
  <r>
    <x v="73"/>
    <x v="34"/>
    <x v="6"/>
    <n v="97"/>
  </r>
  <r>
    <x v="73"/>
    <x v="34"/>
    <x v="7"/>
    <n v="98"/>
  </r>
  <r>
    <x v="73"/>
    <x v="34"/>
    <x v="8"/>
    <n v="97"/>
  </r>
  <r>
    <x v="73"/>
    <x v="34"/>
    <x v="9"/>
    <n v="98"/>
  </r>
  <r>
    <x v="73"/>
    <x v="34"/>
    <x v="10"/>
    <n v="108"/>
  </r>
  <r>
    <x v="73"/>
    <x v="34"/>
    <x v="11"/>
    <n v="109"/>
  </r>
  <r>
    <x v="73"/>
    <x v="34"/>
    <x v="12"/>
    <n v="113"/>
  </r>
  <r>
    <x v="73"/>
    <x v="34"/>
    <x v="13"/>
    <n v="110"/>
  </r>
  <r>
    <x v="73"/>
    <x v="34"/>
    <x v="14"/>
    <n v="109"/>
  </r>
  <r>
    <x v="73"/>
    <x v="34"/>
    <x v="15"/>
    <n v="104"/>
  </r>
  <r>
    <x v="73"/>
    <x v="34"/>
    <x v="16"/>
    <n v="90"/>
  </r>
  <r>
    <x v="73"/>
    <x v="34"/>
    <x v="17"/>
    <n v="92"/>
  </r>
  <r>
    <x v="73"/>
    <x v="34"/>
    <x v="18"/>
    <n v="84"/>
  </r>
  <r>
    <x v="73"/>
    <x v="34"/>
    <x v="19"/>
    <n v="87"/>
  </r>
  <r>
    <x v="73"/>
    <x v="34"/>
    <x v="20"/>
    <n v="91"/>
  </r>
  <r>
    <x v="73"/>
    <x v="34"/>
    <x v="21"/>
    <n v="94"/>
  </r>
  <r>
    <x v="73"/>
    <x v="34"/>
    <x v="22"/>
    <n v="95"/>
  </r>
  <r>
    <x v="73"/>
    <x v="34"/>
    <x v="23"/>
    <n v="78"/>
  </r>
  <r>
    <x v="73"/>
    <x v="34"/>
    <x v="24"/>
    <n v="74"/>
  </r>
  <r>
    <x v="73"/>
    <x v="34"/>
    <x v="25"/>
    <n v="69"/>
  </r>
  <r>
    <x v="73"/>
    <x v="34"/>
    <x v="26"/>
    <n v="69"/>
  </r>
  <r>
    <x v="73"/>
    <x v="34"/>
    <x v="27"/>
    <n v="63"/>
  </r>
  <r>
    <x v="73"/>
    <x v="34"/>
    <x v="28"/>
    <n v="71"/>
  </r>
  <r>
    <x v="73"/>
    <x v="34"/>
    <x v="29"/>
    <n v="71"/>
  </r>
  <r>
    <x v="73"/>
    <x v="34"/>
    <x v="30"/>
    <n v="71"/>
  </r>
  <r>
    <x v="73"/>
    <x v="34"/>
    <x v="31"/>
    <n v="71"/>
  </r>
  <r>
    <x v="73"/>
    <x v="34"/>
    <x v="32"/>
    <n v="71"/>
  </r>
  <r>
    <x v="73"/>
    <x v="34"/>
    <x v="33"/>
    <n v="71"/>
  </r>
  <r>
    <x v="73"/>
    <x v="34"/>
    <x v="34"/>
    <n v="71"/>
  </r>
  <r>
    <x v="73"/>
    <x v="34"/>
    <x v="35"/>
    <n v="71"/>
  </r>
  <r>
    <x v="73"/>
    <x v="34"/>
    <x v="36"/>
    <n v="71"/>
  </r>
  <r>
    <x v="73"/>
    <x v="34"/>
    <x v="37"/>
    <n v="71"/>
  </r>
  <r>
    <x v="73"/>
    <x v="34"/>
    <x v="38"/>
    <n v="71"/>
  </r>
  <r>
    <x v="73"/>
    <x v="34"/>
    <x v="39"/>
    <n v="71"/>
  </r>
  <r>
    <x v="73"/>
    <x v="34"/>
    <x v="40"/>
    <n v="71"/>
  </r>
  <r>
    <x v="73"/>
    <x v="34"/>
    <x v="41"/>
    <n v="71"/>
  </r>
  <r>
    <x v="73"/>
    <x v="34"/>
    <x v="42"/>
    <n v="71"/>
  </r>
  <r>
    <x v="73"/>
    <x v="34"/>
    <x v="43"/>
    <n v="71"/>
  </r>
  <r>
    <x v="73"/>
    <x v="34"/>
    <x v="44"/>
    <n v="71"/>
  </r>
  <r>
    <x v="73"/>
    <x v="34"/>
    <x v="45"/>
    <n v="71"/>
  </r>
  <r>
    <x v="73"/>
    <x v="34"/>
    <x v="46"/>
    <n v="71"/>
  </r>
  <r>
    <x v="73"/>
    <x v="34"/>
    <x v="47"/>
    <n v="71"/>
  </r>
  <r>
    <x v="73"/>
    <x v="34"/>
    <x v="48"/>
    <n v="71"/>
  </r>
  <r>
    <x v="73"/>
    <x v="34"/>
    <x v="49"/>
    <n v="71"/>
  </r>
  <r>
    <x v="73"/>
    <x v="34"/>
    <x v="50"/>
    <n v="71"/>
  </r>
  <r>
    <x v="73"/>
    <x v="34"/>
    <x v="51"/>
    <n v="71"/>
  </r>
  <r>
    <x v="73"/>
    <x v="34"/>
    <x v="52"/>
    <n v="71"/>
  </r>
  <r>
    <x v="73"/>
    <x v="34"/>
    <x v="53"/>
    <n v="71"/>
  </r>
  <r>
    <x v="73"/>
    <x v="34"/>
    <x v="54"/>
    <n v="71"/>
  </r>
  <r>
    <x v="73"/>
    <x v="34"/>
    <x v="55"/>
    <n v="71"/>
  </r>
  <r>
    <x v="73"/>
    <x v="34"/>
    <x v="56"/>
    <n v="71"/>
  </r>
  <r>
    <x v="73"/>
    <x v="34"/>
    <x v="57"/>
    <n v="71"/>
  </r>
  <r>
    <x v="73"/>
    <x v="34"/>
    <x v="58"/>
    <n v="71"/>
  </r>
  <r>
    <x v="73"/>
    <x v="34"/>
    <x v="59"/>
    <n v="71"/>
  </r>
  <r>
    <x v="73"/>
    <x v="34"/>
    <x v="60"/>
    <n v="71"/>
  </r>
  <r>
    <x v="73"/>
    <x v="34"/>
    <x v="61"/>
    <n v="71"/>
  </r>
  <r>
    <x v="73"/>
    <x v="34"/>
    <x v="62"/>
    <n v="71"/>
  </r>
  <r>
    <x v="73"/>
    <x v="34"/>
    <x v="63"/>
    <n v="71"/>
  </r>
  <r>
    <x v="73"/>
    <x v="34"/>
    <x v="64"/>
    <n v="71"/>
  </r>
  <r>
    <x v="73"/>
    <x v="34"/>
    <x v="65"/>
    <n v="71"/>
  </r>
  <r>
    <x v="73"/>
    <x v="34"/>
    <x v="66"/>
    <n v="71"/>
  </r>
  <r>
    <x v="73"/>
    <x v="34"/>
    <x v="67"/>
    <n v="71"/>
  </r>
  <r>
    <x v="73"/>
    <x v="34"/>
    <x v="68"/>
    <n v="71"/>
  </r>
  <r>
    <x v="73"/>
    <x v="34"/>
    <x v="69"/>
    <n v="71"/>
  </r>
  <r>
    <x v="73"/>
    <x v="34"/>
    <x v="70"/>
    <n v="71"/>
  </r>
  <r>
    <x v="73"/>
    <x v="34"/>
    <x v="71"/>
    <n v="71"/>
  </r>
  <r>
    <x v="73"/>
    <x v="34"/>
    <x v="72"/>
    <n v="71"/>
  </r>
  <r>
    <x v="74"/>
    <x v="34"/>
    <x v="0"/>
    <n v="13"/>
  </r>
  <r>
    <x v="74"/>
    <x v="34"/>
    <x v="1"/>
    <n v="14"/>
  </r>
  <r>
    <x v="74"/>
    <x v="34"/>
    <x v="2"/>
    <n v="52"/>
  </r>
  <r>
    <x v="74"/>
    <x v="34"/>
    <x v="3"/>
    <n v="77"/>
  </r>
  <r>
    <x v="74"/>
    <x v="34"/>
    <x v="4"/>
    <n v="79"/>
  </r>
  <r>
    <x v="74"/>
    <x v="34"/>
    <x v="5"/>
    <n v="77"/>
  </r>
  <r>
    <x v="74"/>
    <x v="34"/>
    <x v="6"/>
    <n v="67"/>
  </r>
  <r>
    <x v="74"/>
    <x v="34"/>
    <x v="7"/>
    <n v="73"/>
  </r>
  <r>
    <x v="74"/>
    <x v="34"/>
    <x v="8"/>
    <n v="72"/>
  </r>
  <r>
    <x v="74"/>
    <x v="34"/>
    <x v="9"/>
    <n v="74"/>
  </r>
  <r>
    <x v="74"/>
    <x v="34"/>
    <x v="10"/>
    <n v="69"/>
  </r>
  <r>
    <x v="74"/>
    <x v="34"/>
    <x v="11"/>
    <n v="62"/>
  </r>
  <r>
    <x v="74"/>
    <x v="34"/>
    <x v="12"/>
    <n v="68"/>
  </r>
  <r>
    <x v="74"/>
    <x v="34"/>
    <x v="13"/>
    <n v="52"/>
  </r>
  <r>
    <x v="74"/>
    <x v="34"/>
    <x v="14"/>
    <n v="51"/>
  </r>
  <r>
    <x v="74"/>
    <x v="34"/>
    <x v="15"/>
    <n v="78"/>
  </r>
  <r>
    <x v="74"/>
    <x v="34"/>
    <x v="16"/>
    <n v="68"/>
  </r>
  <r>
    <x v="74"/>
    <x v="34"/>
    <x v="17"/>
    <n v="48"/>
  </r>
  <r>
    <x v="74"/>
    <x v="34"/>
    <x v="18"/>
    <n v="42"/>
  </r>
  <r>
    <x v="74"/>
    <x v="34"/>
    <x v="19"/>
    <n v="48"/>
  </r>
  <r>
    <x v="74"/>
    <x v="34"/>
    <x v="20"/>
    <n v="51"/>
  </r>
  <r>
    <x v="74"/>
    <x v="34"/>
    <x v="21"/>
    <n v="56"/>
  </r>
  <r>
    <x v="74"/>
    <x v="34"/>
    <x v="22"/>
    <n v="58"/>
  </r>
  <r>
    <x v="74"/>
    <x v="34"/>
    <x v="23"/>
    <n v="67"/>
  </r>
  <r>
    <x v="74"/>
    <x v="34"/>
    <x v="24"/>
    <n v="63"/>
  </r>
  <r>
    <x v="74"/>
    <x v="34"/>
    <x v="25"/>
    <n v="65"/>
  </r>
  <r>
    <x v="74"/>
    <x v="34"/>
    <x v="26"/>
    <n v="65"/>
  </r>
  <r>
    <x v="74"/>
    <x v="34"/>
    <x v="27"/>
    <n v="63"/>
  </r>
  <r>
    <x v="74"/>
    <x v="34"/>
    <x v="28"/>
    <n v="71"/>
  </r>
  <r>
    <x v="74"/>
    <x v="34"/>
    <x v="29"/>
    <n v="71"/>
  </r>
  <r>
    <x v="74"/>
    <x v="34"/>
    <x v="30"/>
    <n v="71"/>
  </r>
  <r>
    <x v="74"/>
    <x v="34"/>
    <x v="31"/>
    <n v="71"/>
  </r>
  <r>
    <x v="74"/>
    <x v="34"/>
    <x v="32"/>
    <n v="71"/>
  </r>
  <r>
    <x v="74"/>
    <x v="34"/>
    <x v="33"/>
    <n v="71"/>
  </r>
  <r>
    <x v="74"/>
    <x v="34"/>
    <x v="34"/>
    <n v="71"/>
  </r>
  <r>
    <x v="74"/>
    <x v="34"/>
    <x v="35"/>
    <n v="71"/>
  </r>
  <r>
    <x v="74"/>
    <x v="34"/>
    <x v="36"/>
    <n v="71"/>
  </r>
  <r>
    <x v="74"/>
    <x v="34"/>
    <x v="37"/>
    <n v="71"/>
  </r>
  <r>
    <x v="74"/>
    <x v="34"/>
    <x v="38"/>
    <n v="71"/>
  </r>
  <r>
    <x v="74"/>
    <x v="34"/>
    <x v="39"/>
    <n v="71"/>
  </r>
  <r>
    <x v="74"/>
    <x v="34"/>
    <x v="40"/>
    <n v="71"/>
  </r>
  <r>
    <x v="74"/>
    <x v="34"/>
    <x v="41"/>
    <n v="71"/>
  </r>
  <r>
    <x v="74"/>
    <x v="34"/>
    <x v="42"/>
    <n v="71"/>
  </r>
  <r>
    <x v="74"/>
    <x v="34"/>
    <x v="43"/>
    <n v="71"/>
  </r>
  <r>
    <x v="74"/>
    <x v="34"/>
    <x v="44"/>
    <n v="71"/>
  </r>
  <r>
    <x v="74"/>
    <x v="34"/>
    <x v="45"/>
    <n v="71"/>
  </r>
  <r>
    <x v="74"/>
    <x v="34"/>
    <x v="46"/>
    <n v="71"/>
  </r>
  <r>
    <x v="74"/>
    <x v="34"/>
    <x v="47"/>
    <n v="71"/>
  </r>
  <r>
    <x v="74"/>
    <x v="34"/>
    <x v="48"/>
    <n v="71"/>
  </r>
  <r>
    <x v="74"/>
    <x v="34"/>
    <x v="49"/>
    <n v="71"/>
  </r>
  <r>
    <x v="74"/>
    <x v="34"/>
    <x v="50"/>
    <n v="71"/>
  </r>
  <r>
    <x v="74"/>
    <x v="34"/>
    <x v="51"/>
    <n v="71"/>
  </r>
  <r>
    <x v="74"/>
    <x v="34"/>
    <x v="52"/>
    <n v="71"/>
  </r>
  <r>
    <x v="74"/>
    <x v="34"/>
    <x v="53"/>
    <n v="71"/>
  </r>
  <r>
    <x v="74"/>
    <x v="34"/>
    <x v="54"/>
    <n v="71"/>
  </r>
  <r>
    <x v="74"/>
    <x v="34"/>
    <x v="55"/>
    <n v="71"/>
  </r>
  <r>
    <x v="74"/>
    <x v="34"/>
    <x v="56"/>
    <n v="71"/>
  </r>
  <r>
    <x v="74"/>
    <x v="34"/>
    <x v="57"/>
    <n v="71"/>
  </r>
  <r>
    <x v="74"/>
    <x v="34"/>
    <x v="58"/>
    <n v="71"/>
  </r>
  <r>
    <x v="74"/>
    <x v="34"/>
    <x v="59"/>
    <n v="71"/>
  </r>
  <r>
    <x v="74"/>
    <x v="34"/>
    <x v="60"/>
    <n v="71"/>
  </r>
  <r>
    <x v="74"/>
    <x v="34"/>
    <x v="61"/>
    <n v="71"/>
  </r>
  <r>
    <x v="74"/>
    <x v="34"/>
    <x v="62"/>
    <n v="71"/>
  </r>
  <r>
    <x v="74"/>
    <x v="34"/>
    <x v="63"/>
    <n v="71"/>
  </r>
  <r>
    <x v="74"/>
    <x v="34"/>
    <x v="64"/>
    <n v="71"/>
  </r>
  <r>
    <x v="74"/>
    <x v="34"/>
    <x v="65"/>
    <n v="71"/>
  </r>
  <r>
    <x v="74"/>
    <x v="34"/>
    <x v="66"/>
    <n v="71"/>
  </r>
  <r>
    <x v="74"/>
    <x v="34"/>
    <x v="67"/>
    <n v="71"/>
  </r>
  <r>
    <x v="74"/>
    <x v="34"/>
    <x v="68"/>
    <n v="71"/>
  </r>
  <r>
    <x v="74"/>
    <x v="34"/>
    <x v="69"/>
    <n v="71"/>
  </r>
  <r>
    <x v="74"/>
    <x v="34"/>
    <x v="70"/>
    <n v="71"/>
  </r>
  <r>
    <x v="74"/>
    <x v="34"/>
    <x v="71"/>
    <n v="71"/>
  </r>
  <r>
    <x v="74"/>
    <x v="34"/>
    <x v="72"/>
    <n v="71"/>
  </r>
  <r>
    <x v="75"/>
    <x v="35"/>
    <x v="0"/>
    <n v="62"/>
  </r>
  <r>
    <x v="75"/>
    <x v="35"/>
    <x v="1"/>
    <n v="59"/>
  </r>
  <r>
    <x v="75"/>
    <x v="35"/>
    <x v="2"/>
    <n v="52"/>
  </r>
  <r>
    <x v="75"/>
    <x v="35"/>
    <x v="3"/>
    <n v="67"/>
  </r>
  <r>
    <x v="75"/>
    <x v="35"/>
    <x v="4"/>
    <n v="52"/>
  </r>
  <r>
    <x v="75"/>
    <x v="35"/>
    <x v="5"/>
    <n v="33"/>
  </r>
  <r>
    <x v="75"/>
    <x v="35"/>
    <x v="6"/>
    <n v="42"/>
  </r>
  <r>
    <x v="75"/>
    <x v="35"/>
    <x v="7"/>
    <n v="43"/>
  </r>
  <r>
    <x v="75"/>
    <x v="35"/>
    <x v="8"/>
    <n v="60"/>
  </r>
  <r>
    <x v="75"/>
    <x v="35"/>
    <x v="9"/>
    <n v="50"/>
  </r>
  <r>
    <x v="75"/>
    <x v="35"/>
    <x v="10"/>
    <n v="82"/>
  </r>
  <r>
    <x v="75"/>
    <x v="35"/>
    <x v="11"/>
    <n v="81"/>
  </r>
  <r>
    <x v="75"/>
    <x v="35"/>
    <x v="12"/>
    <n v="84"/>
  </r>
  <r>
    <x v="75"/>
    <x v="35"/>
    <x v="13"/>
    <n v="87"/>
  </r>
  <r>
    <x v="75"/>
    <x v="35"/>
    <x v="14"/>
    <n v="86"/>
  </r>
  <r>
    <x v="75"/>
    <x v="35"/>
    <x v="15"/>
    <n v="93"/>
  </r>
  <r>
    <x v="75"/>
    <x v="35"/>
    <x v="16"/>
    <n v="97"/>
  </r>
  <r>
    <x v="75"/>
    <x v="35"/>
    <x v="17"/>
    <n v="76"/>
  </r>
  <r>
    <x v="75"/>
    <x v="35"/>
    <x v="18"/>
    <n v="74"/>
  </r>
  <r>
    <x v="75"/>
    <x v="35"/>
    <x v="19"/>
    <n v="64"/>
  </r>
  <r>
    <x v="75"/>
    <x v="35"/>
    <x v="20"/>
    <n v="67"/>
  </r>
  <r>
    <x v="75"/>
    <x v="35"/>
    <x v="21"/>
    <n v="72"/>
  </r>
  <r>
    <x v="75"/>
    <x v="35"/>
    <x v="22"/>
    <n v="83"/>
  </r>
  <r>
    <x v="75"/>
    <x v="35"/>
    <x v="23"/>
    <n v="98"/>
  </r>
  <r>
    <x v="75"/>
    <x v="35"/>
    <x v="24"/>
    <n v="100"/>
  </r>
  <r>
    <x v="75"/>
    <x v="35"/>
    <x v="25"/>
    <n v="76"/>
  </r>
  <r>
    <x v="75"/>
    <x v="35"/>
    <x v="26"/>
    <n v="74"/>
  </r>
  <r>
    <x v="75"/>
    <x v="35"/>
    <x v="27"/>
    <n v="68"/>
  </r>
  <r>
    <x v="75"/>
    <x v="35"/>
    <x v="28"/>
    <n v="76"/>
  </r>
  <r>
    <x v="75"/>
    <x v="35"/>
    <x v="29"/>
    <n v="76"/>
  </r>
  <r>
    <x v="75"/>
    <x v="35"/>
    <x v="30"/>
    <n v="76"/>
  </r>
  <r>
    <x v="75"/>
    <x v="35"/>
    <x v="31"/>
    <n v="76"/>
  </r>
  <r>
    <x v="75"/>
    <x v="35"/>
    <x v="32"/>
    <n v="76"/>
  </r>
  <r>
    <x v="75"/>
    <x v="35"/>
    <x v="33"/>
    <n v="76"/>
  </r>
  <r>
    <x v="75"/>
    <x v="35"/>
    <x v="34"/>
    <n v="76"/>
  </r>
  <r>
    <x v="75"/>
    <x v="35"/>
    <x v="35"/>
    <n v="76"/>
  </r>
  <r>
    <x v="75"/>
    <x v="35"/>
    <x v="36"/>
    <n v="76"/>
  </r>
  <r>
    <x v="75"/>
    <x v="35"/>
    <x v="37"/>
    <n v="76"/>
  </r>
  <r>
    <x v="75"/>
    <x v="35"/>
    <x v="38"/>
    <n v="76"/>
  </r>
  <r>
    <x v="75"/>
    <x v="35"/>
    <x v="39"/>
    <n v="76"/>
  </r>
  <r>
    <x v="75"/>
    <x v="35"/>
    <x v="40"/>
    <n v="76"/>
  </r>
  <r>
    <x v="75"/>
    <x v="35"/>
    <x v="41"/>
    <n v="76"/>
  </r>
  <r>
    <x v="75"/>
    <x v="35"/>
    <x v="42"/>
    <n v="76"/>
  </r>
  <r>
    <x v="75"/>
    <x v="35"/>
    <x v="43"/>
    <n v="76"/>
  </r>
  <r>
    <x v="75"/>
    <x v="35"/>
    <x v="44"/>
    <n v="76"/>
  </r>
  <r>
    <x v="75"/>
    <x v="35"/>
    <x v="45"/>
    <n v="76"/>
  </r>
  <r>
    <x v="75"/>
    <x v="35"/>
    <x v="46"/>
    <n v="76"/>
  </r>
  <r>
    <x v="75"/>
    <x v="35"/>
    <x v="47"/>
    <n v="76"/>
  </r>
  <r>
    <x v="75"/>
    <x v="35"/>
    <x v="48"/>
    <n v="76"/>
  </r>
  <r>
    <x v="75"/>
    <x v="35"/>
    <x v="49"/>
    <n v="76"/>
  </r>
  <r>
    <x v="75"/>
    <x v="35"/>
    <x v="50"/>
    <n v="76"/>
  </r>
  <r>
    <x v="75"/>
    <x v="35"/>
    <x v="51"/>
    <n v="76"/>
  </r>
  <r>
    <x v="75"/>
    <x v="35"/>
    <x v="52"/>
    <n v="76"/>
  </r>
  <r>
    <x v="75"/>
    <x v="35"/>
    <x v="53"/>
    <n v="76"/>
  </r>
  <r>
    <x v="75"/>
    <x v="35"/>
    <x v="54"/>
    <n v="76"/>
  </r>
  <r>
    <x v="75"/>
    <x v="35"/>
    <x v="55"/>
    <n v="76"/>
  </r>
  <r>
    <x v="75"/>
    <x v="35"/>
    <x v="56"/>
    <n v="76"/>
  </r>
  <r>
    <x v="75"/>
    <x v="35"/>
    <x v="57"/>
    <n v="76"/>
  </r>
  <r>
    <x v="75"/>
    <x v="35"/>
    <x v="58"/>
    <n v="76"/>
  </r>
  <r>
    <x v="75"/>
    <x v="35"/>
    <x v="59"/>
    <n v="76"/>
  </r>
  <r>
    <x v="75"/>
    <x v="35"/>
    <x v="60"/>
    <n v="76"/>
  </r>
  <r>
    <x v="75"/>
    <x v="35"/>
    <x v="61"/>
    <n v="76"/>
  </r>
  <r>
    <x v="75"/>
    <x v="35"/>
    <x v="62"/>
    <n v="76"/>
  </r>
  <r>
    <x v="75"/>
    <x v="35"/>
    <x v="63"/>
    <n v="76"/>
  </r>
  <r>
    <x v="75"/>
    <x v="35"/>
    <x v="64"/>
    <n v="76"/>
  </r>
  <r>
    <x v="75"/>
    <x v="35"/>
    <x v="65"/>
    <n v="76"/>
  </r>
  <r>
    <x v="75"/>
    <x v="35"/>
    <x v="66"/>
    <n v="76"/>
  </r>
  <r>
    <x v="75"/>
    <x v="35"/>
    <x v="67"/>
    <n v="76"/>
  </r>
  <r>
    <x v="75"/>
    <x v="35"/>
    <x v="68"/>
    <n v="76"/>
  </r>
  <r>
    <x v="75"/>
    <x v="35"/>
    <x v="69"/>
    <n v="76"/>
  </r>
  <r>
    <x v="75"/>
    <x v="35"/>
    <x v="70"/>
    <n v="76"/>
  </r>
  <r>
    <x v="75"/>
    <x v="35"/>
    <x v="71"/>
    <n v="76"/>
  </r>
  <r>
    <x v="75"/>
    <x v="35"/>
    <x v="72"/>
    <n v="76"/>
  </r>
  <r>
    <x v="76"/>
    <x v="35"/>
    <x v="0"/>
    <n v="13"/>
  </r>
  <r>
    <x v="76"/>
    <x v="35"/>
    <x v="1"/>
    <n v="14"/>
  </r>
  <r>
    <x v="76"/>
    <x v="35"/>
    <x v="2"/>
    <n v="52"/>
  </r>
  <r>
    <x v="76"/>
    <x v="35"/>
    <x v="3"/>
    <n v="77"/>
  </r>
  <r>
    <x v="76"/>
    <x v="35"/>
    <x v="4"/>
    <n v="79"/>
  </r>
  <r>
    <x v="76"/>
    <x v="35"/>
    <x v="5"/>
    <n v="77"/>
  </r>
  <r>
    <x v="76"/>
    <x v="35"/>
    <x v="6"/>
    <n v="82"/>
  </r>
  <r>
    <x v="76"/>
    <x v="35"/>
    <x v="7"/>
    <n v="86"/>
  </r>
  <r>
    <x v="76"/>
    <x v="35"/>
    <x v="8"/>
    <n v="85"/>
  </r>
  <r>
    <x v="76"/>
    <x v="35"/>
    <x v="9"/>
    <n v="86"/>
  </r>
  <r>
    <x v="76"/>
    <x v="35"/>
    <x v="10"/>
    <n v="82"/>
  </r>
  <r>
    <x v="76"/>
    <x v="35"/>
    <x v="11"/>
    <n v="81"/>
  </r>
  <r>
    <x v="76"/>
    <x v="35"/>
    <x v="12"/>
    <n v="51"/>
  </r>
  <r>
    <x v="76"/>
    <x v="35"/>
    <x v="13"/>
    <n v="56"/>
  </r>
  <r>
    <x v="76"/>
    <x v="35"/>
    <x v="14"/>
    <n v="76"/>
  </r>
  <r>
    <x v="76"/>
    <x v="35"/>
    <x v="15"/>
    <n v="75"/>
  </r>
  <r>
    <x v="76"/>
    <x v="35"/>
    <x v="16"/>
    <n v="79"/>
  </r>
  <r>
    <x v="76"/>
    <x v="35"/>
    <x v="17"/>
    <n v="82"/>
  </r>
  <r>
    <x v="76"/>
    <x v="35"/>
    <x v="18"/>
    <n v="76"/>
  </r>
  <r>
    <x v="76"/>
    <x v="35"/>
    <x v="19"/>
    <n v="76"/>
  </r>
  <r>
    <x v="76"/>
    <x v="35"/>
    <x v="20"/>
    <n v="81"/>
  </r>
  <r>
    <x v="76"/>
    <x v="35"/>
    <x v="21"/>
    <n v="90"/>
  </r>
  <r>
    <x v="76"/>
    <x v="35"/>
    <x v="22"/>
    <n v="86"/>
  </r>
  <r>
    <x v="76"/>
    <x v="35"/>
    <x v="23"/>
    <n v="74"/>
  </r>
  <r>
    <x v="76"/>
    <x v="35"/>
    <x v="24"/>
    <n v="58"/>
  </r>
  <r>
    <x v="76"/>
    <x v="35"/>
    <x v="25"/>
    <n v="59"/>
  </r>
  <r>
    <x v="76"/>
    <x v="35"/>
    <x v="26"/>
    <n v="59"/>
  </r>
  <r>
    <x v="76"/>
    <x v="35"/>
    <x v="27"/>
    <n v="68"/>
  </r>
  <r>
    <x v="76"/>
    <x v="35"/>
    <x v="28"/>
    <n v="76"/>
  </r>
  <r>
    <x v="76"/>
    <x v="35"/>
    <x v="29"/>
    <n v="76"/>
  </r>
  <r>
    <x v="76"/>
    <x v="35"/>
    <x v="30"/>
    <n v="76"/>
  </r>
  <r>
    <x v="76"/>
    <x v="35"/>
    <x v="31"/>
    <n v="76"/>
  </r>
  <r>
    <x v="76"/>
    <x v="35"/>
    <x v="32"/>
    <n v="76"/>
  </r>
  <r>
    <x v="76"/>
    <x v="35"/>
    <x v="33"/>
    <n v="76"/>
  </r>
  <r>
    <x v="76"/>
    <x v="35"/>
    <x v="34"/>
    <n v="76"/>
  </r>
  <r>
    <x v="76"/>
    <x v="35"/>
    <x v="35"/>
    <n v="76"/>
  </r>
  <r>
    <x v="76"/>
    <x v="35"/>
    <x v="36"/>
    <n v="76"/>
  </r>
  <r>
    <x v="76"/>
    <x v="35"/>
    <x v="37"/>
    <n v="76"/>
  </r>
  <r>
    <x v="76"/>
    <x v="35"/>
    <x v="38"/>
    <n v="76"/>
  </r>
  <r>
    <x v="76"/>
    <x v="35"/>
    <x v="39"/>
    <n v="76"/>
  </r>
  <r>
    <x v="76"/>
    <x v="35"/>
    <x v="40"/>
    <n v="76"/>
  </r>
  <r>
    <x v="76"/>
    <x v="35"/>
    <x v="41"/>
    <n v="76"/>
  </r>
  <r>
    <x v="76"/>
    <x v="35"/>
    <x v="42"/>
    <n v="76"/>
  </r>
  <r>
    <x v="76"/>
    <x v="35"/>
    <x v="43"/>
    <n v="76"/>
  </r>
  <r>
    <x v="76"/>
    <x v="35"/>
    <x v="44"/>
    <n v="76"/>
  </r>
  <r>
    <x v="76"/>
    <x v="35"/>
    <x v="45"/>
    <n v="76"/>
  </r>
  <r>
    <x v="76"/>
    <x v="35"/>
    <x v="46"/>
    <n v="76"/>
  </r>
  <r>
    <x v="76"/>
    <x v="35"/>
    <x v="47"/>
    <n v="76"/>
  </r>
  <r>
    <x v="76"/>
    <x v="35"/>
    <x v="48"/>
    <n v="76"/>
  </r>
  <r>
    <x v="76"/>
    <x v="35"/>
    <x v="49"/>
    <n v="76"/>
  </r>
  <r>
    <x v="76"/>
    <x v="35"/>
    <x v="50"/>
    <n v="76"/>
  </r>
  <r>
    <x v="76"/>
    <x v="35"/>
    <x v="51"/>
    <n v="76"/>
  </r>
  <r>
    <x v="76"/>
    <x v="35"/>
    <x v="52"/>
    <n v="76"/>
  </r>
  <r>
    <x v="76"/>
    <x v="35"/>
    <x v="53"/>
    <n v="76"/>
  </r>
  <r>
    <x v="76"/>
    <x v="35"/>
    <x v="54"/>
    <n v="76"/>
  </r>
  <r>
    <x v="76"/>
    <x v="35"/>
    <x v="55"/>
    <n v="76"/>
  </r>
  <r>
    <x v="76"/>
    <x v="35"/>
    <x v="56"/>
    <n v="76"/>
  </r>
  <r>
    <x v="76"/>
    <x v="35"/>
    <x v="57"/>
    <n v="76"/>
  </r>
  <r>
    <x v="76"/>
    <x v="35"/>
    <x v="58"/>
    <n v="76"/>
  </r>
  <r>
    <x v="76"/>
    <x v="35"/>
    <x v="59"/>
    <n v="76"/>
  </r>
  <r>
    <x v="76"/>
    <x v="35"/>
    <x v="60"/>
    <n v="76"/>
  </r>
  <r>
    <x v="76"/>
    <x v="35"/>
    <x v="61"/>
    <n v="76"/>
  </r>
  <r>
    <x v="76"/>
    <x v="35"/>
    <x v="62"/>
    <n v="76"/>
  </r>
  <r>
    <x v="76"/>
    <x v="35"/>
    <x v="63"/>
    <n v="76"/>
  </r>
  <r>
    <x v="76"/>
    <x v="35"/>
    <x v="64"/>
    <n v="76"/>
  </r>
  <r>
    <x v="76"/>
    <x v="35"/>
    <x v="65"/>
    <n v="76"/>
  </r>
  <r>
    <x v="76"/>
    <x v="35"/>
    <x v="66"/>
    <n v="76"/>
  </r>
  <r>
    <x v="76"/>
    <x v="35"/>
    <x v="67"/>
    <n v="76"/>
  </r>
  <r>
    <x v="76"/>
    <x v="35"/>
    <x v="68"/>
    <n v="76"/>
  </r>
  <r>
    <x v="76"/>
    <x v="35"/>
    <x v="69"/>
    <n v="76"/>
  </r>
  <r>
    <x v="76"/>
    <x v="35"/>
    <x v="70"/>
    <n v="76"/>
  </r>
  <r>
    <x v="76"/>
    <x v="35"/>
    <x v="71"/>
    <n v="76"/>
  </r>
  <r>
    <x v="76"/>
    <x v="35"/>
    <x v="72"/>
    <n v="76"/>
  </r>
  <r>
    <x v="77"/>
    <x v="36"/>
    <x v="0"/>
    <n v="78"/>
  </r>
  <r>
    <x v="77"/>
    <x v="36"/>
    <x v="1"/>
    <n v="77"/>
  </r>
  <r>
    <x v="77"/>
    <x v="36"/>
    <x v="2"/>
    <n v="82"/>
  </r>
  <r>
    <x v="77"/>
    <x v="36"/>
    <x v="3"/>
    <n v="89"/>
  </r>
  <r>
    <x v="77"/>
    <x v="36"/>
    <x v="4"/>
    <n v="89"/>
  </r>
  <r>
    <x v="77"/>
    <x v="36"/>
    <x v="5"/>
    <n v="93"/>
  </r>
  <r>
    <x v="77"/>
    <x v="36"/>
    <x v="6"/>
    <n v="101"/>
  </r>
  <r>
    <x v="77"/>
    <x v="36"/>
    <x v="7"/>
    <n v="98"/>
  </r>
  <r>
    <x v="77"/>
    <x v="36"/>
    <x v="8"/>
    <n v="97"/>
  </r>
  <r>
    <x v="77"/>
    <x v="36"/>
    <x v="9"/>
    <n v="98"/>
  </r>
  <r>
    <x v="77"/>
    <x v="36"/>
    <x v="10"/>
    <n v="99"/>
  </r>
  <r>
    <x v="77"/>
    <x v="36"/>
    <x v="11"/>
    <n v="103"/>
  </r>
  <r>
    <x v="77"/>
    <x v="36"/>
    <x v="12"/>
    <n v="107"/>
  </r>
  <r>
    <x v="77"/>
    <x v="36"/>
    <x v="13"/>
    <n v="107"/>
  </r>
  <r>
    <x v="77"/>
    <x v="36"/>
    <x v="14"/>
    <n v="105"/>
  </r>
  <r>
    <x v="77"/>
    <x v="36"/>
    <x v="15"/>
    <n v="101"/>
  </r>
  <r>
    <x v="77"/>
    <x v="36"/>
    <x v="16"/>
    <n v="105"/>
  </r>
  <r>
    <x v="77"/>
    <x v="36"/>
    <x v="17"/>
    <n v="105"/>
  </r>
  <r>
    <x v="77"/>
    <x v="36"/>
    <x v="18"/>
    <n v="101"/>
  </r>
  <r>
    <x v="77"/>
    <x v="36"/>
    <x v="19"/>
    <n v="101"/>
  </r>
  <r>
    <x v="77"/>
    <x v="36"/>
    <x v="20"/>
    <n v="99"/>
  </r>
  <r>
    <x v="77"/>
    <x v="36"/>
    <x v="21"/>
    <n v="103"/>
  </r>
  <r>
    <x v="77"/>
    <x v="36"/>
    <x v="22"/>
    <n v="89"/>
  </r>
  <r>
    <x v="77"/>
    <x v="36"/>
    <x v="23"/>
    <n v="83"/>
  </r>
  <r>
    <x v="77"/>
    <x v="36"/>
    <x v="24"/>
    <n v="79"/>
  </r>
  <r>
    <x v="77"/>
    <x v="36"/>
    <x v="25"/>
    <n v="75"/>
  </r>
  <r>
    <x v="77"/>
    <x v="36"/>
    <x v="26"/>
    <n v="76"/>
  </r>
  <r>
    <x v="77"/>
    <x v="36"/>
    <x v="27"/>
    <n v="71"/>
  </r>
  <r>
    <x v="77"/>
    <x v="36"/>
    <x v="28"/>
    <n v="78"/>
  </r>
  <r>
    <x v="77"/>
    <x v="36"/>
    <x v="29"/>
    <n v="78"/>
  </r>
  <r>
    <x v="77"/>
    <x v="36"/>
    <x v="30"/>
    <n v="78"/>
  </r>
  <r>
    <x v="77"/>
    <x v="36"/>
    <x v="31"/>
    <n v="78"/>
  </r>
  <r>
    <x v="77"/>
    <x v="36"/>
    <x v="32"/>
    <n v="78"/>
  </r>
  <r>
    <x v="77"/>
    <x v="36"/>
    <x v="33"/>
    <n v="78"/>
  </r>
  <r>
    <x v="77"/>
    <x v="36"/>
    <x v="34"/>
    <n v="78"/>
  </r>
  <r>
    <x v="77"/>
    <x v="36"/>
    <x v="35"/>
    <n v="78"/>
  </r>
  <r>
    <x v="77"/>
    <x v="36"/>
    <x v="36"/>
    <n v="78"/>
  </r>
  <r>
    <x v="77"/>
    <x v="36"/>
    <x v="37"/>
    <n v="78"/>
  </r>
  <r>
    <x v="77"/>
    <x v="36"/>
    <x v="38"/>
    <n v="78"/>
  </r>
  <r>
    <x v="77"/>
    <x v="36"/>
    <x v="39"/>
    <n v="78"/>
  </r>
  <r>
    <x v="77"/>
    <x v="36"/>
    <x v="40"/>
    <n v="78"/>
  </r>
  <r>
    <x v="77"/>
    <x v="36"/>
    <x v="41"/>
    <n v="78"/>
  </r>
  <r>
    <x v="77"/>
    <x v="36"/>
    <x v="42"/>
    <n v="78"/>
  </r>
  <r>
    <x v="77"/>
    <x v="36"/>
    <x v="43"/>
    <n v="78"/>
  </r>
  <r>
    <x v="77"/>
    <x v="36"/>
    <x v="44"/>
    <n v="78"/>
  </r>
  <r>
    <x v="77"/>
    <x v="36"/>
    <x v="45"/>
    <n v="78"/>
  </r>
  <r>
    <x v="77"/>
    <x v="36"/>
    <x v="46"/>
    <n v="78"/>
  </r>
  <r>
    <x v="77"/>
    <x v="36"/>
    <x v="47"/>
    <n v="78"/>
  </r>
  <r>
    <x v="77"/>
    <x v="36"/>
    <x v="48"/>
    <n v="78"/>
  </r>
  <r>
    <x v="77"/>
    <x v="36"/>
    <x v="49"/>
    <n v="78"/>
  </r>
  <r>
    <x v="77"/>
    <x v="36"/>
    <x v="50"/>
    <n v="78"/>
  </r>
  <r>
    <x v="77"/>
    <x v="36"/>
    <x v="51"/>
    <n v="78"/>
  </r>
  <r>
    <x v="77"/>
    <x v="36"/>
    <x v="52"/>
    <n v="78"/>
  </r>
  <r>
    <x v="77"/>
    <x v="36"/>
    <x v="53"/>
    <n v="78"/>
  </r>
  <r>
    <x v="77"/>
    <x v="36"/>
    <x v="54"/>
    <n v="78"/>
  </r>
  <r>
    <x v="77"/>
    <x v="36"/>
    <x v="55"/>
    <n v="78"/>
  </r>
  <r>
    <x v="77"/>
    <x v="36"/>
    <x v="56"/>
    <n v="78"/>
  </r>
  <r>
    <x v="77"/>
    <x v="36"/>
    <x v="57"/>
    <n v="78"/>
  </r>
  <r>
    <x v="77"/>
    <x v="36"/>
    <x v="58"/>
    <n v="78"/>
  </r>
  <r>
    <x v="77"/>
    <x v="36"/>
    <x v="59"/>
    <n v="78"/>
  </r>
  <r>
    <x v="77"/>
    <x v="36"/>
    <x v="60"/>
    <n v="78"/>
  </r>
  <r>
    <x v="77"/>
    <x v="36"/>
    <x v="61"/>
    <n v="78"/>
  </r>
  <r>
    <x v="77"/>
    <x v="36"/>
    <x v="62"/>
    <n v="78"/>
  </r>
  <r>
    <x v="77"/>
    <x v="36"/>
    <x v="63"/>
    <n v="78"/>
  </r>
  <r>
    <x v="77"/>
    <x v="36"/>
    <x v="64"/>
    <n v="78"/>
  </r>
  <r>
    <x v="77"/>
    <x v="36"/>
    <x v="65"/>
    <n v="78"/>
  </r>
  <r>
    <x v="77"/>
    <x v="36"/>
    <x v="66"/>
    <n v="78"/>
  </r>
  <r>
    <x v="77"/>
    <x v="36"/>
    <x v="67"/>
    <n v="78"/>
  </r>
  <r>
    <x v="77"/>
    <x v="36"/>
    <x v="68"/>
    <n v="78"/>
  </r>
  <r>
    <x v="77"/>
    <x v="36"/>
    <x v="69"/>
    <n v="78"/>
  </r>
  <r>
    <x v="77"/>
    <x v="36"/>
    <x v="70"/>
    <n v="78"/>
  </r>
  <r>
    <x v="77"/>
    <x v="36"/>
    <x v="71"/>
    <n v="78"/>
  </r>
  <r>
    <x v="77"/>
    <x v="36"/>
    <x v="72"/>
    <n v="78"/>
  </r>
  <r>
    <x v="78"/>
    <x v="36"/>
    <x v="0"/>
    <n v="1"/>
  </r>
  <r>
    <x v="78"/>
    <x v="36"/>
    <x v="1"/>
    <n v="1"/>
  </r>
  <r>
    <x v="78"/>
    <x v="36"/>
    <x v="2"/>
    <n v="3"/>
  </r>
  <r>
    <x v="78"/>
    <x v="36"/>
    <x v="3"/>
    <n v="38"/>
  </r>
  <r>
    <x v="78"/>
    <x v="36"/>
    <x v="4"/>
    <n v="39"/>
  </r>
  <r>
    <x v="78"/>
    <x v="36"/>
    <x v="5"/>
    <n v="41"/>
  </r>
  <r>
    <x v="78"/>
    <x v="36"/>
    <x v="6"/>
    <n v="49"/>
  </r>
  <r>
    <x v="78"/>
    <x v="36"/>
    <x v="7"/>
    <n v="49"/>
  </r>
  <r>
    <x v="78"/>
    <x v="36"/>
    <x v="8"/>
    <n v="27"/>
  </r>
  <r>
    <x v="78"/>
    <x v="36"/>
    <x v="9"/>
    <n v="31"/>
  </r>
  <r>
    <x v="78"/>
    <x v="36"/>
    <x v="10"/>
    <n v="40"/>
  </r>
  <r>
    <x v="78"/>
    <x v="36"/>
    <x v="11"/>
    <n v="41"/>
  </r>
  <r>
    <x v="78"/>
    <x v="36"/>
    <x v="12"/>
    <n v="59"/>
  </r>
  <r>
    <x v="78"/>
    <x v="36"/>
    <x v="13"/>
    <n v="45"/>
  </r>
  <r>
    <x v="78"/>
    <x v="36"/>
    <x v="14"/>
    <n v="45"/>
  </r>
  <r>
    <x v="78"/>
    <x v="36"/>
    <x v="15"/>
    <n v="55"/>
  </r>
  <r>
    <x v="78"/>
    <x v="36"/>
    <x v="16"/>
    <n v="61"/>
  </r>
  <r>
    <x v="78"/>
    <x v="36"/>
    <x v="17"/>
    <n v="63"/>
  </r>
  <r>
    <x v="78"/>
    <x v="36"/>
    <x v="18"/>
    <n v="62"/>
  </r>
  <r>
    <x v="78"/>
    <x v="36"/>
    <x v="19"/>
    <n v="61"/>
  </r>
  <r>
    <x v="78"/>
    <x v="36"/>
    <x v="20"/>
    <n v="62"/>
  </r>
  <r>
    <x v="78"/>
    <x v="36"/>
    <x v="21"/>
    <n v="67"/>
  </r>
  <r>
    <x v="78"/>
    <x v="36"/>
    <x v="22"/>
    <n v="56"/>
  </r>
  <r>
    <x v="78"/>
    <x v="36"/>
    <x v="23"/>
    <n v="64"/>
  </r>
  <r>
    <x v="78"/>
    <x v="36"/>
    <x v="24"/>
    <n v="60"/>
  </r>
  <r>
    <x v="78"/>
    <x v="36"/>
    <x v="25"/>
    <n v="63"/>
  </r>
  <r>
    <x v="78"/>
    <x v="36"/>
    <x v="26"/>
    <n v="63"/>
  </r>
  <r>
    <x v="78"/>
    <x v="36"/>
    <x v="27"/>
    <n v="71"/>
  </r>
  <r>
    <x v="78"/>
    <x v="36"/>
    <x v="28"/>
    <n v="78"/>
  </r>
  <r>
    <x v="78"/>
    <x v="36"/>
    <x v="29"/>
    <n v="78"/>
  </r>
  <r>
    <x v="78"/>
    <x v="36"/>
    <x v="30"/>
    <n v="78"/>
  </r>
  <r>
    <x v="78"/>
    <x v="36"/>
    <x v="31"/>
    <n v="78"/>
  </r>
  <r>
    <x v="78"/>
    <x v="36"/>
    <x v="32"/>
    <n v="78"/>
  </r>
  <r>
    <x v="78"/>
    <x v="36"/>
    <x v="33"/>
    <n v="78"/>
  </r>
  <r>
    <x v="78"/>
    <x v="36"/>
    <x v="34"/>
    <n v="78"/>
  </r>
  <r>
    <x v="78"/>
    <x v="36"/>
    <x v="35"/>
    <n v="78"/>
  </r>
  <r>
    <x v="78"/>
    <x v="36"/>
    <x v="36"/>
    <n v="78"/>
  </r>
  <r>
    <x v="78"/>
    <x v="36"/>
    <x v="37"/>
    <n v="78"/>
  </r>
  <r>
    <x v="78"/>
    <x v="36"/>
    <x v="38"/>
    <n v="78"/>
  </r>
  <r>
    <x v="78"/>
    <x v="36"/>
    <x v="39"/>
    <n v="78"/>
  </r>
  <r>
    <x v="78"/>
    <x v="36"/>
    <x v="40"/>
    <n v="78"/>
  </r>
  <r>
    <x v="78"/>
    <x v="36"/>
    <x v="41"/>
    <n v="78"/>
  </r>
  <r>
    <x v="78"/>
    <x v="36"/>
    <x v="42"/>
    <n v="78"/>
  </r>
  <r>
    <x v="78"/>
    <x v="36"/>
    <x v="43"/>
    <n v="78"/>
  </r>
  <r>
    <x v="78"/>
    <x v="36"/>
    <x v="44"/>
    <n v="78"/>
  </r>
  <r>
    <x v="78"/>
    <x v="36"/>
    <x v="45"/>
    <n v="78"/>
  </r>
  <r>
    <x v="78"/>
    <x v="36"/>
    <x v="46"/>
    <n v="78"/>
  </r>
  <r>
    <x v="78"/>
    <x v="36"/>
    <x v="47"/>
    <n v="78"/>
  </r>
  <r>
    <x v="78"/>
    <x v="36"/>
    <x v="48"/>
    <n v="78"/>
  </r>
  <r>
    <x v="78"/>
    <x v="36"/>
    <x v="49"/>
    <n v="78"/>
  </r>
  <r>
    <x v="78"/>
    <x v="36"/>
    <x v="50"/>
    <n v="78"/>
  </r>
  <r>
    <x v="78"/>
    <x v="36"/>
    <x v="51"/>
    <n v="78"/>
  </r>
  <r>
    <x v="78"/>
    <x v="36"/>
    <x v="52"/>
    <n v="78"/>
  </r>
  <r>
    <x v="78"/>
    <x v="36"/>
    <x v="53"/>
    <n v="78"/>
  </r>
  <r>
    <x v="78"/>
    <x v="36"/>
    <x v="54"/>
    <n v="78"/>
  </r>
  <r>
    <x v="78"/>
    <x v="36"/>
    <x v="55"/>
    <n v="78"/>
  </r>
  <r>
    <x v="78"/>
    <x v="36"/>
    <x v="56"/>
    <n v="78"/>
  </r>
  <r>
    <x v="78"/>
    <x v="36"/>
    <x v="57"/>
    <n v="78"/>
  </r>
  <r>
    <x v="78"/>
    <x v="36"/>
    <x v="58"/>
    <n v="78"/>
  </r>
  <r>
    <x v="78"/>
    <x v="36"/>
    <x v="59"/>
    <n v="78"/>
  </r>
  <r>
    <x v="78"/>
    <x v="36"/>
    <x v="60"/>
    <n v="78"/>
  </r>
  <r>
    <x v="78"/>
    <x v="36"/>
    <x v="61"/>
    <n v="78"/>
  </r>
  <r>
    <x v="78"/>
    <x v="36"/>
    <x v="62"/>
    <n v="78"/>
  </r>
  <r>
    <x v="78"/>
    <x v="36"/>
    <x v="63"/>
    <n v="78"/>
  </r>
  <r>
    <x v="78"/>
    <x v="36"/>
    <x v="64"/>
    <n v="78"/>
  </r>
  <r>
    <x v="78"/>
    <x v="36"/>
    <x v="65"/>
    <n v="78"/>
  </r>
  <r>
    <x v="78"/>
    <x v="36"/>
    <x v="66"/>
    <n v="78"/>
  </r>
  <r>
    <x v="78"/>
    <x v="36"/>
    <x v="67"/>
    <n v="78"/>
  </r>
  <r>
    <x v="78"/>
    <x v="36"/>
    <x v="68"/>
    <n v="78"/>
  </r>
  <r>
    <x v="78"/>
    <x v="36"/>
    <x v="69"/>
    <n v="78"/>
  </r>
  <r>
    <x v="78"/>
    <x v="36"/>
    <x v="70"/>
    <n v="78"/>
  </r>
  <r>
    <x v="78"/>
    <x v="36"/>
    <x v="71"/>
    <n v="78"/>
  </r>
  <r>
    <x v="78"/>
    <x v="36"/>
    <x v="72"/>
    <n v="78"/>
  </r>
  <r>
    <x v="79"/>
    <x v="37"/>
    <x v="0"/>
    <n v="78"/>
  </r>
  <r>
    <x v="79"/>
    <x v="37"/>
    <x v="1"/>
    <n v="77"/>
  </r>
  <r>
    <x v="79"/>
    <x v="37"/>
    <x v="2"/>
    <n v="61"/>
  </r>
  <r>
    <x v="79"/>
    <x v="37"/>
    <x v="3"/>
    <n v="83"/>
  </r>
  <r>
    <x v="79"/>
    <x v="37"/>
    <x v="4"/>
    <n v="85"/>
  </r>
  <r>
    <x v="79"/>
    <x v="37"/>
    <x v="5"/>
    <n v="91"/>
  </r>
  <r>
    <x v="79"/>
    <x v="37"/>
    <x v="6"/>
    <n v="42"/>
  </r>
  <r>
    <x v="79"/>
    <x v="37"/>
    <x v="7"/>
    <n v="43"/>
  </r>
  <r>
    <x v="79"/>
    <x v="37"/>
    <x v="8"/>
    <n v="48"/>
  </r>
  <r>
    <x v="79"/>
    <x v="37"/>
    <x v="9"/>
    <n v="50"/>
  </r>
  <r>
    <x v="79"/>
    <x v="37"/>
    <x v="10"/>
    <n v="57"/>
  </r>
  <r>
    <x v="79"/>
    <x v="37"/>
    <x v="11"/>
    <n v="62"/>
  </r>
  <r>
    <x v="79"/>
    <x v="37"/>
    <x v="12"/>
    <n v="87"/>
  </r>
  <r>
    <x v="79"/>
    <x v="37"/>
    <x v="13"/>
    <n v="87"/>
  </r>
  <r>
    <x v="79"/>
    <x v="37"/>
    <x v="14"/>
    <n v="86"/>
  </r>
  <r>
    <x v="79"/>
    <x v="37"/>
    <x v="15"/>
    <n v="106"/>
  </r>
  <r>
    <x v="79"/>
    <x v="37"/>
    <x v="16"/>
    <n v="109"/>
  </r>
  <r>
    <x v="79"/>
    <x v="37"/>
    <x v="17"/>
    <n v="110"/>
  </r>
  <r>
    <x v="79"/>
    <x v="37"/>
    <x v="18"/>
    <n v="106"/>
  </r>
  <r>
    <x v="79"/>
    <x v="37"/>
    <x v="19"/>
    <n v="105"/>
  </r>
  <r>
    <x v="79"/>
    <x v="37"/>
    <x v="20"/>
    <n v="105"/>
  </r>
  <r>
    <x v="79"/>
    <x v="37"/>
    <x v="21"/>
    <n v="101"/>
  </r>
  <r>
    <x v="79"/>
    <x v="37"/>
    <x v="22"/>
    <n v="101"/>
  </r>
  <r>
    <x v="79"/>
    <x v="37"/>
    <x v="23"/>
    <n v="94"/>
  </r>
  <r>
    <x v="79"/>
    <x v="37"/>
    <x v="24"/>
    <n v="76"/>
  </r>
  <r>
    <x v="79"/>
    <x v="37"/>
    <x v="25"/>
    <n v="81"/>
  </r>
  <r>
    <x v="79"/>
    <x v="37"/>
    <x v="26"/>
    <n v="81"/>
  </r>
  <r>
    <x v="79"/>
    <x v="37"/>
    <x v="27"/>
    <n v="81"/>
  </r>
  <r>
    <x v="79"/>
    <x v="37"/>
    <x v="28"/>
    <n v="80"/>
  </r>
  <r>
    <x v="79"/>
    <x v="37"/>
    <x v="29"/>
    <n v="80"/>
  </r>
  <r>
    <x v="79"/>
    <x v="37"/>
    <x v="30"/>
    <n v="80"/>
  </r>
  <r>
    <x v="79"/>
    <x v="37"/>
    <x v="31"/>
    <n v="80"/>
  </r>
  <r>
    <x v="79"/>
    <x v="37"/>
    <x v="32"/>
    <n v="80"/>
  </r>
  <r>
    <x v="79"/>
    <x v="37"/>
    <x v="33"/>
    <n v="80"/>
  </r>
  <r>
    <x v="79"/>
    <x v="37"/>
    <x v="34"/>
    <n v="80"/>
  </r>
  <r>
    <x v="79"/>
    <x v="37"/>
    <x v="35"/>
    <n v="80"/>
  </r>
  <r>
    <x v="79"/>
    <x v="37"/>
    <x v="36"/>
    <n v="80"/>
  </r>
  <r>
    <x v="79"/>
    <x v="37"/>
    <x v="37"/>
    <n v="80"/>
  </r>
  <r>
    <x v="79"/>
    <x v="37"/>
    <x v="38"/>
    <n v="80"/>
  </r>
  <r>
    <x v="79"/>
    <x v="37"/>
    <x v="39"/>
    <n v="80"/>
  </r>
  <r>
    <x v="79"/>
    <x v="37"/>
    <x v="40"/>
    <n v="80"/>
  </r>
  <r>
    <x v="79"/>
    <x v="37"/>
    <x v="41"/>
    <n v="80"/>
  </r>
  <r>
    <x v="79"/>
    <x v="37"/>
    <x v="42"/>
    <n v="80"/>
  </r>
  <r>
    <x v="79"/>
    <x v="37"/>
    <x v="43"/>
    <n v="80"/>
  </r>
  <r>
    <x v="79"/>
    <x v="37"/>
    <x v="44"/>
    <n v="80"/>
  </r>
  <r>
    <x v="79"/>
    <x v="37"/>
    <x v="45"/>
    <n v="80"/>
  </r>
  <r>
    <x v="79"/>
    <x v="37"/>
    <x v="46"/>
    <n v="80"/>
  </r>
  <r>
    <x v="79"/>
    <x v="37"/>
    <x v="47"/>
    <n v="80"/>
  </r>
  <r>
    <x v="79"/>
    <x v="37"/>
    <x v="48"/>
    <n v="80"/>
  </r>
  <r>
    <x v="79"/>
    <x v="37"/>
    <x v="49"/>
    <n v="80"/>
  </r>
  <r>
    <x v="79"/>
    <x v="37"/>
    <x v="50"/>
    <n v="80"/>
  </r>
  <r>
    <x v="79"/>
    <x v="37"/>
    <x v="51"/>
    <n v="80"/>
  </r>
  <r>
    <x v="79"/>
    <x v="37"/>
    <x v="52"/>
    <n v="80"/>
  </r>
  <r>
    <x v="79"/>
    <x v="37"/>
    <x v="53"/>
    <n v="80"/>
  </r>
  <r>
    <x v="79"/>
    <x v="37"/>
    <x v="54"/>
    <n v="80"/>
  </r>
  <r>
    <x v="79"/>
    <x v="37"/>
    <x v="55"/>
    <n v="80"/>
  </r>
  <r>
    <x v="79"/>
    <x v="37"/>
    <x v="56"/>
    <n v="80"/>
  </r>
  <r>
    <x v="79"/>
    <x v="37"/>
    <x v="57"/>
    <n v="80"/>
  </r>
  <r>
    <x v="79"/>
    <x v="37"/>
    <x v="58"/>
    <n v="80"/>
  </r>
  <r>
    <x v="79"/>
    <x v="37"/>
    <x v="59"/>
    <n v="80"/>
  </r>
  <r>
    <x v="79"/>
    <x v="37"/>
    <x v="60"/>
    <n v="80"/>
  </r>
  <r>
    <x v="79"/>
    <x v="37"/>
    <x v="61"/>
    <n v="80"/>
  </r>
  <r>
    <x v="79"/>
    <x v="37"/>
    <x v="62"/>
    <n v="80"/>
  </r>
  <r>
    <x v="79"/>
    <x v="37"/>
    <x v="63"/>
    <n v="80"/>
  </r>
  <r>
    <x v="79"/>
    <x v="37"/>
    <x v="64"/>
    <n v="80"/>
  </r>
  <r>
    <x v="79"/>
    <x v="37"/>
    <x v="65"/>
    <n v="80"/>
  </r>
  <r>
    <x v="79"/>
    <x v="37"/>
    <x v="66"/>
    <n v="80"/>
  </r>
  <r>
    <x v="79"/>
    <x v="37"/>
    <x v="67"/>
    <n v="80"/>
  </r>
  <r>
    <x v="79"/>
    <x v="37"/>
    <x v="68"/>
    <n v="80"/>
  </r>
  <r>
    <x v="79"/>
    <x v="37"/>
    <x v="69"/>
    <n v="80"/>
  </r>
  <r>
    <x v="79"/>
    <x v="37"/>
    <x v="70"/>
    <n v="80"/>
  </r>
  <r>
    <x v="79"/>
    <x v="37"/>
    <x v="71"/>
    <n v="80"/>
  </r>
  <r>
    <x v="79"/>
    <x v="37"/>
    <x v="72"/>
    <n v="80"/>
  </r>
  <r>
    <x v="80"/>
    <x v="38"/>
    <x v="0"/>
    <n v="65"/>
  </r>
  <r>
    <x v="80"/>
    <x v="38"/>
    <x v="1"/>
    <n v="62"/>
  </r>
  <r>
    <x v="80"/>
    <x v="38"/>
    <x v="2"/>
    <n v="75"/>
  </r>
  <r>
    <x v="80"/>
    <x v="38"/>
    <x v="3"/>
    <n v="96"/>
  </r>
  <r>
    <x v="80"/>
    <x v="38"/>
    <x v="4"/>
    <n v="96"/>
  </r>
  <r>
    <x v="80"/>
    <x v="38"/>
    <x v="5"/>
    <n v="93"/>
  </r>
  <r>
    <x v="80"/>
    <x v="38"/>
    <x v="6"/>
    <n v="97"/>
  </r>
  <r>
    <x v="80"/>
    <x v="38"/>
    <x v="7"/>
    <n v="98"/>
  </r>
  <r>
    <x v="80"/>
    <x v="38"/>
    <x v="8"/>
    <n v="97"/>
  </r>
  <r>
    <x v="80"/>
    <x v="38"/>
    <x v="9"/>
    <n v="98"/>
  </r>
  <r>
    <x v="80"/>
    <x v="38"/>
    <x v="10"/>
    <n v="95"/>
  </r>
  <r>
    <x v="80"/>
    <x v="38"/>
    <x v="11"/>
    <n v="92"/>
  </r>
  <r>
    <x v="80"/>
    <x v="38"/>
    <x v="12"/>
    <n v="92"/>
  </r>
  <r>
    <x v="80"/>
    <x v="38"/>
    <x v="13"/>
    <n v="93"/>
  </r>
  <r>
    <x v="80"/>
    <x v="38"/>
    <x v="14"/>
    <n v="86"/>
  </r>
  <r>
    <x v="80"/>
    <x v="38"/>
    <x v="15"/>
    <n v="87"/>
  </r>
  <r>
    <x v="80"/>
    <x v="38"/>
    <x v="16"/>
    <n v="90"/>
  </r>
  <r>
    <x v="80"/>
    <x v="38"/>
    <x v="17"/>
    <n v="92"/>
  </r>
  <r>
    <x v="80"/>
    <x v="38"/>
    <x v="18"/>
    <n v="103"/>
  </r>
  <r>
    <x v="80"/>
    <x v="38"/>
    <x v="19"/>
    <n v="76"/>
  </r>
  <r>
    <x v="80"/>
    <x v="38"/>
    <x v="20"/>
    <n v="81"/>
  </r>
  <r>
    <x v="80"/>
    <x v="38"/>
    <x v="21"/>
    <n v="90"/>
  </r>
  <r>
    <x v="80"/>
    <x v="38"/>
    <x v="22"/>
    <n v="86"/>
  </r>
  <r>
    <x v="80"/>
    <x v="38"/>
    <x v="23"/>
    <n v="96"/>
  </r>
  <r>
    <x v="80"/>
    <x v="38"/>
    <x v="24"/>
    <n v="79"/>
  </r>
  <r>
    <x v="80"/>
    <x v="38"/>
    <x v="25"/>
    <n v="85"/>
  </r>
  <r>
    <x v="80"/>
    <x v="38"/>
    <x v="26"/>
    <n v="85"/>
  </r>
  <r>
    <x v="80"/>
    <x v="38"/>
    <x v="27"/>
    <n v="85"/>
  </r>
  <r>
    <x v="80"/>
    <x v="38"/>
    <x v="28"/>
    <n v="81"/>
  </r>
  <r>
    <x v="80"/>
    <x v="38"/>
    <x v="29"/>
    <n v="81"/>
  </r>
  <r>
    <x v="80"/>
    <x v="38"/>
    <x v="30"/>
    <n v="81"/>
  </r>
  <r>
    <x v="80"/>
    <x v="38"/>
    <x v="31"/>
    <n v="81"/>
  </r>
  <r>
    <x v="80"/>
    <x v="38"/>
    <x v="32"/>
    <n v="81"/>
  </r>
  <r>
    <x v="80"/>
    <x v="38"/>
    <x v="33"/>
    <n v="81"/>
  </r>
  <r>
    <x v="80"/>
    <x v="38"/>
    <x v="34"/>
    <n v="81"/>
  </r>
  <r>
    <x v="80"/>
    <x v="38"/>
    <x v="35"/>
    <n v="81"/>
  </r>
  <r>
    <x v="80"/>
    <x v="38"/>
    <x v="36"/>
    <n v="81"/>
  </r>
  <r>
    <x v="80"/>
    <x v="38"/>
    <x v="37"/>
    <n v="81"/>
  </r>
  <r>
    <x v="80"/>
    <x v="38"/>
    <x v="38"/>
    <n v="81"/>
  </r>
  <r>
    <x v="80"/>
    <x v="38"/>
    <x v="39"/>
    <n v="81"/>
  </r>
  <r>
    <x v="80"/>
    <x v="38"/>
    <x v="40"/>
    <n v="81"/>
  </r>
  <r>
    <x v="80"/>
    <x v="38"/>
    <x v="41"/>
    <n v="81"/>
  </r>
  <r>
    <x v="80"/>
    <x v="38"/>
    <x v="42"/>
    <n v="81"/>
  </r>
  <r>
    <x v="80"/>
    <x v="38"/>
    <x v="43"/>
    <n v="81"/>
  </r>
  <r>
    <x v="80"/>
    <x v="38"/>
    <x v="44"/>
    <n v="81"/>
  </r>
  <r>
    <x v="80"/>
    <x v="38"/>
    <x v="45"/>
    <n v="81"/>
  </r>
  <r>
    <x v="80"/>
    <x v="38"/>
    <x v="46"/>
    <n v="81"/>
  </r>
  <r>
    <x v="80"/>
    <x v="38"/>
    <x v="47"/>
    <n v="81"/>
  </r>
  <r>
    <x v="80"/>
    <x v="38"/>
    <x v="48"/>
    <n v="81"/>
  </r>
  <r>
    <x v="80"/>
    <x v="38"/>
    <x v="49"/>
    <n v="81"/>
  </r>
  <r>
    <x v="80"/>
    <x v="38"/>
    <x v="50"/>
    <n v="81"/>
  </r>
  <r>
    <x v="80"/>
    <x v="38"/>
    <x v="51"/>
    <n v="81"/>
  </r>
  <r>
    <x v="80"/>
    <x v="38"/>
    <x v="52"/>
    <n v="81"/>
  </r>
  <r>
    <x v="80"/>
    <x v="38"/>
    <x v="53"/>
    <n v="81"/>
  </r>
  <r>
    <x v="80"/>
    <x v="38"/>
    <x v="54"/>
    <n v="81"/>
  </r>
  <r>
    <x v="80"/>
    <x v="38"/>
    <x v="55"/>
    <n v="81"/>
  </r>
  <r>
    <x v="80"/>
    <x v="38"/>
    <x v="56"/>
    <n v="81"/>
  </r>
  <r>
    <x v="80"/>
    <x v="38"/>
    <x v="57"/>
    <n v="81"/>
  </r>
  <r>
    <x v="80"/>
    <x v="38"/>
    <x v="58"/>
    <n v="81"/>
  </r>
  <r>
    <x v="80"/>
    <x v="38"/>
    <x v="59"/>
    <n v="81"/>
  </r>
  <r>
    <x v="80"/>
    <x v="38"/>
    <x v="60"/>
    <n v="81"/>
  </r>
  <r>
    <x v="80"/>
    <x v="38"/>
    <x v="61"/>
    <n v="81"/>
  </r>
  <r>
    <x v="80"/>
    <x v="38"/>
    <x v="62"/>
    <n v="81"/>
  </r>
  <r>
    <x v="80"/>
    <x v="38"/>
    <x v="63"/>
    <n v="81"/>
  </r>
  <r>
    <x v="80"/>
    <x v="38"/>
    <x v="64"/>
    <n v="81"/>
  </r>
  <r>
    <x v="80"/>
    <x v="38"/>
    <x v="65"/>
    <n v="81"/>
  </r>
  <r>
    <x v="80"/>
    <x v="38"/>
    <x v="66"/>
    <n v="81"/>
  </r>
  <r>
    <x v="80"/>
    <x v="38"/>
    <x v="67"/>
    <n v="81"/>
  </r>
  <r>
    <x v="80"/>
    <x v="38"/>
    <x v="68"/>
    <n v="81"/>
  </r>
  <r>
    <x v="80"/>
    <x v="38"/>
    <x v="69"/>
    <n v="81"/>
  </r>
  <r>
    <x v="80"/>
    <x v="38"/>
    <x v="70"/>
    <n v="81"/>
  </r>
  <r>
    <x v="80"/>
    <x v="38"/>
    <x v="71"/>
    <n v="81"/>
  </r>
  <r>
    <x v="80"/>
    <x v="38"/>
    <x v="72"/>
    <n v="81"/>
  </r>
  <r>
    <x v="81"/>
    <x v="39"/>
    <x v="0"/>
    <n v="78"/>
  </r>
  <r>
    <x v="81"/>
    <x v="39"/>
    <x v="1"/>
    <n v="77"/>
  </r>
  <r>
    <x v="81"/>
    <x v="39"/>
    <x v="2"/>
    <n v="106"/>
  </r>
  <r>
    <x v="81"/>
    <x v="39"/>
    <x v="3"/>
    <n v="105"/>
  </r>
  <r>
    <x v="81"/>
    <x v="39"/>
    <x v="4"/>
    <n v="105"/>
  </r>
  <r>
    <x v="81"/>
    <x v="39"/>
    <x v="5"/>
    <n v="109"/>
  </r>
  <r>
    <x v="81"/>
    <x v="39"/>
    <x v="6"/>
    <n v="111"/>
  </r>
  <r>
    <x v="81"/>
    <x v="39"/>
    <x v="7"/>
    <n v="108"/>
  </r>
  <r>
    <x v="81"/>
    <x v="39"/>
    <x v="8"/>
    <n v="108"/>
  </r>
  <r>
    <x v="81"/>
    <x v="39"/>
    <x v="9"/>
    <n v="109"/>
  </r>
  <r>
    <x v="81"/>
    <x v="39"/>
    <x v="10"/>
    <n v="109"/>
  </r>
  <r>
    <x v="81"/>
    <x v="39"/>
    <x v="11"/>
    <n v="111"/>
  </r>
  <r>
    <x v="81"/>
    <x v="39"/>
    <x v="12"/>
    <n v="102"/>
  </r>
  <r>
    <x v="81"/>
    <x v="39"/>
    <x v="13"/>
    <n v="104"/>
  </r>
  <r>
    <x v="81"/>
    <x v="39"/>
    <x v="14"/>
    <n v="97"/>
  </r>
  <r>
    <x v="81"/>
    <x v="39"/>
    <x v="15"/>
    <n v="78"/>
  </r>
  <r>
    <x v="81"/>
    <x v="39"/>
    <x v="16"/>
    <n v="83"/>
  </r>
  <r>
    <x v="81"/>
    <x v="39"/>
    <x v="17"/>
    <n v="85"/>
  </r>
  <r>
    <x v="81"/>
    <x v="39"/>
    <x v="18"/>
    <n v="84"/>
  </r>
  <r>
    <x v="81"/>
    <x v="39"/>
    <x v="19"/>
    <n v="87"/>
  </r>
  <r>
    <x v="81"/>
    <x v="39"/>
    <x v="20"/>
    <n v="91"/>
  </r>
  <r>
    <x v="81"/>
    <x v="39"/>
    <x v="21"/>
    <n v="94"/>
  </r>
  <r>
    <x v="81"/>
    <x v="39"/>
    <x v="22"/>
    <n v="80"/>
  </r>
  <r>
    <x v="81"/>
    <x v="39"/>
    <x v="23"/>
    <n v="78"/>
  </r>
  <r>
    <x v="81"/>
    <x v="39"/>
    <x v="24"/>
    <n v="76"/>
  </r>
  <r>
    <x v="81"/>
    <x v="39"/>
    <x v="25"/>
    <n v="80"/>
  </r>
  <r>
    <x v="81"/>
    <x v="39"/>
    <x v="26"/>
    <n v="80"/>
  </r>
  <r>
    <x v="81"/>
    <x v="39"/>
    <x v="27"/>
    <n v="78"/>
  </r>
  <r>
    <x v="81"/>
    <x v="39"/>
    <x v="28"/>
    <n v="82"/>
  </r>
  <r>
    <x v="81"/>
    <x v="39"/>
    <x v="29"/>
    <n v="82"/>
  </r>
  <r>
    <x v="81"/>
    <x v="39"/>
    <x v="30"/>
    <n v="82"/>
  </r>
  <r>
    <x v="81"/>
    <x v="39"/>
    <x v="31"/>
    <n v="82"/>
  </r>
  <r>
    <x v="81"/>
    <x v="39"/>
    <x v="32"/>
    <n v="82"/>
  </r>
  <r>
    <x v="81"/>
    <x v="39"/>
    <x v="33"/>
    <n v="82"/>
  </r>
  <r>
    <x v="81"/>
    <x v="39"/>
    <x v="34"/>
    <n v="82"/>
  </r>
  <r>
    <x v="81"/>
    <x v="39"/>
    <x v="35"/>
    <n v="82"/>
  </r>
  <r>
    <x v="81"/>
    <x v="39"/>
    <x v="36"/>
    <n v="82"/>
  </r>
  <r>
    <x v="81"/>
    <x v="39"/>
    <x v="37"/>
    <n v="82"/>
  </r>
  <r>
    <x v="81"/>
    <x v="39"/>
    <x v="38"/>
    <n v="82"/>
  </r>
  <r>
    <x v="81"/>
    <x v="39"/>
    <x v="39"/>
    <n v="82"/>
  </r>
  <r>
    <x v="81"/>
    <x v="39"/>
    <x v="40"/>
    <n v="82"/>
  </r>
  <r>
    <x v="81"/>
    <x v="39"/>
    <x v="41"/>
    <n v="82"/>
  </r>
  <r>
    <x v="81"/>
    <x v="39"/>
    <x v="42"/>
    <n v="82"/>
  </r>
  <r>
    <x v="81"/>
    <x v="39"/>
    <x v="43"/>
    <n v="82"/>
  </r>
  <r>
    <x v="81"/>
    <x v="39"/>
    <x v="44"/>
    <n v="82"/>
  </r>
  <r>
    <x v="81"/>
    <x v="39"/>
    <x v="45"/>
    <n v="82"/>
  </r>
  <r>
    <x v="81"/>
    <x v="39"/>
    <x v="46"/>
    <n v="82"/>
  </r>
  <r>
    <x v="81"/>
    <x v="39"/>
    <x v="47"/>
    <n v="82"/>
  </r>
  <r>
    <x v="81"/>
    <x v="39"/>
    <x v="48"/>
    <n v="82"/>
  </r>
  <r>
    <x v="81"/>
    <x v="39"/>
    <x v="49"/>
    <n v="82"/>
  </r>
  <r>
    <x v="81"/>
    <x v="39"/>
    <x v="50"/>
    <n v="82"/>
  </r>
  <r>
    <x v="81"/>
    <x v="39"/>
    <x v="51"/>
    <n v="82"/>
  </r>
  <r>
    <x v="81"/>
    <x v="39"/>
    <x v="52"/>
    <n v="82"/>
  </r>
  <r>
    <x v="81"/>
    <x v="39"/>
    <x v="53"/>
    <n v="82"/>
  </r>
  <r>
    <x v="81"/>
    <x v="39"/>
    <x v="54"/>
    <n v="82"/>
  </r>
  <r>
    <x v="81"/>
    <x v="39"/>
    <x v="55"/>
    <n v="82"/>
  </r>
  <r>
    <x v="81"/>
    <x v="39"/>
    <x v="56"/>
    <n v="82"/>
  </r>
  <r>
    <x v="81"/>
    <x v="39"/>
    <x v="57"/>
    <n v="82"/>
  </r>
  <r>
    <x v="81"/>
    <x v="39"/>
    <x v="58"/>
    <n v="82"/>
  </r>
  <r>
    <x v="81"/>
    <x v="39"/>
    <x v="59"/>
    <n v="82"/>
  </r>
  <r>
    <x v="81"/>
    <x v="39"/>
    <x v="60"/>
    <n v="82"/>
  </r>
  <r>
    <x v="81"/>
    <x v="39"/>
    <x v="61"/>
    <n v="82"/>
  </r>
  <r>
    <x v="81"/>
    <x v="39"/>
    <x v="62"/>
    <n v="82"/>
  </r>
  <r>
    <x v="81"/>
    <x v="39"/>
    <x v="63"/>
    <n v="82"/>
  </r>
  <r>
    <x v="81"/>
    <x v="39"/>
    <x v="64"/>
    <n v="82"/>
  </r>
  <r>
    <x v="81"/>
    <x v="39"/>
    <x v="65"/>
    <n v="82"/>
  </r>
  <r>
    <x v="81"/>
    <x v="39"/>
    <x v="66"/>
    <n v="82"/>
  </r>
  <r>
    <x v="81"/>
    <x v="39"/>
    <x v="67"/>
    <n v="82"/>
  </r>
  <r>
    <x v="81"/>
    <x v="39"/>
    <x v="68"/>
    <n v="82"/>
  </r>
  <r>
    <x v="81"/>
    <x v="39"/>
    <x v="69"/>
    <n v="82"/>
  </r>
  <r>
    <x v="81"/>
    <x v="39"/>
    <x v="70"/>
    <n v="82"/>
  </r>
  <r>
    <x v="81"/>
    <x v="39"/>
    <x v="71"/>
    <n v="82"/>
  </r>
  <r>
    <x v="81"/>
    <x v="39"/>
    <x v="72"/>
    <n v="82"/>
  </r>
  <r>
    <x v="82"/>
    <x v="39"/>
    <x v="0"/>
    <n v="78"/>
  </r>
  <r>
    <x v="82"/>
    <x v="39"/>
    <x v="1"/>
    <n v="77"/>
  </r>
  <r>
    <x v="82"/>
    <x v="39"/>
    <x v="2"/>
    <n v="82"/>
  </r>
  <r>
    <x v="82"/>
    <x v="39"/>
    <x v="3"/>
    <n v="98"/>
  </r>
  <r>
    <x v="82"/>
    <x v="39"/>
    <x v="4"/>
    <n v="98"/>
  </r>
  <r>
    <x v="82"/>
    <x v="39"/>
    <x v="5"/>
    <n v="100"/>
  </r>
  <r>
    <x v="82"/>
    <x v="39"/>
    <x v="6"/>
    <n v="103"/>
  </r>
  <r>
    <x v="82"/>
    <x v="39"/>
    <x v="7"/>
    <n v="107"/>
  </r>
  <r>
    <x v="82"/>
    <x v="39"/>
    <x v="8"/>
    <n v="107"/>
  </r>
  <r>
    <x v="82"/>
    <x v="39"/>
    <x v="9"/>
    <n v="107"/>
  </r>
  <r>
    <x v="82"/>
    <x v="39"/>
    <x v="10"/>
    <n v="106"/>
  </r>
  <r>
    <x v="82"/>
    <x v="39"/>
    <x v="11"/>
    <n v="107"/>
  </r>
  <r>
    <x v="82"/>
    <x v="39"/>
    <x v="12"/>
    <n v="110"/>
  </r>
  <r>
    <x v="82"/>
    <x v="39"/>
    <x v="13"/>
    <n v="112"/>
  </r>
  <r>
    <x v="82"/>
    <x v="39"/>
    <x v="14"/>
    <n v="110"/>
  </r>
  <r>
    <x v="82"/>
    <x v="39"/>
    <x v="15"/>
    <n v="110"/>
  </r>
  <r>
    <x v="82"/>
    <x v="39"/>
    <x v="16"/>
    <n v="107"/>
  </r>
  <r>
    <x v="82"/>
    <x v="39"/>
    <x v="17"/>
    <n v="108"/>
  </r>
  <r>
    <x v="82"/>
    <x v="39"/>
    <x v="18"/>
    <n v="105"/>
  </r>
  <r>
    <x v="82"/>
    <x v="39"/>
    <x v="19"/>
    <n v="108"/>
  </r>
  <r>
    <x v="82"/>
    <x v="39"/>
    <x v="20"/>
    <n v="109"/>
  </r>
  <r>
    <x v="82"/>
    <x v="39"/>
    <x v="21"/>
    <n v="109"/>
  </r>
  <r>
    <x v="82"/>
    <x v="39"/>
    <x v="22"/>
    <n v="102"/>
  </r>
  <r>
    <x v="82"/>
    <x v="39"/>
    <x v="23"/>
    <n v="100"/>
  </r>
  <r>
    <x v="82"/>
    <x v="39"/>
    <x v="24"/>
    <n v="100"/>
  </r>
  <r>
    <x v="82"/>
    <x v="39"/>
    <x v="25"/>
    <n v="106"/>
  </r>
  <r>
    <x v="82"/>
    <x v="39"/>
    <x v="26"/>
    <n v="106"/>
  </r>
  <r>
    <x v="82"/>
    <x v="39"/>
    <x v="27"/>
    <n v="101"/>
  </r>
  <r>
    <x v="82"/>
    <x v="39"/>
    <x v="28"/>
    <n v="82"/>
  </r>
  <r>
    <x v="82"/>
    <x v="39"/>
    <x v="29"/>
    <n v="82"/>
  </r>
  <r>
    <x v="82"/>
    <x v="39"/>
    <x v="30"/>
    <n v="82"/>
  </r>
  <r>
    <x v="82"/>
    <x v="39"/>
    <x v="31"/>
    <n v="82"/>
  </r>
  <r>
    <x v="82"/>
    <x v="39"/>
    <x v="32"/>
    <n v="82"/>
  </r>
  <r>
    <x v="82"/>
    <x v="39"/>
    <x v="33"/>
    <n v="82"/>
  </r>
  <r>
    <x v="82"/>
    <x v="39"/>
    <x v="34"/>
    <n v="82"/>
  </r>
  <r>
    <x v="82"/>
    <x v="39"/>
    <x v="35"/>
    <n v="82"/>
  </r>
  <r>
    <x v="82"/>
    <x v="39"/>
    <x v="36"/>
    <n v="82"/>
  </r>
  <r>
    <x v="82"/>
    <x v="39"/>
    <x v="37"/>
    <n v="82"/>
  </r>
  <r>
    <x v="82"/>
    <x v="39"/>
    <x v="38"/>
    <n v="82"/>
  </r>
  <r>
    <x v="82"/>
    <x v="39"/>
    <x v="39"/>
    <n v="82"/>
  </r>
  <r>
    <x v="82"/>
    <x v="39"/>
    <x v="40"/>
    <n v="82"/>
  </r>
  <r>
    <x v="82"/>
    <x v="39"/>
    <x v="41"/>
    <n v="82"/>
  </r>
  <r>
    <x v="82"/>
    <x v="39"/>
    <x v="42"/>
    <n v="82"/>
  </r>
  <r>
    <x v="82"/>
    <x v="39"/>
    <x v="43"/>
    <n v="82"/>
  </r>
  <r>
    <x v="82"/>
    <x v="39"/>
    <x v="44"/>
    <n v="82"/>
  </r>
  <r>
    <x v="82"/>
    <x v="39"/>
    <x v="45"/>
    <n v="82"/>
  </r>
  <r>
    <x v="82"/>
    <x v="39"/>
    <x v="46"/>
    <n v="82"/>
  </r>
  <r>
    <x v="82"/>
    <x v="39"/>
    <x v="47"/>
    <n v="82"/>
  </r>
  <r>
    <x v="82"/>
    <x v="39"/>
    <x v="48"/>
    <n v="82"/>
  </r>
  <r>
    <x v="82"/>
    <x v="39"/>
    <x v="49"/>
    <n v="82"/>
  </r>
  <r>
    <x v="82"/>
    <x v="39"/>
    <x v="50"/>
    <n v="82"/>
  </r>
  <r>
    <x v="82"/>
    <x v="39"/>
    <x v="51"/>
    <n v="82"/>
  </r>
  <r>
    <x v="82"/>
    <x v="39"/>
    <x v="52"/>
    <n v="82"/>
  </r>
  <r>
    <x v="82"/>
    <x v="39"/>
    <x v="53"/>
    <n v="82"/>
  </r>
  <r>
    <x v="82"/>
    <x v="39"/>
    <x v="54"/>
    <n v="82"/>
  </r>
  <r>
    <x v="82"/>
    <x v="39"/>
    <x v="55"/>
    <n v="82"/>
  </r>
  <r>
    <x v="82"/>
    <x v="39"/>
    <x v="56"/>
    <n v="82"/>
  </r>
  <r>
    <x v="82"/>
    <x v="39"/>
    <x v="57"/>
    <n v="82"/>
  </r>
  <r>
    <x v="82"/>
    <x v="39"/>
    <x v="58"/>
    <n v="82"/>
  </r>
  <r>
    <x v="82"/>
    <x v="39"/>
    <x v="59"/>
    <n v="82"/>
  </r>
  <r>
    <x v="82"/>
    <x v="39"/>
    <x v="60"/>
    <n v="82"/>
  </r>
  <r>
    <x v="82"/>
    <x v="39"/>
    <x v="61"/>
    <n v="82"/>
  </r>
  <r>
    <x v="82"/>
    <x v="39"/>
    <x v="62"/>
    <n v="82"/>
  </r>
  <r>
    <x v="82"/>
    <x v="39"/>
    <x v="63"/>
    <n v="82"/>
  </r>
  <r>
    <x v="82"/>
    <x v="39"/>
    <x v="64"/>
    <n v="82"/>
  </r>
  <r>
    <x v="82"/>
    <x v="39"/>
    <x v="65"/>
    <n v="82"/>
  </r>
  <r>
    <x v="82"/>
    <x v="39"/>
    <x v="66"/>
    <n v="82"/>
  </r>
  <r>
    <x v="82"/>
    <x v="39"/>
    <x v="67"/>
    <n v="82"/>
  </r>
  <r>
    <x v="82"/>
    <x v="39"/>
    <x v="68"/>
    <n v="82"/>
  </r>
  <r>
    <x v="82"/>
    <x v="39"/>
    <x v="69"/>
    <n v="82"/>
  </r>
  <r>
    <x v="82"/>
    <x v="39"/>
    <x v="70"/>
    <n v="82"/>
  </r>
  <r>
    <x v="82"/>
    <x v="39"/>
    <x v="71"/>
    <n v="82"/>
  </r>
  <r>
    <x v="82"/>
    <x v="39"/>
    <x v="72"/>
    <n v="82"/>
  </r>
  <r>
    <x v="83"/>
    <x v="39"/>
    <x v="0"/>
    <n v="1"/>
  </r>
  <r>
    <x v="83"/>
    <x v="39"/>
    <x v="1"/>
    <n v="1"/>
  </r>
  <r>
    <x v="83"/>
    <x v="39"/>
    <x v="2"/>
    <n v="1"/>
  </r>
  <r>
    <x v="83"/>
    <x v="39"/>
    <x v="3"/>
    <n v="8"/>
  </r>
  <r>
    <x v="83"/>
    <x v="39"/>
    <x v="4"/>
    <n v="8"/>
  </r>
  <r>
    <x v="83"/>
    <x v="39"/>
    <x v="5"/>
    <n v="8"/>
  </r>
  <r>
    <x v="83"/>
    <x v="39"/>
    <x v="6"/>
    <n v="11"/>
  </r>
  <r>
    <x v="83"/>
    <x v="39"/>
    <x v="7"/>
    <n v="6"/>
  </r>
  <r>
    <x v="83"/>
    <x v="39"/>
    <x v="8"/>
    <n v="8"/>
  </r>
  <r>
    <x v="83"/>
    <x v="39"/>
    <x v="9"/>
    <n v="10"/>
  </r>
  <r>
    <x v="83"/>
    <x v="39"/>
    <x v="10"/>
    <n v="9"/>
  </r>
  <r>
    <x v="83"/>
    <x v="39"/>
    <x v="11"/>
    <n v="15"/>
  </r>
  <r>
    <x v="83"/>
    <x v="39"/>
    <x v="12"/>
    <n v="33"/>
  </r>
  <r>
    <x v="83"/>
    <x v="39"/>
    <x v="13"/>
    <n v="35"/>
  </r>
  <r>
    <x v="83"/>
    <x v="39"/>
    <x v="14"/>
    <n v="59"/>
  </r>
  <r>
    <x v="83"/>
    <x v="39"/>
    <x v="15"/>
    <n v="65"/>
  </r>
  <r>
    <x v="83"/>
    <x v="39"/>
    <x v="16"/>
    <n v="72"/>
  </r>
  <r>
    <x v="83"/>
    <x v="39"/>
    <x v="17"/>
    <n v="73"/>
  </r>
  <r>
    <x v="83"/>
    <x v="39"/>
    <x v="18"/>
    <n v="79"/>
  </r>
  <r>
    <x v="83"/>
    <x v="39"/>
    <x v="19"/>
    <n v="81"/>
  </r>
  <r>
    <x v="83"/>
    <x v="39"/>
    <x v="20"/>
    <n v="86"/>
  </r>
  <r>
    <x v="83"/>
    <x v="39"/>
    <x v="21"/>
    <n v="87"/>
  </r>
  <r>
    <x v="83"/>
    <x v="39"/>
    <x v="22"/>
    <n v="102"/>
  </r>
  <r>
    <x v="83"/>
    <x v="39"/>
    <x v="23"/>
    <n v="86"/>
  </r>
  <r>
    <x v="83"/>
    <x v="39"/>
    <x v="24"/>
    <n v="82"/>
  </r>
  <r>
    <x v="83"/>
    <x v="39"/>
    <x v="25"/>
    <n v="81"/>
  </r>
  <r>
    <x v="83"/>
    <x v="39"/>
    <x v="26"/>
    <n v="81"/>
  </r>
  <r>
    <x v="83"/>
    <x v="39"/>
    <x v="27"/>
    <n v="86"/>
  </r>
  <r>
    <x v="83"/>
    <x v="39"/>
    <x v="28"/>
    <n v="82"/>
  </r>
  <r>
    <x v="83"/>
    <x v="39"/>
    <x v="29"/>
    <n v="82"/>
  </r>
  <r>
    <x v="83"/>
    <x v="39"/>
    <x v="30"/>
    <n v="82"/>
  </r>
  <r>
    <x v="83"/>
    <x v="39"/>
    <x v="31"/>
    <n v="82"/>
  </r>
  <r>
    <x v="83"/>
    <x v="39"/>
    <x v="32"/>
    <n v="82"/>
  </r>
  <r>
    <x v="83"/>
    <x v="39"/>
    <x v="33"/>
    <n v="82"/>
  </r>
  <r>
    <x v="83"/>
    <x v="39"/>
    <x v="34"/>
    <n v="82"/>
  </r>
  <r>
    <x v="83"/>
    <x v="39"/>
    <x v="35"/>
    <n v="82"/>
  </r>
  <r>
    <x v="83"/>
    <x v="39"/>
    <x v="36"/>
    <n v="82"/>
  </r>
  <r>
    <x v="83"/>
    <x v="39"/>
    <x v="37"/>
    <n v="82"/>
  </r>
  <r>
    <x v="83"/>
    <x v="39"/>
    <x v="38"/>
    <n v="82"/>
  </r>
  <r>
    <x v="83"/>
    <x v="39"/>
    <x v="39"/>
    <n v="82"/>
  </r>
  <r>
    <x v="83"/>
    <x v="39"/>
    <x v="40"/>
    <n v="82"/>
  </r>
  <r>
    <x v="83"/>
    <x v="39"/>
    <x v="41"/>
    <n v="82"/>
  </r>
  <r>
    <x v="83"/>
    <x v="39"/>
    <x v="42"/>
    <n v="82"/>
  </r>
  <r>
    <x v="83"/>
    <x v="39"/>
    <x v="43"/>
    <n v="82"/>
  </r>
  <r>
    <x v="83"/>
    <x v="39"/>
    <x v="44"/>
    <n v="82"/>
  </r>
  <r>
    <x v="83"/>
    <x v="39"/>
    <x v="45"/>
    <n v="82"/>
  </r>
  <r>
    <x v="83"/>
    <x v="39"/>
    <x v="46"/>
    <n v="82"/>
  </r>
  <r>
    <x v="83"/>
    <x v="39"/>
    <x v="47"/>
    <n v="82"/>
  </r>
  <r>
    <x v="83"/>
    <x v="39"/>
    <x v="48"/>
    <n v="82"/>
  </r>
  <r>
    <x v="83"/>
    <x v="39"/>
    <x v="49"/>
    <n v="82"/>
  </r>
  <r>
    <x v="83"/>
    <x v="39"/>
    <x v="50"/>
    <n v="82"/>
  </r>
  <r>
    <x v="83"/>
    <x v="39"/>
    <x v="51"/>
    <n v="82"/>
  </r>
  <r>
    <x v="83"/>
    <x v="39"/>
    <x v="52"/>
    <n v="82"/>
  </r>
  <r>
    <x v="83"/>
    <x v="39"/>
    <x v="53"/>
    <n v="82"/>
  </r>
  <r>
    <x v="83"/>
    <x v="39"/>
    <x v="54"/>
    <n v="82"/>
  </r>
  <r>
    <x v="83"/>
    <x v="39"/>
    <x v="55"/>
    <n v="82"/>
  </r>
  <r>
    <x v="83"/>
    <x v="39"/>
    <x v="56"/>
    <n v="82"/>
  </r>
  <r>
    <x v="83"/>
    <x v="39"/>
    <x v="57"/>
    <n v="82"/>
  </r>
  <r>
    <x v="83"/>
    <x v="39"/>
    <x v="58"/>
    <n v="82"/>
  </r>
  <r>
    <x v="83"/>
    <x v="39"/>
    <x v="59"/>
    <n v="82"/>
  </r>
  <r>
    <x v="83"/>
    <x v="39"/>
    <x v="60"/>
    <n v="82"/>
  </r>
  <r>
    <x v="83"/>
    <x v="39"/>
    <x v="61"/>
    <n v="82"/>
  </r>
  <r>
    <x v="83"/>
    <x v="39"/>
    <x v="62"/>
    <n v="82"/>
  </r>
  <r>
    <x v="83"/>
    <x v="39"/>
    <x v="63"/>
    <n v="82"/>
  </r>
  <r>
    <x v="83"/>
    <x v="39"/>
    <x v="64"/>
    <n v="82"/>
  </r>
  <r>
    <x v="83"/>
    <x v="39"/>
    <x v="65"/>
    <n v="82"/>
  </r>
  <r>
    <x v="83"/>
    <x v="39"/>
    <x v="66"/>
    <n v="82"/>
  </r>
  <r>
    <x v="83"/>
    <x v="39"/>
    <x v="67"/>
    <n v="82"/>
  </r>
  <r>
    <x v="83"/>
    <x v="39"/>
    <x v="68"/>
    <n v="82"/>
  </r>
  <r>
    <x v="83"/>
    <x v="39"/>
    <x v="69"/>
    <n v="82"/>
  </r>
  <r>
    <x v="83"/>
    <x v="39"/>
    <x v="70"/>
    <n v="82"/>
  </r>
  <r>
    <x v="83"/>
    <x v="39"/>
    <x v="71"/>
    <n v="82"/>
  </r>
  <r>
    <x v="83"/>
    <x v="39"/>
    <x v="72"/>
    <n v="82"/>
  </r>
  <r>
    <x v="84"/>
    <x v="39"/>
    <x v="0"/>
    <n v="78"/>
  </r>
  <r>
    <x v="84"/>
    <x v="39"/>
    <x v="1"/>
    <n v="77"/>
  </r>
  <r>
    <x v="84"/>
    <x v="39"/>
    <x v="2"/>
    <n v="106"/>
  </r>
  <r>
    <x v="84"/>
    <x v="39"/>
    <x v="3"/>
    <n v="68"/>
  </r>
  <r>
    <x v="84"/>
    <x v="39"/>
    <x v="4"/>
    <n v="68"/>
  </r>
  <r>
    <x v="84"/>
    <x v="39"/>
    <x v="5"/>
    <n v="68"/>
  </r>
  <r>
    <x v="84"/>
    <x v="39"/>
    <x v="6"/>
    <n v="49"/>
  </r>
  <r>
    <x v="84"/>
    <x v="39"/>
    <x v="7"/>
    <n v="49"/>
  </r>
  <r>
    <x v="84"/>
    <x v="39"/>
    <x v="8"/>
    <n v="64"/>
  </r>
  <r>
    <x v="84"/>
    <x v="39"/>
    <x v="9"/>
    <n v="65"/>
  </r>
  <r>
    <x v="84"/>
    <x v="39"/>
    <x v="10"/>
    <n v="61"/>
  </r>
  <r>
    <x v="84"/>
    <x v="39"/>
    <x v="11"/>
    <n v="54"/>
  </r>
  <r>
    <x v="84"/>
    <x v="39"/>
    <x v="12"/>
    <n v="80"/>
  </r>
  <r>
    <x v="84"/>
    <x v="39"/>
    <x v="13"/>
    <n v="77"/>
  </r>
  <r>
    <x v="84"/>
    <x v="39"/>
    <x v="14"/>
    <n v="69"/>
  </r>
  <r>
    <x v="84"/>
    <x v="39"/>
    <x v="15"/>
    <n v="75"/>
  </r>
  <r>
    <x v="84"/>
    <x v="39"/>
    <x v="16"/>
    <n v="79"/>
  </r>
  <r>
    <x v="84"/>
    <x v="39"/>
    <x v="17"/>
    <n v="82"/>
  </r>
  <r>
    <x v="84"/>
    <x v="39"/>
    <x v="18"/>
    <n v="97"/>
  </r>
  <r>
    <x v="84"/>
    <x v="39"/>
    <x v="19"/>
    <n v="70"/>
  </r>
  <r>
    <x v="84"/>
    <x v="39"/>
    <x v="20"/>
    <n v="67"/>
  </r>
  <r>
    <x v="84"/>
    <x v="39"/>
    <x v="21"/>
    <n v="72"/>
  </r>
  <r>
    <x v="84"/>
    <x v="39"/>
    <x v="22"/>
    <n v="71"/>
  </r>
  <r>
    <x v="84"/>
    <x v="39"/>
    <x v="23"/>
    <n v="80"/>
  </r>
  <r>
    <x v="84"/>
    <x v="39"/>
    <x v="24"/>
    <n v="96"/>
  </r>
  <r>
    <x v="84"/>
    <x v="39"/>
    <x v="25"/>
    <n v="102"/>
  </r>
  <r>
    <x v="84"/>
    <x v="39"/>
    <x v="26"/>
    <n v="103"/>
  </r>
  <r>
    <x v="84"/>
    <x v="39"/>
    <x v="27"/>
    <n v="101"/>
  </r>
  <r>
    <x v="84"/>
    <x v="39"/>
    <x v="28"/>
    <n v="82"/>
  </r>
  <r>
    <x v="84"/>
    <x v="39"/>
    <x v="29"/>
    <n v="82"/>
  </r>
  <r>
    <x v="84"/>
    <x v="39"/>
    <x v="30"/>
    <n v="82"/>
  </r>
  <r>
    <x v="84"/>
    <x v="39"/>
    <x v="31"/>
    <n v="82"/>
  </r>
  <r>
    <x v="84"/>
    <x v="39"/>
    <x v="32"/>
    <n v="82"/>
  </r>
  <r>
    <x v="84"/>
    <x v="39"/>
    <x v="33"/>
    <n v="82"/>
  </r>
  <r>
    <x v="84"/>
    <x v="39"/>
    <x v="34"/>
    <n v="82"/>
  </r>
  <r>
    <x v="84"/>
    <x v="39"/>
    <x v="35"/>
    <n v="82"/>
  </r>
  <r>
    <x v="84"/>
    <x v="39"/>
    <x v="36"/>
    <n v="82"/>
  </r>
  <r>
    <x v="84"/>
    <x v="39"/>
    <x v="37"/>
    <n v="82"/>
  </r>
  <r>
    <x v="84"/>
    <x v="39"/>
    <x v="38"/>
    <n v="82"/>
  </r>
  <r>
    <x v="84"/>
    <x v="39"/>
    <x v="39"/>
    <n v="82"/>
  </r>
  <r>
    <x v="84"/>
    <x v="39"/>
    <x v="40"/>
    <n v="82"/>
  </r>
  <r>
    <x v="84"/>
    <x v="39"/>
    <x v="41"/>
    <n v="82"/>
  </r>
  <r>
    <x v="84"/>
    <x v="39"/>
    <x v="42"/>
    <n v="82"/>
  </r>
  <r>
    <x v="84"/>
    <x v="39"/>
    <x v="43"/>
    <n v="82"/>
  </r>
  <r>
    <x v="84"/>
    <x v="39"/>
    <x v="44"/>
    <n v="82"/>
  </r>
  <r>
    <x v="84"/>
    <x v="39"/>
    <x v="45"/>
    <n v="82"/>
  </r>
  <r>
    <x v="84"/>
    <x v="39"/>
    <x v="46"/>
    <n v="82"/>
  </r>
  <r>
    <x v="84"/>
    <x v="39"/>
    <x v="47"/>
    <n v="82"/>
  </r>
  <r>
    <x v="84"/>
    <x v="39"/>
    <x v="48"/>
    <n v="82"/>
  </r>
  <r>
    <x v="84"/>
    <x v="39"/>
    <x v="49"/>
    <n v="82"/>
  </r>
  <r>
    <x v="84"/>
    <x v="39"/>
    <x v="50"/>
    <n v="82"/>
  </r>
  <r>
    <x v="84"/>
    <x v="39"/>
    <x v="51"/>
    <n v="82"/>
  </r>
  <r>
    <x v="84"/>
    <x v="39"/>
    <x v="52"/>
    <n v="82"/>
  </r>
  <r>
    <x v="84"/>
    <x v="39"/>
    <x v="53"/>
    <n v="82"/>
  </r>
  <r>
    <x v="84"/>
    <x v="39"/>
    <x v="54"/>
    <n v="82"/>
  </r>
  <r>
    <x v="84"/>
    <x v="39"/>
    <x v="55"/>
    <n v="82"/>
  </r>
  <r>
    <x v="84"/>
    <x v="39"/>
    <x v="56"/>
    <n v="82"/>
  </r>
  <r>
    <x v="84"/>
    <x v="39"/>
    <x v="57"/>
    <n v="82"/>
  </r>
  <r>
    <x v="84"/>
    <x v="39"/>
    <x v="58"/>
    <n v="82"/>
  </r>
  <r>
    <x v="84"/>
    <x v="39"/>
    <x v="59"/>
    <n v="82"/>
  </r>
  <r>
    <x v="84"/>
    <x v="39"/>
    <x v="60"/>
    <n v="82"/>
  </r>
  <r>
    <x v="84"/>
    <x v="39"/>
    <x v="61"/>
    <n v="82"/>
  </r>
  <r>
    <x v="84"/>
    <x v="39"/>
    <x v="62"/>
    <n v="82"/>
  </r>
  <r>
    <x v="84"/>
    <x v="39"/>
    <x v="63"/>
    <n v="82"/>
  </r>
  <r>
    <x v="84"/>
    <x v="39"/>
    <x v="64"/>
    <n v="82"/>
  </r>
  <r>
    <x v="84"/>
    <x v="39"/>
    <x v="65"/>
    <n v="82"/>
  </r>
  <r>
    <x v="84"/>
    <x v="39"/>
    <x v="66"/>
    <n v="82"/>
  </r>
  <r>
    <x v="84"/>
    <x v="39"/>
    <x v="67"/>
    <n v="82"/>
  </r>
  <r>
    <x v="84"/>
    <x v="39"/>
    <x v="68"/>
    <n v="82"/>
  </r>
  <r>
    <x v="84"/>
    <x v="39"/>
    <x v="69"/>
    <n v="82"/>
  </r>
  <r>
    <x v="84"/>
    <x v="39"/>
    <x v="70"/>
    <n v="82"/>
  </r>
  <r>
    <x v="84"/>
    <x v="39"/>
    <x v="71"/>
    <n v="82"/>
  </r>
  <r>
    <x v="84"/>
    <x v="39"/>
    <x v="72"/>
    <n v="82"/>
  </r>
  <r>
    <x v="85"/>
    <x v="39"/>
    <x v="0"/>
    <n v="65"/>
  </r>
  <r>
    <x v="85"/>
    <x v="39"/>
    <x v="1"/>
    <n v="62"/>
  </r>
  <r>
    <x v="85"/>
    <x v="39"/>
    <x v="2"/>
    <n v="82"/>
  </r>
  <r>
    <x v="85"/>
    <x v="39"/>
    <x v="3"/>
    <n v="105"/>
  </r>
  <r>
    <x v="85"/>
    <x v="39"/>
    <x v="4"/>
    <n v="105"/>
  </r>
  <r>
    <x v="85"/>
    <x v="39"/>
    <x v="5"/>
    <n v="93"/>
  </r>
  <r>
    <x v="85"/>
    <x v="39"/>
    <x v="6"/>
    <n v="82"/>
  </r>
  <r>
    <x v="85"/>
    <x v="39"/>
    <x v="7"/>
    <n v="86"/>
  </r>
  <r>
    <x v="85"/>
    <x v="39"/>
    <x v="8"/>
    <n v="72"/>
  </r>
  <r>
    <x v="85"/>
    <x v="39"/>
    <x v="9"/>
    <n v="74"/>
  </r>
  <r>
    <x v="85"/>
    <x v="39"/>
    <x v="10"/>
    <n v="69"/>
  </r>
  <r>
    <x v="85"/>
    <x v="39"/>
    <x v="11"/>
    <n v="85"/>
  </r>
  <r>
    <x v="85"/>
    <x v="39"/>
    <x v="12"/>
    <n v="98"/>
  </r>
  <r>
    <x v="85"/>
    <x v="39"/>
    <x v="13"/>
    <n v="87"/>
  </r>
  <r>
    <x v="85"/>
    <x v="39"/>
    <x v="14"/>
    <n v="86"/>
  </r>
  <r>
    <x v="85"/>
    <x v="39"/>
    <x v="15"/>
    <n v="87"/>
  </r>
  <r>
    <x v="85"/>
    <x v="39"/>
    <x v="16"/>
    <n v="90"/>
  </r>
  <r>
    <x v="85"/>
    <x v="39"/>
    <x v="17"/>
    <n v="85"/>
  </r>
  <r>
    <x v="85"/>
    <x v="39"/>
    <x v="18"/>
    <n v="79"/>
  </r>
  <r>
    <x v="85"/>
    <x v="39"/>
    <x v="19"/>
    <n v="81"/>
  </r>
  <r>
    <x v="85"/>
    <x v="39"/>
    <x v="20"/>
    <n v="67"/>
  </r>
  <r>
    <x v="85"/>
    <x v="39"/>
    <x v="21"/>
    <n v="40"/>
  </r>
  <r>
    <x v="85"/>
    <x v="39"/>
    <x v="22"/>
    <n v="68"/>
  </r>
  <r>
    <x v="85"/>
    <x v="39"/>
    <x v="23"/>
    <n v="61"/>
  </r>
  <r>
    <x v="85"/>
    <x v="39"/>
    <x v="24"/>
    <n v="71"/>
  </r>
  <r>
    <x v="85"/>
    <x v="39"/>
    <x v="25"/>
    <n v="76"/>
  </r>
  <r>
    <x v="85"/>
    <x v="39"/>
    <x v="26"/>
    <n v="77"/>
  </r>
  <r>
    <x v="85"/>
    <x v="39"/>
    <x v="27"/>
    <n v="74"/>
  </r>
  <r>
    <x v="85"/>
    <x v="39"/>
    <x v="28"/>
    <n v="82"/>
  </r>
  <r>
    <x v="85"/>
    <x v="39"/>
    <x v="29"/>
    <n v="82"/>
  </r>
  <r>
    <x v="85"/>
    <x v="39"/>
    <x v="30"/>
    <n v="82"/>
  </r>
  <r>
    <x v="85"/>
    <x v="39"/>
    <x v="31"/>
    <n v="82"/>
  </r>
  <r>
    <x v="85"/>
    <x v="39"/>
    <x v="32"/>
    <n v="82"/>
  </r>
  <r>
    <x v="85"/>
    <x v="39"/>
    <x v="33"/>
    <n v="82"/>
  </r>
  <r>
    <x v="85"/>
    <x v="39"/>
    <x v="34"/>
    <n v="82"/>
  </r>
  <r>
    <x v="85"/>
    <x v="39"/>
    <x v="35"/>
    <n v="82"/>
  </r>
  <r>
    <x v="85"/>
    <x v="39"/>
    <x v="36"/>
    <n v="82"/>
  </r>
  <r>
    <x v="85"/>
    <x v="39"/>
    <x v="37"/>
    <n v="82"/>
  </r>
  <r>
    <x v="85"/>
    <x v="39"/>
    <x v="38"/>
    <n v="82"/>
  </r>
  <r>
    <x v="85"/>
    <x v="39"/>
    <x v="39"/>
    <n v="82"/>
  </r>
  <r>
    <x v="85"/>
    <x v="39"/>
    <x v="40"/>
    <n v="82"/>
  </r>
  <r>
    <x v="85"/>
    <x v="39"/>
    <x v="41"/>
    <n v="82"/>
  </r>
  <r>
    <x v="85"/>
    <x v="39"/>
    <x v="42"/>
    <n v="82"/>
  </r>
  <r>
    <x v="85"/>
    <x v="39"/>
    <x v="43"/>
    <n v="82"/>
  </r>
  <r>
    <x v="85"/>
    <x v="39"/>
    <x v="44"/>
    <n v="82"/>
  </r>
  <r>
    <x v="85"/>
    <x v="39"/>
    <x v="45"/>
    <n v="82"/>
  </r>
  <r>
    <x v="85"/>
    <x v="39"/>
    <x v="46"/>
    <n v="82"/>
  </r>
  <r>
    <x v="85"/>
    <x v="39"/>
    <x v="47"/>
    <n v="82"/>
  </r>
  <r>
    <x v="85"/>
    <x v="39"/>
    <x v="48"/>
    <n v="82"/>
  </r>
  <r>
    <x v="85"/>
    <x v="39"/>
    <x v="49"/>
    <n v="82"/>
  </r>
  <r>
    <x v="85"/>
    <x v="39"/>
    <x v="50"/>
    <n v="82"/>
  </r>
  <r>
    <x v="85"/>
    <x v="39"/>
    <x v="51"/>
    <n v="82"/>
  </r>
  <r>
    <x v="85"/>
    <x v="39"/>
    <x v="52"/>
    <n v="82"/>
  </r>
  <r>
    <x v="85"/>
    <x v="39"/>
    <x v="53"/>
    <n v="82"/>
  </r>
  <r>
    <x v="85"/>
    <x v="39"/>
    <x v="54"/>
    <n v="82"/>
  </r>
  <r>
    <x v="85"/>
    <x v="39"/>
    <x v="55"/>
    <n v="82"/>
  </r>
  <r>
    <x v="85"/>
    <x v="39"/>
    <x v="56"/>
    <n v="82"/>
  </r>
  <r>
    <x v="85"/>
    <x v="39"/>
    <x v="57"/>
    <n v="82"/>
  </r>
  <r>
    <x v="85"/>
    <x v="39"/>
    <x v="58"/>
    <n v="82"/>
  </r>
  <r>
    <x v="85"/>
    <x v="39"/>
    <x v="59"/>
    <n v="82"/>
  </r>
  <r>
    <x v="85"/>
    <x v="39"/>
    <x v="60"/>
    <n v="82"/>
  </r>
  <r>
    <x v="85"/>
    <x v="39"/>
    <x v="61"/>
    <n v="82"/>
  </r>
  <r>
    <x v="85"/>
    <x v="39"/>
    <x v="62"/>
    <n v="82"/>
  </r>
  <r>
    <x v="85"/>
    <x v="39"/>
    <x v="63"/>
    <n v="82"/>
  </r>
  <r>
    <x v="85"/>
    <x v="39"/>
    <x v="64"/>
    <n v="82"/>
  </r>
  <r>
    <x v="85"/>
    <x v="39"/>
    <x v="65"/>
    <n v="82"/>
  </r>
  <r>
    <x v="85"/>
    <x v="39"/>
    <x v="66"/>
    <n v="82"/>
  </r>
  <r>
    <x v="85"/>
    <x v="39"/>
    <x v="67"/>
    <n v="82"/>
  </r>
  <r>
    <x v="85"/>
    <x v="39"/>
    <x v="68"/>
    <n v="82"/>
  </r>
  <r>
    <x v="85"/>
    <x v="39"/>
    <x v="69"/>
    <n v="82"/>
  </r>
  <r>
    <x v="85"/>
    <x v="39"/>
    <x v="70"/>
    <n v="82"/>
  </r>
  <r>
    <x v="85"/>
    <x v="39"/>
    <x v="71"/>
    <n v="82"/>
  </r>
  <r>
    <x v="85"/>
    <x v="39"/>
    <x v="72"/>
    <n v="82"/>
  </r>
  <r>
    <x v="86"/>
    <x v="40"/>
    <x v="0"/>
    <n v="78"/>
  </r>
  <r>
    <x v="86"/>
    <x v="40"/>
    <x v="1"/>
    <n v="77"/>
  </r>
  <r>
    <x v="86"/>
    <x v="40"/>
    <x v="2"/>
    <n v="82"/>
  </r>
  <r>
    <x v="86"/>
    <x v="40"/>
    <x v="3"/>
    <n v="98"/>
  </r>
  <r>
    <x v="86"/>
    <x v="40"/>
    <x v="4"/>
    <n v="98"/>
  </r>
  <r>
    <x v="86"/>
    <x v="40"/>
    <x v="5"/>
    <n v="100"/>
  </r>
  <r>
    <x v="86"/>
    <x v="40"/>
    <x v="6"/>
    <n v="101"/>
  </r>
  <r>
    <x v="86"/>
    <x v="40"/>
    <x v="7"/>
    <n v="102"/>
  </r>
  <r>
    <x v="86"/>
    <x v="40"/>
    <x v="8"/>
    <n v="102"/>
  </r>
  <r>
    <x v="86"/>
    <x v="40"/>
    <x v="9"/>
    <n v="103"/>
  </r>
  <r>
    <x v="86"/>
    <x v="40"/>
    <x v="10"/>
    <n v="99"/>
  </r>
  <r>
    <x v="86"/>
    <x v="40"/>
    <x v="11"/>
    <n v="98"/>
  </r>
  <r>
    <x v="86"/>
    <x v="40"/>
    <x v="12"/>
    <n v="98"/>
  </r>
  <r>
    <x v="86"/>
    <x v="40"/>
    <x v="13"/>
    <n v="87"/>
  </r>
  <r>
    <x v="86"/>
    <x v="40"/>
    <x v="14"/>
    <n v="86"/>
  </r>
  <r>
    <x v="86"/>
    <x v="40"/>
    <x v="15"/>
    <n v="72"/>
  </r>
  <r>
    <x v="86"/>
    <x v="40"/>
    <x v="16"/>
    <n v="77"/>
  </r>
  <r>
    <x v="86"/>
    <x v="40"/>
    <x v="17"/>
    <n v="79"/>
  </r>
  <r>
    <x v="86"/>
    <x v="40"/>
    <x v="18"/>
    <n v="88"/>
  </r>
  <r>
    <x v="86"/>
    <x v="40"/>
    <x v="19"/>
    <n v="76"/>
  </r>
  <r>
    <x v="86"/>
    <x v="40"/>
    <x v="20"/>
    <n v="81"/>
  </r>
  <r>
    <x v="86"/>
    <x v="40"/>
    <x v="21"/>
    <n v="85"/>
  </r>
  <r>
    <x v="86"/>
    <x v="40"/>
    <x v="22"/>
    <n v="71"/>
  </r>
  <r>
    <x v="86"/>
    <x v="40"/>
    <x v="23"/>
    <n v="74"/>
  </r>
  <r>
    <x v="86"/>
    <x v="40"/>
    <x v="24"/>
    <n v="73"/>
  </r>
  <r>
    <x v="86"/>
    <x v="40"/>
    <x v="25"/>
    <n v="78"/>
  </r>
  <r>
    <x v="86"/>
    <x v="40"/>
    <x v="26"/>
    <n v="78"/>
  </r>
  <r>
    <x v="86"/>
    <x v="40"/>
    <x v="27"/>
    <n v="80"/>
  </r>
  <r>
    <x v="86"/>
    <x v="40"/>
    <x v="28"/>
    <n v="87"/>
  </r>
  <r>
    <x v="86"/>
    <x v="40"/>
    <x v="29"/>
    <n v="87"/>
  </r>
  <r>
    <x v="86"/>
    <x v="40"/>
    <x v="30"/>
    <n v="87"/>
  </r>
  <r>
    <x v="86"/>
    <x v="40"/>
    <x v="31"/>
    <n v="87"/>
  </r>
  <r>
    <x v="86"/>
    <x v="40"/>
    <x v="32"/>
    <n v="87"/>
  </r>
  <r>
    <x v="86"/>
    <x v="40"/>
    <x v="33"/>
    <n v="87"/>
  </r>
  <r>
    <x v="86"/>
    <x v="40"/>
    <x v="34"/>
    <n v="87"/>
  </r>
  <r>
    <x v="86"/>
    <x v="40"/>
    <x v="35"/>
    <n v="87"/>
  </r>
  <r>
    <x v="86"/>
    <x v="40"/>
    <x v="36"/>
    <n v="87"/>
  </r>
  <r>
    <x v="86"/>
    <x v="40"/>
    <x v="37"/>
    <n v="87"/>
  </r>
  <r>
    <x v="86"/>
    <x v="40"/>
    <x v="38"/>
    <n v="87"/>
  </r>
  <r>
    <x v="86"/>
    <x v="40"/>
    <x v="39"/>
    <n v="87"/>
  </r>
  <r>
    <x v="86"/>
    <x v="40"/>
    <x v="40"/>
    <n v="87"/>
  </r>
  <r>
    <x v="86"/>
    <x v="40"/>
    <x v="41"/>
    <n v="87"/>
  </r>
  <r>
    <x v="86"/>
    <x v="40"/>
    <x v="42"/>
    <n v="87"/>
  </r>
  <r>
    <x v="86"/>
    <x v="40"/>
    <x v="43"/>
    <n v="87"/>
  </r>
  <r>
    <x v="86"/>
    <x v="40"/>
    <x v="44"/>
    <n v="87"/>
  </r>
  <r>
    <x v="86"/>
    <x v="40"/>
    <x v="45"/>
    <n v="87"/>
  </r>
  <r>
    <x v="86"/>
    <x v="40"/>
    <x v="46"/>
    <n v="87"/>
  </r>
  <r>
    <x v="86"/>
    <x v="40"/>
    <x v="47"/>
    <n v="87"/>
  </r>
  <r>
    <x v="86"/>
    <x v="40"/>
    <x v="48"/>
    <n v="87"/>
  </r>
  <r>
    <x v="86"/>
    <x v="40"/>
    <x v="49"/>
    <n v="87"/>
  </r>
  <r>
    <x v="86"/>
    <x v="40"/>
    <x v="50"/>
    <n v="87"/>
  </r>
  <r>
    <x v="86"/>
    <x v="40"/>
    <x v="51"/>
    <n v="87"/>
  </r>
  <r>
    <x v="86"/>
    <x v="40"/>
    <x v="52"/>
    <n v="87"/>
  </r>
  <r>
    <x v="86"/>
    <x v="40"/>
    <x v="53"/>
    <n v="87"/>
  </r>
  <r>
    <x v="86"/>
    <x v="40"/>
    <x v="54"/>
    <n v="87"/>
  </r>
  <r>
    <x v="86"/>
    <x v="40"/>
    <x v="55"/>
    <n v="87"/>
  </r>
  <r>
    <x v="86"/>
    <x v="40"/>
    <x v="56"/>
    <n v="87"/>
  </r>
  <r>
    <x v="86"/>
    <x v="40"/>
    <x v="57"/>
    <n v="87"/>
  </r>
  <r>
    <x v="86"/>
    <x v="40"/>
    <x v="58"/>
    <n v="87"/>
  </r>
  <r>
    <x v="86"/>
    <x v="40"/>
    <x v="59"/>
    <n v="87"/>
  </r>
  <r>
    <x v="86"/>
    <x v="40"/>
    <x v="60"/>
    <n v="87"/>
  </r>
  <r>
    <x v="86"/>
    <x v="40"/>
    <x v="61"/>
    <n v="87"/>
  </r>
  <r>
    <x v="86"/>
    <x v="40"/>
    <x v="62"/>
    <n v="87"/>
  </r>
  <r>
    <x v="86"/>
    <x v="40"/>
    <x v="63"/>
    <n v="87"/>
  </r>
  <r>
    <x v="86"/>
    <x v="40"/>
    <x v="64"/>
    <n v="87"/>
  </r>
  <r>
    <x v="86"/>
    <x v="40"/>
    <x v="65"/>
    <n v="87"/>
  </r>
  <r>
    <x v="86"/>
    <x v="40"/>
    <x v="66"/>
    <n v="87"/>
  </r>
  <r>
    <x v="86"/>
    <x v="40"/>
    <x v="67"/>
    <n v="87"/>
  </r>
  <r>
    <x v="86"/>
    <x v="40"/>
    <x v="68"/>
    <n v="87"/>
  </r>
  <r>
    <x v="86"/>
    <x v="40"/>
    <x v="69"/>
    <n v="87"/>
  </r>
  <r>
    <x v="86"/>
    <x v="40"/>
    <x v="70"/>
    <n v="87"/>
  </r>
  <r>
    <x v="86"/>
    <x v="40"/>
    <x v="71"/>
    <n v="87"/>
  </r>
  <r>
    <x v="86"/>
    <x v="40"/>
    <x v="72"/>
    <n v="87"/>
  </r>
  <r>
    <x v="87"/>
    <x v="40"/>
    <x v="0"/>
    <n v="78"/>
  </r>
  <r>
    <x v="87"/>
    <x v="40"/>
    <x v="1"/>
    <n v="77"/>
  </r>
  <r>
    <x v="87"/>
    <x v="40"/>
    <x v="2"/>
    <n v="82"/>
  </r>
  <r>
    <x v="87"/>
    <x v="40"/>
    <x v="3"/>
    <n v="54"/>
  </r>
  <r>
    <x v="87"/>
    <x v="40"/>
    <x v="4"/>
    <n v="55"/>
  </r>
  <r>
    <x v="87"/>
    <x v="40"/>
    <x v="5"/>
    <n v="53"/>
  </r>
  <r>
    <x v="87"/>
    <x v="40"/>
    <x v="6"/>
    <n v="37"/>
  </r>
  <r>
    <x v="87"/>
    <x v="40"/>
    <x v="7"/>
    <n v="39"/>
  </r>
  <r>
    <x v="87"/>
    <x v="40"/>
    <x v="8"/>
    <n v="52"/>
  </r>
  <r>
    <x v="87"/>
    <x v="40"/>
    <x v="9"/>
    <n v="56"/>
  </r>
  <r>
    <x v="87"/>
    <x v="40"/>
    <x v="10"/>
    <n v="61"/>
  </r>
  <r>
    <x v="87"/>
    <x v="40"/>
    <x v="11"/>
    <n v="69"/>
  </r>
  <r>
    <x v="87"/>
    <x v="40"/>
    <x v="12"/>
    <n v="43"/>
  </r>
  <r>
    <x v="87"/>
    <x v="40"/>
    <x v="13"/>
    <n v="52"/>
  </r>
  <r>
    <x v="87"/>
    <x v="40"/>
    <x v="14"/>
    <n v="51"/>
  </r>
  <r>
    <x v="87"/>
    <x v="40"/>
    <x v="15"/>
    <n v="65"/>
  </r>
  <r>
    <x v="87"/>
    <x v="40"/>
    <x v="16"/>
    <n v="72"/>
  </r>
  <r>
    <x v="87"/>
    <x v="40"/>
    <x v="17"/>
    <n v="73"/>
  </r>
  <r>
    <x v="87"/>
    <x v="40"/>
    <x v="18"/>
    <n v="71"/>
  </r>
  <r>
    <x v="87"/>
    <x v="40"/>
    <x v="19"/>
    <n v="70"/>
  </r>
  <r>
    <x v="87"/>
    <x v="40"/>
    <x v="20"/>
    <n v="75"/>
  </r>
  <r>
    <x v="87"/>
    <x v="40"/>
    <x v="21"/>
    <n v="76"/>
  </r>
  <r>
    <x v="87"/>
    <x v="40"/>
    <x v="22"/>
    <n v="75"/>
  </r>
  <r>
    <x v="87"/>
    <x v="40"/>
    <x v="23"/>
    <n v="83"/>
  </r>
  <r>
    <x v="87"/>
    <x v="40"/>
    <x v="24"/>
    <n v="84"/>
  </r>
  <r>
    <x v="87"/>
    <x v="40"/>
    <x v="25"/>
    <n v="91"/>
  </r>
  <r>
    <x v="87"/>
    <x v="40"/>
    <x v="26"/>
    <n v="91"/>
  </r>
  <r>
    <x v="87"/>
    <x v="40"/>
    <x v="27"/>
    <n v="88"/>
  </r>
  <r>
    <x v="87"/>
    <x v="40"/>
    <x v="28"/>
    <n v="87"/>
  </r>
  <r>
    <x v="87"/>
    <x v="40"/>
    <x v="29"/>
    <n v="87"/>
  </r>
  <r>
    <x v="87"/>
    <x v="40"/>
    <x v="30"/>
    <n v="87"/>
  </r>
  <r>
    <x v="87"/>
    <x v="40"/>
    <x v="31"/>
    <n v="87"/>
  </r>
  <r>
    <x v="87"/>
    <x v="40"/>
    <x v="32"/>
    <n v="87"/>
  </r>
  <r>
    <x v="87"/>
    <x v="40"/>
    <x v="33"/>
    <n v="87"/>
  </r>
  <r>
    <x v="87"/>
    <x v="40"/>
    <x v="34"/>
    <n v="87"/>
  </r>
  <r>
    <x v="87"/>
    <x v="40"/>
    <x v="35"/>
    <n v="87"/>
  </r>
  <r>
    <x v="87"/>
    <x v="40"/>
    <x v="36"/>
    <n v="87"/>
  </r>
  <r>
    <x v="87"/>
    <x v="40"/>
    <x v="37"/>
    <n v="87"/>
  </r>
  <r>
    <x v="87"/>
    <x v="40"/>
    <x v="38"/>
    <n v="87"/>
  </r>
  <r>
    <x v="87"/>
    <x v="40"/>
    <x v="39"/>
    <n v="87"/>
  </r>
  <r>
    <x v="87"/>
    <x v="40"/>
    <x v="40"/>
    <n v="87"/>
  </r>
  <r>
    <x v="87"/>
    <x v="40"/>
    <x v="41"/>
    <n v="87"/>
  </r>
  <r>
    <x v="87"/>
    <x v="40"/>
    <x v="42"/>
    <n v="87"/>
  </r>
  <r>
    <x v="87"/>
    <x v="40"/>
    <x v="43"/>
    <n v="87"/>
  </r>
  <r>
    <x v="87"/>
    <x v="40"/>
    <x v="44"/>
    <n v="87"/>
  </r>
  <r>
    <x v="87"/>
    <x v="40"/>
    <x v="45"/>
    <n v="87"/>
  </r>
  <r>
    <x v="87"/>
    <x v="40"/>
    <x v="46"/>
    <n v="87"/>
  </r>
  <r>
    <x v="87"/>
    <x v="40"/>
    <x v="47"/>
    <n v="87"/>
  </r>
  <r>
    <x v="87"/>
    <x v="40"/>
    <x v="48"/>
    <n v="87"/>
  </r>
  <r>
    <x v="87"/>
    <x v="40"/>
    <x v="49"/>
    <n v="87"/>
  </r>
  <r>
    <x v="87"/>
    <x v="40"/>
    <x v="50"/>
    <n v="87"/>
  </r>
  <r>
    <x v="87"/>
    <x v="40"/>
    <x v="51"/>
    <n v="87"/>
  </r>
  <r>
    <x v="87"/>
    <x v="40"/>
    <x v="52"/>
    <n v="87"/>
  </r>
  <r>
    <x v="87"/>
    <x v="40"/>
    <x v="53"/>
    <n v="87"/>
  </r>
  <r>
    <x v="87"/>
    <x v="40"/>
    <x v="54"/>
    <n v="87"/>
  </r>
  <r>
    <x v="87"/>
    <x v="40"/>
    <x v="55"/>
    <n v="87"/>
  </r>
  <r>
    <x v="87"/>
    <x v="40"/>
    <x v="56"/>
    <n v="87"/>
  </r>
  <r>
    <x v="87"/>
    <x v="40"/>
    <x v="57"/>
    <n v="87"/>
  </r>
  <r>
    <x v="87"/>
    <x v="40"/>
    <x v="58"/>
    <n v="87"/>
  </r>
  <r>
    <x v="87"/>
    <x v="40"/>
    <x v="59"/>
    <n v="87"/>
  </r>
  <r>
    <x v="87"/>
    <x v="40"/>
    <x v="60"/>
    <n v="87"/>
  </r>
  <r>
    <x v="87"/>
    <x v="40"/>
    <x v="61"/>
    <n v="87"/>
  </r>
  <r>
    <x v="87"/>
    <x v="40"/>
    <x v="62"/>
    <n v="87"/>
  </r>
  <r>
    <x v="87"/>
    <x v="40"/>
    <x v="63"/>
    <n v="87"/>
  </r>
  <r>
    <x v="87"/>
    <x v="40"/>
    <x v="64"/>
    <n v="87"/>
  </r>
  <r>
    <x v="87"/>
    <x v="40"/>
    <x v="65"/>
    <n v="87"/>
  </r>
  <r>
    <x v="87"/>
    <x v="40"/>
    <x v="66"/>
    <n v="87"/>
  </r>
  <r>
    <x v="87"/>
    <x v="40"/>
    <x v="67"/>
    <n v="87"/>
  </r>
  <r>
    <x v="87"/>
    <x v="40"/>
    <x v="68"/>
    <n v="87"/>
  </r>
  <r>
    <x v="87"/>
    <x v="40"/>
    <x v="69"/>
    <n v="87"/>
  </r>
  <r>
    <x v="87"/>
    <x v="40"/>
    <x v="70"/>
    <n v="87"/>
  </r>
  <r>
    <x v="87"/>
    <x v="40"/>
    <x v="71"/>
    <n v="87"/>
  </r>
  <r>
    <x v="87"/>
    <x v="40"/>
    <x v="72"/>
    <n v="87"/>
  </r>
  <r>
    <x v="88"/>
    <x v="41"/>
    <x v="0"/>
    <n v="13"/>
  </r>
  <r>
    <x v="88"/>
    <x v="41"/>
    <x v="1"/>
    <n v="13"/>
  </r>
  <r>
    <x v="88"/>
    <x v="41"/>
    <x v="2"/>
    <n v="24"/>
  </r>
  <r>
    <x v="88"/>
    <x v="41"/>
    <x v="3"/>
    <n v="71"/>
  </r>
  <r>
    <x v="88"/>
    <x v="41"/>
    <x v="4"/>
    <n v="71"/>
  </r>
  <r>
    <x v="88"/>
    <x v="41"/>
    <x v="5"/>
    <n v="77"/>
  </r>
  <r>
    <x v="88"/>
    <x v="41"/>
    <x v="6"/>
    <n v="67"/>
  </r>
  <r>
    <x v="88"/>
    <x v="41"/>
    <x v="7"/>
    <n v="61"/>
  </r>
  <r>
    <x v="88"/>
    <x v="41"/>
    <x v="8"/>
    <n v="72"/>
  </r>
  <r>
    <x v="88"/>
    <x v="41"/>
    <x v="9"/>
    <n v="62"/>
  </r>
  <r>
    <x v="88"/>
    <x v="41"/>
    <x v="10"/>
    <n v="57"/>
  </r>
  <r>
    <x v="88"/>
    <x v="41"/>
    <x v="11"/>
    <n v="62"/>
  </r>
  <r>
    <x v="88"/>
    <x v="41"/>
    <x v="12"/>
    <n v="68"/>
  </r>
  <r>
    <x v="88"/>
    <x v="41"/>
    <x v="13"/>
    <n v="74"/>
  </r>
  <r>
    <x v="88"/>
    <x v="41"/>
    <x v="14"/>
    <n v="66"/>
  </r>
  <r>
    <x v="88"/>
    <x v="41"/>
    <x v="15"/>
    <n v="69"/>
  </r>
  <r>
    <x v="88"/>
    <x v="41"/>
    <x v="16"/>
    <n v="75"/>
  </r>
  <r>
    <x v="88"/>
    <x v="41"/>
    <x v="17"/>
    <n v="76"/>
  </r>
  <r>
    <x v="88"/>
    <x v="41"/>
    <x v="18"/>
    <n v="71"/>
  </r>
  <r>
    <x v="88"/>
    <x v="41"/>
    <x v="19"/>
    <n v="75"/>
  </r>
  <r>
    <x v="88"/>
    <x v="41"/>
    <x v="20"/>
    <n v="78"/>
  </r>
  <r>
    <x v="88"/>
    <x v="41"/>
    <x v="21"/>
    <n v="87"/>
  </r>
  <r>
    <x v="88"/>
    <x v="41"/>
    <x v="22"/>
    <n v="89"/>
  </r>
  <r>
    <x v="88"/>
    <x v="41"/>
    <x v="23"/>
    <n v="88"/>
  </r>
  <r>
    <x v="88"/>
    <x v="41"/>
    <x v="24"/>
    <n v="90"/>
  </r>
  <r>
    <x v="88"/>
    <x v="41"/>
    <x v="25"/>
    <n v="91"/>
  </r>
  <r>
    <x v="88"/>
    <x v="41"/>
    <x v="26"/>
    <n v="91"/>
  </r>
  <r>
    <x v="88"/>
    <x v="41"/>
    <x v="27"/>
    <n v="78"/>
  </r>
  <r>
    <x v="88"/>
    <x v="41"/>
    <x v="28"/>
    <n v="89"/>
  </r>
  <r>
    <x v="88"/>
    <x v="41"/>
    <x v="29"/>
    <n v="89"/>
  </r>
  <r>
    <x v="88"/>
    <x v="41"/>
    <x v="30"/>
    <n v="89"/>
  </r>
  <r>
    <x v="88"/>
    <x v="41"/>
    <x v="31"/>
    <n v="89"/>
  </r>
  <r>
    <x v="88"/>
    <x v="41"/>
    <x v="32"/>
    <n v="89"/>
  </r>
  <r>
    <x v="88"/>
    <x v="41"/>
    <x v="33"/>
    <n v="89"/>
  </r>
  <r>
    <x v="88"/>
    <x v="41"/>
    <x v="34"/>
    <n v="89"/>
  </r>
  <r>
    <x v="88"/>
    <x v="41"/>
    <x v="35"/>
    <n v="89"/>
  </r>
  <r>
    <x v="88"/>
    <x v="41"/>
    <x v="36"/>
    <n v="89"/>
  </r>
  <r>
    <x v="88"/>
    <x v="41"/>
    <x v="37"/>
    <n v="89"/>
  </r>
  <r>
    <x v="88"/>
    <x v="41"/>
    <x v="38"/>
    <n v="89"/>
  </r>
  <r>
    <x v="88"/>
    <x v="41"/>
    <x v="39"/>
    <n v="89"/>
  </r>
  <r>
    <x v="88"/>
    <x v="41"/>
    <x v="40"/>
    <n v="89"/>
  </r>
  <r>
    <x v="88"/>
    <x v="41"/>
    <x v="41"/>
    <n v="89"/>
  </r>
  <r>
    <x v="88"/>
    <x v="41"/>
    <x v="42"/>
    <n v="89"/>
  </r>
  <r>
    <x v="88"/>
    <x v="41"/>
    <x v="43"/>
    <n v="89"/>
  </r>
  <r>
    <x v="88"/>
    <x v="41"/>
    <x v="44"/>
    <n v="89"/>
  </r>
  <r>
    <x v="88"/>
    <x v="41"/>
    <x v="45"/>
    <n v="89"/>
  </r>
  <r>
    <x v="88"/>
    <x v="41"/>
    <x v="46"/>
    <n v="89"/>
  </r>
  <r>
    <x v="88"/>
    <x v="41"/>
    <x v="47"/>
    <n v="89"/>
  </r>
  <r>
    <x v="88"/>
    <x v="41"/>
    <x v="48"/>
    <n v="89"/>
  </r>
  <r>
    <x v="88"/>
    <x v="41"/>
    <x v="49"/>
    <n v="89"/>
  </r>
  <r>
    <x v="88"/>
    <x v="41"/>
    <x v="50"/>
    <n v="89"/>
  </r>
  <r>
    <x v="88"/>
    <x v="41"/>
    <x v="51"/>
    <n v="89"/>
  </r>
  <r>
    <x v="88"/>
    <x v="41"/>
    <x v="52"/>
    <n v="89"/>
  </r>
  <r>
    <x v="88"/>
    <x v="41"/>
    <x v="53"/>
    <n v="89"/>
  </r>
  <r>
    <x v="88"/>
    <x v="41"/>
    <x v="54"/>
    <n v="89"/>
  </r>
  <r>
    <x v="88"/>
    <x v="41"/>
    <x v="55"/>
    <n v="89"/>
  </r>
  <r>
    <x v="88"/>
    <x v="41"/>
    <x v="56"/>
    <n v="89"/>
  </r>
  <r>
    <x v="88"/>
    <x v="41"/>
    <x v="57"/>
    <n v="89"/>
  </r>
  <r>
    <x v="88"/>
    <x v="41"/>
    <x v="58"/>
    <n v="89"/>
  </r>
  <r>
    <x v="88"/>
    <x v="41"/>
    <x v="59"/>
    <n v="89"/>
  </r>
  <r>
    <x v="88"/>
    <x v="41"/>
    <x v="60"/>
    <n v="89"/>
  </r>
  <r>
    <x v="88"/>
    <x v="41"/>
    <x v="61"/>
    <n v="89"/>
  </r>
  <r>
    <x v="88"/>
    <x v="41"/>
    <x v="62"/>
    <n v="89"/>
  </r>
  <r>
    <x v="88"/>
    <x v="41"/>
    <x v="63"/>
    <n v="89"/>
  </r>
  <r>
    <x v="88"/>
    <x v="41"/>
    <x v="64"/>
    <n v="89"/>
  </r>
  <r>
    <x v="88"/>
    <x v="41"/>
    <x v="65"/>
    <n v="89"/>
  </r>
  <r>
    <x v="88"/>
    <x v="41"/>
    <x v="66"/>
    <n v="89"/>
  </r>
  <r>
    <x v="88"/>
    <x v="41"/>
    <x v="67"/>
    <n v="89"/>
  </r>
  <r>
    <x v="88"/>
    <x v="41"/>
    <x v="68"/>
    <n v="89"/>
  </r>
  <r>
    <x v="88"/>
    <x v="41"/>
    <x v="69"/>
    <n v="89"/>
  </r>
  <r>
    <x v="88"/>
    <x v="41"/>
    <x v="70"/>
    <n v="89"/>
  </r>
  <r>
    <x v="88"/>
    <x v="41"/>
    <x v="71"/>
    <n v="89"/>
  </r>
  <r>
    <x v="88"/>
    <x v="41"/>
    <x v="72"/>
    <n v="89"/>
  </r>
  <r>
    <x v="89"/>
    <x v="42"/>
    <x v="0"/>
    <n v="78"/>
  </r>
  <r>
    <x v="89"/>
    <x v="42"/>
    <x v="1"/>
    <n v="77"/>
  </r>
  <r>
    <x v="89"/>
    <x v="42"/>
    <x v="2"/>
    <n v="61"/>
  </r>
  <r>
    <x v="89"/>
    <x v="42"/>
    <x v="3"/>
    <n v="32"/>
  </r>
  <r>
    <x v="89"/>
    <x v="42"/>
    <x v="4"/>
    <n v="32"/>
  </r>
  <r>
    <x v="89"/>
    <x v="42"/>
    <x v="5"/>
    <n v="33"/>
  </r>
  <r>
    <x v="89"/>
    <x v="42"/>
    <x v="6"/>
    <n v="42"/>
  </r>
  <r>
    <x v="89"/>
    <x v="42"/>
    <x v="7"/>
    <n v="43"/>
  </r>
  <r>
    <x v="89"/>
    <x v="42"/>
    <x v="8"/>
    <n v="60"/>
  </r>
  <r>
    <x v="89"/>
    <x v="42"/>
    <x v="9"/>
    <n v="62"/>
  </r>
  <r>
    <x v="89"/>
    <x v="42"/>
    <x v="10"/>
    <n v="69"/>
  </r>
  <r>
    <x v="89"/>
    <x v="42"/>
    <x v="11"/>
    <n v="73"/>
  </r>
  <r>
    <x v="89"/>
    <x v="42"/>
    <x v="12"/>
    <n v="77"/>
  </r>
  <r>
    <x v="89"/>
    <x v="42"/>
    <x v="13"/>
    <n v="81"/>
  </r>
  <r>
    <x v="89"/>
    <x v="42"/>
    <x v="14"/>
    <n v="79"/>
  </r>
  <r>
    <x v="89"/>
    <x v="42"/>
    <x v="15"/>
    <n v="87"/>
  </r>
  <r>
    <x v="89"/>
    <x v="42"/>
    <x v="16"/>
    <n v="90"/>
  </r>
  <r>
    <x v="89"/>
    <x v="42"/>
    <x v="17"/>
    <n v="92"/>
  </r>
  <r>
    <x v="89"/>
    <x v="42"/>
    <x v="18"/>
    <n v="103"/>
  </r>
  <r>
    <x v="89"/>
    <x v="42"/>
    <x v="19"/>
    <n v="103"/>
  </r>
  <r>
    <x v="89"/>
    <x v="42"/>
    <x v="20"/>
    <n v="105"/>
  </r>
  <r>
    <x v="89"/>
    <x v="42"/>
    <x v="21"/>
    <n v="107"/>
  </r>
  <r>
    <x v="89"/>
    <x v="42"/>
    <x v="22"/>
    <n v="107"/>
  </r>
  <r>
    <x v="89"/>
    <x v="42"/>
    <x v="23"/>
    <n v="110"/>
  </r>
  <r>
    <x v="89"/>
    <x v="42"/>
    <x v="24"/>
    <n v="109"/>
  </r>
  <r>
    <x v="89"/>
    <x v="42"/>
    <x v="25"/>
    <n v="102"/>
  </r>
  <r>
    <x v="89"/>
    <x v="42"/>
    <x v="26"/>
    <n v="97"/>
  </r>
  <r>
    <x v="89"/>
    <x v="42"/>
    <x v="27"/>
    <n v="94"/>
  </r>
  <r>
    <x v="89"/>
    <x v="42"/>
    <x v="28"/>
    <n v="90"/>
  </r>
  <r>
    <x v="89"/>
    <x v="42"/>
    <x v="29"/>
    <n v="90"/>
  </r>
  <r>
    <x v="89"/>
    <x v="42"/>
    <x v="30"/>
    <n v="90"/>
  </r>
  <r>
    <x v="89"/>
    <x v="42"/>
    <x v="31"/>
    <n v="90"/>
  </r>
  <r>
    <x v="89"/>
    <x v="42"/>
    <x v="32"/>
    <n v="90"/>
  </r>
  <r>
    <x v="89"/>
    <x v="42"/>
    <x v="33"/>
    <n v="90"/>
  </r>
  <r>
    <x v="89"/>
    <x v="42"/>
    <x v="34"/>
    <n v="90"/>
  </r>
  <r>
    <x v="89"/>
    <x v="42"/>
    <x v="35"/>
    <n v="90"/>
  </r>
  <r>
    <x v="89"/>
    <x v="42"/>
    <x v="36"/>
    <n v="90"/>
  </r>
  <r>
    <x v="89"/>
    <x v="42"/>
    <x v="37"/>
    <n v="90"/>
  </r>
  <r>
    <x v="89"/>
    <x v="42"/>
    <x v="38"/>
    <n v="90"/>
  </r>
  <r>
    <x v="89"/>
    <x v="42"/>
    <x v="39"/>
    <n v="90"/>
  </r>
  <r>
    <x v="89"/>
    <x v="42"/>
    <x v="40"/>
    <n v="90"/>
  </r>
  <r>
    <x v="89"/>
    <x v="42"/>
    <x v="41"/>
    <n v="90"/>
  </r>
  <r>
    <x v="89"/>
    <x v="42"/>
    <x v="42"/>
    <n v="90"/>
  </r>
  <r>
    <x v="89"/>
    <x v="42"/>
    <x v="43"/>
    <n v="90"/>
  </r>
  <r>
    <x v="89"/>
    <x v="42"/>
    <x v="44"/>
    <n v="90"/>
  </r>
  <r>
    <x v="89"/>
    <x v="42"/>
    <x v="45"/>
    <n v="90"/>
  </r>
  <r>
    <x v="89"/>
    <x v="42"/>
    <x v="46"/>
    <n v="90"/>
  </r>
  <r>
    <x v="89"/>
    <x v="42"/>
    <x v="47"/>
    <n v="90"/>
  </r>
  <r>
    <x v="89"/>
    <x v="42"/>
    <x v="48"/>
    <n v="90"/>
  </r>
  <r>
    <x v="89"/>
    <x v="42"/>
    <x v="49"/>
    <n v="90"/>
  </r>
  <r>
    <x v="89"/>
    <x v="42"/>
    <x v="50"/>
    <n v="90"/>
  </r>
  <r>
    <x v="89"/>
    <x v="42"/>
    <x v="51"/>
    <n v="90"/>
  </r>
  <r>
    <x v="89"/>
    <x v="42"/>
    <x v="52"/>
    <n v="90"/>
  </r>
  <r>
    <x v="89"/>
    <x v="42"/>
    <x v="53"/>
    <n v="90"/>
  </r>
  <r>
    <x v="89"/>
    <x v="42"/>
    <x v="54"/>
    <n v="90"/>
  </r>
  <r>
    <x v="89"/>
    <x v="42"/>
    <x v="55"/>
    <n v="90"/>
  </r>
  <r>
    <x v="89"/>
    <x v="42"/>
    <x v="56"/>
    <n v="90"/>
  </r>
  <r>
    <x v="89"/>
    <x v="42"/>
    <x v="57"/>
    <n v="90"/>
  </r>
  <r>
    <x v="89"/>
    <x v="42"/>
    <x v="58"/>
    <n v="90"/>
  </r>
  <r>
    <x v="89"/>
    <x v="42"/>
    <x v="59"/>
    <n v="90"/>
  </r>
  <r>
    <x v="89"/>
    <x v="42"/>
    <x v="60"/>
    <n v="90"/>
  </r>
  <r>
    <x v="89"/>
    <x v="42"/>
    <x v="61"/>
    <n v="90"/>
  </r>
  <r>
    <x v="89"/>
    <x v="42"/>
    <x v="62"/>
    <n v="90"/>
  </r>
  <r>
    <x v="89"/>
    <x v="42"/>
    <x v="63"/>
    <n v="90"/>
  </r>
  <r>
    <x v="89"/>
    <x v="42"/>
    <x v="64"/>
    <n v="90"/>
  </r>
  <r>
    <x v="89"/>
    <x v="42"/>
    <x v="65"/>
    <n v="90"/>
  </r>
  <r>
    <x v="89"/>
    <x v="42"/>
    <x v="66"/>
    <n v="90"/>
  </r>
  <r>
    <x v="89"/>
    <x v="42"/>
    <x v="67"/>
    <n v="90"/>
  </r>
  <r>
    <x v="89"/>
    <x v="42"/>
    <x v="68"/>
    <n v="90"/>
  </r>
  <r>
    <x v="89"/>
    <x v="42"/>
    <x v="69"/>
    <n v="90"/>
  </r>
  <r>
    <x v="89"/>
    <x v="42"/>
    <x v="70"/>
    <n v="90"/>
  </r>
  <r>
    <x v="89"/>
    <x v="42"/>
    <x v="71"/>
    <n v="90"/>
  </r>
  <r>
    <x v="89"/>
    <x v="42"/>
    <x v="72"/>
    <n v="90"/>
  </r>
  <r>
    <x v="90"/>
    <x v="43"/>
    <x v="0"/>
    <n v="1"/>
  </r>
  <r>
    <x v="90"/>
    <x v="43"/>
    <x v="1"/>
    <n v="1"/>
  </r>
  <r>
    <x v="90"/>
    <x v="43"/>
    <x v="2"/>
    <n v="3"/>
  </r>
  <r>
    <x v="90"/>
    <x v="43"/>
    <x v="3"/>
    <n v="54"/>
  </r>
  <r>
    <x v="90"/>
    <x v="43"/>
    <x v="4"/>
    <n v="55"/>
  </r>
  <r>
    <x v="90"/>
    <x v="43"/>
    <x v="5"/>
    <n v="53"/>
  </r>
  <r>
    <x v="90"/>
    <x v="43"/>
    <x v="6"/>
    <n v="37"/>
  </r>
  <r>
    <x v="90"/>
    <x v="43"/>
    <x v="7"/>
    <n v="39"/>
  </r>
  <r>
    <x v="90"/>
    <x v="43"/>
    <x v="8"/>
    <n v="41"/>
  </r>
  <r>
    <x v="90"/>
    <x v="43"/>
    <x v="9"/>
    <n v="31"/>
  </r>
  <r>
    <x v="90"/>
    <x v="43"/>
    <x v="10"/>
    <n v="30"/>
  </r>
  <r>
    <x v="90"/>
    <x v="43"/>
    <x v="11"/>
    <n v="29"/>
  </r>
  <r>
    <x v="90"/>
    <x v="43"/>
    <x v="12"/>
    <n v="59"/>
  </r>
  <r>
    <x v="90"/>
    <x v="43"/>
    <x v="13"/>
    <n v="59"/>
  </r>
  <r>
    <x v="90"/>
    <x v="43"/>
    <x v="14"/>
    <n v="61"/>
  </r>
  <r>
    <x v="90"/>
    <x v="43"/>
    <x v="15"/>
    <n v="49"/>
  </r>
  <r>
    <x v="90"/>
    <x v="43"/>
    <x v="16"/>
    <n v="57"/>
  </r>
  <r>
    <x v="90"/>
    <x v="43"/>
    <x v="17"/>
    <n v="60"/>
  </r>
  <r>
    <x v="90"/>
    <x v="43"/>
    <x v="18"/>
    <n v="71"/>
  </r>
  <r>
    <x v="90"/>
    <x v="43"/>
    <x v="19"/>
    <n v="70"/>
  </r>
  <r>
    <x v="90"/>
    <x v="43"/>
    <x v="20"/>
    <n v="67"/>
  </r>
  <r>
    <x v="90"/>
    <x v="43"/>
    <x v="21"/>
    <n v="76"/>
  </r>
  <r>
    <x v="90"/>
    <x v="43"/>
    <x v="22"/>
    <n v="75"/>
  </r>
  <r>
    <x v="90"/>
    <x v="43"/>
    <x v="23"/>
    <n v="61"/>
  </r>
  <r>
    <x v="90"/>
    <x v="43"/>
    <x v="24"/>
    <n v="63"/>
  </r>
  <r>
    <x v="90"/>
    <x v="43"/>
    <x v="25"/>
    <n v="69"/>
  </r>
  <r>
    <x v="90"/>
    <x v="43"/>
    <x v="26"/>
    <n v="69"/>
  </r>
  <r>
    <x v="90"/>
    <x v="43"/>
    <x v="27"/>
    <n v="81"/>
  </r>
  <r>
    <x v="90"/>
    <x v="43"/>
    <x v="28"/>
    <n v="91"/>
  </r>
  <r>
    <x v="90"/>
    <x v="43"/>
    <x v="29"/>
    <n v="91"/>
  </r>
  <r>
    <x v="90"/>
    <x v="43"/>
    <x v="30"/>
    <n v="91"/>
  </r>
  <r>
    <x v="90"/>
    <x v="43"/>
    <x v="31"/>
    <n v="91"/>
  </r>
  <r>
    <x v="90"/>
    <x v="43"/>
    <x v="32"/>
    <n v="91"/>
  </r>
  <r>
    <x v="90"/>
    <x v="43"/>
    <x v="33"/>
    <n v="91"/>
  </r>
  <r>
    <x v="90"/>
    <x v="43"/>
    <x v="34"/>
    <n v="91"/>
  </r>
  <r>
    <x v="90"/>
    <x v="43"/>
    <x v="35"/>
    <n v="91"/>
  </r>
  <r>
    <x v="90"/>
    <x v="43"/>
    <x v="36"/>
    <n v="91"/>
  </r>
  <r>
    <x v="90"/>
    <x v="43"/>
    <x v="37"/>
    <n v="91"/>
  </r>
  <r>
    <x v="90"/>
    <x v="43"/>
    <x v="38"/>
    <n v="91"/>
  </r>
  <r>
    <x v="90"/>
    <x v="43"/>
    <x v="39"/>
    <n v="91"/>
  </r>
  <r>
    <x v="90"/>
    <x v="43"/>
    <x v="40"/>
    <n v="91"/>
  </r>
  <r>
    <x v="90"/>
    <x v="43"/>
    <x v="41"/>
    <n v="91"/>
  </r>
  <r>
    <x v="90"/>
    <x v="43"/>
    <x v="42"/>
    <n v="91"/>
  </r>
  <r>
    <x v="90"/>
    <x v="43"/>
    <x v="43"/>
    <n v="91"/>
  </r>
  <r>
    <x v="90"/>
    <x v="43"/>
    <x v="44"/>
    <n v="91"/>
  </r>
  <r>
    <x v="90"/>
    <x v="43"/>
    <x v="45"/>
    <n v="91"/>
  </r>
  <r>
    <x v="90"/>
    <x v="43"/>
    <x v="46"/>
    <n v="91"/>
  </r>
  <r>
    <x v="90"/>
    <x v="43"/>
    <x v="47"/>
    <n v="91"/>
  </r>
  <r>
    <x v="90"/>
    <x v="43"/>
    <x v="48"/>
    <n v="91"/>
  </r>
  <r>
    <x v="90"/>
    <x v="43"/>
    <x v="49"/>
    <n v="91"/>
  </r>
  <r>
    <x v="90"/>
    <x v="43"/>
    <x v="50"/>
    <n v="91"/>
  </r>
  <r>
    <x v="90"/>
    <x v="43"/>
    <x v="51"/>
    <n v="91"/>
  </r>
  <r>
    <x v="90"/>
    <x v="43"/>
    <x v="52"/>
    <n v="91"/>
  </r>
  <r>
    <x v="90"/>
    <x v="43"/>
    <x v="53"/>
    <n v="91"/>
  </r>
  <r>
    <x v="90"/>
    <x v="43"/>
    <x v="54"/>
    <n v="91"/>
  </r>
  <r>
    <x v="90"/>
    <x v="43"/>
    <x v="55"/>
    <n v="91"/>
  </r>
  <r>
    <x v="90"/>
    <x v="43"/>
    <x v="56"/>
    <n v="91"/>
  </r>
  <r>
    <x v="90"/>
    <x v="43"/>
    <x v="57"/>
    <n v="91"/>
  </r>
  <r>
    <x v="90"/>
    <x v="43"/>
    <x v="58"/>
    <n v="91"/>
  </r>
  <r>
    <x v="90"/>
    <x v="43"/>
    <x v="59"/>
    <n v="91"/>
  </r>
  <r>
    <x v="90"/>
    <x v="43"/>
    <x v="60"/>
    <n v="91"/>
  </r>
  <r>
    <x v="90"/>
    <x v="43"/>
    <x v="61"/>
    <n v="91"/>
  </r>
  <r>
    <x v="90"/>
    <x v="43"/>
    <x v="62"/>
    <n v="91"/>
  </r>
  <r>
    <x v="90"/>
    <x v="43"/>
    <x v="63"/>
    <n v="91"/>
  </r>
  <r>
    <x v="90"/>
    <x v="43"/>
    <x v="64"/>
    <n v="91"/>
  </r>
  <r>
    <x v="90"/>
    <x v="43"/>
    <x v="65"/>
    <n v="91"/>
  </r>
  <r>
    <x v="90"/>
    <x v="43"/>
    <x v="66"/>
    <n v="91"/>
  </r>
  <r>
    <x v="90"/>
    <x v="43"/>
    <x v="67"/>
    <n v="91"/>
  </r>
  <r>
    <x v="90"/>
    <x v="43"/>
    <x v="68"/>
    <n v="91"/>
  </r>
  <r>
    <x v="90"/>
    <x v="43"/>
    <x v="69"/>
    <n v="91"/>
  </r>
  <r>
    <x v="90"/>
    <x v="43"/>
    <x v="70"/>
    <n v="91"/>
  </r>
  <r>
    <x v="90"/>
    <x v="43"/>
    <x v="71"/>
    <n v="91"/>
  </r>
  <r>
    <x v="90"/>
    <x v="43"/>
    <x v="72"/>
    <n v="91"/>
  </r>
  <r>
    <x v="91"/>
    <x v="43"/>
    <x v="0"/>
    <n v="78"/>
  </r>
  <r>
    <x v="91"/>
    <x v="43"/>
    <x v="1"/>
    <n v="77"/>
  </r>
  <r>
    <x v="91"/>
    <x v="43"/>
    <x v="2"/>
    <n v="61"/>
  </r>
  <r>
    <x v="91"/>
    <x v="43"/>
    <x v="3"/>
    <n v="83"/>
  </r>
  <r>
    <x v="91"/>
    <x v="43"/>
    <x v="4"/>
    <n v="85"/>
  </r>
  <r>
    <x v="91"/>
    <x v="43"/>
    <x v="5"/>
    <n v="84"/>
  </r>
  <r>
    <x v="91"/>
    <x v="43"/>
    <x v="6"/>
    <n v="71"/>
  </r>
  <r>
    <x v="91"/>
    <x v="43"/>
    <x v="7"/>
    <n v="76"/>
  </r>
  <r>
    <x v="91"/>
    <x v="43"/>
    <x v="8"/>
    <n v="82"/>
  </r>
  <r>
    <x v="91"/>
    <x v="43"/>
    <x v="9"/>
    <n v="79"/>
  </r>
  <r>
    <x v="91"/>
    <x v="43"/>
    <x v="10"/>
    <n v="97"/>
  </r>
  <r>
    <x v="91"/>
    <x v="43"/>
    <x v="11"/>
    <n v="102"/>
  </r>
  <r>
    <x v="91"/>
    <x v="43"/>
    <x v="12"/>
    <n v="94"/>
  </r>
  <r>
    <x v="91"/>
    <x v="43"/>
    <x v="13"/>
    <n v="83"/>
  </r>
  <r>
    <x v="91"/>
    <x v="43"/>
    <x v="14"/>
    <n v="81"/>
  </r>
  <r>
    <x v="91"/>
    <x v="43"/>
    <x v="15"/>
    <n v="90"/>
  </r>
  <r>
    <x v="91"/>
    <x v="43"/>
    <x v="16"/>
    <n v="94"/>
  </r>
  <r>
    <x v="91"/>
    <x v="43"/>
    <x v="17"/>
    <n v="95"/>
  </r>
  <r>
    <x v="91"/>
    <x v="43"/>
    <x v="18"/>
    <n v="92"/>
  </r>
  <r>
    <x v="91"/>
    <x v="43"/>
    <x v="19"/>
    <n v="97"/>
  </r>
  <r>
    <x v="91"/>
    <x v="43"/>
    <x v="20"/>
    <n v="87"/>
  </r>
  <r>
    <x v="91"/>
    <x v="43"/>
    <x v="21"/>
    <n v="78"/>
  </r>
  <r>
    <x v="91"/>
    <x v="43"/>
    <x v="22"/>
    <n v="80"/>
  </r>
  <r>
    <x v="91"/>
    <x v="43"/>
    <x v="23"/>
    <n v="92"/>
  </r>
  <r>
    <x v="91"/>
    <x v="43"/>
    <x v="24"/>
    <n v="87"/>
  </r>
  <r>
    <x v="91"/>
    <x v="43"/>
    <x v="25"/>
    <n v="89"/>
  </r>
  <r>
    <x v="91"/>
    <x v="43"/>
    <x v="26"/>
    <n v="89"/>
  </r>
  <r>
    <x v="91"/>
    <x v="43"/>
    <x v="27"/>
    <n v="86"/>
  </r>
  <r>
    <x v="91"/>
    <x v="43"/>
    <x v="28"/>
    <n v="91"/>
  </r>
  <r>
    <x v="91"/>
    <x v="43"/>
    <x v="29"/>
    <n v="91"/>
  </r>
  <r>
    <x v="91"/>
    <x v="43"/>
    <x v="30"/>
    <n v="91"/>
  </r>
  <r>
    <x v="91"/>
    <x v="43"/>
    <x v="31"/>
    <n v="91"/>
  </r>
  <r>
    <x v="91"/>
    <x v="43"/>
    <x v="32"/>
    <n v="91"/>
  </r>
  <r>
    <x v="91"/>
    <x v="43"/>
    <x v="33"/>
    <n v="91"/>
  </r>
  <r>
    <x v="91"/>
    <x v="43"/>
    <x v="34"/>
    <n v="91"/>
  </r>
  <r>
    <x v="91"/>
    <x v="43"/>
    <x v="35"/>
    <n v="91"/>
  </r>
  <r>
    <x v="91"/>
    <x v="43"/>
    <x v="36"/>
    <n v="91"/>
  </r>
  <r>
    <x v="91"/>
    <x v="43"/>
    <x v="37"/>
    <n v="91"/>
  </r>
  <r>
    <x v="91"/>
    <x v="43"/>
    <x v="38"/>
    <n v="91"/>
  </r>
  <r>
    <x v="91"/>
    <x v="43"/>
    <x v="39"/>
    <n v="91"/>
  </r>
  <r>
    <x v="91"/>
    <x v="43"/>
    <x v="40"/>
    <n v="91"/>
  </r>
  <r>
    <x v="91"/>
    <x v="43"/>
    <x v="41"/>
    <n v="91"/>
  </r>
  <r>
    <x v="91"/>
    <x v="43"/>
    <x v="42"/>
    <n v="91"/>
  </r>
  <r>
    <x v="91"/>
    <x v="43"/>
    <x v="43"/>
    <n v="91"/>
  </r>
  <r>
    <x v="91"/>
    <x v="43"/>
    <x v="44"/>
    <n v="91"/>
  </r>
  <r>
    <x v="91"/>
    <x v="43"/>
    <x v="45"/>
    <n v="91"/>
  </r>
  <r>
    <x v="91"/>
    <x v="43"/>
    <x v="46"/>
    <n v="91"/>
  </r>
  <r>
    <x v="91"/>
    <x v="43"/>
    <x v="47"/>
    <n v="91"/>
  </r>
  <r>
    <x v="91"/>
    <x v="43"/>
    <x v="48"/>
    <n v="91"/>
  </r>
  <r>
    <x v="91"/>
    <x v="43"/>
    <x v="49"/>
    <n v="91"/>
  </r>
  <r>
    <x v="91"/>
    <x v="43"/>
    <x v="50"/>
    <n v="91"/>
  </r>
  <r>
    <x v="91"/>
    <x v="43"/>
    <x v="51"/>
    <n v="91"/>
  </r>
  <r>
    <x v="91"/>
    <x v="43"/>
    <x v="52"/>
    <n v="91"/>
  </r>
  <r>
    <x v="91"/>
    <x v="43"/>
    <x v="53"/>
    <n v="91"/>
  </r>
  <r>
    <x v="91"/>
    <x v="43"/>
    <x v="54"/>
    <n v="91"/>
  </r>
  <r>
    <x v="91"/>
    <x v="43"/>
    <x v="55"/>
    <n v="91"/>
  </r>
  <r>
    <x v="91"/>
    <x v="43"/>
    <x v="56"/>
    <n v="91"/>
  </r>
  <r>
    <x v="91"/>
    <x v="43"/>
    <x v="57"/>
    <n v="91"/>
  </r>
  <r>
    <x v="91"/>
    <x v="43"/>
    <x v="58"/>
    <n v="91"/>
  </r>
  <r>
    <x v="91"/>
    <x v="43"/>
    <x v="59"/>
    <n v="91"/>
  </r>
  <r>
    <x v="91"/>
    <x v="43"/>
    <x v="60"/>
    <n v="91"/>
  </r>
  <r>
    <x v="91"/>
    <x v="43"/>
    <x v="61"/>
    <n v="91"/>
  </r>
  <r>
    <x v="91"/>
    <x v="43"/>
    <x v="62"/>
    <n v="91"/>
  </r>
  <r>
    <x v="91"/>
    <x v="43"/>
    <x v="63"/>
    <n v="91"/>
  </r>
  <r>
    <x v="91"/>
    <x v="43"/>
    <x v="64"/>
    <n v="91"/>
  </r>
  <r>
    <x v="91"/>
    <x v="43"/>
    <x v="65"/>
    <n v="91"/>
  </r>
  <r>
    <x v="91"/>
    <x v="43"/>
    <x v="66"/>
    <n v="91"/>
  </r>
  <r>
    <x v="91"/>
    <x v="43"/>
    <x v="67"/>
    <n v="91"/>
  </r>
  <r>
    <x v="91"/>
    <x v="43"/>
    <x v="68"/>
    <n v="91"/>
  </r>
  <r>
    <x v="91"/>
    <x v="43"/>
    <x v="69"/>
    <n v="91"/>
  </r>
  <r>
    <x v="91"/>
    <x v="43"/>
    <x v="70"/>
    <n v="91"/>
  </r>
  <r>
    <x v="91"/>
    <x v="43"/>
    <x v="71"/>
    <n v="91"/>
  </r>
  <r>
    <x v="91"/>
    <x v="43"/>
    <x v="72"/>
    <n v="91"/>
  </r>
  <r>
    <x v="92"/>
    <x v="44"/>
    <x v="0"/>
    <n v="78"/>
  </r>
  <r>
    <x v="92"/>
    <x v="44"/>
    <x v="1"/>
    <n v="77"/>
  </r>
  <r>
    <x v="92"/>
    <x v="44"/>
    <x v="2"/>
    <n v="113"/>
  </r>
  <r>
    <x v="92"/>
    <x v="44"/>
    <x v="3"/>
    <n v="94"/>
  </r>
  <r>
    <x v="92"/>
    <x v="44"/>
    <x v="4"/>
    <n v="94"/>
  </r>
  <r>
    <x v="92"/>
    <x v="44"/>
    <x v="5"/>
    <n v="91"/>
  </r>
  <r>
    <x v="92"/>
    <x v="44"/>
    <x v="6"/>
    <n v="95"/>
  </r>
  <r>
    <x v="92"/>
    <x v="44"/>
    <x v="7"/>
    <n v="94"/>
  </r>
  <r>
    <x v="92"/>
    <x v="44"/>
    <x v="8"/>
    <n v="96"/>
  </r>
  <r>
    <x v="92"/>
    <x v="44"/>
    <x v="9"/>
    <n v="97"/>
  </r>
  <r>
    <x v="92"/>
    <x v="44"/>
    <x v="10"/>
    <n v="97"/>
  </r>
  <r>
    <x v="92"/>
    <x v="44"/>
    <x v="11"/>
    <n v="96"/>
  </r>
  <r>
    <x v="92"/>
    <x v="44"/>
    <x v="12"/>
    <n v="94"/>
  </r>
  <r>
    <x v="92"/>
    <x v="44"/>
    <x v="13"/>
    <n v="96"/>
  </r>
  <r>
    <x v="92"/>
    <x v="44"/>
    <x v="14"/>
    <n v="97"/>
  </r>
  <r>
    <x v="92"/>
    <x v="44"/>
    <x v="15"/>
    <n v="97"/>
  </r>
  <r>
    <x v="92"/>
    <x v="44"/>
    <x v="16"/>
    <n v="102"/>
  </r>
  <r>
    <x v="92"/>
    <x v="44"/>
    <x v="17"/>
    <n v="103"/>
  </r>
  <r>
    <x v="92"/>
    <x v="44"/>
    <x v="18"/>
    <n v="97"/>
  </r>
  <r>
    <x v="92"/>
    <x v="44"/>
    <x v="19"/>
    <n v="101"/>
  </r>
  <r>
    <x v="92"/>
    <x v="44"/>
    <x v="20"/>
    <n v="104"/>
  </r>
  <r>
    <x v="92"/>
    <x v="44"/>
    <x v="21"/>
    <n v="106"/>
  </r>
  <r>
    <x v="92"/>
    <x v="44"/>
    <x v="22"/>
    <n v="106"/>
  </r>
  <r>
    <x v="92"/>
    <x v="44"/>
    <x v="23"/>
    <n v="108"/>
  </r>
  <r>
    <x v="92"/>
    <x v="44"/>
    <x v="24"/>
    <n v="107"/>
  </r>
  <r>
    <x v="92"/>
    <x v="44"/>
    <x v="25"/>
    <n v="85"/>
  </r>
  <r>
    <x v="92"/>
    <x v="44"/>
    <x v="26"/>
    <n v="85"/>
  </r>
  <r>
    <x v="92"/>
    <x v="44"/>
    <x v="27"/>
    <n v="88"/>
  </r>
  <r>
    <x v="92"/>
    <x v="44"/>
    <x v="28"/>
    <n v="93"/>
  </r>
  <r>
    <x v="92"/>
    <x v="44"/>
    <x v="29"/>
    <n v="93"/>
  </r>
  <r>
    <x v="92"/>
    <x v="44"/>
    <x v="30"/>
    <n v="93"/>
  </r>
  <r>
    <x v="92"/>
    <x v="44"/>
    <x v="31"/>
    <n v="93"/>
  </r>
  <r>
    <x v="92"/>
    <x v="44"/>
    <x v="32"/>
    <n v="93"/>
  </r>
  <r>
    <x v="92"/>
    <x v="44"/>
    <x v="33"/>
    <n v="93"/>
  </r>
  <r>
    <x v="92"/>
    <x v="44"/>
    <x v="34"/>
    <n v="93"/>
  </r>
  <r>
    <x v="92"/>
    <x v="44"/>
    <x v="35"/>
    <n v="93"/>
  </r>
  <r>
    <x v="92"/>
    <x v="44"/>
    <x v="36"/>
    <n v="93"/>
  </r>
  <r>
    <x v="92"/>
    <x v="44"/>
    <x v="37"/>
    <n v="93"/>
  </r>
  <r>
    <x v="92"/>
    <x v="44"/>
    <x v="38"/>
    <n v="93"/>
  </r>
  <r>
    <x v="92"/>
    <x v="44"/>
    <x v="39"/>
    <n v="93"/>
  </r>
  <r>
    <x v="92"/>
    <x v="44"/>
    <x v="40"/>
    <n v="93"/>
  </r>
  <r>
    <x v="92"/>
    <x v="44"/>
    <x v="41"/>
    <n v="93"/>
  </r>
  <r>
    <x v="92"/>
    <x v="44"/>
    <x v="42"/>
    <n v="93"/>
  </r>
  <r>
    <x v="92"/>
    <x v="44"/>
    <x v="43"/>
    <n v="93"/>
  </r>
  <r>
    <x v="92"/>
    <x v="44"/>
    <x v="44"/>
    <n v="93"/>
  </r>
  <r>
    <x v="92"/>
    <x v="44"/>
    <x v="45"/>
    <n v="93"/>
  </r>
  <r>
    <x v="92"/>
    <x v="44"/>
    <x v="46"/>
    <n v="93"/>
  </r>
  <r>
    <x v="92"/>
    <x v="44"/>
    <x v="47"/>
    <n v="93"/>
  </r>
  <r>
    <x v="92"/>
    <x v="44"/>
    <x v="48"/>
    <n v="93"/>
  </r>
  <r>
    <x v="92"/>
    <x v="44"/>
    <x v="49"/>
    <n v="93"/>
  </r>
  <r>
    <x v="92"/>
    <x v="44"/>
    <x v="50"/>
    <n v="93"/>
  </r>
  <r>
    <x v="92"/>
    <x v="44"/>
    <x v="51"/>
    <n v="93"/>
  </r>
  <r>
    <x v="92"/>
    <x v="44"/>
    <x v="52"/>
    <n v="93"/>
  </r>
  <r>
    <x v="92"/>
    <x v="44"/>
    <x v="53"/>
    <n v="93"/>
  </r>
  <r>
    <x v="92"/>
    <x v="44"/>
    <x v="54"/>
    <n v="93"/>
  </r>
  <r>
    <x v="92"/>
    <x v="44"/>
    <x v="55"/>
    <n v="93"/>
  </r>
  <r>
    <x v="92"/>
    <x v="44"/>
    <x v="56"/>
    <n v="93"/>
  </r>
  <r>
    <x v="92"/>
    <x v="44"/>
    <x v="57"/>
    <n v="93"/>
  </r>
  <r>
    <x v="92"/>
    <x v="44"/>
    <x v="58"/>
    <n v="93"/>
  </r>
  <r>
    <x v="92"/>
    <x v="44"/>
    <x v="59"/>
    <n v="93"/>
  </r>
  <r>
    <x v="92"/>
    <x v="44"/>
    <x v="60"/>
    <n v="93"/>
  </r>
  <r>
    <x v="92"/>
    <x v="44"/>
    <x v="61"/>
    <n v="93"/>
  </r>
  <r>
    <x v="92"/>
    <x v="44"/>
    <x v="62"/>
    <n v="93"/>
  </r>
  <r>
    <x v="92"/>
    <x v="44"/>
    <x v="63"/>
    <n v="93"/>
  </r>
  <r>
    <x v="92"/>
    <x v="44"/>
    <x v="64"/>
    <n v="93"/>
  </r>
  <r>
    <x v="92"/>
    <x v="44"/>
    <x v="65"/>
    <n v="93"/>
  </r>
  <r>
    <x v="92"/>
    <x v="44"/>
    <x v="66"/>
    <n v="93"/>
  </r>
  <r>
    <x v="92"/>
    <x v="44"/>
    <x v="67"/>
    <n v="93"/>
  </r>
  <r>
    <x v="92"/>
    <x v="44"/>
    <x v="68"/>
    <n v="93"/>
  </r>
  <r>
    <x v="92"/>
    <x v="44"/>
    <x v="69"/>
    <n v="93"/>
  </r>
  <r>
    <x v="92"/>
    <x v="44"/>
    <x v="70"/>
    <n v="93"/>
  </r>
  <r>
    <x v="92"/>
    <x v="44"/>
    <x v="71"/>
    <n v="93"/>
  </r>
  <r>
    <x v="92"/>
    <x v="44"/>
    <x v="72"/>
    <n v="93"/>
  </r>
  <r>
    <x v="93"/>
    <x v="44"/>
    <x v="0"/>
    <n v="78"/>
  </r>
  <r>
    <x v="93"/>
    <x v="44"/>
    <x v="1"/>
    <n v="77"/>
  </r>
  <r>
    <x v="93"/>
    <x v="44"/>
    <x v="2"/>
    <n v="61"/>
  </r>
  <r>
    <x v="93"/>
    <x v="44"/>
    <x v="3"/>
    <n v="32"/>
  </r>
  <r>
    <x v="93"/>
    <x v="44"/>
    <x v="4"/>
    <n v="32"/>
  </r>
  <r>
    <x v="93"/>
    <x v="44"/>
    <x v="5"/>
    <n v="33"/>
  </r>
  <r>
    <x v="93"/>
    <x v="44"/>
    <x v="6"/>
    <n v="42"/>
  </r>
  <r>
    <x v="93"/>
    <x v="44"/>
    <x v="7"/>
    <n v="38"/>
  </r>
  <r>
    <x v="93"/>
    <x v="44"/>
    <x v="8"/>
    <n v="40"/>
  </r>
  <r>
    <x v="93"/>
    <x v="44"/>
    <x v="9"/>
    <n v="41"/>
  </r>
  <r>
    <x v="93"/>
    <x v="44"/>
    <x v="10"/>
    <n v="39"/>
  </r>
  <r>
    <x v="93"/>
    <x v="44"/>
    <x v="11"/>
    <n v="40"/>
  </r>
  <r>
    <x v="93"/>
    <x v="44"/>
    <x v="12"/>
    <n v="56"/>
  </r>
  <r>
    <x v="93"/>
    <x v="44"/>
    <x v="13"/>
    <n v="68"/>
  </r>
  <r>
    <x v="93"/>
    <x v="44"/>
    <x v="14"/>
    <n v="66"/>
  </r>
  <r>
    <x v="93"/>
    <x v="44"/>
    <x v="15"/>
    <n v="93"/>
  </r>
  <r>
    <x v="93"/>
    <x v="44"/>
    <x v="16"/>
    <n v="97"/>
  </r>
  <r>
    <x v="93"/>
    <x v="44"/>
    <x v="17"/>
    <n v="99"/>
  </r>
  <r>
    <x v="93"/>
    <x v="44"/>
    <x v="18"/>
    <n v="106"/>
  </r>
  <r>
    <x v="93"/>
    <x v="44"/>
    <x v="19"/>
    <n v="105"/>
  </r>
  <r>
    <x v="93"/>
    <x v="44"/>
    <x v="20"/>
    <n v="108"/>
  </r>
  <r>
    <x v="93"/>
    <x v="44"/>
    <x v="21"/>
    <n v="104"/>
  </r>
  <r>
    <x v="93"/>
    <x v="44"/>
    <x v="22"/>
    <n v="102"/>
  </r>
  <r>
    <x v="93"/>
    <x v="44"/>
    <x v="23"/>
    <n v="100"/>
  </r>
  <r>
    <x v="93"/>
    <x v="44"/>
    <x v="24"/>
    <n v="104"/>
  </r>
  <r>
    <x v="93"/>
    <x v="44"/>
    <x v="25"/>
    <n v="97"/>
  </r>
  <r>
    <x v="93"/>
    <x v="44"/>
    <x v="26"/>
    <n v="97"/>
  </r>
  <r>
    <x v="93"/>
    <x v="44"/>
    <x v="27"/>
    <n v="95"/>
  </r>
  <r>
    <x v="93"/>
    <x v="44"/>
    <x v="28"/>
    <n v="93"/>
  </r>
  <r>
    <x v="93"/>
    <x v="44"/>
    <x v="29"/>
    <n v="93"/>
  </r>
  <r>
    <x v="93"/>
    <x v="44"/>
    <x v="30"/>
    <n v="93"/>
  </r>
  <r>
    <x v="93"/>
    <x v="44"/>
    <x v="31"/>
    <n v="93"/>
  </r>
  <r>
    <x v="93"/>
    <x v="44"/>
    <x v="32"/>
    <n v="93"/>
  </r>
  <r>
    <x v="93"/>
    <x v="44"/>
    <x v="33"/>
    <n v="93"/>
  </r>
  <r>
    <x v="93"/>
    <x v="44"/>
    <x v="34"/>
    <n v="93"/>
  </r>
  <r>
    <x v="93"/>
    <x v="44"/>
    <x v="35"/>
    <n v="93"/>
  </r>
  <r>
    <x v="93"/>
    <x v="44"/>
    <x v="36"/>
    <n v="93"/>
  </r>
  <r>
    <x v="93"/>
    <x v="44"/>
    <x v="37"/>
    <n v="93"/>
  </r>
  <r>
    <x v="93"/>
    <x v="44"/>
    <x v="38"/>
    <n v="93"/>
  </r>
  <r>
    <x v="93"/>
    <x v="44"/>
    <x v="39"/>
    <n v="93"/>
  </r>
  <r>
    <x v="93"/>
    <x v="44"/>
    <x v="40"/>
    <n v="93"/>
  </r>
  <r>
    <x v="93"/>
    <x v="44"/>
    <x v="41"/>
    <n v="93"/>
  </r>
  <r>
    <x v="93"/>
    <x v="44"/>
    <x v="42"/>
    <n v="93"/>
  </r>
  <r>
    <x v="93"/>
    <x v="44"/>
    <x v="43"/>
    <n v="93"/>
  </r>
  <r>
    <x v="93"/>
    <x v="44"/>
    <x v="44"/>
    <n v="93"/>
  </r>
  <r>
    <x v="93"/>
    <x v="44"/>
    <x v="45"/>
    <n v="93"/>
  </r>
  <r>
    <x v="93"/>
    <x v="44"/>
    <x v="46"/>
    <n v="93"/>
  </r>
  <r>
    <x v="93"/>
    <x v="44"/>
    <x v="47"/>
    <n v="93"/>
  </r>
  <r>
    <x v="93"/>
    <x v="44"/>
    <x v="48"/>
    <n v="93"/>
  </r>
  <r>
    <x v="93"/>
    <x v="44"/>
    <x v="49"/>
    <n v="93"/>
  </r>
  <r>
    <x v="93"/>
    <x v="44"/>
    <x v="50"/>
    <n v="93"/>
  </r>
  <r>
    <x v="93"/>
    <x v="44"/>
    <x v="51"/>
    <n v="93"/>
  </r>
  <r>
    <x v="93"/>
    <x v="44"/>
    <x v="52"/>
    <n v="93"/>
  </r>
  <r>
    <x v="93"/>
    <x v="44"/>
    <x v="53"/>
    <n v="93"/>
  </r>
  <r>
    <x v="93"/>
    <x v="44"/>
    <x v="54"/>
    <n v="93"/>
  </r>
  <r>
    <x v="93"/>
    <x v="44"/>
    <x v="55"/>
    <n v="93"/>
  </r>
  <r>
    <x v="93"/>
    <x v="44"/>
    <x v="56"/>
    <n v="93"/>
  </r>
  <r>
    <x v="93"/>
    <x v="44"/>
    <x v="57"/>
    <n v="93"/>
  </r>
  <r>
    <x v="93"/>
    <x v="44"/>
    <x v="58"/>
    <n v="93"/>
  </r>
  <r>
    <x v="93"/>
    <x v="44"/>
    <x v="59"/>
    <n v="93"/>
  </r>
  <r>
    <x v="93"/>
    <x v="44"/>
    <x v="60"/>
    <n v="93"/>
  </r>
  <r>
    <x v="93"/>
    <x v="44"/>
    <x v="61"/>
    <n v="93"/>
  </r>
  <r>
    <x v="93"/>
    <x v="44"/>
    <x v="62"/>
    <n v="93"/>
  </r>
  <r>
    <x v="93"/>
    <x v="44"/>
    <x v="63"/>
    <n v="93"/>
  </r>
  <r>
    <x v="93"/>
    <x v="44"/>
    <x v="64"/>
    <n v="93"/>
  </r>
  <r>
    <x v="93"/>
    <x v="44"/>
    <x v="65"/>
    <n v="93"/>
  </r>
  <r>
    <x v="93"/>
    <x v="44"/>
    <x v="66"/>
    <n v="93"/>
  </r>
  <r>
    <x v="93"/>
    <x v="44"/>
    <x v="67"/>
    <n v="93"/>
  </r>
  <r>
    <x v="93"/>
    <x v="44"/>
    <x v="68"/>
    <n v="93"/>
  </r>
  <r>
    <x v="93"/>
    <x v="44"/>
    <x v="69"/>
    <n v="93"/>
  </r>
  <r>
    <x v="93"/>
    <x v="44"/>
    <x v="70"/>
    <n v="93"/>
  </r>
  <r>
    <x v="93"/>
    <x v="44"/>
    <x v="71"/>
    <n v="93"/>
  </r>
  <r>
    <x v="93"/>
    <x v="44"/>
    <x v="72"/>
    <n v="93"/>
  </r>
  <r>
    <x v="94"/>
    <x v="45"/>
    <x v="0"/>
    <n v="78"/>
  </r>
  <r>
    <x v="94"/>
    <x v="45"/>
    <x v="1"/>
    <n v="77"/>
  </r>
  <r>
    <x v="94"/>
    <x v="45"/>
    <x v="2"/>
    <n v="110"/>
  </r>
  <r>
    <x v="94"/>
    <x v="45"/>
    <x v="3"/>
    <n v="110"/>
  </r>
  <r>
    <x v="94"/>
    <x v="45"/>
    <x v="4"/>
    <n v="110"/>
  </r>
  <r>
    <x v="94"/>
    <x v="45"/>
    <x v="5"/>
    <n v="113"/>
  </r>
  <r>
    <x v="94"/>
    <x v="45"/>
    <x v="6"/>
    <n v="114"/>
  </r>
  <r>
    <x v="94"/>
    <x v="45"/>
    <x v="7"/>
    <n v="114"/>
  </r>
  <r>
    <x v="94"/>
    <x v="45"/>
    <x v="8"/>
    <n v="114"/>
  </r>
  <r>
    <x v="94"/>
    <x v="45"/>
    <x v="9"/>
    <n v="114"/>
  </r>
  <r>
    <x v="94"/>
    <x v="45"/>
    <x v="10"/>
    <n v="114"/>
  </r>
  <r>
    <x v="94"/>
    <x v="45"/>
    <x v="11"/>
    <n v="114"/>
  </r>
  <r>
    <x v="94"/>
    <x v="45"/>
    <x v="12"/>
    <n v="109"/>
  </r>
  <r>
    <x v="94"/>
    <x v="45"/>
    <x v="13"/>
    <n v="109"/>
  </r>
  <r>
    <x v="94"/>
    <x v="45"/>
    <x v="14"/>
    <n v="108"/>
  </r>
  <r>
    <x v="94"/>
    <x v="45"/>
    <x v="15"/>
    <n v="103"/>
  </r>
  <r>
    <x v="94"/>
    <x v="45"/>
    <x v="16"/>
    <n v="87"/>
  </r>
  <r>
    <x v="94"/>
    <x v="45"/>
    <x v="17"/>
    <n v="90"/>
  </r>
  <r>
    <x v="94"/>
    <x v="45"/>
    <x v="18"/>
    <n v="82"/>
  </r>
  <r>
    <x v="94"/>
    <x v="45"/>
    <x v="19"/>
    <n v="85"/>
  </r>
  <r>
    <x v="94"/>
    <x v="45"/>
    <x v="20"/>
    <n v="76"/>
  </r>
  <r>
    <x v="94"/>
    <x v="45"/>
    <x v="21"/>
    <n v="78"/>
  </r>
  <r>
    <x v="94"/>
    <x v="45"/>
    <x v="22"/>
    <n v="77"/>
  </r>
  <r>
    <x v="94"/>
    <x v="45"/>
    <x v="23"/>
    <n v="92"/>
  </r>
  <r>
    <x v="94"/>
    <x v="45"/>
    <x v="24"/>
    <n v="87"/>
  </r>
  <r>
    <x v="94"/>
    <x v="45"/>
    <x v="25"/>
    <n v="89"/>
  </r>
  <r>
    <x v="94"/>
    <x v="45"/>
    <x v="26"/>
    <n v="89"/>
  </r>
  <r>
    <x v="94"/>
    <x v="45"/>
    <x v="27"/>
    <n v="99"/>
  </r>
  <r>
    <x v="94"/>
    <x v="45"/>
    <x v="28"/>
    <n v="95"/>
  </r>
  <r>
    <x v="94"/>
    <x v="45"/>
    <x v="29"/>
    <n v="95"/>
  </r>
  <r>
    <x v="94"/>
    <x v="45"/>
    <x v="30"/>
    <n v="95"/>
  </r>
  <r>
    <x v="94"/>
    <x v="45"/>
    <x v="31"/>
    <n v="95"/>
  </r>
  <r>
    <x v="94"/>
    <x v="45"/>
    <x v="32"/>
    <n v="95"/>
  </r>
  <r>
    <x v="94"/>
    <x v="45"/>
    <x v="33"/>
    <n v="95"/>
  </r>
  <r>
    <x v="94"/>
    <x v="45"/>
    <x v="34"/>
    <n v="95"/>
  </r>
  <r>
    <x v="94"/>
    <x v="45"/>
    <x v="35"/>
    <n v="95"/>
  </r>
  <r>
    <x v="94"/>
    <x v="45"/>
    <x v="36"/>
    <n v="95"/>
  </r>
  <r>
    <x v="94"/>
    <x v="45"/>
    <x v="37"/>
    <n v="95"/>
  </r>
  <r>
    <x v="94"/>
    <x v="45"/>
    <x v="38"/>
    <n v="95"/>
  </r>
  <r>
    <x v="94"/>
    <x v="45"/>
    <x v="39"/>
    <n v="95"/>
  </r>
  <r>
    <x v="94"/>
    <x v="45"/>
    <x v="40"/>
    <n v="95"/>
  </r>
  <r>
    <x v="94"/>
    <x v="45"/>
    <x v="41"/>
    <n v="95"/>
  </r>
  <r>
    <x v="94"/>
    <x v="45"/>
    <x v="42"/>
    <n v="95"/>
  </r>
  <r>
    <x v="94"/>
    <x v="45"/>
    <x v="43"/>
    <n v="95"/>
  </r>
  <r>
    <x v="94"/>
    <x v="45"/>
    <x v="44"/>
    <n v="95"/>
  </r>
  <r>
    <x v="94"/>
    <x v="45"/>
    <x v="45"/>
    <n v="95"/>
  </r>
  <r>
    <x v="94"/>
    <x v="45"/>
    <x v="46"/>
    <n v="95"/>
  </r>
  <r>
    <x v="94"/>
    <x v="45"/>
    <x v="47"/>
    <n v="95"/>
  </r>
  <r>
    <x v="94"/>
    <x v="45"/>
    <x v="48"/>
    <n v="95"/>
  </r>
  <r>
    <x v="94"/>
    <x v="45"/>
    <x v="49"/>
    <n v="95"/>
  </r>
  <r>
    <x v="94"/>
    <x v="45"/>
    <x v="50"/>
    <n v="95"/>
  </r>
  <r>
    <x v="94"/>
    <x v="45"/>
    <x v="51"/>
    <n v="95"/>
  </r>
  <r>
    <x v="94"/>
    <x v="45"/>
    <x v="52"/>
    <n v="95"/>
  </r>
  <r>
    <x v="94"/>
    <x v="45"/>
    <x v="53"/>
    <n v="95"/>
  </r>
  <r>
    <x v="94"/>
    <x v="45"/>
    <x v="54"/>
    <n v="95"/>
  </r>
  <r>
    <x v="94"/>
    <x v="45"/>
    <x v="55"/>
    <n v="95"/>
  </r>
  <r>
    <x v="94"/>
    <x v="45"/>
    <x v="56"/>
    <n v="95"/>
  </r>
  <r>
    <x v="94"/>
    <x v="45"/>
    <x v="57"/>
    <n v="95"/>
  </r>
  <r>
    <x v="94"/>
    <x v="45"/>
    <x v="58"/>
    <n v="95"/>
  </r>
  <r>
    <x v="94"/>
    <x v="45"/>
    <x v="59"/>
    <n v="95"/>
  </r>
  <r>
    <x v="94"/>
    <x v="45"/>
    <x v="60"/>
    <n v="95"/>
  </r>
  <r>
    <x v="94"/>
    <x v="45"/>
    <x v="61"/>
    <n v="95"/>
  </r>
  <r>
    <x v="94"/>
    <x v="45"/>
    <x v="62"/>
    <n v="95"/>
  </r>
  <r>
    <x v="94"/>
    <x v="45"/>
    <x v="63"/>
    <n v="95"/>
  </r>
  <r>
    <x v="94"/>
    <x v="45"/>
    <x v="64"/>
    <n v="95"/>
  </r>
  <r>
    <x v="94"/>
    <x v="45"/>
    <x v="65"/>
    <n v="95"/>
  </r>
  <r>
    <x v="94"/>
    <x v="45"/>
    <x v="66"/>
    <n v="95"/>
  </r>
  <r>
    <x v="94"/>
    <x v="45"/>
    <x v="67"/>
    <n v="95"/>
  </r>
  <r>
    <x v="94"/>
    <x v="45"/>
    <x v="68"/>
    <n v="95"/>
  </r>
  <r>
    <x v="94"/>
    <x v="45"/>
    <x v="69"/>
    <n v="95"/>
  </r>
  <r>
    <x v="94"/>
    <x v="45"/>
    <x v="70"/>
    <n v="95"/>
  </r>
  <r>
    <x v="94"/>
    <x v="45"/>
    <x v="71"/>
    <n v="95"/>
  </r>
  <r>
    <x v="94"/>
    <x v="45"/>
    <x v="72"/>
    <n v="95"/>
  </r>
  <r>
    <x v="95"/>
    <x v="45"/>
    <x v="0"/>
    <n v="78"/>
  </r>
  <r>
    <x v="95"/>
    <x v="45"/>
    <x v="1"/>
    <n v="77"/>
  </r>
  <r>
    <x v="95"/>
    <x v="45"/>
    <x v="2"/>
    <n v="82"/>
  </r>
  <r>
    <x v="95"/>
    <x v="45"/>
    <x v="3"/>
    <n v="98"/>
  </r>
  <r>
    <x v="95"/>
    <x v="45"/>
    <x v="4"/>
    <n v="98"/>
  </r>
  <r>
    <x v="95"/>
    <x v="45"/>
    <x v="5"/>
    <n v="100"/>
  </r>
  <r>
    <x v="95"/>
    <x v="45"/>
    <x v="6"/>
    <n v="103"/>
  </r>
  <r>
    <x v="95"/>
    <x v="45"/>
    <x v="7"/>
    <n v="102"/>
  </r>
  <r>
    <x v="95"/>
    <x v="45"/>
    <x v="8"/>
    <n v="102"/>
  </r>
  <r>
    <x v="95"/>
    <x v="45"/>
    <x v="9"/>
    <n v="103"/>
  </r>
  <r>
    <x v="95"/>
    <x v="45"/>
    <x v="10"/>
    <n v="99"/>
  </r>
  <r>
    <x v="95"/>
    <x v="45"/>
    <x v="11"/>
    <n v="98"/>
  </r>
  <r>
    <x v="95"/>
    <x v="45"/>
    <x v="12"/>
    <n v="105"/>
  </r>
  <r>
    <x v="95"/>
    <x v="45"/>
    <x v="13"/>
    <n v="100"/>
  </r>
  <r>
    <x v="95"/>
    <x v="45"/>
    <x v="14"/>
    <n v="100"/>
  </r>
  <r>
    <x v="95"/>
    <x v="45"/>
    <x v="15"/>
    <n v="98"/>
  </r>
  <r>
    <x v="95"/>
    <x v="45"/>
    <x v="16"/>
    <n v="79"/>
  </r>
  <r>
    <x v="95"/>
    <x v="45"/>
    <x v="17"/>
    <n v="82"/>
  </r>
  <r>
    <x v="95"/>
    <x v="45"/>
    <x v="18"/>
    <n v="82"/>
  </r>
  <r>
    <x v="95"/>
    <x v="45"/>
    <x v="19"/>
    <n v="85"/>
  </r>
  <r>
    <x v="95"/>
    <x v="45"/>
    <x v="20"/>
    <n v="87"/>
  </r>
  <r>
    <x v="95"/>
    <x v="45"/>
    <x v="21"/>
    <n v="90"/>
  </r>
  <r>
    <x v="95"/>
    <x v="45"/>
    <x v="22"/>
    <n v="86"/>
  </r>
  <r>
    <x v="95"/>
    <x v="45"/>
    <x v="23"/>
    <n v="96"/>
  </r>
  <r>
    <x v="95"/>
    <x v="45"/>
    <x v="24"/>
    <n v="95"/>
  </r>
  <r>
    <x v="95"/>
    <x v="45"/>
    <x v="25"/>
    <n v="101"/>
  </r>
  <r>
    <x v="95"/>
    <x v="45"/>
    <x v="26"/>
    <n v="102"/>
  </r>
  <r>
    <x v="95"/>
    <x v="45"/>
    <x v="27"/>
    <n v="99"/>
  </r>
  <r>
    <x v="95"/>
    <x v="45"/>
    <x v="28"/>
    <n v="95"/>
  </r>
  <r>
    <x v="95"/>
    <x v="45"/>
    <x v="29"/>
    <n v="95"/>
  </r>
  <r>
    <x v="95"/>
    <x v="45"/>
    <x v="30"/>
    <n v="95"/>
  </r>
  <r>
    <x v="95"/>
    <x v="45"/>
    <x v="31"/>
    <n v="95"/>
  </r>
  <r>
    <x v="95"/>
    <x v="45"/>
    <x v="32"/>
    <n v="95"/>
  </r>
  <r>
    <x v="95"/>
    <x v="45"/>
    <x v="33"/>
    <n v="95"/>
  </r>
  <r>
    <x v="95"/>
    <x v="45"/>
    <x v="34"/>
    <n v="95"/>
  </r>
  <r>
    <x v="95"/>
    <x v="45"/>
    <x v="35"/>
    <n v="95"/>
  </r>
  <r>
    <x v="95"/>
    <x v="45"/>
    <x v="36"/>
    <n v="95"/>
  </r>
  <r>
    <x v="95"/>
    <x v="45"/>
    <x v="37"/>
    <n v="95"/>
  </r>
  <r>
    <x v="95"/>
    <x v="45"/>
    <x v="38"/>
    <n v="95"/>
  </r>
  <r>
    <x v="95"/>
    <x v="45"/>
    <x v="39"/>
    <n v="95"/>
  </r>
  <r>
    <x v="95"/>
    <x v="45"/>
    <x v="40"/>
    <n v="95"/>
  </r>
  <r>
    <x v="95"/>
    <x v="45"/>
    <x v="41"/>
    <n v="95"/>
  </r>
  <r>
    <x v="95"/>
    <x v="45"/>
    <x v="42"/>
    <n v="95"/>
  </r>
  <r>
    <x v="95"/>
    <x v="45"/>
    <x v="43"/>
    <n v="95"/>
  </r>
  <r>
    <x v="95"/>
    <x v="45"/>
    <x v="44"/>
    <n v="95"/>
  </r>
  <r>
    <x v="95"/>
    <x v="45"/>
    <x v="45"/>
    <n v="95"/>
  </r>
  <r>
    <x v="95"/>
    <x v="45"/>
    <x v="46"/>
    <n v="95"/>
  </r>
  <r>
    <x v="95"/>
    <x v="45"/>
    <x v="47"/>
    <n v="95"/>
  </r>
  <r>
    <x v="95"/>
    <x v="45"/>
    <x v="48"/>
    <n v="95"/>
  </r>
  <r>
    <x v="95"/>
    <x v="45"/>
    <x v="49"/>
    <n v="95"/>
  </r>
  <r>
    <x v="95"/>
    <x v="45"/>
    <x v="50"/>
    <n v="95"/>
  </r>
  <r>
    <x v="95"/>
    <x v="45"/>
    <x v="51"/>
    <n v="95"/>
  </r>
  <r>
    <x v="95"/>
    <x v="45"/>
    <x v="52"/>
    <n v="95"/>
  </r>
  <r>
    <x v="95"/>
    <x v="45"/>
    <x v="53"/>
    <n v="95"/>
  </r>
  <r>
    <x v="95"/>
    <x v="45"/>
    <x v="54"/>
    <n v="95"/>
  </r>
  <r>
    <x v="95"/>
    <x v="45"/>
    <x v="55"/>
    <n v="95"/>
  </r>
  <r>
    <x v="95"/>
    <x v="45"/>
    <x v="56"/>
    <n v="95"/>
  </r>
  <r>
    <x v="95"/>
    <x v="45"/>
    <x v="57"/>
    <n v="95"/>
  </r>
  <r>
    <x v="95"/>
    <x v="45"/>
    <x v="58"/>
    <n v="95"/>
  </r>
  <r>
    <x v="95"/>
    <x v="45"/>
    <x v="59"/>
    <n v="95"/>
  </r>
  <r>
    <x v="95"/>
    <x v="45"/>
    <x v="60"/>
    <n v="95"/>
  </r>
  <r>
    <x v="95"/>
    <x v="45"/>
    <x v="61"/>
    <n v="95"/>
  </r>
  <r>
    <x v="95"/>
    <x v="45"/>
    <x v="62"/>
    <n v="95"/>
  </r>
  <r>
    <x v="95"/>
    <x v="45"/>
    <x v="63"/>
    <n v="95"/>
  </r>
  <r>
    <x v="95"/>
    <x v="45"/>
    <x v="64"/>
    <n v="95"/>
  </r>
  <r>
    <x v="95"/>
    <x v="45"/>
    <x v="65"/>
    <n v="95"/>
  </r>
  <r>
    <x v="95"/>
    <x v="45"/>
    <x v="66"/>
    <n v="95"/>
  </r>
  <r>
    <x v="95"/>
    <x v="45"/>
    <x v="67"/>
    <n v="95"/>
  </r>
  <r>
    <x v="95"/>
    <x v="45"/>
    <x v="68"/>
    <n v="95"/>
  </r>
  <r>
    <x v="95"/>
    <x v="45"/>
    <x v="69"/>
    <n v="95"/>
  </r>
  <r>
    <x v="95"/>
    <x v="45"/>
    <x v="70"/>
    <n v="95"/>
  </r>
  <r>
    <x v="95"/>
    <x v="45"/>
    <x v="71"/>
    <n v="95"/>
  </r>
  <r>
    <x v="95"/>
    <x v="45"/>
    <x v="72"/>
    <n v="95"/>
  </r>
  <r>
    <x v="96"/>
    <x v="46"/>
    <x v="0"/>
    <n v="78"/>
  </r>
  <r>
    <x v="96"/>
    <x v="46"/>
    <x v="1"/>
    <n v="77"/>
  </r>
  <r>
    <x v="96"/>
    <x v="46"/>
    <x v="2"/>
    <n v="82"/>
  </r>
  <r>
    <x v="96"/>
    <x v="46"/>
    <x v="3"/>
    <n v="98"/>
  </r>
  <r>
    <x v="96"/>
    <x v="46"/>
    <x v="4"/>
    <n v="98"/>
  </r>
  <r>
    <x v="96"/>
    <x v="46"/>
    <x v="5"/>
    <n v="100"/>
  </r>
  <r>
    <x v="96"/>
    <x v="46"/>
    <x v="6"/>
    <n v="93"/>
  </r>
  <r>
    <x v="96"/>
    <x v="46"/>
    <x v="7"/>
    <n v="86"/>
  </r>
  <r>
    <x v="96"/>
    <x v="46"/>
    <x v="8"/>
    <n v="85"/>
  </r>
  <r>
    <x v="96"/>
    <x v="46"/>
    <x v="9"/>
    <n v="86"/>
  </r>
  <r>
    <x v="96"/>
    <x v="46"/>
    <x v="10"/>
    <n v="88"/>
  </r>
  <r>
    <x v="96"/>
    <x v="46"/>
    <x v="11"/>
    <n v="92"/>
  </r>
  <r>
    <x v="96"/>
    <x v="46"/>
    <x v="12"/>
    <n v="92"/>
  </r>
  <r>
    <x v="96"/>
    <x v="46"/>
    <x v="13"/>
    <n v="100"/>
  </r>
  <r>
    <x v="96"/>
    <x v="46"/>
    <x v="14"/>
    <n v="95"/>
  </r>
  <r>
    <x v="96"/>
    <x v="46"/>
    <x v="15"/>
    <n v="93"/>
  </r>
  <r>
    <x v="96"/>
    <x v="46"/>
    <x v="16"/>
    <n v="97"/>
  </r>
  <r>
    <x v="96"/>
    <x v="46"/>
    <x v="17"/>
    <n v="99"/>
  </r>
  <r>
    <x v="96"/>
    <x v="46"/>
    <x v="18"/>
    <n v="90"/>
  </r>
  <r>
    <x v="96"/>
    <x v="46"/>
    <x v="19"/>
    <n v="95"/>
  </r>
  <r>
    <x v="96"/>
    <x v="46"/>
    <x v="20"/>
    <n v="91"/>
  </r>
  <r>
    <x v="96"/>
    <x v="46"/>
    <x v="21"/>
    <n v="87"/>
  </r>
  <r>
    <x v="96"/>
    <x v="46"/>
    <x v="22"/>
    <n v="89"/>
  </r>
  <r>
    <x v="96"/>
    <x v="46"/>
    <x v="23"/>
    <n v="88"/>
  </r>
  <r>
    <x v="96"/>
    <x v="46"/>
    <x v="24"/>
    <n v="84"/>
  </r>
  <r>
    <x v="96"/>
    <x v="46"/>
    <x v="25"/>
    <n v="85"/>
  </r>
  <r>
    <x v="96"/>
    <x v="46"/>
    <x v="26"/>
    <n v="85"/>
  </r>
  <r>
    <x v="96"/>
    <x v="46"/>
    <x v="27"/>
    <n v="88"/>
  </r>
  <r>
    <x v="96"/>
    <x v="46"/>
    <x v="28"/>
    <n v="97"/>
  </r>
  <r>
    <x v="96"/>
    <x v="46"/>
    <x v="29"/>
    <n v="97"/>
  </r>
  <r>
    <x v="96"/>
    <x v="46"/>
    <x v="30"/>
    <n v="97"/>
  </r>
  <r>
    <x v="96"/>
    <x v="46"/>
    <x v="31"/>
    <n v="97"/>
  </r>
  <r>
    <x v="96"/>
    <x v="46"/>
    <x v="32"/>
    <n v="97"/>
  </r>
  <r>
    <x v="96"/>
    <x v="46"/>
    <x v="33"/>
    <n v="97"/>
  </r>
  <r>
    <x v="96"/>
    <x v="46"/>
    <x v="34"/>
    <n v="97"/>
  </r>
  <r>
    <x v="96"/>
    <x v="46"/>
    <x v="35"/>
    <n v="97"/>
  </r>
  <r>
    <x v="96"/>
    <x v="46"/>
    <x v="36"/>
    <n v="97"/>
  </r>
  <r>
    <x v="96"/>
    <x v="46"/>
    <x v="37"/>
    <n v="97"/>
  </r>
  <r>
    <x v="96"/>
    <x v="46"/>
    <x v="38"/>
    <n v="97"/>
  </r>
  <r>
    <x v="96"/>
    <x v="46"/>
    <x v="39"/>
    <n v="97"/>
  </r>
  <r>
    <x v="96"/>
    <x v="46"/>
    <x v="40"/>
    <n v="97"/>
  </r>
  <r>
    <x v="96"/>
    <x v="46"/>
    <x v="41"/>
    <n v="97"/>
  </r>
  <r>
    <x v="96"/>
    <x v="46"/>
    <x v="42"/>
    <n v="97"/>
  </r>
  <r>
    <x v="96"/>
    <x v="46"/>
    <x v="43"/>
    <n v="97"/>
  </r>
  <r>
    <x v="96"/>
    <x v="46"/>
    <x v="44"/>
    <n v="97"/>
  </r>
  <r>
    <x v="96"/>
    <x v="46"/>
    <x v="45"/>
    <n v="97"/>
  </r>
  <r>
    <x v="96"/>
    <x v="46"/>
    <x v="46"/>
    <n v="97"/>
  </r>
  <r>
    <x v="96"/>
    <x v="46"/>
    <x v="47"/>
    <n v="97"/>
  </r>
  <r>
    <x v="96"/>
    <x v="46"/>
    <x v="48"/>
    <n v="97"/>
  </r>
  <r>
    <x v="96"/>
    <x v="46"/>
    <x v="49"/>
    <n v="97"/>
  </r>
  <r>
    <x v="96"/>
    <x v="46"/>
    <x v="50"/>
    <n v="97"/>
  </r>
  <r>
    <x v="96"/>
    <x v="46"/>
    <x v="51"/>
    <n v="97"/>
  </r>
  <r>
    <x v="96"/>
    <x v="46"/>
    <x v="52"/>
    <n v="97"/>
  </r>
  <r>
    <x v="96"/>
    <x v="46"/>
    <x v="53"/>
    <n v="97"/>
  </r>
  <r>
    <x v="96"/>
    <x v="46"/>
    <x v="54"/>
    <n v="97"/>
  </r>
  <r>
    <x v="96"/>
    <x v="46"/>
    <x v="55"/>
    <n v="97"/>
  </r>
  <r>
    <x v="96"/>
    <x v="46"/>
    <x v="56"/>
    <n v="97"/>
  </r>
  <r>
    <x v="96"/>
    <x v="46"/>
    <x v="57"/>
    <n v="97"/>
  </r>
  <r>
    <x v="96"/>
    <x v="46"/>
    <x v="58"/>
    <n v="97"/>
  </r>
  <r>
    <x v="96"/>
    <x v="46"/>
    <x v="59"/>
    <n v="97"/>
  </r>
  <r>
    <x v="96"/>
    <x v="46"/>
    <x v="60"/>
    <n v="97"/>
  </r>
  <r>
    <x v="96"/>
    <x v="46"/>
    <x v="61"/>
    <n v="97"/>
  </r>
  <r>
    <x v="96"/>
    <x v="46"/>
    <x v="62"/>
    <n v="97"/>
  </r>
  <r>
    <x v="96"/>
    <x v="46"/>
    <x v="63"/>
    <n v="97"/>
  </r>
  <r>
    <x v="96"/>
    <x v="46"/>
    <x v="64"/>
    <n v="97"/>
  </r>
  <r>
    <x v="96"/>
    <x v="46"/>
    <x v="65"/>
    <n v="97"/>
  </r>
  <r>
    <x v="96"/>
    <x v="46"/>
    <x v="66"/>
    <n v="97"/>
  </r>
  <r>
    <x v="96"/>
    <x v="46"/>
    <x v="67"/>
    <n v="97"/>
  </r>
  <r>
    <x v="96"/>
    <x v="46"/>
    <x v="68"/>
    <n v="97"/>
  </r>
  <r>
    <x v="96"/>
    <x v="46"/>
    <x v="69"/>
    <n v="97"/>
  </r>
  <r>
    <x v="96"/>
    <x v="46"/>
    <x v="70"/>
    <n v="97"/>
  </r>
  <r>
    <x v="96"/>
    <x v="46"/>
    <x v="71"/>
    <n v="97"/>
  </r>
  <r>
    <x v="96"/>
    <x v="46"/>
    <x v="72"/>
    <n v="97"/>
  </r>
  <r>
    <x v="97"/>
    <x v="46"/>
    <x v="0"/>
    <n v="78"/>
  </r>
  <r>
    <x v="97"/>
    <x v="46"/>
    <x v="1"/>
    <n v="77"/>
  </r>
  <r>
    <x v="97"/>
    <x v="46"/>
    <x v="2"/>
    <n v="61"/>
  </r>
  <r>
    <x v="97"/>
    <x v="46"/>
    <x v="3"/>
    <n v="94"/>
  </r>
  <r>
    <x v="97"/>
    <x v="46"/>
    <x v="4"/>
    <n v="94"/>
  </r>
  <r>
    <x v="97"/>
    <x v="46"/>
    <x v="5"/>
    <n v="99"/>
  </r>
  <r>
    <x v="97"/>
    <x v="46"/>
    <x v="6"/>
    <n v="90"/>
  </r>
  <r>
    <x v="97"/>
    <x v="46"/>
    <x v="7"/>
    <n v="83"/>
  </r>
  <r>
    <x v="97"/>
    <x v="46"/>
    <x v="8"/>
    <n v="82"/>
  </r>
  <r>
    <x v="97"/>
    <x v="46"/>
    <x v="9"/>
    <n v="85"/>
  </r>
  <r>
    <x v="97"/>
    <x v="46"/>
    <x v="10"/>
    <n v="81"/>
  </r>
  <r>
    <x v="97"/>
    <x v="46"/>
    <x v="11"/>
    <n v="76"/>
  </r>
  <r>
    <x v="97"/>
    <x v="46"/>
    <x v="12"/>
    <n v="73"/>
  </r>
  <r>
    <x v="97"/>
    <x v="46"/>
    <x v="13"/>
    <n v="70"/>
  </r>
  <r>
    <x v="97"/>
    <x v="46"/>
    <x v="14"/>
    <n v="69"/>
  </r>
  <r>
    <x v="97"/>
    <x v="46"/>
    <x v="15"/>
    <n v="59"/>
  </r>
  <r>
    <x v="97"/>
    <x v="46"/>
    <x v="16"/>
    <n v="64"/>
  </r>
  <r>
    <x v="97"/>
    <x v="46"/>
    <x v="17"/>
    <n v="67"/>
  </r>
  <r>
    <x v="97"/>
    <x v="46"/>
    <x v="18"/>
    <n v="79"/>
  </r>
  <r>
    <x v="97"/>
    <x v="46"/>
    <x v="19"/>
    <n v="81"/>
  </r>
  <r>
    <x v="97"/>
    <x v="46"/>
    <x v="20"/>
    <n v="78"/>
  </r>
  <r>
    <x v="97"/>
    <x v="46"/>
    <x v="21"/>
    <n v="83"/>
  </r>
  <r>
    <x v="97"/>
    <x v="46"/>
    <x v="22"/>
    <n v="83"/>
  </r>
  <r>
    <x v="97"/>
    <x v="46"/>
    <x v="23"/>
    <n v="98"/>
  </r>
  <r>
    <x v="97"/>
    <x v="46"/>
    <x v="24"/>
    <n v="100"/>
  </r>
  <r>
    <x v="97"/>
    <x v="46"/>
    <x v="25"/>
    <n v="91"/>
  </r>
  <r>
    <x v="97"/>
    <x v="46"/>
    <x v="26"/>
    <n v="91"/>
  </r>
  <r>
    <x v="97"/>
    <x v="46"/>
    <x v="27"/>
    <n v="88"/>
  </r>
  <r>
    <x v="97"/>
    <x v="46"/>
    <x v="28"/>
    <n v="97"/>
  </r>
  <r>
    <x v="97"/>
    <x v="46"/>
    <x v="29"/>
    <n v="97"/>
  </r>
  <r>
    <x v="97"/>
    <x v="46"/>
    <x v="30"/>
    <n v="97"/>
  </r>
  <r>
    <x v="97"/>
    <x v="46"/>
    <x v="31"/>
    <n v="97"/>
  </r>
  <r>
    <x v="97"/>
    <x v="46"/>
    <x v="32"/>
    <n v="97"/>
  </r>
  <r>
    <x v="97"/>
    <x v="46"/>
    <x v="33"/>
    <n v="97"/>
  </r>
  <r>
    <x v="97"/>
    <x v="46"/>
    <x v="34"/>
    <n v="97"/>
  </r>
  <r>
    <x v="97"/>
    <x v="46"/>
    <x v="35"/>
    <n v="97"/>
  </r>
  <r>
    <x v="97"/>
    <x v="46"/>
    <x v="36"/>
    <n v="97"/>
  </r>
  <r>
    <x v="97"/>
    <x v="46"/>
    <x v="37"/>
    <n v="97"/>
  </r>
  <r>
    <x v="97"/>
    <x v="46"/>
    <x v="38"/>
    <n v="97"/>
  </r>
  <r>
    <x v="97"/>
    <x v="46"/>
    <x v="39"/>
    <n v="97"/>
  </r>
  <r>
    <x v="97"/>
    <x v="46"/>
    <x v="40"/>
    <n v="97"/>
  </r>
  <r>
    <x v="97"/>
    <x v="46"/>
    <x v="41"/>
    <n v="97"/>
  </r>
  <r>
    <x v="97"/>
    <x v="46"/>
    <x v="42"/>
    <n v="97"/>
  </r>
  <r>
    <x v="97"/>
    <x v="46"/>
    <x v="43"/>
    <n v="97"/>
  </r>
  <r>
    <x v="97"/>
    <x v="46"/>
    <x v="44"/>
    <n v="97"/>
  </r>
  <r>
    <x v="97"/>
    <x v="46"/>
    <x v="45"/>
    <n v="97"/>
  </r>
  <r>
    <x v="97"/>
    <x v="46"/>
    <x v="46"/>
    <n v="97"/>
  </r>
  <r>
    <x v="97"/>
    <x v="46"/>
    <x v="47"/>
    <n v="97"/>
  </r>
  <r>
    <x v="97"/>
    <x v="46"/>
    <x v="48"/>
    <n v="97"/>
  </r>
  <r>
    <x v="97"/>
    <x v="46"/>
    <x v="49"/>
    <n v="97"/>
  </r>
  <r>
    <x v="97"/>
    <x v="46"/>
    <x v="50"/>
    <n v="97"/>
  </r>
  <r>
    <x v="97"/>
    <x v="46"/>
    <x v="51"/>
    <n v="97"/>
  </r>
  <r>
    <x v="97"/>
    <x v="46"/>
    <x v="52"/>
    <n v="97"/>
  </r>
  <r>
    <x v="97"/>
    <x v="46"/>
    <x v="53"/>
    <n v="97"/>
  </r>
  <r>
    <x v="97"/>
    <x v="46"/>
    <x v="54"/>
    <n v="97"/>
  </r>
  <r>
    <x v="97"/>
    <x v="46"/>
    <x v="55"/>
    <n v="97"/>
  </r>
  <r>
    <x v="97"/>
    <x v="46"/>
    <x v="56"/>
    <n v="97"/>
  </r>
  <r>
    <x v="97"/>
    <x v="46"/>
    <x v="57"/>
    <n v="97"/>
  </r>
  <r>
    <x v="97"/>
    <x v="46"/>
    <x v="58"/>
    <n v="97"/>
  </r>
  <r>
    <x v="97"/>
    <x v="46"/>
    <x v="59"/>
    <n v="97"/>
  </r>
  <r>
    <x v="97"/>
    <x v="46"/>
    <x v="60"/>
    <n v="97"/>
  </r>
  <r>
    <x v="97"/>
    <x v="46"/>
    <x v="61"/>
    <n v="97"/>
  </r>
  <r>
    <x v="97"/>
    <x v="46"/>
    <x v="62"/>
    <n v="97"/>
  </r>
  <r>
    <x v="97"/>
    <x v="46"/>
    <x v="63"/>
    <n v="97"/>
  </r>
  <r>
    <x v="97"/>
    <x v="46"/>
    <x v="64"/>
    <n v="97"/>
  </r>
  <r>
    <x v="97"/>
    <x v="46"/>
    <x v="65"/>
    <n v="97"/>
  </r>
  <r>
    <x v="97"/>
    <x v="46"/>
    <x v="66"/>
    <n v="97"/>
  </r>
  <r>
    <x v="97"/>
    <x v="46"/>
    <x v="67"/>
    <n v="97"/>
  </r>
  <r>
    <x v="97"/>
    <x v="46"/>
    <x v="68"/>
    <n v="97"/>
  </r>
  <r>
    <x v="97"/>
    <x v="46"/>
    <x v="69"/>
    <n v="97"/>
  </r>
  <r>
    <x v="97"/>
    <x v="46"/>
    <x v="70"/>
    <n v="97"/>
  </r>
  <r>
    <x v="97"/>
    <x v="46"/>
    <x v="71"/>
    <n v="97"/>
  </r>
  <r>
    <x v="97"/>
    <x v="46"/>
    <x v="72"/>
    <n v="97"/>
  </r>
  <r>
    <x v="98"/>
    <x v="46"/>
    <x v="0"/>
    <n v="78"/>
  </r>
  <r>
    <x v="98"/>
    <x v="46"/>
    <x v="1"/>
    <n v="77"/>
  </r>
  <r>
    <x v="98"/>
    <x v="46"/>
    <x v="2"/>
    <n v="61"/>
  </r>
  <r>
    <x v="98"/>
    <x v="46"/>
    <x v="3"/>
    <n v="83"/>
  </r>
  <r>
    <x v="98"/>
    <x v="46"/>
    <x v="4"/>
    <n v="85"/>
  </r>
  <r>
    <x v="98"/>
    <x v="46"/>
    <x v="5"/>
    <n v="84"/>
  </r>
  <r>
    <x v="98"/>
    <x v="46"/>
    <x v="6"/>
    <n v="71"/>
  </r>
  <r>
    <x v="98"/>
    <x v="46"/>
    <x v="7"/>
    <n v="76"/>
  </r>
  <r>
    <x v="98"/>
    <x v="46"/>
    <x v="8"/>
    <n v="77"/>
  </r>
  <r>
    <x v="98"/>
    <x v="46"/>
    <x v="9"/>
    <n v="65"/>
  </r>
  <r>
    <x v="98"/>
    <x v="46"/>
    <x v="10"/>
    <n v="61"/>
  </r>
  <r>
    <x v="98"/>
    <x v="46"/>
    <x v="11"/>
    <n v="69"/>
  </r>
  <r>
    <x v="98"/>
    <x v="46"/>
    <x v="12"/>
    <n v="85"/>
  </r>
  <r>
    <x v="98"/>
    <x v="46"/>
    <x v="13"/>
    <n v="83"/>
  </r>
  <r>
    <x v="98"/>
    <x v="46"/>
    <x v="14"/>
    <n v="81"/>
  </r>
  <r>
    <x v="98"/>
    <x v="46"/>
    <x v="15"/>
    <n v="84"/>
  </r>
  <r>
    <x v="98"/>
    <x v="46"/>
    <x v="16"/>
    <n v="87"/>
  </r>
  <r>
    <x v="98"/>
    <x v="46"/>
    <x v="17"/>
    <n v="90"/>
  </r>
  <r>
    <x v="98"/>
    <x v="46"/>
    <x v="18"/>
    <n v="88"/>
  </r>
  <r>
    <x v="98"/>
    <x v="46"/>
    <x v="19"/>
    <n v="92"/>
  </r>
  <r>
    <x v="98"/>
    <x v="46"/>
    <x v="20"/>
    <n v="95"/>
  </r>
  <r>
    <x v="98"/>
    <x v="46"/>
    <x v="21"/>
    <n v="98"/>
  </r>
  <r>
    <x v="98"/>
    <x v="46"/>
    <x v="22"/>
    <n v="98"/>
  </r>
  <r>
    <x v="98"/>
    <x v="46"/>
    <x v="23"/>
    <n v="105"/>
  </r>
  <r>
    <x v="98"/>
    <x v="46"/>
    <x v="24"/>
    <n v="90"/>
  </r>
  <r>
    <x v="98"/>
    <x v="46"/>
    <x v="25"/>
    <n v="91"/>
  </r>
  <r>
    <x v="98"/>
    <x v="46"/>
    <x v="26"/>
    <n v="91"/>
  </r>
  <r>
    <x v="98"/>
    <x v="46"/>
    <x v="27"/>
    <n v="101"/>
  </r>
  <r>
    <x v="98"/>
    <x v="46"/>
    <x v="28"/>
    <n v="97"/>
  </r>
  <r>
    <x v="98"/>
    <x v="46"/>
    <x v="29"/>
    <n v="97"/>
  </r>
  <r>
    <x v="98"/>
    <x v="46"/>
    <x v="30"/>
    <n v="97"/>
  </r>
  <r>
    <x v="98"/>
    <x v="46"/>
    <x v="31"/>
    <n v="97"/>
  </r>
  <r>
    <x v="98"/>
    <x v="46"/>
    <x v="32"/>
    <n v="97"/>
  </r>
  <r>
    <x v="98"/>
    <x v="46"/>
    <x v="33"/>
    <n v="97"/>
  </r>
  <r>
    <x v="98"/>
    <x v="46"/>
    <x v="34"/>
    <n v="97"/>
  </r>
  <r>
    <x v="98"/>
    <x v="46"/>
    <x v="35"/>
    <n v="97"/>
  </r>
  <r>
    <x v="98"/>
    <x v="46"/>
    <x v="36"/>
    <n v="97"/>
  </r>
  <r>
    <x v="98"/>
    <x v="46"/>
    <x v="37"/>
    <n v="97"/>
  </r>
  <r>
    <x v="98"/>
    <x v="46"/>
    <x v="38"/>
    <n v="97"/>
  </r>
  <r>
    <x v="98"/>
    <x v="46"/>
    <x v="39"/>
    <n v="97"/>
  </r>
  <r>
    <x v="98"/>
    <x v="46"/>
    <x v="40"/>
    <n v="97"/>
  </r>
  <r>
    <x v="98"/>
    <x v="46"/>
    <x v="41"/>
    <n v="97"/>
  </r>
  <r>
    <x v="98"/>
    <x v="46"/>
    <x v="42"/>
    <n v="97"/>
  </r>
  <r>
    <x v="98"/>
    <x v="46"/>
    <x v="43"/>
    <n v="97"/>
  </r>
  <r>
    <x v="98"/>
    <x v="46"/>
    <x v="44"/>
    <n v="97"/>
  </r>
  <r>
    <x v="98"/>
    <x v="46"/>
    <x v="45"/>
    <n v="97"/>
  </r>
  <r>
    <x v="98"/>
    <x v="46"/>
    <x v="46"/>
    <n v="97"/>
  </r>
  <r>
    <x v="98"/>
    <x v="46"/>
    <x v="47"/>
    <n v="97"/>
  </r>
  <r>
    <x v="98"/>
    <x v="46"/>
    <x v="48"/>
    <n v="97"/>
  </r>
  <r>
    <x v="98"/>
    <x v="46"/>
    <x v="49"/>
    <n v="97"/>
  </r>
  <r>
    <x v="98"/>
    <x v="46"/>
    <x v="50"/>
    <n v="97"/>
  </r>
  <r>
    <x v="98"/>
    <x v="46"/>
    <x v="51"/>
    <n v="97"/>
  </r>
  <r>
    <x v="98"/>
    <x v="46"/>
    <x v="52"/>
    <n v="97"/>
  </r>
  <r>
    <x v="98"/>
    <x v="46"/>
    <x v="53"/>
    <n v="97"/>
  </r>
  <r>
    <x v="98"/>
    <x v="46"/>
    <x v="54"/>
    <n v="97"/>
  </r>
  <r>
    <x v="98"/>
    <x v="46"/>
    <x v="55"/>
    <n v="97"/>
  </r>
  <r>
    <x v="98"/>
    <x v="46"/>
    <x v="56"/>
    <n v="97"/>
  </r>
  <r>
    <x v="98"/>
    <x v="46"/>
    <x v="57"/>
    <n v="97"/>
  </r>
  <r>
    <x v="98"/>
    <x v="46"/>
    <x v="58"/>
    <n v="97"/>
  </r>
  <r>
    <x v="98"/>
    <x v="46"/>
    <x v="59"/>
    <n v="97"/>
  </r>
  <r>
    <x v="98"/>
    <x v="46"/>
    <x v="60"/>
    <n v="97"/>
  </r>
  <r>
    <x v="98"/>
    <x v="46"/>
    <x v="61"/>
    <n v="97"/>
  </r>
  <r>
    <x v="98"/>
    <x v="46"/>
    <x v="62"/>
    <n v="97"/>
  </r>
  <r>
    <x v="98"/>
    <x v="46"/>
    <x v="63"/>
    <n v="97"/>
  </r>
  <r>
    <x v="98"/>
    <x v="46"/>
    <x v="64"/>
    <n v="97"/>
  </r>
  <r>
    <x v="98"/>
    <x v="46"/>
    <x v="65"/>
    <n v="97"/>
  </r>
  <r>
    <x v="98"/>
    <x v="46"/>
    <x v="66"/>
    <n v="97"/>
  </r>
  <r>
    <x v="98"/>
    <x v="46"/>
    <x v="67"/>
    <n v="97"/>
  </r>
  <r>
    <x v="98"/>
    <x v="46"/>
    <x v="68"/>
    <n v="97"/>
  </r>
  <r>
    <x v="98"/>
    <x v="46"/>
    <x v="69"/>
    <n v="97"/>
  </r>
  <r>
    <x v="98"/>
    <x v="46"/>
    <x v="70"/>
    <n v="97"/>
  </r>
  <r>
    <x v="98"/>
    <x v="46"/>
    <x v="71"/>
    <n v="97"/>
  </r>
  <r>
    <x v="98"/>
    <x v="46"/>
    <x v="72"/>
    <n v="97"/>
  </r>
  <r>
    <x v="99"/>
    <x v="47"/>
    <x v="0"/>
    <n v="13"/>
  </r>
  <r>
    <x v="99"/>
    <x v="47"/>
    <x v="1"/>
    <n v="14"/>
  </r>
  <r>
    <x v="99"/>
    <x v="47"/>
    <x v="2"/>
    <n v="24"/>
  </r>
  <r>
    <x v="99"/>
    <x v="47"/>
    <x v="3"/>
    <n v="52"/>
  </r>
  <r>
    <x v="99"/>
    <x v="47"/>
    <x v="4"/>
    <n v="52"/>
  </r>
  <r>
    <x v="99"/>
    <x v="47"/>
    <x v="5"/>
    <n v="66"/>
  </r>
  <r>
    <x v="99"/>
    <x v="47"/>
    <x v="6"/>
    <n v="42"/>
  </r>
  <r>
    <x v="99"/>
    <x v="47"/>
    <x v="7"/>
    <n v="43"/>
  </r>
  <r>
    <x v="99"/>
    <x v="47"/>
    <x v="8"/>
    <n v="48"/>
  </r>
  <r>
    <x v="99"/>
    <x v="47"/>
    <x v="9"/>
    <n v="50"/>
  </r>
  <r>
    <x v="99"/>
    <x v="47"/>
    <x v="10"/>
    <n v="57"/>
  </r>
  <r>
    <x v="99"/>
    <x v="47"/>
    <x v="11"/>
    <n v="62"/>
  </r>
  <r>
    <x v="99"/>
    <x v="47"/>
    <x v="12"/>
    <n v="68"/>
  </r>
  <r>
    <x v="99"/>
    <x v="47"/>
    <x v="13"/>
    <n v="74"/>
  </r>
  <r>
    <x v="99"/>
    <x v="47"/>
    <x v="14"/>
    <n v="73"/>
  </r>
  <r>
    <x v="99"/>
    <x v="47"/>
    <x v="15"/>
    <n v="78"/>
  </r>
  <r>
    <x v="99"/>
    <x v="47"/>
    <x v="16"/>
    <n v="68"/>
  </r>
  <r>
    <x v="99"/>
    <x v="47"/>
    <x v="17"/>
    <n v="70"/>
  </r>
  <r>
    <x v="99"/>
    <x v="47"/>
    <x v="18"/>
    <n v="67"/>
  </r>
  <r>
    <x v="99"/>
    <x v="47"/>
    <x v="19"/>
    <n v="67"/>
  </r>
  <r>
    <x v="99"/>
    <x v="47"/>
    <x v="20"/>
    <n v="73"/>
  </r>
  <r>
    <x v="99"/>
    <x v="47"/>
    <x v="21"/>
    <n v="78"/>
  </r>
  <r>
    <x v="99"/>
    <x v="47"/>
    <x v="22"/>
    <n v="77"/>
  </r>
  <r>
    <x v="99"/>
    <x v="47"/>
    <x v="23"/>
    <n v="86"/>
  </r>
  <r>
    <x v="99"/>
    <x v="47"/>
    <x v="24"/>
    <n v="87"/>
  </r>
  <r>
    <x v="99"/>
    <x v="47"/>
    <x v="25"/>
    <n v="96"/>
  </r>
  <r>
    <x v="99"/>
    <x v="47"/>
    <x v="26"/>
    <n v="96"/>
  </r>
  <r>
    <x v="99"/>
    <x v="47"/>
    <x v="27"/>
    <n v="93"/>
  </r>
  <r>
    <x v="99"/>
    <x v="47"/>
    <x v="28"/>
    <n v="100"/>
  </r>
  <r>
    <x v="99"/>
    <x v="47"/>
    <x v="29"/>
    <n v="100"/>
  </r>
  <r>
    <x v="99"/>
    <x v="47"/>
    <x v="30"/>
    <n v="100"/>
  </r>
  <r>
    <x v="99"/>
    <x v="47"/>
    <x v="31"/>
    <n v="100"/>
  </r>
  <r>
    <x v="99"/>
    <x v="47"/>
    <x v="32"/>
    <n v="100"/>
  </r>
  <r>
    <x v="99"/>
    <x v="47"/>
    <x v="33"/>
    <n v="100"/>
  </r>
  <r>
    <x v="99"/>
    <x v="47"/>
    <x v="34"/>
    <n v="100"/>
  </r>
  <r>
    <x v="99"/>
    <x v="47"/>
    <x v="35"/>
    <n v="100"/>
  </r>
  <r>
    <x v="99"/>
    <x v="47"/>
    <x v="36"/>
    <n v="100"/>
  </r>
  <r>
    <x v="99"/>
    <x v="47"/>
    <x v="37"/>
    <n v="100"/>
  </r>
  <r>
    <x v="99"/>
    <x v="47"/>
    <x v="38"/>
    <n v="100"/>
  </r>
  <r>
    <x v="99"/>
    <x v="47"/>
    <x v="39"/>
    <n v="100"/>
  </r>
  <r>
    <x v="99"/>
    <x v="47"/>
    <x v="40"/>
    <n v="100"/>
  </r>
  <r>
    <x v="99"/>
    <x v="47"/>
    <x v="41"/>
    <n v="100"/>
  </r>
  <r>
    <x v="99"/>
    <x v="47"/>
    <x v="42"/>
    <n v="100"/>
  </r>
  <r>
    <x v="99"/>
    <x v="47"/>
    <x v="43"/>
    <n v="100"/>
  </r>
  <r>
    <x v="99"/>
    <x v="47"/>
    <x v="44"/>
    <n v="100"/>
  </r>
  <r>
    <x v="99"/>
    <x v="47"/>
    <x v="45"/>
    <n v="100"/>
  </r>
  <r>
    <x v="99"/>
    <x v="47"/>
    <x v="46"/>
    <n v="100"/>
  </r>
  <r>
    <x v="99"/>
    <x v="47"/>
    <x v="47"/>
    <n v="100"/>
  </r>
  <r>
    <x v="99"/>
    <x v="47"/>
    <x v="48"/>
    <n v="100"/>
  </r>
  <r>
    <x v="99"/>
    <x v="47"/>
    <x v="49"/>
    <n v="100"/>
  </r>
  <r>
    <x v="99"/>
    <x v="47"/>
    <x v="50"/>
    <n v="100"/>
  </r>
  <r>
    <x v="99"/>
    <x v="47"/>
    <x v="51"/>
    <n v="100"/>
  </r>
  <r>
    <x v="99"/>
    <x v="47"/>
    <x v="52"/>
    <n v="100"/>
  </r>
  <r>
    <x v="99"/>
    <x v="47"/>
    <x v="53"/>
    <n v="100"/>
  </r>
  <r>
    <x v="99"/>
    <x v="47"/>
    <x v="54"/>
    <n v="100"/>
  </r>
  <r>
    <x v="99"/>
    <x v="47"/>
    <x v="55"/>
    <n v="100"/>
  </r>
  <r>
    <x v="99"/>
    <x v="47"/>
    <x v="56"/>
    <n v="100"/>
  </r>
  <r>
    <x v="99"/>
    <x v="47"/>
    <x v="57"/>
    <n v="100"/>
  </r>
  <r>
    <x v="99"/>
    <x v="47"/>
    <x v="58"/>
    <n v="100"/>
  </r>
  <r>
    <x v="99"/>
    <x v="47"/>
    <x v="59"/>
    <n v="100"/>
  </r>
  <r>
    <x v="99"/>
    <x v="47"/>
    <x v="60"/>
    <n v="100"/>
  </r>
  <r>
    <x v="99"/>
    <x v="47"/>
    <x v="61"/>
    <n v="100"/>
  </r>
  <r>
    <x v="99"/>
    <x v="47"/>
    <x v="62"/>
    <n v="100"/>
  </r>
  <r>
    <x v="99"/>
    <x v="47"/>
    <x v="63"/>
    <n v="100"/>
  </r>
  <r>
    <x v="99"/>
    <x v="47"/>
    <x v="64"/>
    <n v="100"/>
  </r>
  <r>
    <x v="99"/>
    <x v="47"/>
    <x v="65"/>
    <n v="100"/>
  </r>
  <r>
    <x v="99"/>
    <x v="47"/>
    <x v="66"/>
    <n v="100"/>
  </r>
  <r>
    <x v="99"/>
    <x v="47"/>
    <x v="67"/>
    <n v="100"/>
  </r>
  <r>
    <x v="99"/>
    <x v="47"/>
    <x v="68"/>
    <n v="100"/>
  </r>
  <r>
    <x v="99"/>
    <x v="47"/>
    <x v="69"/>
    <n v="100"/>
  </r>
  <r>
    <x v="99"/>
    <x v="47"/>
    <x v="70"/>
    <n v="100"/>
  </r>
  <r>
    <x v="99"/>
    <x v="47"/>
    <x v="71"/>
    <n v="100"/>
  </r>
  <r>
    <x v="99"/>
    <x v="47"/>
    <x v="72"/>
    <n v="100"/>
  </r>
  <r>
    <x v="100"/>
    <x v="48"/>
    <x v="0"/>
    <n v="78"/>
  </r>
  <r>
    <x v="100"/>
    <x v="48"/>
    <x v="1"/>
    <n v="77"/>
  </r>
  <r>
    <x v="100"/>
    <x v="48"/>
    <x v="2"/>
    <n v="61"/>
  </r>
  <r>
    <x v="100"/>
    <x v="48"/>
    <x v="3"/>
    <n v="68"/>
  </r>
  <r>
    <x v="100"/>
    <x v="48"/>
    <x v="4"/>
    <n v="68"/>
  </r>
  <r>
    <x v="100"/>
    <x v="48"/>
    <x v="5"/>
    <n v="75"/>
  </r>
  <r>
    <x v="100"/>
    <x v="48"/>
    <x v="6"/>
    <n v="90"/>
  </r>
  <r>
    <x v="100"/>
    <x v="48"/>
    <x v="7"/>
    <n v="83"/>
  </r>
  <r>
    <x v="100"/>
    <x v="48"/>
    <x v="8"/>
    <n v="93"/>
  </r>
  <r>
    <x v="100"/>
    <x v="48"/>
    <x v="9"/>
    <n v="94"/>
  </r>
  <r>
    <x v="100"/>
    <x v="48"/>
    <x v="10"/>
    <n v="94"/>
  </r>
  <r>
    <x v="100"/>
    <x v="48"/>
    <x v="11"/>
    <n v="96"/>
  </r>
  <r>
    <x v="100"/>
    <x v="48"/>
    <x v="12"/>
    <n v="77"/>
  </r>
  <r>
    <x v="100"/>
    <x v="48"/>
    <x v="13"/>
    <n v="74"/>
  </r>
  <r>
    <x v="100"/>
    <x v="48"/>
    <x v="14"/>
    <n v="73"/>
  </r>
  <r>
    <x v="100"/>
    <x v="48"/>
    <x v="15"/>
    <n v="78"/>
  </r>
  <r>
    <x v="100"/>
    <x v="48"/>
    <x v="16"/>
    <n v="83"/>
  </r>
  <r>
    <x v="100"/>
    <x v="48"/>
    <x v="17"/>
    <n v="85"/>
  </r>
  <r>
    <x v="100"/>
    <x v="48"/>
    <x v="18"/>
    <n v="99"/>
  </r>
  <r>
    <x v="100"/>
    <x v="48"/>
    <x v="19"/>
    <n v="98"/>
  </r>
  <r>
    <x v="100"/>
    <x v="48"/>
    <x v="20"/>
    <n v="100"/>
  </r>
  <r>
    <x v="100"/>
    <x v="48"/>
    <x v="21"/>
    <n v="78"/>
  </r>
  <r>
    <x v="100"/>
    <x v="48"/>
    <x v="22"/>
    <n v="94"/>
  </r>
  <r>
    <x v="100"/>
    <x v="48"/>
    <x v="23"/>
    <n v="77"/>
  </r>
  <r>
    <x v="100"/>
    <x v="48"/>
    <x v="24"/>
    <n v="90"/>
  </r>
  <r>
    <x v="100"/>
    <x v="48"/>
    <x v="25"/>
    <n v="97"/>
  </r>
  <r>
    <x v="100"/>
    <x v="48"/>
    <x v="26"/>
    <n v="97"/>
  </r>
  <r>
    <x v="100"/>
    <x v="48"/>
    <x v="27"/>
    <n v="95"/>
  </r>
  <r>
    <x v="100"/>
    <x v="48"/>
    <x v="28"/>
    <n v="101"/>
  </r>
  <r>
    <x v="100"/>
    <x v="48"/>
    <x v="29"/>
    <n v="101"/>
  </r>
  <r>
    <x v="100"/>
    <x v="48"/>
    <x v="30"/>
    <n v="101"/>
  </r>
  <r>
    <x v="100"/>
    <x v="48"/>
    <x v="31"/>
    <n v="101"/>
  </r>
  <r>
    <x v="100"/>
    <x v="48"/>
    <x v="32"/>
    <n v="101"/>
  </r>
  <r>
    <x v="100"/>
    <x v="48"/>
    <x v="33"/>
    <n v="101"/>
  </r>
  <r>
    <x v="100"/>
    <x v="48"/>
    <x v="34"/>
    <n v="101"/>
  </r>
  <r>
    <x v="100"/>
    <x v="48"/>
    <x v="35"/>
    <n v="101"/>
  </r>
  <r>
    <x v="100"/>
    <x v="48"/>
    <x v="36"/>
    <n v="101"/>
  </r>
  <r>
    <x v="100"/>
    <x v="48"/>
    <x v="37"/>
    <n v="101"/>
  </r>
  <r>
    <x v="100"/>
    <x v="48"/>
    <x v="38"/>
    <n v="101"/>
  </r>
  <r>
    <x v="100"/>
    <x v="48"/>
    <x v="39"/>
    <n v="101"/>
  </r>
  <r>
    <x v="100"/>
    <x v="48"/>
    <x v="40"/>
    <n v="101"/>
  </r>
  <r>
    <x v="100"/>
    <x v="48"/>
    <x v="41"/>
    <n v="101"/>
  </r>
  <r>
    <x v="100"/>
    <x v="48"/>
    <x v="42"/>
    <n v="101"/>
  </r>
  <r>
    <x v="100"/>
    <x v="48"/>
    <x v="43"/>
    <n v="101"/>
  </r>
  <r>
    <x v="100"/>
    <x v="48"/>
    <x v="44"/>
    <n v="101"/>
  </r>
  <r>
    <x v="100"/>
    <x v="48"/>
    <x v="45"/>
    <n v="101"/>
  </r>
  <r>
    <x v="100"/>
    <x v="48"/>
    <x v="46"/>
    <n v="101"/>
  </r>
  <r>
    <x v="100"/>
    <x v="48"/>
    <x v="47"/>
    <n v="101"/>
  </r>
  <r>
    <x v="100"/>
    <x v="48"/>
    <x v="48"/>
    <n v="101"/>
  </r>
  <r>
    <x v="100"/>
    <x v="48"/>
    <x v="49"/>
    <n v="101"/>
  </r>
  <r>
    <x v="100"/>
    <x v="48"/>
    <x v="50"/>
    <n v="101"/>
  </r>
  <r>
    <x v="100"/>
    <x v="48"/>
    <x v="51"/>
    <n v="101"/>
  </r>
  <r>
    <x v="100"/>
    <x v="48"/>
    <x v="52"/>
    <n v="101"/>
  </r>
  <r>
    <x v="100"/>
    <x v="48"/>
    <x v="53"/>
    <n v="101"/>
  </r>
  <r>
    <x v="100"/>
    <x v="48"/>
    <x v="54"/>
    <n v="101"/>
  </r>
  <r>
    <x v="100"/>
    <x v="48"/>
    <x v="55"/>
    <n v="101"/>
  </r>
  <r>
    <x v="100"/>
    <x v="48"/>
    <x v="56"/>
    <n v="101"/>
  </r>
  <r>
    <x v="100"/>
    <x v="48"/>
    <x v="57"/>
    <n v="101"/>
  </r>
  <r>
    <x v="100"/>
    <x v="48"/>
    <x v="58"/>
    <n v="101"/>
  </r>
  <r>
    <x v="100"/>
    <x v="48"/>
    <x v="59"/>
    <n v="101"/>
  </r>
  <r>
    <x v="100"/>
    <x v="48"/>
    <x v="60"/>
    <n v="101"/>
  </r>
  <r>
    <x v="100"/>
    <x v="48"/>
    <x v="61"/>
    <n v="101"/>
  </r>
  <r>
    <x v="100"/>
    <x v="48"/>
    <x v="62"/>
    <n v="101"/>
  </r>
  <r>
    <x v="100"/>
    <x v="48"/>
    <x v="63"/>
    <n v="101"/>
  </r>
  <r>
    <x v="100"/>
    <x v="48"/>
    <x v="64"/>
    <n v="101"/>
  </r>
  <r>
    <x v="100"/>
    <x v="48"/>
    <x v="65"/>
    <n v="101"/>
  </r>
  <r>
    <x v="100"/>
    <x v="48"/>
    <x v="66"/>
    <n v="101"/>
  </r>
  <r>
    <x v="100"/>
    <x v="48"/>
    <x v="67"/>
    <n v="101"/>
  </r>
  <r>
    <x v="100"/>
    <x v="48"/>
    <x v="68"/>
    <n v="101"/>
  </r>
  <r>
    <x v="100"/>
    <x v="48"/>
    <x v="69"/>
    <n v="101"/>
  </r>
  <r>
    <x v="100"/>
    <x v="48"/>
    <x v="70"/>
    <n v="101"/>
  </r>
  <r>
    <x v="100"/>
    <x v="48"/>
    <x v="71"/>
    <n v="101"/>
  </r>
  <r>
    <x v="100"/>
    <x v="48"/>
    <x v="72"/>
    <n v="101"/>
  </r>
  <r>
    <x v="101"/>
    <x v="48"/>
    <x v="0"/>
    <n v="13"/>
  </r>
  <r>
    <x v="101"/>
    <x v="48"/>
    <x v="1"/>
    <n v="14"/>
  </r>
  <r>
    <x v="101"/>
    <x v="48"/>
    <x v="2"/>
    <n v="82"/>
  </r>
  <r>
    <x v="101"/>
    <x v="48"/>
    <x v="3"/>
    <n v="54"/>
  </r>
  <r>
    <x v="101"/>
    <x v="48"/>
    <x v="4"/>
    <n v="55"/>
  </r>
  <r>
    <x v="101"/>
    <x v="48"/>
    <x v="5"/>
    <n v="53"/>
  </r>
  <r>
    <x v="101"/>
    <x v="48"/>
    <x v="6"/>
    <n v="71"/>
  </r>
  <r>
    <x v="101"/>
    <x v="48"/>
    <x v="7"/>
    <n v="65"/>
  </r>
  <r>
    <x v="101"/>
    <x v="48"/>
    <x v="8"/>
    <n v="64"/>
  </r>
  <r>
    <x v="101"/>
    <x v="48"/>
    <x v="9"/>
    <n v="65"/>
  </r>
  <r>
    <x v="101"/>
    <x v="48"/>
    <x v="10"/>
    <n v="61"/>
  </r>
  <r>
    <x v="101"/>
    <x v="48"/>
    <x v="11"/>
    <n v="69"/>
  </r>
  <r>
    <x v="101"/>
    <x v="48"/>
    <x v="12"/>
    <n v="73"/>
  </r>
  <r>
    <x v="101"/>
    <x v="48"/>
    <x v="13"/>
    <n v="70"/>
  </r>
  <r>
    <x v="101"/>
    <x v="48"/>
    <x v="14"/>
    <n v="92"/>
  </r>
  <r>
    <x v="101"/>
    <x v="48"/>
    <x v="15"/>
    <n v="90"/>
  </r>
  <r>
    <x v="101"/>
    <x v="48"/>
    <x v="16"/>
    <n v="94"/>
  </r>
  <r>
    <x v="101"/>
    <x v="48"/>
    <x v="17"/>
    <n v="95"/>
  </r>
  <r>
    <x v="101"/>
    <x v="48"/>
    <x v="18"/>
    <n v="92"/>
  </r>
  <r>
    <x v="101"/>
    <x v="48"/>
    <x v="19"/>
    <n v="92"/>
  </r>
  <r>
    <x v="101"/>
    <x v="48"/>
    <x v="20"/>
    <n v="95"/>
  </r>
  <r>
    <x v="101"/>
    <x v="48"/>
    <x v="21"/>
    <n v="98"/>
  </r>
  <r>
    <x v="101"/>
    <x v="48"/>
    <x v="22"/>
    <n v="83"/>
  </r>
  <r>
    <x v="101"/>
    <x v="48"/>
    <x v="23"/>
    <n v="94"/>
  </r>
  <r>
    <x v="101"/>
    <x v="48"/>
    <x v="24"/>
    <n v="90"/>
  </r>
  <r>
    <x v="101"/>
    <x v="48"/>
    <x v="25"/>
    <n v="97"/>
  </r>
  <r>
    <x v="101"/>
    <x v="48"/>
    <x v="26"/>
    <n v="97"/>
  </r>
  <r>
    <x v="101"/>
    <x v="48"/>
    <x v="27"/>
    <n v="95"/>
  </r>
  <r>
    <x v="101"/>
    <x v="48"/>
    <x v="28"/>
    <n v="101"/>
  </r>
  <r>
    <x v="101"/>
    <x v="48"/>
    <x v="29"/>
    <n v="101"/>
  </r>
  <r>
    <x v="101"/>
    <x v="48"/>
    <x v="30"/>
    <n v="101"/>
  </r>
  <r>
    <x v="101"/>
    <x v="48"/>
    <x v="31"/>
    <n v="101"/>
  </r>
  <r>
    <x v="101"/>
    <x v="48"/>
    <x v="32"/>
    <n v="101"/>
  </r>
  <r>
    <x v="101"/>
    <x v="48"/>
    <x v="33"/>
    <n v="101"/>
  </r>
  <r>
    <x v="101"/>
    <x v="48"/>
    <x v="34"/>
    <n v="101"/>
  </r>
  <r>
    <x v="101"/>
    <x v="48"/>
    <x v="35"/>
    <n v="101"/>
  </r>
  <r>
    <x v="101"/>
    <x v="48"/>
    <x v="36"/>
    <n v="101"/>
  </r>
  <r>
    <x v="101"/>
    <x v="48"/>
    <x v="37"/>
    <n v="101"/>
  </r>
  <r>
    <x v="101"/>
    <x v="48"/>
    <x v="38"/>
    <n v="101"/>
  </r>
  <r>
    <x v="101"/>
    <x v="48"/>
    <x v="39"/>
    <n v="101"/>
  </r>
  <r>
    <x v="101"/>
    <x v="48"/>
    <x v="40"/>
    <n v="101"/>
  </r>
  <r>
    <x v="101"/>
    <x v="48"/>
    <x v="41"/>
    <n v="101"/>
  </r>
  <r>
    <x v="101"/>
    <x v="48"/>
    <x v="42"/>
    <n v="101"/>
  </r>
  <r>
    <x v="101"/>
    <x v="48"/>
    <x v="43"/>
    <n v="101"/>
  </r>
  <r>
    <x v="101"/>
    <x v="48"/>
    <x v="44"/>
    <n v="101"/>
  </r>
  <r>
    <x v="101"/>
    <x v="48"/>
    <x v="45"/>
    <n v="101"/>
  </r>
  <r>
    <x v="101"/>
    <x v="48"/>
    <x v="46"/>
    <n v="101"/>
  </r>
  <r>
    <x v="101"/>
    <x v="48"/>
    <x v="47"/>
    <n v="101"/>
  </r>
  <r>
    <x v="101"/>
    <x v="48"/>
    <x v="48"/>
    <n v="101"/>
  </r>
  <r>
    <x v="101"/>
    <x v="48"/>
    <x v="49"/>
    <n v="101"/>
  </r>
  <r>
    <x v="101"/>
    <x v="48"/>
    <x v="50"/>
    <n v="101"/>
  </r>
  <r>
    <x v="101"/>
    <x v="48"/>
    <x v="51"/>
    <n v="101"/>
  </r>
  <r>
    <x v="101"/>
    <x v="48"/>
    <x v="52"/>
    <n v="101"/>
  </r>
  <r>
    <x v="101"/>
    <x v="48"/>
    <x v="53"/>
    <n v="101"/>
  </r>
  <r>
    <x v="101"/>
    <x v="48"/>
    <x v="54"/>
    <n v="101"/>
  </r>
  <r>
    <x v="101"/>
    <x v="48"/>
    <x v="55"/>
    <n v="101"/>
  </r>
  <r>
    <x v="101"/>
    <x v="48"/>
    <x v="56"/>
    <n v="101"/>
  </r>
  <r>
    <x v="101"/>
    <x v="48"/>
    <x v="57"/>
    <n v="101"/>
  </r>
  <r>
    <x v="101"/>
    <x v="48"/>
    <x v="58"/>
    <n v="101"/>
  </r>
  <r>
    <x v="101"/>
    <x v="48"/>
    <x v="59"/>
    <n v="101"/>
  </r>
  <r>
    <x v="101"/>
    <x v="48"/>
    <x v="60"/>
    <n v="101"/>
  </r>
  <r>
    <x v="101"/>
    <x v="48"/>
    <x v="61"/>
    <n v="101"/>
  </r>
  <r>
    <x v="101"/>
    <x v="48"/>
    <x v="62"/>
    <n v="101"/>
  </r>
  <r>
    <x v="101"/>
    <x v="48"/>
    <x v="63"/>
    <n v="101"/>
  </r>
  <r>
    <x v="101"/>
    <x v="48"/>
    <x v="64"/>
    <n v="101"/>
  </r>
  <r>
    <x v="101"/>
    <x v="48"/>
    <x v="65"/>
    <n v="101"/>
  </r>
  <r>
    <x v="101"/>
    <x v="48"/>
    <x v="66"/>
    <n v="101"/>
  </r>
  <r>
    <x v="101"/>
    <x v="48"/>
    <x v="67"/>
    <n v="101"/>
  </r>
  <r>
    <x v="101"/>
    <x v="48"/>
    <x v="68"/>
    <n v="101"/>
  </r>
  <r>
    <x v="101"/>
    <x v="48"/>
    <x v="69"/>
    <n v="101"/>
  </r>
  <r>
    <x v="101"/>
    <x v="48"/>
    <x v="70"/>
    <n v="101"/>
  </r>
  <r>
    <x v="101"/>
    <x v="48"/>
    <x v="71"/>
    <n v="101"/>
  </r>
  <r>
    <x v="101"/>
    <x v="48"/>
    <x v="72"/>
    <n v="101"/>
  </r>
  <r>
    <x v="102"/>
    <x v="48"/>
    <x v="0"/>
    <n v="78"/>
  </r>
  <r>
    <x v="102"/>
    <x v="48"/>
    <x v="1"/>
    <n v="77"/>
  </r>
  <r>
    <x v="102"/>
    <x v="48"/>
    <x v="2"/>
    <n v="110"/>
  </r>
  <r>
    <x v="102"/>
    <x v="48"/>
    <x v="3"/>
    <n v="110"/>
  </r>
  <r>
    <x v="102"/>
    <x v="48"/>
    <x v="4"/>
    <n v="110"/>
  </r>
  <r>
    <x v="102"/>
    <x v="48"/>
    <x v="5"/>
    <n v="111"/>
  </r>
  <r>
    <x v="102"/>
    <x v="48"/>
    <x v="6"/>
    <n v="103"/>
  </r>
  <r>
    <x v="102"/>
    <x v="48"/>
    <x v="7"/>
    <n v="102"/>
  </r>
  <r>
    <x v="102"/>
    <x v="48"/>
    <x v="8"/>
    <n v="102"/>
  </r>
  <r>
    <x v="102"/>
    <x v="48"/>
    <x v="9"/>
    <n v="103"/>
  </r>
  <r>
    <x v="102"/>
    <x v="48"/>
    <x v="10"/>
    <n v="99"/>
  </r>
  <r>
    <x v="102"/>
    <x v="48"/>
    <x v="11"/>
    <n v="103"/>
  </r>
  <r>
    <x v="102"/>
    <x v="48"/>
    <x v="12"/>
    <n v="107"/>
  </r>
  <r>
    <x v="102"/>
    <x v="48"/>
    <x v="13"/>
    <n v="107"/>
  </r>
  <r>
    <x v="102"/>
    <x v="48"/>
    <x v="14"/>
    <n v="105"/>
  </r>
  <r>
    <x v="102"/>
    <x v="48"/>
    <x v="15"/>
    <n v="109"/>
  </r>
  <r>
    <x v="102"/>
    <x v="48"/>
    <x v="16"/>
    <n v="102"/>
  </r>
  <r>
    <x v="102"/>
    <x v="48"/>
    <x v="17"/>
    <n v="95"/>
  </r>
  <r>
    <x v="102"/>
    <x v="48"/>
    <x v="18"/>
    <n v="92"/>
  </r>
  <r>
    <x v="102"/>
    <x v="48"/>
    <x v="19"/>
    <n v="92"/>
  </r>
  <r>
    <x v="102"/>
    <x v="48"/>
    <x v="20"/>
    <n v="81"/>
  </r>
  <r>
    <x v="102"/>
    <x v="48"/>
    <x v="21"/>
    <n v="85"/>
  </r>
  <r>
    <x v="102"/>
    <x v="48"/>
    <x v="22"/>
    <n v="71"/>
  </r>
  <r>
    <x v="102"/>
    <x v="48"/>
    <x v="23"/>
    <n v="80"/>
  </r>
  <r>
    <x v="102"/>
    <x v="48"/>
    <x v="24"/>
    <n v="96"/>
  </r>
  <r>
    <x v="102"/>
    <x v="48"/>
    <x v="25"/>
    <n v="97"/>
  </r>
  <r>
    <x v="102"/>
    <x v="48"/>
    <x v="26"/>
    <n v="97"/>
  </r>
  <r>
    <x v="102"/>
    <x v="48"/>
    <x v="27"/>
    <n v="105"/>
  </r>
  <r>
    <x v="102"/>
    <x v="48"/>
    <x v="28"/>
    <n v="101"/>
  </r>
  <r>
    <x v="102"/>
    <x v="48"/>
    <x v="29"/>
    <n v="101"/>
  </r>
  <r>
    <x v="102"/>
    <x v="48"/>
    <x v="30"/>
    <n v="101"/>
  </r>
  <r>
    <x v="102"/>
    <x v="48"/>
    <x v="31"/>
    <n v="101"/>
  </r>
  <r>
    <x v="102"/>
    <x v="48"/>
    <x v="32"/>
    <n v="101"/>
  </r>
  <r>
    <x v="102"/>
    <x v="48"/>
    <x v="33"/>
    <n v="101"/>
  </r>
  <r>
    <x v="102"/>
    <x v="48"/>
    <x v="34"/>
    <n v="101"/>
  </r>
  <r>
    <x v="102"/>
    <x v="48"/>
    <x v="35"/>
    <n v="101"/>
  </r>
  <r>
    <x v="102"/>
    <x v="48"/>
    <x v="36"/>
    <n v="101"/>
  </r>
  <r>
    <x v="102"/>
    <x v="48"/>
    <x v="37"/>
    <n v="101"/>
  </r>
  <r>
    <x v="102"/>
    <x v="48"/>
    <x v="38"/>
    <n v="101"/>
  </r>
  <r>
    <x v="102"/>
    <x v="48"/>
    <x v="39"/>
    <n v="101"/>
  </r>
  <r>
    <x v="102"/>
    <x v="48"/>
    <x v="40"/>
    <n v="101"/>
  </r>
  <r>
    <x v="102"/>
    <x v="48"/>
    <x v="41"/>
    <n v="101"/>
  </r>
  <r>
    <x v="102"/>
    <x v="48"/>
    <x v="42"/>
    <n v="101"/>
  </r>
  <r>
    <x v="102"/>
    <x v="48"/>
    <x v="43"/>
    <n v="101"/>
  </r>
  <r>
    <x v="102"/>
    <x v="48"/>
    <x v="44"/>
    <n v="101"/>
  </r>
  <r>
    <x v="102"/>
    <x v="48"/>
    <x v="45"/>
    <n v="101"/>
  </r>
  <r>
    <x v="102"/>
    <x v="48"/>
    <x v="46"/>
    <n v="101"/>
  </r>
  <r>
    <x v="102"/>
    <x v="48"/>
    <x v="47"/>
    <n v="101"/>
  </r>
  <r>
    <x v="102"/>
    <x v="48"/>
    <x v="48"/>
    <n v="101"/>
  </r>
  <r>
    <x v="102"/>
    <x v="48"/>
    <x v="49"/>
    <n v="101"/>
  </r>
  <r>
    <x v="102"/>
    <x v="48"/>
    <x v="50"/>
    <n v="101"/>
  </r>
  <r>
    <x v="102"/>
    <x v="48"/>
    <x v="51"/>
    <n v="101"/>
  </r>
  <r>
    <x v="102"/>
    <x v="48"/>
    <x v="52"/>
    <n v="101"/>
  </r>
  <r>
    <x v="102"/>
    <x v="48"/>
    <x v="53"/>
    <n v="101"/>
  </r>
  <r>
    <x v="102"/>
    <x v="48"/>
    <x v="54"/>
    <n v="101"/>
  </r>
  <r>
    <x v="102"/>
    <x v="48"/>
    <x v="55"/>
    <n v="101"/>
  </r>
  <r>
    <x v="102"/>
    <x v="48"/>
    <x v="56"/>
    <n v="101"/>
  </r>
  <r>
    <x v="102"/>
    <x v="48"/>
    <x v="57"/>
    <n v="101"/>
  </r>
  <r>
    <x v="102"/>
    <x v="48"/>
    <x v="58"/>
    <n v="101"/>
  </r>
  <r>
    <x v="102"/>
    <x v="48"/>
    <x v="59"/>
    <n v="101"/>
  </r>
  <r>
    <x v="102"/>
    <x v="48"/>
    <x v="60"/>
    <n v="101"/>
  </r>
  <r>
    <x v="102"/>
    <x v="48"/>
    <x v="61"/>
    <n v="101"/>
  </r>
  <r>
    <x v="102"/>
    <x v="48"/>
    <x v="62"/>
    <n v="101"/>
  </r>
  <r>
    <x v="102"/>
    <x v="48"/>
    <x v="63"/>
    <n v="101"/>
  </r>
  <r>
    <x v="102"/>
    <x v="48"/>
    <x v="64"/>
    <n v="101"/>
  </r>
  <r>
    <x v="102"/>
    <x v="48"/>
    <x v="65"/>
    <n v="101"/>
  </r>
  <r>
    <x v="102"/>
    <x v="48"/>
    <x v="66"/>
    <n v="101"/>
  </r>
  <r>
    <x v="102"/>
    <x v="48"/>
    <x v="67"/>
    <n v="101"/>
  </r>
  <r>
    <x v="102"/>
    <x v="48"/>
    <x v="68"/>
    <n v="101"/>
  </r>
  <r>
    <x v="102"/>
    <x v="48"/>
    <x v="69"/>
    <n v="101"/>
  </r>
  <r>
    <x v="102"/>
    <x v="48"/>
    <x v="70"/>
    <n v="101"/>
  </r>
  <r>
    <x v="102"/>
    <x v="48"/>
    <x v="71"/>
    <n v="101"/>
  </r>
  <r>
    <x v="102"/>
    <x v="48"/>
    <x v="72"/>
    <n v="101"/>
  </r>
  <r>
    <x v="103"/>
    <x v="49"/>
    <x v="0"/>
    <n v="65"/>
  </r>
  <r>
    <x v="103"/>
    <x v="49"/>
    <x v="1"/>
    <n v="62"/>
  </r>
  <r>
    <x v="103"/>
    <x v="49"/>
    <x v="2"/>
    <n v="82"/>
  </r>
  <r>
    <x v="103"/>
    <x v="49"/>
    <x v="3"/>
    <n v="89"/>
  </r>
  <r>
    <x v="103"/>
    <x v="49"/>
    <x v="4"/>
    <n v="89"/>
  </r>
  <r>
    <x v="103"/>
    <x v="49"/>
    <x v="5"/>
    <n v="93"/>
  </r>
  <r>
    <x v="103"/>
    <x v="49"/>
    <x v="6"/>
    <n v="82"/>
  </r>
  <r>
    <x v="103"/>
    <x v="49"/>
    <x v="7"/>
    <n v="86"/>
  </r>
  <r>
    <x v="103"/>
    <x v="49"/>
    <x v="8"/>
    <n v="85"/>
  </r>
  <r>
    <x v="103"/>
    <x v="49"/>
    <x v="9"/>
    <n v="86"/>
  </r>
  <r>
    <x v="103"/>
    <x v="49"/>
    <x v="10"/>
    <n v="88"/>
  </r>
  <r>
    <x v="103"/>
    <x v="49"/>
    <x v="11"/>
    <n v="85"/>
  </r>
  <r>
    <x v="103"/>
    <x v="49"/>
    <x v="12"/>
    <n v="87"/>
  </r>
  <r>
    <x v="103"/>
    <x v="49"/>
    <x v="13"/>
    <n v="93"/>
  </r>
  <r>
    <x v="103"/>
    <x v="49"/>
    <x v="14"/>
    <n v="95"/>
  </r>
  <r>
    <x v="103"/>
    <x v="49"/>
    <x v="15"/>
    <n v="93"/>
  </r>
  <r>
    <x v="103"/>
    <x v="49"/>
    <x v="16"/>
    <n v="97"/>
  </r>
  <r>
    <x v="103"/>
    <x v="49"/>
    <x v="17"/>
    <n v="99"/>
  </r>
  <r>
    <x v="103"/>
    <x v="49"/>
    <x v="18"/>
    <n v="106"/>
  </r>
  <r>
    <x v="103"/>
    <x v="49"/>
    <x v="19"/>
    <n v="105"/>
  </r>
  <r>
    <x v="103"/>
    <x v="49"/>
    <x v="20"/>
    <n v="105"/>
  </r>
  <r>
    <x v="103"/>
    <x v="49"/>
    <x v="21"/>
    <n v="107"/>
  </r>
  <r>
    <x v="103"/>
    <x v="49"/>
    <x v="22"/>
    <n v="98"/>
  </r>
  <r>
    <x v="103"/>
    <x v="49"/>
    <x v="23"/>
    <n v="106"/>
  </r>
  <r>
    <x v="103"/>
    <x v="49"/>
    <x v="24"/>
    <n v="96"/>
  </r>
  <r>
    <x v="103"/>
    <x v="49"/>
    <x v="25"/>
    <n v="102"/>
  </r>
  <r>
    <x v="103"/>
    <x v="49"/>
    <x v="26"/>
    <n v="103"/>
  </r>
  <r>
    <x v="103"/>
    <x v="49"/>
    <x v="27"/>
    <n v="95"/>
  </r>
  <r>
    <x v="103"/>
    <x v="49"/>
    <x v="28"/>
    <n v="104"/>
  </r>
  <r>
    <x v="103"/>
    <x v="49"/>
    <x v="29"/>
    <n v="104"/>
  </r>
  <r>
    <x v="103"/>
    <x v="49"/>
    <x v="30"/>
    <n v="104"/>
  </r>
  <r>
    <x v="103"/>
    <x v="49"/>
    <x v="31"/>
    <n v="104"/>
  </r>
  <r>
    <x v="103"/>
    <x v="49"/>
    <x v="32"/>
    <n v="104"/>
  </r>
  <r>
    <x v="103"/>
    <x v="49"/>
    <x v="33"/>
    <n v="104"/>
  </r>
  <r>
    <x v="103"/>
    <x v="49"/>
    <x v="34"/>
    <n v="104"/>
  </r>
  <r>
    <x v="103"/>
    <x v="49"/>
    <x v="35"/>
    <n v="104"/>
  </r>
  <r>
    <x v="103"/>
    <x v="49"/>
    <x v="36"/>
    <n v="104"/>
  </r>
  <r>
    <x v="103"/>
    <x v="49"/>
    <x v="37"/>
    <n v="104"/>
  </r>
  <r>
    <x v="103"/>
    <x v="49"/>
    <x v="38"/>
    <n v="104"/>
  </r>
  <r>
    <x v="103"/>
    <x v="49"/>
    <x v="39"/>
    <n v="104"/>
  </r>
  <r>
    <x v="103"/>
    <x v="49"/>
    <x v="40"/>
    <n v="104"/>
  </r>
  <r>
    <x v="103"/>
    <x v="49"/>
    <x v="41"/>
    <n v="104"/>
  </r>
  <r>
    <x v="103"/>
    <x v="49"/>
    <x v="42"/>
    <n v="104"/>
  </r>
  <r>
    <x v="103"/>
    <x v="49"/>
    <x v="43"/>
    <n v="104"/>
  </r>
  <r>
    <x v="103"/>
    <x v="49"/>
    <x v="44"/>
    <n v="104"/>
  </r>
  <r>
    <x v="103"/>
    <x v="49"/>
    <x v="45"/>
    <n v="104"/>
  </r>
  <r>
    <x v="103"/>
    <x v="49"/>
    <x v="46"/>
    <n v="104"/>
  </r>
  <r>
    <x v="103"/>
    <x v="49"/>
    <x v="47"/>
    <n v="104"/>
  </r>
  <r>
    <x v="103"/>
    <x v="49"/>
    <x v="48"/>
    <n v="104"/>
  </r>
  <r>
    <x v="103"/>
    <x v="49"/>
    <x v="49"/>
    <n v="104"/>
  </r>
  <r>
    <x v="103"/>
    <x v="49"/>
    <x v="50"/>
    <n v="104"/>
  </r>
  <r>
    <x v="103"/>
    <x v="49"/>
    <x v="51"/>
    <n v="104"/>
  </r>
  <r>
    <x v="103"/>
    <x v="49"/>
    <x v="52"/>
    <n v="104"/>
  </r>
  <r>
    <x v="103"/>
    <x v="49"/>
    <x v="53"/>
    <n v="104"/>
  </r>
  <r>
    <x v="103"/>
    <x v="49"/>
    <x v="54"/>
    <n v="104"/>
  </r>
  <r>
    <x v="103"/>
    <x v="49"/>
    <x v="55"/>
    <n v="104"/>
  </r>
  <r>
    <x v="103"/>
    <x v="49"/>
    <x v="56"/>
    <n v="104"/>
  </r>
  <r>
    <x v="103"/>
    <x v="49"/>
    <x v="57"/>
    <n v="104"/>
  </r>
  <r>
    <x v="103"/>
    <x v="49"/>
    <x v="58"/>
    <n v="104"/>
  </r>
  <r>
    <x v="103"/>
    <x v="49"/>
    <x v="59"/>
    <n v="104"/>
  </r>
  <r>
    <x v="103"/>
    <x v="49"/>
    <x v="60"/>
    <n v="104"/>
  </r>
  <r>
    <x v="103"/>
    <x v="49"/>
    <x v="61"/>
    <n v="104"/>
  </r>
  <r>
    <x v="103"/>
    <x v="49"/>
    <x v="62"/>
    <n v="104"/>
  </r>
  <r>
    <x v="103"/>
    <x v="49"/>
    <x v="63"/>
    <n v="104"/>
  </r>
  <r>
    <x v="103"/>
    <x v="49"/>
    <x v="64"/>
    <n v="104"/>
  </r>
  <r>
    <x v="103"/>
    <x v="49"/>
    <x v="65"/>
    <n v="104"/>
  </r>
  <r>
    <x v="103"/>
    <x v="49"/>
    <x v="66"/>
    <n v="104"/>
  </r>
  <r>
    <x v="103"/>
    <x v="49"/>
    <x v="67"/>
    <n v="104"/>
  </r>
  <r>
    <x v="103"/>
    <x v="49"/>
    <x v="68"/>
    <n v="104"/>
  </r>
  <r>
    <x v="103"/>
    <x v="49"/>
    <x v="69"/>
    <n v="104"/>
  </r>
  <r>
    <x v="103"/>
    <x v="49"/>
    <x v="70"/>
    <n v="104"/>
  </r>
  <r>
    <x v="103"/>
    <x v="49"/>
    <x v="71"/>
    <n v="104"/>
  </r>
  <r>
    <x v="103"/>
    <x v="49"/>
    <x v="72"/>
    <n v="104"/>
  </r>
  <r>
    <x v="104"/>
    <x v="49"/>
    <x v="0"/>
    <n v="13"/>
  </r>
  <r>
    <x v="104"/>
    <x v="49"/>
    <x v="1"/>
    <n v="14"/>
  </r>
  <r>
    <x v="104"/>
    <x v="49"/>
    <x v="2"/>
    <n v="24"/>
  </r>
  <r>
    <x v="104"/>
    <x v="49"/>
    <x v="3"/>
    <n v="9"/>
  </r>
  <r>
    <x v="104"/>
    <x v="49"/>
    <x v="4"/>
    <n v="9"/>
  </r>
  <r>
    <x v="104"/>
    <x v="49"/>
    <x v="5"/>
    <n v="23"/>
  </r>
  <r>
    <x v="104"/>
    <x v="49"/>
    <x v="6"/>
    <n v="16"/>
  </r>
  <r>
    <x v="104"/>
    <x v="49"/>
    <x v="7"/>
    <n v="20"/>
  </r>
  <r>
    <x v="104"/>
    <x v="49"/>
    <x v="8"/>
    <n v="21"/>
  </r>
  <r>
    <x v="104"/>
    <x v="49"/>
    <x v="9"/>
    <n v="21"/>
  </r>
  <r>
    <x v="104"/>
    <x v="49"/>
    <x v="10"/>
    <n v="23"/>
  </r>
  <r>
    <x v="104"/>
    <x v="49"/>
    <x v="11"/>
    <n v="29"/>
  </r>
  <r>
    <x v="104"/>
    <x v="49"/>
    <x v="12"/>
    <n v="51"/>
  </r>
  <r>
    <x v="104"/>
    <x v="49"/>
    <x v="13"/>
    <n v="59"/>
  </r>
  <r>
    <x v="104"/>
    <x v="49"/>
    <x v="14"/>
    <n v="81"/>
  </r>
  <r>
    <x v="104"/>
    <x v="49"/>
    <x v="15"/>
    <n v="84"/>
  </r>
  <r>
    <x v="104"/>
    <x v="49"/>
    <x v="16"/>
    <n v="72"/>
  </r>
  <r>
    <x v="104"/>
    <x v="49"/>
    <x v="17"/>
    <n v="73"/>
  </r>
  <r>
    <x v="104"/>
    <x v="49"/>
    <x v="18"/>
    <n v="84"/>
  </r>
  <r>
    <x v="104"/>
    <x v="49"/>
    <x v="19"/>
    <n v="87"/>
  </r>
  <r>
    <x v="104"/>
    <x v="49"/>
    <x v="20"/>
    <n v="89"/>
  </r>
  <r>
    <x v="104"/>
    <x v="49"/>
    <x v="21"/>
    <n v="94"/>
  </r>
  <r>
    <x v="104"/>
    <x v="49"/>
    <x v="22"/>
    <n v="95"/>
  </r>
  <r>
    <x v="104"/>
    <x v="49"/>
    <x v="23"/>
    <n v="100"/>
  </r>
  <r>
    <x v="104"/>
    <x v="49"/>
    <x v="24"/>
    <n v="100"/>
  </r>
  <r>
    <x v="104"/>
    <x v="49"/>
    <x v="25"/>
    <n v="102"/>
  </r>
  <r>
    <x v="104"/>
    <x v="49"/>
    <x v="26"/>
    <n v="103"/>
  </r>
  <r>
    <x v="104"/>
    <x v="49"/>
    <x v="27"/>
    <n v="101"/>
  </r>
  <r>
    <x v="104"/>
    <x v="49"/>
    <x v="28"/>
    <n v="104"/>
  </r>
  <r>
    <x v="104"/>
    <x v="49"/>
    <x v="29"/>
    <n v="104"/>
  </r>
  <r>
    <x v="104"/>
    <x v="49"/>
    <x v="30"/>
    <n v="104"/>
  </r>
  <r>
    <x v="104"/>
    <x v="49"/>
    <x v="31"/>
    <n v="104"/>
  </r>
  <r>
    <x v="104"/>
    <x v="49"/>
    <x v="32"/>
    <n v="104"/>
  </r>
  <r>
    <x v="104"/>
    <x v="49"/>
    <x v="33"/>
    <n v="104"/>
  </r>
  <r>
    <x v="104"/>
    <x v="49"/>
    <x v="34"/>
    <n v="104"/>
  </r>
  <r>
    <x v="104"/>
    <x v="49"/>
    <x v="35"/>
    <n v="104"/>
  </r>
  <r>
    <x v="104"/>
    <x v="49"/>
    <x v="36"/>
    <n v="104"/>
  </r>
  <r>
    <x v="104"/>
    <x v="49"/>
    <x v="37"/>
    <n v="104"/>
  </r>
  <r>
    <x v="104"/>
    <x v="49"/>
    <x v="38"/>
    <n v="104"/>
  </r>
  <r>
    <x v="104"/>
    <x v="49"/>
    <x v="39"/>
    <n v="104"/>
  </r>
  <r>
    <x v="104"/>
    <x v="49"/>
    <x v="40"/>
    <n v="104"/>
  </r>
  <r>
    <x v="104"/>
    <x v="49"/>
    <x v="41"/>
    <n v="104"/>
  </r>
  <r>
    <x v="104"/>
    <x v="49"/>
    <x v="42"/>
    <n v="104"/>
  </r>
  <r>
    <x v="104"/>
    <x v="49"/>
    <x v="43"/>
    <n v="104"/>
  </r>
  <r>
    <x v="104"/>
    <x v="49"/>
    <x v="44"/>
    <n v="104"/>
  </r>
  <r>
    <x v="104"/>
    <x v="49"/>
    <x v="45"/>
    <n v="104"/>
  </r>
  <r>
    <x v="104"/>
    <x v="49"/>
    <x v="46"/>
    <n v="104"/>
  </r>
  <r>
    <x v="104"/>
    <x v="49"/>
    <x v="47"/>
    <n v="104"/>
  </r>
  <r>
    <x v="104"/>
    <x v="49"/>
    <x v="48"/>
    <n v="104"/>
  </r>
  <r>
    <x v="104"/>
    <x v="49"/>
    <x v="49"/>
    <n v="104"/>
  </r>
  <r>
    <x v="104"/>
    <x v="49"/>
    <x v="50"/>
    <n v="104"/>
  </r>
  <r>
    <x v="104"/>
    <x v="49"/>
    <x v="51"/>
    <n v="104"/>
  </r>
  <r>
    <x v="104"/>
    <x v="49"/>
    <x v="52"/>
    <n v="104"/>
  </r>
  <r>
    <x v="104"/>
    <x v="49"/>
    <x v="53"/>
    <n v="104"/>
  </r>
  <r>
    <x v="104"/>
    <x v="49"/>
    <x v="54"/>
    <n v="104"/>
  </r>
  <r>
    <x v="104"/>
    <x v="49"/>
    <x v="55"/>
    <n v="104"/>
  </r>
  <r>
    <x v="104"/>
    <x v="49"/>
    <x v="56"/>
    <n v="104"/>
  </r>
  <r>
    <x v="104"/>
    <x v="49"/>
    <x v="57"/>
    <n v="104"/>
  </r>
  <r>
    <x v="104"/>
    <x v="49"/>
    <x v="58"/>
    <n v="104"/>
  </r>
  <r>
    <x v="104"/>
    <x v="49"/>
    <x v="59"/>
    <n v="104"/>
  </r>
  <r>
    <x v="104"/>
    <x v="49"/>
    <x v="60"/>
    <n v="104"/>
  </r>
  <r>
    <x v="104"/>
    <x v="49"/>
    <x v="61"/>
    <n v="104"/>
  </r>
  <r>
    <x v="104"/>
    <x v="49"/>
    <x v="62"/>
    <n v="104"/>
  </r>
  <r>
    <x v="104"/>
    <x v="49"/>
    <x v="63"/>
    <n v="104"/>
  </r>
  <r>
    <x v="104"/>
    <x v="49"/>
    <x v="64"/>
    <n v="104"/>
  </r>
  <r>
    <x v="104"/>
    <x v="49"/>
    <x v="65"/>
    <n v="104"/>
  </r>
  <r>
    <x v="104"/>
    <x v="49"/>
    <x v="66"/>
    <n v="104"/>
  </r>
  <r>
    <x v="104"/>
    <x v="49"/>
    <x v="67"/>
    <n v="104"/>
  </r>
  <r>
    <x v="104"/>
    <x v="49"/>
    <x v="68"/>
    <n v="104"/>
  </r>
  <r>
    <x v="104"/>
    <x v="49"/>
    <x v="69"/>
    <n v="104"/>
  </r>
  <r>
    <x v="104"/>
    <x v="49"/>
    <x v="70"/>
    <n v="104"/>
  </r>
  <r>
    <x v="104"/>
    <x v="49"/>
    <x v="71"/>
    <n v="104"/>
  </r>
  <r>
    <x v="104"/>
    <x v="49"/>
    <x v="72"/>
    <n v="104"/>
  </r>
  <r>
    <x v="105"/>
    <x v="49"/>
    <x v="0"/>
    <n v="78"/>
  </r>
  <r>
    <x v="105"/>
    <x v="49"/>
    <x v="1"/>
    <n v="77"/>
  </r>
  <r>
    <x v="105"/>
    <x v="49"/>
    <x v="2"/>
    <n v="82"/>
  </r>
  <r>
    <x v="105"/>
    <x v="49"/>
    <x v="3"/>
    <n v="54"/>
  </r>
  <r>
    <x v="105"/>
    <x v="49"/>
    <x v="4"/>
    <n v="55"/>
  </r>
  <r>
    <x v="105"/>
    <x v="49"/>
    <x v="5"/>
    <n v="53"/>
  </r>
  <r>
    <x v="105"/>
    <x v="49"/>
    <x v="6"/>
    <n v="71"/>
  </r>
  <r>
    <x v="105"/>
    <x v="49"/>
    <x v="7"/>
    <n v="65"/>
  </r>
  <r>
    <x v="105"/>
    <x v="49"/>
    <x v="8"/>
    <n v="77"/>
  </r>
  <r>
    <x v="105"/>
    <x v="49"/>
    <x v="9"/>
    <n v="79"/>
  </r>
  <r>
    <x v="105"/>
    <x v="49"/>
    <x v="10"/>
    <n v="75"/>
  </r>
  <r>
    <x v="105"/>
    <x v="49"/>
    <x v="11"/>
    <n v="76"/>
  </r>
  <r>
    <x v="105"/>
    <x v="49"/>
    <x v="12"/>
    <n v="90"/>
  </r>
  <r>
    <x v="105"/>
    <x v="49"/>
    <x v="13"/>
    <n v="96"/>
  </r>
  <r>
    <x v="105"/>
    <x v="49"/>
    <x v="14"/>
    <n v="97"/>
  </r>
  <r>
    <x v="105"/>
    <x v="49"/>
    <x v="15"/>
    <n v="78"/>
  </r>
  <r>
    <x v="105"/>
    <x v="49"/>
    <x v="16"/>
    <n v="83"/>
  </r>
  <r>
    <x v="105"/>
    <x v="49"/>
    <x v="17"/>
    <n v="85"/>
  </r>
  <r>
    <x v="105"/>
    <x v="49"/>
    <x v="18"/>
    <n v="99"/>
  </r>
  <r>
    <x v="105"/>
    <x v="49"/>
    <x v="19"/>
    <n v="98"/>
  </r>
  <r>
    <x v="105"/>
    <x v="49"/>
    <x v="20"/>
    <n v="100"/>
  </r>
  <r>
    <x v="105"/>
    <x v="49"/>
    <x v="21"/>
    <n v="104"/>
  </r>
  <r>
    <x v="105"/>
    <x v="49"/>
    <x v="22"/>
    <n v="107"/>
  </r>
  <r>
    <x v="105"/>
    <x v="49"/>
    <x v="23"/>
    <n v="100"/>
  </r>
  <r>
    <x v="105"/>
    <x v="49"/>
    <x v="24"/>
    <n v="104"/>
  </r>
  <r>
    <x v="105"/>
    <x v="49"/>
    <x v="25"/>
    <n v="107"/>
  </r>
  <r>
    <x v="105"/>
    <x v="49"/>
    <x v="26"/>
    <n v="107"/>
  </r>
  <r>
    <x v="105"/>
    <x v="49"/>
    <x v="27"/>
    <n v="108"/>
  </r>
  <r>
    <x v="105"/>
    <x v="49"/>
    <x v="28"/>
    <n v="104"/>
  </r>
  <r>
    <x v="105"/>
    <x v="49"/>
    <x v="29"/>
    <n v="104"/>
  </r>
  <r>
    <x v="105"/>
    <x v="49"/>
    <x v="30"/>
    <n v="104"/>
  </r>
  <r>
    <x v="105"/>
    <x v="49"/>
    <x v="31"/>
    <n v="104"/>
  </r>
  <r>
    <x v="105"/>
    <x v="49"/>
    <x v="32"/>
    <n v="104"/>
  </r>
  <r>
    <x v="105"/>
    <x v="49"/>
    <x v="33"/>
    <n v="104"/>
  </r>
  <r>
    <x v="105"/>
    <x v="49"/>
    <x v="34"/>
    <n v="104"/>
  </r>
  <r>
    <x v="105"/>
    <x v="49"/>
    <x v="35"/>
    <n v="104"/>
  </r>
  <r>
    <x v="105"/>
    <x v="49"/>
    <x v="36"/>
    <n v="104"/>
  </r>
  <r>
    <x v="105"/>
    <x v="49"/>
    <x v="37"/>
    <n v="104"/>
  </r>
  <r>
    <x v="105"/>
    <x v="49"/>
    <x v="38"/>
    <n v="104"/>
  </r>
  <r>
    <x v="105"/>
    <x v="49"/>
    <x v="39"/>
    <n v="104"/>
  </r>
  <r>
    <x v="105"/>
    <x v="49"/>
    <x v="40"/>
    <n v="104"/>
  </r>
  <r>
    <x v="105"/>
    <x v="49"/>
    <x v="41"/>
    <n v="104"/>
  </r>
  <r>
    <x v="105"/>
    <x v="49"/>
    <x v="42"/>
    <n v="104"/>
  </r>
  <r>
    <x v="105"/>
    <x v="49"/>
    <x v="43"/>
    <n v="104"/>
  </r>
  <r>
    <x v="105"/>
    <x v="49"/>
    <x v="44"/>
    <n v="104"/>
  </r>
  <r>
    <x v="105"/>
    <x v="49"/>
    <x v="45"/>
    <n v="104"/>
  </r>
  <r>
    <x v="105"/>
    <x v="49"/>
    <x v="46"/>
    <n v="104"/>
  </r>
  <r>
    <x v="105"/>
    <x v="49"/>
    <x v="47"/>
    <n v="104"/>
  </r>
  <r>
    <x v="105"/>
    <x v="49"/>
    <x v="48"/>
    <n v="104"/>
  </r>
  <r>
    <x v="105"/>
    <x v="49"/>
    <x v="49"/>
    <n v="104"/>
  </r>
  <r>
    <x v="105"/>
    <x v="49"/>
    <x v="50"/>
    <n v="104"/>
  </r>
  <r>
    <x v="105"/>
    <x v="49"/>
    <x v="51"/>
    <n v="104"/>
  </r>
  <r>
    <x v="105"/>
    <x v="49"/>
    <x v="52"/>
    <n v="104"/>
  </r>
  <r>
    <x v="105"/>
    <x v="49"/>
    <x v="53"/>
    <n v="104"/>
  </r>
  <r>
    <x v="105"/>
    <x v="49"/>
    <x v="54"/>
    <n v="104"/>
  </r>
  <r>
    <x v="105"/>
    <x v="49"/>
    <x v="55"/>
    <n v="104"/>
  </r>
  <r>
    <x v="105"/>
    <x v="49"/>
    <x v="56"/>
    <n v="104"/>
  </r>
  <r>
    <x v="105"/>
    <x v="49"/>
    <x v="57"/>
    <n v="104"/>
  </r>
  <r>
    <x v="105"/>
    <x v="49"/>
    <x v="58"/>
    <n v="104"/>
  </r>
  <r>
    <x v="105"/>
    <x v="49"/>
    <x v="59"/>
    <n v="104"/>
  </r>
  <r>
    <x v="105"/>
    <x v="49"/>
    <x v="60"/>
    <n v="104"/>
  </r>
  <r>
    <x v="105"/>
    <x v="49"/>
    <x v="61"/>
    <n v="104"/>
  </r>
  <r>
    <x v="105"/>
    <x v="49"/>
    <x v="62"/>
    <n v="104"/>
  </r>
  <r>
    <x v="105"/>
    <x v="49"/>
    <x v="63"/>
    <n v="104"/>
  </r>
  <r>
    <x v="105"/>
    <x v="49"/>
    <x v="64"/>
    <n v="104"/>
  </r>
  <r>
    <x v="105"/>
    <x v="49"/>
    <x v="65"/>
    <n v="104"/>
  </r>
  <r>
    <x v="105"/>
    <x v="49"/>
    <x v="66"/>
    <n v="104"/>
  </r>
  <r>
    <x v="105"/>
    <x v="49"/>
    <x v="67"/>
    <n v="104"/>
  </r>
  <r>
    <x v="105"/>
    <x v="49"/>
    <x v="68"/>
    <n v="104"/>
  </r>
  <r>
    <x v="105"/>
    <x v="49"/>
    <x v="69"/>
    <n v="104"/>
  </r>
  <r>
    <x v="105"/>
    <x v="49"/>
    <x v="70"/>
    <n v="104"/>
  </r>
  <r>
    <x v="105"/>
    <x v="49"/>
    <x v="71"/>
    <n v="104"/>
  </r>
  <r>
    <x v="105"/>
    <x v="49"/>
    <x v="72"/>
    <n v="104"/>
  </r>
  <r>
    <x v="106"/>
    <x v="50"/>
    <x v="0"/>
    <n v="78"/>
  </r>
  <r>
    <x v="106"/>
    <x v="50"/>
    <x v="1"/>
    <n v="77"/>
  </r>
  <r>
    <x v="106"/>
    <x v="50"/>
    <x v="2"/>
    <n v="106"/>
  </r>
  <r>
    <x v="106"/>
    <x v="50"/>
    <x v="3"/>
    <n v="109"/>
  </r>
  <r>
    <x v="106"/>
    <x v="50"/>
    <x v="4"/>
    <n v="109"/>
  </r>
  <r>
    <x v="106"/>
    <x v="50"/>
    <x v="5"/>
    <n v="111"/>
  </r>
  <r>
    <x v="106"/>
    <x v="50"/>
    <x v="6"/>
    <n v="113"/>
  </r>
  <r>
    <x v="106"/>
    <x v="50"/>
    <x v="7"/>
    <n v="112"/>
  </r>
  <r>
    <x v="106"/>
    <x v="50"/>
    <x v="8"/>
    <n v="112"/>
  </r>
  <r>
    <x v="106"/>
    <x v="50"/>
    <x v="9"/>
    <n v="112"/>
  </r>
  <r>
    <x v="106"/>
    <x v="50"/>
    <x v="10"/>
    <n v="112"/>
  </r>
  <r>
    <x v="106"/>
    <x v="50"/>
    <x v="11"/>
    <n v="113"/>
  </r>
  <r>
    <x v="106"/>
    <x v="50"/>
    <x v="12"/>
    <n v="113"/>
  </r>
  <r>
    <x v="106"/>
    <x v="50"/>
    <x v="13"/>
    <n v="110"/>
  </r>
  <r>
    <x v="106"/>
    <x v="50"/>
    <x v="14"/>
    <n v="105"/>
  </r>
  <r>
    <x v="106"/>
    <x v="50"/>
    <x v="15"/>
    <n v="101"/>
  </r>
  <r>
    <x v="106"/>
    <x v="50"/>
    <x v="16"/>
    <n v="105"/>
  </r>
  <r>
    <x v="106"/>
    <x v="50"/>
    <x v="17"/>
    <n v="105"/>
  </r>
  <r>
    <x v="106"/>
    <x v="50"/>
    <x v="18"/>
    <n v="109"/>
  </r>
  <r>
    <x v="106"/>
    <x v="50"/>
    <x v="19"/>
    <n v="108"/>
  </r>
  <r>
    <x v="106"/>
    <x v="50"/>
    <x v="20"/>
    <n v="109"/>
  </r>
  <r>
    <x v="106"/>
    <x v="50"/>
    <x v="21"/>
    <n v="109"/>
  </r>
  <r>
    <x v="106"/>
    <x v="50"/>
    <x v="22"/>
    <n v="111"/>
  </r>
  <r>
    <x v="106"/>
    <x v="50"/>
    <x v="23"/>
    <n v="108"/>
  </r>
  <r>
    <x v="106"/>
    <x v="50"/>
    <x v="24"/>
    <n v="107"/>
  </r>
  <r>
    <x v="106"/>
    <x v="50"/>
    <x v="25"/>
    <n v="109"/>
  </r>
  <r>
    <x v="106"/>
    <x v="50"/>
    <x v="26"/>
    <n v="109"/>
  </r>
  <r>
    <x v="106"/>
    <x v="50"/>
    <x v="27"/>
    <n v="107"/>
  </r>
  <r>
    <x v="106"/>
    <x v="50"/>
    <x v="28"/>
    <n v="107"/>
  </r>
  <r>
    <x v="106"/>
    <x v="50"/>
    <x v="29"/>
    <n v="107"/>
  </r>
  <r>
    <x v="106"/>
    <x v="50"/>
    <x v="30"/>
    <n v="107"/>
  </r>
  <r>
    <x v="106"/>
    <x v="50"/>
    <x v="31"/>
    <n v="107"/>
  </r>
  <r>
    <x v="106"/>
    <x v="50"/>
    <x v="32"/>
    <n v="107"/>
  </r>
  <r>
    <x v="106"/>
    <x v="50"/>
    <x v="33"/>
    <n v="107"/>
  </r>
  <r>
    <x v="106"/>
    <x v="50"/>
    <x v="34"/>
    <n v="107"/>
  </r>
  <r>
    <x v="106"/>
    <x v="50"/>
    <x v="35"/>
    <n v="107"/>
  </r>
  <r>
    <x v="106"/>
    <x v="50"/>
    <x v="36"/>
    <n v="107"/>
  </r>
  <r>
    <x v="106"/>
    <x v="50"/>
    <x v="37"/>
    <n v="107"/>
  </r>
  <r>
    <x v="106"/>
    <x v="50"/>
    <x v="38"/>
    <n v="107"/>
  </r>
  <r>
    <x v="106"/>
    <x v="50"/>
    <x v="39"/>
    <n v="107"/>
  </r>
  <r>
    <x v="106"/>
    <x v="50"/>
    <x v="40"/>
    <n v="107"/>
  </r>
  <r>
    <x v="106"/>
    <x v="50"/>
    <x v="41"/>
    <n v="107"/>
  </r>
  <r>
    <x v="106"/>
    <x v="50"/>
    <x v="42"/>
    <n v="107"/>
  </r>
  <r>
    <x v="106"/>
    <x v="50"/>
    <x v="43"/>
    <n v="107"/>
  </r>
  <r>
    <x v="106"/>
    <x v="50"/>
    <x v="44"/>
    <n v="107"/>
  </r>
  <r>
    <x v="106"/>
    <x v="50"/>
    <x v="45"/>
    <n v="107"/>
  </r>
  <r>
    <x v="106"/>
    <x v="50"/>
    <x v="46"/>
    <n v="107"/>
  </r>
  <r>
    <x v="106"/>
    <x v="50"/>
    <x v="47"/>
    <n v="107"/>
  </r>
  <r>
    <x v="106"/>
    <x v="50"/>
    <x v="48"/>
    <n v="107"/>
  </r>
  <r>
    <x v="106"/>
    <x v="50"/>
    <x v="49"/>
    <n v="107"/>
  </r>
  <r>
    <x v="106"/>
    <x v="50"/>
    <x v="50"/>
    <n v="107"/>
  </r>
  <r>
    <x v="106"/>
    <x v="50"/>
    <x v="51"/>
    <n v="107"/>
  </r>
  <r>
    <x v="106"/>
    <x v="50"/>
    <x v="52"/>
    <n v="107"/>
  </r>
  <r>
    <x v="106"/>
    <x v="50"/>
    <x v="53"/>
    <n v="107"/>
  </r>
  <r>
    <x v="106"/>
    <x v="50"/>
    <x v="54"/>
    <n v="107"/>
  </r>
  <r>
    <x v="106"/>
    <x v="50"/>
    <x v="55"/>
    <n v="107"/>
  </r>
  <r>
    <x v="106"/>
    <x v="50"/>
    <x v="56"/>
    <n v="107"/>
  </r>
  <r>
    <x v="106"/>
    <x v="50"/>
    <x v="57"/>
    <n v="107"/>
  </r>
  <r>
    <x v="106"/>
    <x v="50"/>
    <x v="58"/>
    <n v="107"/>
  </r>
  <r>
    <x v="106"/>
    <x v="50"/>
    <x v="59"/>
    <n v="107"/>
  </r>
  <r>
    <x v="106"/>
    <x v="50"/>
    <x v="60"/>
    <n v="107"/>
  </r>
  <r>
    <x v="106"/>
    <x v="50"/>
    <x v="61"/>
    <n v="107"/>
  </r>
  <r>
    <x v="106"/>
    <x v="50"/>
    <x v="62"/>
    <n v="107"/>
  </r>
  <r>
    <x v="106"/>
    <x v="50"/>
    <x v="63"/>
    <n v="107"/>
  </r>
  <r>
    <x v="106"/>
    <x v="50"/>
    <x v="64"/>
    <n v="107"/>
  </r>
  <r>
    <x v="106"/>
    <x v="50"/>
    <x v="65"/>
    <n v="107"/>
  </r>
  <r>
    <x v="106"/>
    <x v="50"/>
    <x v="66"/>
    <n v="107"/>
  </r>
  <r>
    <x v="106"/>
    <x v="50"/>
    <x v="67"/>
    <n v="107"/>
  </r>
  <r>
    <x v="106"/>
    <x v="50"/>
    <x v="68"/>
    <n v="107"/>
  </r>
  <r>
    <x v="106"/>
    <x v="50"/>
    <x v="69"/>
    <n v="107"/>
  </r>
  <r>
    <x v="106"/>
    <x v="50"/>
    <x v="70"/>
    <n v="107"/>
  </r>
  <r>
    <x v="106"/>
    <x v="50"/>
    <x v="71"/>
    <n v="107"/>
  </r>
  <r>
    <x v="106"/>
    <x v="50"/>
    <x v="72"/>
    <n v="107"/>
  </r>
  <r>
    <x v="107"/>
    <x v="51"/>
    <x v="0"/>
    <n v="1"/>
  </r>
  <r>
    <x v="107"/>
    <x v="51"/>
    <x v="1"/>
    <n v="1"/>
  </r>
  <r>
    <x v="107"/>
    <x v="51"/>
    <x v="2"/>
    <n v="3"/>
  </r>
  <r>
    <x v="107"/>
    <x v="51"/>
    <x v="3"/>
    <n v="38"/>
  </r>
  <r>
    <x v="107"/>
    <x v="51"/>
    <x v="4"/>
    <n v="39"/>
  </r>
  <r>
    <x v="107"/>
    <x v="51"/>
    <x v="5"/>
    <n v="41"/>
  </r>
  <r>
    <x v="107"/>
    <x v="51"/>
    <x v="6"/>
    <n v="49"/>
  </r>
  <r>
    <x v="107"/>
    <x v="51"/>
    <x v="7"/>
    <n v="49"/>
  </r>
  <r>
    <x v="107"/>
    <x v="51"/>
    <x v="8"/>
    <n v="64"/>
  </r>
  <r>
    <x v="107"/>
    <x v="51"/>
    <x v="9"/>
    <n v="65"/>
  </r>
  <r>
    <x v="107"/>
    <x v="51"/>
    <x v="10"/>
    <n v="61"/>
  </r>
  <r>
    <x v="107"/>
    <x v="51"/>
    <x v="11"/>
    <n v="54"/>
  </r>
  <r>
    <x v="107"/>
    <x v="51"/>
    <x v="12"/>
    <n v="59"/>
  </r>
  <r>
    <x v="107"/>
    <x v="51"/>
    <x v="13"/>
    <n v="59"/>
  </r>
  <r>
    <x v="107"/>
    <x v="51"/>
    <x v="14"/>
    <n v="61"/>
  </r>
  <r>
    <x v="107"/>
    <x v="51"/>
    <x v="15"/>
    <n v="49"/>
  </r>
  <r>
    <x v="107"/>
    <x v="51"/>
    <x v="16"/>
    <n v="57"/>
  </r>
  <r>
    <x v="107"/>
    <x v="51"/>
    <x v="17"/>
    <n v="54"/>
  </r>
  <r>
    <x v="107"/>
    <x v="51"/>
    <x v="18"/>
    <n v="64"/>
  </r>
  <r>
    <x v="107"/>
    <x v="51"/>
    <x v="19"/>
    <n v="64"/>
  </r>
  <r>
    <x v="107"/>
    <x v="51"/>
    <x v="20"/>
    <n v="67"/>
  </r>
  <r>
    <x v="107"/>
    <x v="51"/>
    <x v="21"/>
    <n v="72"/>
  </r>
  <r>
    <x v="107"/>
    <x v="51"/>
    <x v="22"/>
    <n v="89"/>
  </r>
  <r>
    <x v="107"/>
    <x v="51"/>
    <x v="23"/>
    <n v="88"/>
  </r>
  <r>
    <x v="107"/>
    <x v="51"/>
    <x v="24"/>
    <n v="90"/>
  </r>
  <r>
    <x v="107"/>
    <x v="51"/>
    <x v="25"/>
    <n v="91"/>
  </r>
  <r>
    <x v="107"/>
    <x v="51"/>
    <x v="26"/>
    <n v="91"/>
  </r>
  <r>
    <x v="107"/>
    <x v="51"/>
    <x v="27"/>
    <n v="105"/>
  </r>
  <r>
    <x v="107"/>
    <x v="51"/>
    <x v="28"/>
    <n v="108"/>
  </r>
  <r>
    <x v="107"/>
    <x v="51"/>
    <x v="29"/>
    <n v="108"/>
  </r>
  <r>
    <x v="107"/>
    <x v="51"/>
    <x v="30"/>
    <n v="108"/>
  </r>
  <r>
    <x v="107"/>
    <x v="51"/>
    <x v="31"/>
    <n v="108"/>
  </r>
  <r>
    <x v="107"/>
    <x v="51"/>
    <x v="32"/>
    <n v="108"/>
  </r>
  <r>
    <x v="107"/>
    <x v="51"/>
    <x v="33"/>
    <n v="108"/>
  </r>
  <r>
    <x v="107"/>
    <x v="51"/>
    <x v="34"/>
    <n v="108"/>
  </r>
  <r>
    <x v="107"/>
    <x v="51"/>
    <x v="35"/>
    <n v="108"/>
  </r>
  <r>
    <x v="107"/>
    <x v="51"/>
    <x v="36"/>
    <n v="108"/>
  </r>
  <r>
    <x v="107"/>
    <x v="51"/>
    <x v="37"/>
    <n v="108"/>
  </r>
  <r>
    <x v="107"/>
    <x v="51"/>
    <x v="38"/>
    <n v="108"/>
  </r>
  <r>
    <x v="107"/>
    <x v="51"/>
    <x v="39"/>
    <n v="108"/>
  </r>
  <r>
    <x v="107"/>
    <x v="51"/>
    <x v="40"/>
    <n v="108"/>
  </r>
  <r>
    <x v="107"/>
    <x v="51"/>
    <x v="41"/>
    <n v="108"/>
  </r>
  <r>
    <x v="107"/>
    <x v="51"/>
    <x v="42"/>
    <n v="108"/>
  </r>
  <r>
    <x v="107"/>
    <x v="51"/>
    <x v="43"/>
    <n v="108"/>
  </r>
  <r>
    <x v="107"/>
    <x v="51"/>
    <x v="44"/>
    <n v="108"/>
  </r>
  <r>
    <x v="107"/>
    <x v="51"/>
    <x v="45"/>
    <n v="108"/>
  </r>
  <r>
    <x v="107"/>
    <x v="51"/>
    <x v="46"/>
    <n v="108"/>
  </r>
  <r>
    <x v="107"/>
    <x v="51"/>
    <x v="47"/>
    <n v="108"/>
  </r>
  <r>
    <x v="107"/>
    <x v="51"/>
    <x v="48"/>
    <n v="108"/>
  </r>
  <r>
    <x v="107"/>
    <x v="51"/>
    <x v="49"/>
    <n v="108"/>
  </r>
  <r>
    <x v="107"/>
    <x v="51"/>
    <x v="50"/>
    <n v="108"/>
  </r>
  <r>
    <x v="107"/>
    <x v="51"/>
    <x v="51"/>
    <n v="108"/>
  </r>
  <r>
    <x v="107"/>
    <x v="51"/>
    <x v="52"/>
    <n v="108"/>
  </r>
  <r>
    <x v="107"/>
    <x v="51"/>
    <x v="53"/>
    <n v="108"/>
  </r>
  <r>
    <x v="107"/>
    <x v="51"/>
    <x v="54"/>
    <n v="108"/>
  </r>
  <r>
    <x v="107"/>
    <x v="51"/>
    <x v="55"/>
    <n v="108"/>
  </r>
  <r>
    <x v="107"/>
    <x v="51"/>
    <x v="56"/>
    <n v="108"/>
  </r>
  <r>
    <x v="107"/>
    <x v="51"/>
    <x v="57"/>
    <n v="108"/>
  </r>
  <r>
    <x v="107"/>
    <x v="51"/>
    <x v="58"/>
    <n v="108"/>
  </r>
  <r>
    <x v="107"/>
    <x v="51"/>
    <x v="59"/>
    <n v="108"/>
  </r>
  <r>
    <x v="107"/>
    <x v="51"/>
    <x v="60"/>
    <n v="108"/>
  </r>
  <r>
    <x v="107"/>
    <x v="51"/>
    <x v="61"/>
    <n v="108"/>
  </r>
  <r>
    <x v="107"/>
    <x v="51"/>
    <x v="62"/>
    <n v="108"/>
  </r>
  <r>
    <x v="107"/>
    <x v="51"/>
    <x v="63"/>
    <n v="108"/>
  </r>
  <r>
    <x v="107"/>
    <x v="51"/>
    <x v="64"/>
    <n v="108"/>
  </r>
  <r>
    <x v="107"/>
    <x v="51"/>
    <x v="65"/>
    <n v="108"/>
  </r>
  <r>
    <x v="107"/>
    <x v="51"/>
    <x v="66"/>
    <n v="108"/>
  </r>
  <r>
    <x v="107"/>
    <x v="51"/>
    <x v="67"/>
    <n v="108"/>
  </r>
  <r>
    <x v="107"/>
    <x v="51"/>
    <x v="68"/>
    <n v="108"/>
  </r>
  <r>
    <x v="107"/>
    <x v="51"/>
    <x v="69"/>
    <n v="108"/>
  </r>
  <r>
    <x v="107"/>
    <x v="51"/>
    <x v="70"/>
    <n v="108"/>
  </r>
  <r>
    <x v="107"/>
    <x v="51"/>
    <x v="71"/>
    <n v="108"/>
  </r>
  <r>
    <x v="107"/>
    <x v="51"/>
    <x v="72"/>
    <n v="108"/>
  </r>
  <r>
    <x v="108"/>
    <x v="52"/>
    <x v="0"/>
    <n v="13"/>
  </r>
  <r>
    <x v="108"/>
    <x v="52"/>
    <x v="1"/>
    <n v="14"/>
  </r>
  <r>
    <x v="108"/>
    <x v="52"/>
    <x v="2"/>
    <n v="24"/>
  </r>
  <r>
    <x v="108"/>
    <x v="52"/>
    <x v="3"/>
    <n v="71"/>
  </r>
  <r>
    <x v="108"/>
    <x v="52"/>
    <x v="4"/>
    <n v="71"/>
  </r>
  <r>
    <x v="108"/>
    <x v="52"/>
    <x v="5"/>
    <n v="77"/>
  </r>
  <r>
    <x v="108"/>
    <x v="52"/>
    <x v="6"/>
    <n v="67"/>
  </r>
  <r>
    <x v="108"/>
    <x v="52"/>
    <x v="7"/>
    <n v="73"/>
  </r>
  <r>
    <x v="108"/>
    <x v="52"/>
    <x v="8"/>
    <n v="72"/>
  </r>
  <r>
    <x v="108"/>
    <x v="52"/>
    <x v="9"/>
    <n v="74"/>
  </r>
  <r>
    <x v="108"/>
    <x v="52"/>
    <x v="10"/>
    <n v="95"/>
  </r>
  <r>
    <x v="108"/>
    <x v="52"/>
    <x v="11"/>
    <n v="92"/>
  </r>
  <r>
    <x v="108"/>
    <x v="52"/>
    <x v="12"/>
    <n v="103"/>
  </r>
  <r>
    <x v="108"/>
    <x v="52"/>
    <x v="13"/>
    <n v="93"/>
  </r>
  <r>
    <x v="108"/>
    <x v="52"/>
    <x v="14"/>
    <n v="104"/>
  </r>
  <r>
    <x v="108"/>
    <x v="52"/>
    <x v="15"/>
    <n v="106"/>
  </r>
  <r>
    <x v="108"/>
    <x v="52"/>
    <x v="16"/>
    <n v="109"/>
  </r>
  <r>
    <x v="108"/>
    <x v="52"/>
    <x v="17"/>
    <n v="107"/>
  </r>
  <r>
    <x v="108"/>
    <x v="52"/>
    <x v="18"/>
    <n v="111"/>
  </r>
  <r>
    <x v="108"/>
    <x v="52"/>
    <x v="19"/>
    <n v="111"/>
  </r>
  <r>
    <x v="108"/>
    <x v="52"/>
    <x v="20"/>
    <n v="112"/>
  </r>
  <r>
    <x v="108"/>
    <x v="52"/>
    <x v="21"/>
    <n v="112"/>
  </r>
  <r>
    <x v="108"/>
    <x v="52"/>
    <x v="22"/>
    <n v="112"/>
  </r>
  <r>
    <x v="108"/>
    <x v="52"/>
    <x v="23"/>
    <n v="112"/>
  </r>
  <r>
    <x v="108"/>
    <x v="52"/>
    <x v="24"/>
    <n v="110"/>
  </r>
  <r>
    <x v="108"/>
    <x v="52"/>
    <x v="25"/>
    <n v="110"/>
  </r>
  <r>
    <x v="108"/>
    <x v="52"/>
    <x v="26"/>
    <n v="110"/>
  </r>
  <r>
    <x v="108"/>
    <x v="52"/>
    <x v="27"/>
    <n v="109"/>
  </r>
  <r>
    <x v="108"/>
    <x v="52"/>
    <x v="28"/>
    <n v="109"/>
  </r>
  <r>
    <x v="108"/>
    <x v="52"/>
    <x v="29"/>
    <n v="109"/>
  </r>
  <r>
    <x v="108"/>
    <x v="52"/>
    <x v="30"/>
    <n v="109"/>
  </r>
  <r>
    <x v="108"/>
    <x v="52"/>
    <x v="31"/>
    <n v="109"/>
  </r>
  <r>
    <x v="108"/>
    <x v="52"/>
    <x v="32"/>
    <n v="109"/>
  </r>
  <r>
    <x v="108"/>
    <x v="52"/>
    <x v="33"/>
    <n v="109"/>
  </r>
  <r>
    <x v="108"/>
    <x v="52"/>
    <x v="34"/>
    <n v="109"/>
  </r>
  <r>
    <x v="108"/>
    <x v="52"/>
    <x v="35"/>
    <n v="109"/>
  </r>
  <r>
    <x v="108"/>
    <x v="52"/>
    <x v="36"/>
    <n v="109"/>
  </r>
  <r>
    <x v="108"/>
    <x v="52"/>
    <x v="37"/>
    <n v="109"/>
  </r>
  <r>
    <x v="108"/>
    <x v="52"/>
    <x v="38"/>
    <n v="109"/>
  </r>
  <r>
    <x v="108"/>
    <x v="52"/>
    <x v="39"/>
    <n v="109"/>
  </r>
  <r>
    <x v="108"/>
    <x v="52"/>
    <x v="40"/>
    <n v="109"/>
  </r>
  <r>
    <x v="108"/>
    <x v="52"/>
    <x v="41"/>
    <n v="109"/>
  </r>
  <r>
    <x v="108"/>
    <x v="52"/>
    <x v="42"/>
    <n v="109"/>
  </r>
  <r>
    <x v="108"/>
    <x v="52"/>
    <x v="43"/>
    <n v="109"/>
  </r>
  <r>
    <x v="108"/>
    <x v="52"/>
    <x v="44"/>
    <n v="109"/>
  </r>
  <r>
    <x v="108"/>
    <x v="52"/>
    <x v="45"/>
    <n v="109"/>
  </r>
  <r>
    <x v="108"/>
    <x v="52"/>
    <x v="46"/>
    <n v="109"/>
  </r>
  <r>
    <x v="108"/>
    <x v="52"/>
    <x v="47"/>
    <n v="109"/>
  </r>
  <r>
    <x v="108"/>
    <x v="52"/>
    <x v="48"/>
    <n v="109"/>
  </r>
  <r>
    <x v="108"/>
    <x v="52"/>
    <x v="49"/>
    <n v="109"/>
  </r>
  <r>
    <x v="108"/>
    <x v="52"/>
    <x v="50"/>
    <n v="109"/>
  </r>
  <r>
    <x v="108"/>
    <x v="52"/>
    <x v="51"/>
    <n v="109"/>
  </r>
  <r>
    <x v="108"/>
    <x v="52"/>
    <x v="52"/>
    <n v="109"/>
  </r>
  <r>
    <x v="108"/>
    <x v="52"/>
    <x v="53"/>
    <n v="109"/>
  </r>
  <r>
    <x v="108"/>
    <x v="52"/>
    <x v="54"/>
    <n v="109"/>
  </r>
  <r>
    <x v="108"/>
    <x v="52"/>
    <x v="55"/>
    <n v="109"/>
  </r>
  <r>
    <x v="108"/>
    <x v="52"/>
    <x v="56"/>
    <n v="109"/>
  </r>
  <r>
    <x v="108"/>
    <x v="52"/>
    <x v="57"/>
    <n v="109"/>
  </r>
  <r>
    <x v="108"/>
    <x v="52"/>
    <x v="58"/>
    <n v="109"/>
  </r>
  <r>
    <x v="108"/>
    <x v="52"/>
    <x v="59"/>
    <n v="109"/>
  </r>
  <r>
    <x v="108"/>
    <x v="52"/>
    <x v="60"/>
    <n v="109"/>
  </r>
  <r>
    <x v="108"/>
    <x v="52"/>
    <x v="61"/>
    <n v="109"/>
  </r>
  <r>
    <x v="108"/>
    <x v="52"/>
    <x v="62"/>
    <n v="109"/>
  </r>
  <r>
    <x v="108"/>
    <x v="52"/>
    <x v="63"/>
    <n v="109"/>
  </r>
  <r>
    <x v="108"/>
    <x v="52"/>
    <x v="64"/>
    <n v="109"/>
  </r>
  <r>
    <x v="108"/>
    <x v="52"/>
    <x v="65"/>
    <n v="109"/>
  </r>
  <r>
    <x v="108"/>
    <x v="52"/>
    <x v="66"/>
    <n v="109"/>
  </r>
  <r>
    <x v="108"/>
    <x v="52"/>
    <x v="67"/>
    <n v="109"/>
  </r>
  <r>
    <x v="108"/>
    <x v="52"/>
    <x v="68"/>
    <n v="109"/>
  </r>
  <r>
    <x v="108"/>
    <x v="52"/>
    <x v="69"/>
    <n v="109"/>
  </r>
  <r>
    <x v="108"/>
    <x v="52"/>
    <x v="70"/>
    <n v="109"/>
  </r>
  <r>
    <x v="108"/>
    <x v="52"/>
    <x v="71"/>
    <n v="109"/>
  </r>
  <r>
    <x v="108"/>
    <x v="52"/>
    <x v="72"/>
    <n v="109"/>
  </r>
  <r>
    <x v="109"/>
    <x v="53"/>
    <x v="0"/>
    <n v="78"/>
  </r>
  <r>
    <x v="109"/>
    <x v="53"/>
    <x v="1"/>
    <n v="77"/>
  </r>
  <r>
    <x v="109"/>
    <x v="53"/>
    <x v="2"/>
    <n v="82"/>
  </r>
  <r>
    <x v="109"/>
    <x v="53"/>
    <x v="3"/>
    <n v="54"/>
  </r>
  <r>
    <x v="109"/>
    <x v="53"/>
    <x v="4"/>
    <n v="55"/>
  </r>
  <r>
    <x v="109"/>
    <x v="53"/>
    <x v="5"/>
    <n v="53"/>
  </r>
  <r>
    <x v="109"/>
    <x v="53"/>
    <x v="6"/>
    <n v="61"/>
  </r>
  <r>
    <x v="109"/>
    <x v="53"/>
    <x v="7"/>
    <n v="49"/>
  </r>
  <r>
    <x v="109"/>
    <x v="53"/>
    <x v="8"/>
    <n v="52"/>
  </r>
  <r>
    <x v="109"/>
    <x v="53"/>
    <x v="9"/>
    <n v="56"/>
  </r>
  <r>
    <x v="109"/>
    <x v="53"/>
    <x v="10"/>
    <n v="51"/>
  </r>
  <r>
    <x v="109"/>
    <x v="53"/>
    <x v="11"/>
    <n v="54"/>
  </r>
  <r>
    <x v="109"/>
    <x v="53"/>
    <x v="12"/>
    <n v="80"/>
  </r>
  <r>
    <x v="109"/>
    <x v="53"/>
    <x v="13"/>
    <n v="77"/>
  </r>
  <r>
    <x v="109"/>
    <x v="53"/>
    <x v="14"/>
    <n v="92"/>
  </r>
  <r>
    <x v="109"/>
    <x v="53"/>
    <x v="15"/>
    <n v="90"/>
  </r>
  <r>
    <x v="109"/>
    <x v="53"/>
    <x v="16"/>
    <n v="94"/>
  </r>
  <r>
    <x v="109"/>
    <x v="53"/>
    <x v="17"/>
    <n v="95"/>
  </r>
  <r>
    <x v="109"/>
    <x v="53"/>
    <x v="18"/>
    <n v="101"/>
  </r>
  <r>
    <x v="109"/>
    <x v="53"/>
    <x v="19"/>
    <n v="104"/>
  </r>
  <r>
    <x v="109"/>
    <x v="53"/>
    <x v="20"/>
    <n v="95"/>
  </r>
  <r>
    <x v="109"/>
    <x v="53"/>
    <x v="21"/>
    <n v="98"/>
  </r>
  <r>
    <x v="109"/>
    <x v="53"/>
    <x v="22"/>
    <n v="109"/>
  </r>
  <r>
    <x v="109"/>
    <x v="53"/>
    <x v="23"/>
    <n v="106"/>
  </r>
  <r>
    <x v="109"/>
    <x v="53"/>
    <x v="24"/>
    <n v="111"/>
  </r>
  <r>
    <x v="109"/>
    <x v="53"/>
    <x v="25"/>
    <n v="110"/>
  </r>
  <r>
    <x v="109"/>
    <x v="53"/>
    <x v="26"/>
    <n v="110"/>
  </r>
  <r>
    <x v="109"/>
    <x v="53"/>
    <x v="27"/>
    <n v="112"/>
  </r>
  <r>
    <x v="109"/>
    <x v="53"/>
    <x v="28"/>
    <n v="110"/>
  </r>
  <r>
    <x v="109"/>
    <x v="53"/>
    <x v="29"/>
    <n v="110"/>
  </r>
  <r>
    <x v="109"/>
    <x v="53"/>
    <x v="30"/>
    <n v="110"/>
  </r>
  <r>
    <x v="109"/>
    <x v="53"/>
    <x v="31"/>
    <n v="110"/>
  </r>
  <r>
    <x v="109"/>
    <x v="53"/>
    <x v="32"/>
    <n v="110"/>
  </r>
  <r>
    <x v="109"/>
    <x v="53"/>
    <x v="33"/>
    <n v="110"/>
  </r>
  <r>
    <x v="109"/>
    <x v="53"/>
    <x v="34"/>
    <n v="110"/>
  </r>
  <r>
    <x v="109"/>
    <x v="53"/>
    <x v="35"/>
    <n v="110"/>
  </r>
  <r>
    <x v="109"/>
    <x v="53"/>
    <x v="36"/>
    <n v="110"/>
  </r>
  <r>
    <x v="109"/>
    <x v="53"/>
    <x v="37"/>
    <n v="110"/>
  </r>
  <r>
    <x v="109"/>
    <x v="53"/>
    <x v="38"/>
    <n v="110"/>
  </r>
  <r>
    <x v="109"/>
    <x v="53"/>
    <x v="39"/>
    <n v="110"/>
  </r>
  <r>
    <x v="109"/>
    <x v="53"/>
    <x v="40"/>
    <n v="110"/>
  </r>
  <r>
    <x v="109"/>
    <x v="53"/>
    <x v="41"/>
    <n v="110"/>
  </r>
  <r>
    <x v="109"/>
    <x v="53"/>
    <x v="42"/>
    <n v="110"/>
  </r>
  <r>
    <x v="109"/>
    <x v="53"/>
    <x v="43"/>
    <n v="110"/>
  </r>
  <r>
    <x v="109"/>
    <x v="53"/>
    <x v="44"/>
    <n v="110"/>
  </r>
  <r>
    <x v="109"/>
    <x v="53"/>
    <x v="45"/>
    <n v="110"/>
  </r>
  <r>
    <x v="109"/>
    <x v="53"/>
    <x v="46"/>
    <n v="110"/>
  </r>
  <r>
    <x v="109"/>
    <x v="53"/>
    <x v="47"/>
    <n v="110"/>
  </r>
  <r>
    <x v="109"/>
    <x v="53"/>
    <x v="48"/>
    <n v="110"/>
  </r>
  <r>
    <x v="109"/>
    <x v="53"/>
    <x v="49"/>
    <n v="110"/>
  </r>
  <r>
    <x v="109"/>
    <x v="53"/>
    <x v="50"/>
    <n v="110"/>
  </r>
  <r>
    <x v="109"/>
    <x v="53"/>
    <x v="51"/>
    <n v="110"/>
  </r>
  <r>
    <x v="109"/>
    <x v="53"/>
    <x v="52"/>
    <n v="110"/>
  </r>
  <r>
    <x v="109"/>
    <x v="53"/>
    <x v="53"/>
    <n v="110"/>
  </r>
  <r>
    <x v="109"/>
    <x v="53"/>
    <x v="54"/>
    <n v="110"/>
  </r>
  <r>
    <x v="109"/>
    <x v="53"/>
    <x v="55"/>
    <n v="110"/>
  </r>
  <r>
    <x v="109"/>
    <x v="53"/>
    <x v="56"/>
    <n v="110"/>
  </r>
  <r>
    <x v="109"/>
    <x v="53"/>
    <x v="57"/>
    <n v="110"/>
  </r>
  <r>
    <x v="109"/>
    <x v="53"/>
    <x v="58"/>
    <n v="110"/>
  </r>
  <r>
    <x v="109"/>
    <x v="53"/>
    <x v="59"/>
    <n v="110"/>
  </r>
  <r>
    <x v="109"/>
    <x v="53"/>
    <x v="60"/>
    <n v="110"/>
  </r>
  <r>
    <x v="109"/>
    <x v="53"/>
    <x v="61"/>
    <n v="110"/>
  </r>
  <r>
    <x v="109"/>
    <x v="53"/>
    <x v="62"/>
    <n v="110"/>
  </r>
  <r>
    <x v="109"/>
    <x v="53"/>
    <x v="63"/>
    <n v="110"/>
  </r>
  <r>
    <x v="109"/>
    <x v="53"/>
    <x v="64"/>
    <n v="110"/>
  </r>
  <r>
    <x v="109"/>
    <x v="53"/>
    <x v="65"/>
    <n v="110"/>
  </r>
  <r>
    <x v="109"/>
    <x v="53"/>
    <x v="66"/>
    <n v="110"/>
  </r>
  <r>
    <x v="109"/>
    <x v="53"/>
    <x v="67"/>
    <n v="110"/>
  </r>
  <r>
    <x v="109"/>
    <x v="53"/>
    <x v="68"/>
    <n v="110"/>
  </r>
  <r>
    <x v="109"/>
    <x v="53"/>
    <x v="69"/>
    <n v="110"/>
  </r>
  <r>
    <x v="109"/>
    <x v="53"/>
    <x v="70"/>
    <n v="110"/>
  </r>
  <r>
    <x v="109"/>
    <x v="53"/>
    <x v="71"/>
    <n v="110"/>
  </r>
  <r>
    <x v="109"/>
    <x v="53"/>
    <x v="72"/>
    <n v="110"/>
  </r>
  <r>
    <x v="110"/>
    <x v="54"/>
    <x v="0"/>
    <n v="65"/>
  </r>
  <r>
    <x v="110"/>
    <x v="54"/>
    <x v="1"/>
    <n v="62"/>
  </r>
  <r>
    <x v="110"/>
    <x v="54"/>
    <x v="2"/>
    <n v="82"/>
  </r>
  <r>
    <x v="110"/>
    <x v="54"/>
    <x v="3"/>
    <n v="98"/>
  </r>
  <r>
    <x v="110"/>
    <x v="54"/>
    <x v="4"/>
    <n v="98"/>
  </r>
  <r>
    <x v="110"/>
    <x v="54"/>
    <x v="5"/>
    <n v="105"/>
  </r>
  <r>
    <x v="110"/>
    <x v="54"/>
    <x v="6"/>
    <n v="108"/>
  </r>
  <r>
    <x v="110"/>
    <x v="54"/>
    <x v="7"/>
    <n v="108"/>
  </r>
  <r>
    <x v="110"/>
    <x v="54"/>
    <x v="8"/>
    <n v="108"/>
  </r>
  <r>
    <x v="110"/>
    <x v="54"/>
    <x v="9"/>
    <n v="109"/>
  </r>
  <r>
    <x v="110"/>
    <x v="54"/>
    <x v="10"/>
    <n v="109"/>
  </r>
  <r>
    <x v="110"/>
    <x v="54"/>
    <x v="11"/>
    <n v="112"/>
  </r>
  <r>
    <x v="110"/>
    <x v="54"/>
    <x v="12"/>
    <n v="111"/>
  </r>
  <r>
    <x v="110"/>
    <x v="54"/>
    <x v="13"/>
    <n v="113"/>
  </r>
  <r>
    <x v="110"/>
    <x v="54"/>
    <x v="14"/>
    <n v="113"/>
  </r>
  <r>
    <x v="110"/>
    <x v="54"/>
    <x v="15"/>
    <n v="112"/>
  </r>
  <r>
    <x v="110"/>
    <x v="54"/>
    <x v="16"/>
    <n v="114"/>
  </r>
  <r>
    <x v="110"/>
    <x v="54"/>
    <x v="17"/>
    <n v="114"/>
  </r>
  <r>
    <x v="110"/>
    <x v="54"/>
    <x v="18"/>
    <n v="114"/>
  </r>
  <r>
    <x v="110"/>
    <x v="54"/>
    <x v="19"/>
    <n v="114"/>
  </r>
  <r>
    <x v="110"/>
    <x v="54"/>
    <x v="20"/>
    <n v="114"/>
  </r>
  <r>
    <x v="110"/>
    <x v="54"/>
    <x v="21"/>
    <n v="114"/>
  </r>
  <r>
    <x v="110"/>
    <x v="54"/>
    <x v="22"/>
    <n v="114"/>
  </r>
  <r>
    <x v="110"/>
    <x v="54"/>
    <x v="23"/>
    <n v="113"/>
  </r>
  <r>
    <x v="110"/>
    <x v="54"/>
    <x v="24"/>
    <n v="113"/>
  </r>
  <r>
    <x v="110"/>
    <x v="54"/>
    <x v="25"/>
    <n v="113"/>
  </r>
  <r>
    <x v="110"/>
    <x v="54"/>
    <x v="26"/>
    <n v="113"/>
  </r>
  <r>
    <x v="110"/>
    <x v="54"/>
    <x v="27"/>
    <n v="113"/>
  </r>
  <r>
    <x v="110"/>
    <x v="54"/>
    <x v="28"/>
    <n v="111"/>
  </r>
  <r>
    <x v="110"/>
    <x v="54"/>
    <x v="29"/>
    <n v="111"/>
  </r>
  <r>
    <x v="110"/>
    <x v="54"/>
    <x v="30"/>
    <n v="111"/>
  </r>
  <r>
    <x v="110"/>
    <x v="54"/>
    <x v="31"/>
    <n v="111"/>
  </r>
  <r>
    <x v="110"/>
    <x v="54"/>
    <x v="32"/>
    <n v="111"/>
  </r>
  <r>
    <x v="110"/>
    <x v="54"/>
    <x v="33"/>
    <n v="111"/>
  </r>
  <r>
    <x v="110"/>
    <x v="54"/>
    <x v="34"/>
    <n v="111"/>
  </r>
  <r>
    <x v="110"/>
    <x v="54"/>
    <x v="35"/>
    <n v="111"/>
  </r>
  <r>
    <x v="110"/>
    <x v="54"/>
    <x v="36"/>
    <n v="111"/>
  </r>
  <r>
    <x v="110"/>
    <x v="54"/>
    <x v="37"/>
    <n v="111"/>
  </r>
  <r>
    <x v="110"/>
    <x v="54"/>
    <x v="38"/>
    <n v="111"/>
  </r>
  <r>
    <x v="110"/>
    <x v="54"/>
    <x v="39"/>
    <n v="111"/>
  </r>
  <r>
    <x v="110"/>
    <x v="54"/>
    <x v="40"/>
    <n v="111"/>
  </r>
  <r>
    <x v="110"/>
    <x v="54"/>
    <x v="41"/>
    <n v="111"/>
  </r>
  <r>
    <x v="110"/>
    <x v="54"/>
    <x v="42"/>
    <n v="111"/>
  </r>
  <r>
    <x v="110"/>
    <x v="54"/>
    <x v="43"/>
    <n v="111"/>
  </r>
  <r>
    <x v="110"/>
    <x v="54"/>
    <x v="44"/>
    <n v="111"/>
  </r>
  <r>
    <x v="110"/>
    <x v="54"/>
    <x v="45"/>
    <n v="111"/>
  </r>
  <r>
    <x v="110"/>
    <x v="54"/>
    <x v="46"/>
    <n v="111"/>
  </r>
  <r>
    <x v="110"/>
    <x v="54"/>
    <x v="47"/>
    <n v="111"/>
  </r>
  <r>
    <x v="110"/>
    <x v="54"/>
    <x v="48"/>
    <n v="111"/>
  </r>
  <r>
    <x v="110"/>
    <x v="54"/>
    <x v="49"/>
    <n v="111"/>
  </r>
  <r>
    <x v="110"/>
    <x v="54"/>
    <x v="50"/>
    <n v="111"/>
  </r>
  <r>
    <x v="110"/>
    <x v="54"/>
    <x v="51"/>
    <n v="111"/>
  </r>
  <r>
    <x v="110"/>
    <x v="54"/>
    <x v="52"/>
    <n v="111"/>
  </r>
  <r>
    <x v="110"/>
    <x v="54"/>
    <x v="53"/>
    <n v="111"/>
  </r>
  <r>
    <x v="110"/>
    <x v="54"/>
    <x v="54"/>
    <n v="111"/>
  </r>
  <r>
    <x v="110"/>
    <x v="54"/>
    <x v="55"/>
    <n v="111"/>
  </r>
  <r>
    <x v="110"/>
    <x v="54"/>
    <x v="56"/>
    <n v="111"/>
  </r>
  <r>
    <x v="110"/>
    <x v="54"/>
    <x v="57"/>
    <n v="111"/>
  </r>
  <r>
    <x v="110"/>
    <x v="54"/>
    <x v="58"/>
    <n v="111"/>
  </r>
  <r>
    <x v="110"/>
    <x v="54"/>
    <x v="59"/>
    <n v="111"/>
  </r>
  <r>
    <x v="110"/>
    <x v="54"/>
    <x v="60"/>
    <n v="111"/>
  </r>
  <r>
    <x v="110"/>
    <x v="54"/>
    <x v="61"/>
    <n v="111"/>
  </r>
  <r>
    <x v="110"/>
    <x v="54"/>
    <x v="62"/>
    <n v="111"/>
  </r>
  <r>
    <x v="110"/>
    <x v="54"/>
    <x v="63"/>
    <n v="111"/>
  </r>
  <r>
    <x v="110"/>
    <x v="54"/>
    <x v="64"/>
    <n v="111"/>
  </r>
  <r>
    <x v="110"/>
    <x v="54"/>
    <x v="65"/>
    <n v="111"/>
  </r>
  <r>
    <x v="110"/>
    <x v="54"/>
    <x v="66"/>
    <n v="111"/>
  </r>
  <r>
    <x v="110"/>
    <x v="54"/>
    <x v="67"/>
    <n v="111"/>
  </r>
  <r>
    <x v="110"/>
    <x v="54"/>
    <x v="68"/>
    <n v="111"/>
  </r>
  <r>
    <x v="110"/>
    <x v="54"/>
    <x v="69"/>
    <n v="111"/>
  </r>
  <r>
    <x v="110"/>
    <x v="54"/>
    <x v="70"/>
    <n v="111"/>
  </r>
  <r>
    <x v="110"/>
    <x v="54"/>
    <x v="71"/>
    <n v="111"/>
  </r>
  <r>
    <x v="110"/>
    <x v="54"/>
    <x v="72"/>
    <n v="111"/>
  </r>
  <r>
    <x v="111"/>
    <x v="54"/>
    <x v="0"/>
    <n v="78"/>
  </r>
  <r>
    <x v="111"/>
    <x v="54"/>
    <x v="1"/>
    <n v="77"/>
  </r>
  <r>
    <x v="111"/>
    <x v="54"/>
    <x v="2"/>
    <n v="82"/>
  </r>
  <r>
    <x v="111"/>
    <x v="54"/>
    <x v="3"/>
    <n v="98"/>
  </r>
  <r>
    <x v="111"/>
    <x v="54"/>
    <x v="4"/>
    <n v="98"/>
  </r>
  <r>
    <x v="111"/>
    <x v="54"/>
    <x v="5"/>
    <n v="105"/>
  </r>
  <r>
    <x v="111"/>
    <x v="54"/>
    <x v="6"/>
    <n v="108"/>
  </r>
  <r>
    <x v="111"/>
    <x v="54"/>
    <x v="7"/>
    <n v="108"/>
  </r>
  <r>
    <x v="111"/>
    <x v="54"/>
    <x v="8"/>
    <n v="108"/>
  </r>
  <r>
    <x v="111"/>
    <x v="54"/>
    <x v="9"/>
    <n v="109"/>
  </r>
  <r>
    <x v="111"/>
    <x v="54"/>
    <x v="10"/>
    <n v="109"/>
  </r>
  <r>
    <x v="111"/>
    <x v="54"/>
    <x v="11"/>
    <n v="106"/>
  </r>
  <r>
    <x v="111"/>
    <x v="54"/>
    <x v="12"/>
    <n v="104"/>
  </r>
  <r>
    <x v="111"/>
    <x v="54"/>
    <x v="13"/>
    <n v="106"/>
  </r>
  <r>
    <x v="111"/>
    <x v="54"/>
    <x v="14"/>
    <n v="112"/>
  </r>
  <r>
    <x v="111"/>
    <x v="54"/>
    <x v="15"/>
    <n v="111"/>
  </r>
  <r>
    <x v="111"/>
    <x v="54"/>
    <x v="16"/>
    <n v="112"/>
  </r>
  <r>
    <x v="111"/>
    <x v="54"/>
    <x v="17"/>
    <n v="112"/>
  </r>
  <r>
    <x v="111"/>
    <x v="54"/>
    <x v="18"/>
    <n v="112"/>
  </r>
  <r>
    <x v="111"/>
    <x v="54"/>
    <x v="19"/>
    <n v="112"/>
  </r>
  <r>
    <x v="111"/>
    <x v="54"/>
    <x v="20"/>
    <n v="109"/>
  </r>
  <r>
    <x v="111"/>
    <x v="54"/>
    <x v="21"/>
    <n v="109"/>
  </r>
  <r>
    <x v="111"/>
    <x v="54"/>
    <x v="22"/>
    <n v="109"/>
  </r>
  <r>
    <x v="111"/>
    <x v="54"/>
    <x v="23"/>
    <n v="111"/>
  </r>
  <r>
    <x v="111"/>
    <x v="54"/>
    <x v="24"/>
    <n v="111"/>
  </r>
  <r>
    <x v="111"/>
    <x v="54"/>
    <x v="25"/>
    <n v="110"/>
  </r>
  <r>
    <x v="111"/>
    <x v="54"/>
    <x v="26"/>
    <n v="110"/>
  </r>
  <r>
    <x v="111"/>
    <x v="54"/>
    <x v="27"/>
    <n v="109"/>
  </r>
  <r>
    <x v="111"/>
    <x v="54"/>
    <x v="28"/>
    <n v="111"/>
  </r>
  <r>
    <x v="111"/>
    <x v="54"/>
    <x v="29"/>
    <n v="111"/>
  </r>
  <r>
    <x v="111"/>
    <x v="54"/>
    <x v="30"/>
    <n v="111"/>
  </r>
  <r>
    <x v="111"/>
    <x v="54"/>
    <x v="31"/>
    <n v="111"/>
  </r>
  <r>
    <x v="111"/>
    <x v="54"/>
    <x v="32"/>
    <n v="111"/>
  </r>
  <r>
    <x v="111"/>
    <x v="54"/>
    <x v="33"/>
    <n v="111"/>
  </r>
  <r>
    <x v="111"/>
    <x v="54"/>
    <x v="34"/>
    <n v="111"/>
  </r>
  <r>
    <x v="111"/>
    <x v="54"/>
    <x v="35"/>
    <n v="111"/>
  </r>
  <r>
    <x v="111"/>
    <x v="54"/>
    <x v="36"/>
    <n v="111"/>
  </r>
  <r>
    <x v="111"/>
    <x v="54"/>
    <x v="37"/>
    <n v="111"/>
  </r>
  <r>
    <x v="111"/>
    <x v="54"/>
    <x v="38"/>
    <n v="111"/>
  </r>
  <r>
    <x v="111"/>
    <x v="54"/>
    <x v="39"/>
    <n v="111"/>
  </r>
  <r>
    <x v="111"/>
    <x v="54"/>
    <x v="40"/>
    <n v="111"/>
  </r>
  <r>
    <x v="111"/>
    <x v="54"/>
    <x v="41"/>
    <n v="111"/>
  </r>
  <r>
    <x v="111"/>
    <x v="54"/>
    <x v="42"/>
    <n v="111"/>
  </r>
  <r>
    <x v="111"/>
    <x v="54"/>
    <x v="43"/>
    <n v="111"/>
  </r>
  <r>
    <x v="111"/>
    <x v="54"/>
    <x v="44"/>
    <n v="111"/>
  </r>
  <r>
    <x v="111"/>
    <x v="54"/>
    <x v="45"/>
    <n v="111"/>
  </r>
  <r>
    <x v="111"/>
    <x v="54"/>
    <x v="46"/>
    <n v="111"/>
  </r>
  <r>
    <x v="111"/>
    <x v="54"/>
    <x v="47"/>
    <n v="111"/>
  </r>
  <r>
    <x v="111"/>
    <x v="54"/>
    <x v="48"/>
    <n v="111"/>
  </r>
  <r>
    <x v="111"/>
    <x v="54"/>
    <x v="49"/>
    <n v="111"/>
  </r>
  <r>
    <x v="111"/>
    <x v="54"/>
    <x v="50"/>
    <n v="111"/>
  </r>
  <r>
    <x v="111"/>
    <x v="54"/>
    <x v="51"/>
    <n v="111"/>
  </r>
  <r>
    <x v="111"/>
    <x v="54"/>
    <x v="52"/>
    <n v="111"/>
  </r>
  <r>
    <x v="111"/>
    <x v="54"/>
    <x v="53"/>
    <n v="111"/>
  </r>
  <r>
    <x v="111"/>
    <x v="54"/>
    <x v="54"/>
    <n v="111"/>
  </r>
  <r>
    <x v="111"/>
    <x v="54"/>
    <x v="55"/>
    <n v="111"/>
  </r>
  <r>
    <x v="111"/>
    <x v="54"/>
    <x v="56"/>
    <n v="111"/>
  </r>
  <r>
    <x v="111"/>
    <x v="54"/>
    <x v="57"/>
    <n v="111"/>
  </r>
  <r>
    <x v="111"/>
    <x v="54"/>
    <x v="58"/>
    <n v="111"/>
  </r>
  <r>
    <x v="111"/>
    <x v="54"/>
    <x v="59"/>
    <n v="111"/>
  </r>
  <r>
    <x v="111"/>
    <x v="54"/>
    <x v="60"/>
    <n v="111"/>
  </r>
  <r>
    <x v="111"/>
    <x v="54"/>
    <x v="61"/>
    <n v="111"/>
  </r>
  <r>
    <x v="111"/>
    <x v="54"/>
    <x v="62"/>
    <n v="111"/>
  </r>
  <r>
    <x v="111"/>
    <x v="54"/>
    <x v="63"/>
    <n v="111"/>
  </r>
  <r>
    <x v="111"/>
    <x v="54"/>
    <x v="64"/>
    <n v="111"/>
  </r>
  <r>
    <x v="111"/>
    <x v="54"/>
    <x v="65"/>
    <n v="111"/>
  </r>
  <r>
    <x v="111"/>
    <x v="54"/>
    <x v="66"/>
    <n v="111"/>
  </r>
  <r>
    <x v="111"/>
    <x v="54"/>
    <x v="67"/>
    <n v="111"/>
  </r>
  <r>
    <x v="111"/>
    <x v="54"/>
    <x v="68"/>
    <n v="111"/>
  </r>
  <r>
    <x v="111"/>
    <x v="54"/>
    <x v="69"/>
    <n v="111"/>
  </r>
  <r>
    <x v="111"/>
    <x v="54"/>
    <x v="70"/>
    <n v="111"/>
  </r>
  <r>
    <x v="111"/>
    <x v="54"/>
    <x v="71"/>
    <n v="111"/>
  </r>
  <r>
    <x v="111"/>
    <x v="54"/>
    <x v="72"/>
    <n v="111"/>
  </r>
  <r>
    <x v="112"/>
    <x v="55"/>
    <x v="0"/>
    <n v="65"/>
  </r>
  <r>
    <x v="112"/>
    <x v="55"/>
    <x v="1"/>
    <n v="114"/>
  </r>
  <r>
    <x v="112"/>
    <x v="55"/>
    <x v="2"/>
    <n v="109"/>
  </r>
  <r>
    <x v="112"/>
    <x v="55"/>
    <x v="3"/>
    <n v="110"/>
  </r>
  <r>
    <x v="112"/>
    <x v="55"/>
    <x v="4"/>
    <n v="110"/>
  </r>
  <r>
    <x v="112"/>
    <x v="55"/>
    <x v="5"/>
    <n v="84"/>
  </r>
  <r>
    <x v="112"/>
    <x v="55"/>
    <x v="6"/>
    <n v="95"/>
  </r>
  <r>
    <x v="112"/>
    <x v="55"/>
    <x v="7"/>
    <n v="94"/>
  </r>
  <r>
    <x v="112"/>
    <x v="55"/>
    <x v="8"/>
    <n v="93"/>
  </r>
  <r>
    <x v="112"/>
    <x v="55"/>
    <x v="9"/>
    <n v="94"/>
  </r>
  <r>
    <x v="112"/>
    <x v="55"/>
    <x v="10"/>
    <n v="87"/>
  </r>
  <r>
    <x v="112"/>
    <x v="55"/>
    <x v="11"/>
    <n v="84"/>
  </r>
  <r>
    <x v="112"/>
    <x v="55"/>
    <x v="12"/>
    <n v="94"/>
  </r>
  <r>
    <x v="112"/>
    <x v="55"/>
    <x v="13"/>
    <n v="96"/>
  </r>
  <r>
    <x v="112"/>
    <x v="55"/>
    <x v="14"/>
    <n v="73"/>
  </r>
  <r>
    <x v="112"/>
    <x v="55"/>
    <x v="15"/>
    <n v="74"/>
  </r>
  <r>
    <x v="112"/>
    <x v="55"/>
    <x v="16"/>
    <n v="78"/>
  </r>
  <r>
    <x v="112"/>
    <x v="55"/>
    <x v="17"/>
    <n v="81"/>
  </r>
  <r>
    <x v="112"/>
    <x v="55"/>
    <x v="18"/>
    <n v="95"/>
  </r>
  <r>
    <x v="112"/>
    <x v="55"/>
    <x v="19"/>
    <n v="95"/>
  </r>
  <r>
    <x v="112"/>
    <x v="55"/>
    <x v="20"/>
    <n v="98"/>
  </r>
  <r>
    <x v="112"/>
    <x v="55"/>
    <x v="21"/>
    <n v="101"/>
  </r>
  <r>
    <x v="112"/>
    <x v="55"/>
    <x v="22"/>
    <n v="102"/>
  </r>
  <r>
    <x v="112"/>
    <x v="55"/>
    <x v="23"/>
    <n v="100"/>
  </r>
  <r>
    <x v="112"/>
    <x v="55"/>
    <x v="24"/>
    <n v="104"/>
  </r>
  <r>
    <x v="112"/>
    <x v="55"/>
    <x v="25"/>
    <n v="107"/>
  </r>
  <r>
    <x v="112"/>
    <x v="55"/>
    <x v="26"/>
    <n v="107"/>
  </r>
  <r>
    <x v="112"/>
    <x v="55"/>
    <x v="27"/>
    <n v="111"/>
  </r>
  <r>
    <x v="112"/>
    <x v="55"/>
    <x v="28"/>
    <n v="113"/>
  </r>
  <r>
    <x v="112"/>
    <x v="55"/>
    <x v="29"/>
    <n v="113"/>
  </r>
  <r>
    <x v="112"/>
    <x v="55"/>
    <x v="30"/>
    <n v="113"/>
  </r>
  <r>
    <x v="112"/>
    <x v="55"/>
    <x v="31"/>
    <n v="113"/>
  </r>
  <r>
    <x v="112"/>
    <x v="55"/>
    <x v="32"/>
    <n v="113"/>
  </r>
  <r>
    <x v="112"/>
    <x v="55"/>
    <x v="33"/>
    <n v="113"/>
  </r>
  <r>
    <x v="112"/>
    <x v="55"/>
    <x v="34"/>
    <n v="113"/>
  </r>
  <r>
    <x v="112"/>
    <x v="55"/>
    <x v="35"/>
    <n v="113"/>
  </r>
  <r>
    <x v="112"/>
    <x v="55"/>
    <x v="36"/>
    <n v="113"/>
  </r>
  <r>
    <x v="112"/>
    <x v="55"/>
    <x v="37"/>
    <n v="113"/>
  </r>
  <r>
    <x v="112"/>
    <x v="55"/>
    <x v="38"/>
    <n v="113"/>
  </r>
  <r>
    <x v="112"/>
    <x v="55"/>
    <x v="39"/>
    <n v="113"/>
  </r>
  <r>
    <x v="112"/>
    <x v="55"/>
    <x v="40"/>
    <n v="113"/>
  </r>
  <r>
    <x v="112"/>
    <x v="55"/>
    <x v="41"/>
    <n v="113"/>
  </r>
  <r>
    <x v="112"/>
    <x v="55"/>
    <x v="42"/>
    <n v="113"/>
  </r>
  <r>
    <x v="112"/>
    <x v="55"/>
    <x v="43"/>
    <n v="113"/>
  </r>
  <r>
    <x v="112"/>
    <x v="55"/>
    <x v="44"/>
    <n v="113"/>
  </r>
  <r>
    <x v="112"/>
    <x v="55"/>
    <x v="45"/>
    <n v="113"/>
  </r>
  <r>
    <x v="112"/>
    <x v="55"/>
    <x v="46"/>
    <n v="113"/>
  </r>
  <r>
    <x v="112"/>
    <x v="55"/>
    <x v="47"/>
    <n v="113"/>
  </r>
  <r>
    <x v="112"/>
    <x v="55"/>
    <x v="48"/>
    <n v="113"/>
  </r>
  <r>
    <x v="112"/>
    <x v="55"/>
    <x v="49"/>
    <n v="113"/>
  </r>
  <r>
    <x v="112"/>
    <x v="55"/>
    <x v="50"/>
    <n v="113"/>
  </r>
  <r>
    <x v="112"/>
    <x v="55"/>
    <x v="51"/>
    <n v="113"/>
  </r>
  <r>
    <x v="112"/>
    <x v="55"/>
    <x v="52"/>
    <n v="113"/>
  </r>
  <r>
    <x v="112"/>
    <x v="55"/>
    <x v="53"/>
    <n v="113"/>
  </r>
  <r>
    <x v="112"/>
    <x v="55"/>
    <x v="54"/>
    <n v="113"/>
  </r>
  <r>
    <x v="112"/>
    <x v="55"/>
    <x v="55"/>
    <n v="113"/>
  </r>
  <r>
    <x v="112"/>
    <x v="55"/>
    <x v="56"/>
    <n v="113"/>
  </r>
  <r>
    <x v="112"/>
    <x v="55"/>
    <x v="57"/>
    <n v="113"/>
  </r>
  <r>
    <x v="112"/>
    <x v="55"/>
    <x v="58"/>
    <n v="113"/>
  </r>
  <r>
    <x v="112"/>
    <x v="55"/>
    <x v="59"/>
    <n v="113"/>
  </r>
  <r>
    <x v="112"/>
    <x v="55"/>
    <x v="60"/>
    <n v="113"/>
  </r>
  <r>
    <x v="112"/>
    <x v="55"/>
    <x v="61"/>
    <n v="113"/>
  </r>
  <r>
    <x v="112"/>
    <x v="55"/>
    <x v="62"/>
    <n v="113"/>
  </r>
  <r>
    <x v="112"/>
    <x v="55"/>
    <x v="63"/>
    <n v="113"/>
  </r>
  <r>
    <x v="112"/>
    <x v="55"/>
    <x v="64"/>
    <n v="113"/>
  </r>
  <r>
    <x v="112"/>
    <x v="55"/>
    <x v="65"/>
    <n v="113"/>
  </r>
  <r>
    <x v="112"/>
    <x v="55"/>
    <x v="66"/>
    <n v="113"/>
  </r>
  <r>
    <x v="112"/>
    <x v="55"/>
    <x v="67"/>
    <n v="113"/>
  </r>
  <r>
    <x v="112"/>
    <x v="55"/>
    <x v="68"/>
    <n v="113"/>
  </r>
  <r>
    <x v="112"/>
    <x v="55"/>
    <x v="69"/>
    <n v="113"/>
  </r>
  <r>
    <x v="112"/>
    <x v="55"/>
    <x v="70"/>
    <n v="113"/>
  </r>
  <r>
    <x v="112"/>
    <x v="55"/>
    <x v="71"/>
    <n v="113"/>
  </r>
  <r>
    <x v="112"/>
    <x v="55"/>
    <x v="72"/>
    <n v="113"/>
  </r>
  <r>
    <x v="113"/>
    <x v="56"/>
    <x v="0"/>
    <n v="78"/>
  </r>
  <r>
    <x v="113"/>
    <x v="56"/>
    <x v="1"/>
    <n v="77"/>
  </r>
  <r>
    <x v="113"/>
    <x v="56"/>
    <x v="2"/>
    <n v="113"/>
  </r>
  <r>
    <x v="113"/>
    <x v="56"/>
    <x v="3"/>
    <n v="113"/>
  </r>
  <r>
    <x v="113"/>
    <x v="56"/>
    <x v="4"/>
    <n v="113"/>
  </r>
  <r>
    <x v="113"/>
    <x v="56"/>
    <x v="5"/>
    <n v="109"/>
  </r>
  <r>
    <x v="113"/>
    <x v="56"/>
    <x v="6"/>
    <n v="111"/>
  </r>
  <r>
    <x v="113"/>
    <x v="56"/>
    <x v="7"/>
    <n v="111"/>
  </r>
  <r>
    <x v="113"/>
    <x v="56"/>
    <x v="8"/>
    <n v="108"/>
  </r>
  <r>
    <x v="113"/>
    <x v="56"/>
    <x v="9"/>
    <n v="108"/>
  </r>
  <r>
    <x v="113"/>
    <x v="56"/>
    <x v="10"/>
    <n v="106"/>
  </r>
  <r>
    <x v="113"/>
    <x v="56"/>
    <x v="11"/>
    <n v="107"/>
  </r>
  <r>
    <x v="113"/>
    <x v="56"/>
    <x v="12"/>
    <n v="105"/>
  </r>
  <r>
    <x v="113"/>
    <x v="56"/>
    <x v="13"/>
    <n v="105"/>
  </r>
  <r>
    <x v="113"/>
    <x v="56"/>
    <x v="14"/>
    <n v="110"/>
  </r>
  <r>
    <x v="113"/>
    <x v="56"/>
    <x v="15"/>
    <n v="114"/>
  </r>
  <r>
    <x v="113"/>
    <x v="56"/>
    <x v="16"/>
    <n v="112"/>
  </r>
  <r>
    <x v="113"/>
    <x v="56"/>
    <x v="17"/>
    <n v="112"/>
  </r>
  <r>
    <x v="113"/>
    <x v="56"/>
    <x v="18"/>
    <n v="112"/>
  </r>
  <r>
    <x v="113"/>
    <x v="56"/>
    <x v="19"/>
    <n v="113"/>
  </r>
  <r>
    <x v="113"/>
    <x v="56"/>
    <x v="20"/>
    <n v="113"/>
  </r>
  <r>
    <x v="113"/>
    <x v="56"/>
    <x v="21"/>
    <n v="113"/>
  </r>
  <r>
    <x v="113"/>
    <x v="56"/>
    <x v="22"/>
    <n v="113"/>
  </r>
  <r>
    <x v="113"/>
    <x v="56"/>
    <x v="23"/>
    <n v="114"/>
  </r>
  <r>
    <x v="113"/>
    <x v="56"/>
    <x v="24"/>
    <n v="114"/>
  </r>
  <r>
    <x v="113"/>
    <x v="56"/>
    <x v="25"/>
    <n v="114"/>
  </r>
  <r>
    <x v="113"/>
    <x v="56"/>
    <x v="26"/>
    <n v="114"/>
  </r>
  <r>
    <x v="113"/>
    <x v="56"/>
    <x v="27"/>
    <n v="114"/>
  </r>
  <r>
    <x v="113"/>
    <x v="56"/>
    <x v="28"/>
    <n v="114"/>
  </r>
  <r>
    <x v="113"/>
    <x v="56"/>
    <x v="29"/>
    <n v="114"/>
  </r>
  <r>
    <x v="113"/>
    <x v="56"/>
    <x v="30"/>
    <n v="114"/>
  </r>
  <r>
    <x v="113"/>
    <x v="56"/>
    <x v="31"/>
    <n v="114"/>
  </r>
  <r>
    <x v="113"/>
    <x v="56"/>
    <x v="32"/>
    <n v="114"/>
  </r>
  <r>
    <x v="113"/>
    <x v="56"/>
    <x v="33"/>
    <n v="114"/>
  </r>
  <r>
    <x v="113"/>
    <x v="56"/>
    <x v="34"/>
    <n v="114"/>
  </r>
  <r>
    <x v="113"/>
    <x v="56"/>
    <x v="35"/>
    <n v="114"/>
  </r>
  <r>
    <x v="113"/>
    <x v="56"/>
    <x v="36"/>
    <n v="114"/>
  </r>
  <r>
    <x v="113"/>
    <x v="56"/>
    <x v="37"/>
    <n v="114"/>
  </r>
  <r>
    <x v="113"/>
    <x v="56"/>
    <x v="38"/>
    <n v="114"/>
  </r>
  <r>
    <x v="113"/>
    <x v="56"/>
    <x v="39"/>
    <n v="114"/>
  </r>
  <r>
    <x v="113"/>
    <x v="56"/>
    <x v="40"/>
    <n v="114"/>
  </r>
  <r>
    <x v="113"/>
    <x v="56"/>
    <x v="41"/>
    <n v="114"/>
  </r>
  <r>
    <x v="113"/>
    <x v="56"/>
    <x v="42"/>
    <n v="114"/>
  </r>
  <r>
    <x v="113"/>
    <x v="56"/>
    <x v="43"/>
    <n v="114"/>
  </r>
  <r>
    <x v="113"/>
    <x v="56"/>
    <x v="44"/>
    <n v="114"/>
  </r>
  <r>
    <x v="113"/>
    <x v="56"/>
    <x v="45"/>
    <n v="114"/>
  </r>
  <r>
    <x v="113"/>
    <x v="56"/>
    <x v="46"/>
    <n v="114"/>
  </r>
  <r>
    <x v="113"/>
    <x v="56"/>
    <x v="47"/>
    <n v="114"/>
  </r>
  <r>
    <x v="113"/>
    <x v="56"/>
    <x v="48"/>
    <n v="114"/>
  </r>
  <r>
    <x v="113"/>
    <x v="56"/>
    <x v="49"/>
    <n v="114"/>
  </r>
  <r>
    <x v="113"/>
    <x v="56"/>
    <x v="50"/>
    <n v="114"/>
  </r>
  <r>
    <x v="113"/>
    <x v="56"/>
    <x v="51"/>
    <n v="114"/>
  </r>
  <r>
    <x v="113"/>
    <x v="56"/>
    <x v="52"/>
    <n v="114"/>
  </r>
  <r>
    <x v="113"/>
    <x v="56"/>
    <x v="53"/>
    <n v="114"/>
  </r>
  <r>
    <x v="113"/>
    <x v="56"/>
    <x v="54"/>
    <n v="114"/>
  </r>
  <r>
    <x v="113"/>
    <x v="56"/>
    <x v="55"/>
    <n v="114"/>
  </r>
  <r>
    <x v="113"/>
    <x v="56"/>
    <x v="56"/>
    <n v="114"/>
  </r>
  <r>
    <x v="113"/>
    <x v="56"/>
    <x v="57"/>
    <n v="114"/>
  </r>
  <r>
    <x v="113"/>
    <x v="56"/>
    <x v="58"/>
    <n v="114"/>
  </r>
  <r>
    <x v="113"/>
    <x v="56"/>
    <x v="59"/>
    <n v="114"/>
  </r>
  <r>
    <x v="113"/>
    <x v="56"/>
    <x v="60"/>
    <n v="114"/>
  </r>
  <r>
    <x v="113"/>
    <x v="56"/>
    <x v="61"/>
    <n v="114"/>
  </r>
  <r>
    <x v="113"/>
    <x v="56"/>
    <x v="62"/>
    <n v="114"/>
  </r>
  <r>
    <x v="113"/>
    <x v="56"/>
    <x v="63"/>
    <n v="114"/>
  </r>
  <r>
    <x v="113"/>
    <x v="56"/>
    <x v="64"/>
    <n v="114"/>
  </r>
  <r>
    <x v="113"/>
    <x v="56"/>
    <x v="65"/>
    <n v="114"/>
  </r>
  <r>
    <x v="113"/>
    <x v="56"/>
    <x v="66"/>
    <n v="114"/>
  </r>
  <r>
    <x v="113"/>
    <x v="56"/>
    <x v="67"/>
    <n v="114"/>
  </r>
  <r>
    <x v="113"/>
    <x v="56"/>
    <x v="68"/>
    <n v="114"/>
  </r>
  <r>
    <x v="113"/>
    <x v="56"/>
    <x v="69"/>
    <n v="114"/>
  </r>
  <r>
    <x v="113"/>
    <x v="56"/>
    <x v="70"/>
    <n v="114"/>
  </r>
  <r>
    <x v="113"/>
    <x v="56"/>
    <x v="71"/>
    <n v="114"/>
  </r>
  <r>
    <x v="113"/>
    <x v="56"/>
    <x v="72"/>
    <n v="114"/>
  </r>
  <r>
    <x v="114"/>
    <x v="57"/>
    <x v="7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539DC-5D71-4C60-B7B1-7295C4EEDDAB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M34" firstHeaderRow="1" firstDataRow="2" firstDataCol="1" rowPageCount="1" colPageCount="1"/>
  <pivotFields count="4">
    <pivotField axis="axisCol" showAll="0">
      <items count="116">
        <item x="19"/>
        <item x="33"/>
        <item x="31"/>
        <item x="92"/>
        <item x="70"/>
        <item x="50"/>
        <item x="14"/>
        <item x="81"/>
        <item x="63"/>
        <item x="25"/>
        <item x="20"/>
        <item x="82"/>
        <item x="21"/>
        <item x="55"/>
        <item x="52"/>
        <item x="77"/>
        <item x="8"/>
        <item x="45"/>
        <item x="71"/>
        <item x="56"/>
        <item x="46"/>
        <item x="26"/>
        <item x="69"/>
        <item x="109"/>
        <item x="90"/>
        <item x="83"/>
        <item x="2"/>
        <item x="38"/>
        <item x="112"/>
        <item x="72"/>
        <item x="22"/>
        <item x="39"/>
        <item x="68"/>
        <item x="16"/>
        <item x="3"/>
        <item x="59"/>
        <item x="64"/>
        <item x="91"/>
        <item x="96"/>
        <item x="73"/>
        <item x="4"/>
        <item x="75"/>
        <item x="79"/>
        <item x="15"/>
        <item x="6"/>
        <item x="48"/>
        <item x="76"/>
        <item x="17"/>
        <item x="86"/>
        <item x="47"/>
        <item x="100"/>
        <item x="108"/>
        <item x="61"/>
        <item x="44"/>
        <item x="65"/>
        <item x="11"/>
        <item x="12"/>
        <item x="29"/>
        <item x="18"/>
        <item x="80"/>
        <item x="53"/>
        <item x="40"/>
        <item x="34"/>
        <item x="51"/>
        <item x="74"/>
        <item x="1"/>
        <item x="41"/>
        <item x="89"/>
        <item x="93"/>
        <item x="28"/>
        <item x="0"/>
        <item x="94"/>
        <item x="110"/>
        <item x="101"/>
        <item x="23"/>
        <item x="106"/>
        <item x="54"/>
        <item x="13"/>
        <item x="30"/>
        <item x="84"/>
        <item x="32"/>
        <item x="5"/>
        <item x="97"/>
        <item x="88"/>
        <item x="103"/>
        <item x="66"/>
        <item x="57"/>
        <item x="98"/>
        <item x="35"/>
        <item x="7"/>
        <item x="85"/>
        <item x="67"/>
        <item x="62"/>
        <item x="60"/>
        <item x="9"/>
        <item x="36"/>
        <item x="42"/>
        <item x="49"/>
        <item x="27"/>
        <item x="111"/>
        <item x="87"/>
        <item x="37"/>
        <item x="58"/>
        <item x="104"/>
        <item x="10"/>
        <item x="102"/>
        <item x="113"/>
        <item x="107"/>
        <item x="99"/>
        <item x="43"/>
        <item x="78"/>
        <item x="105"/>
        <item x="24"/>
        <item x="95"/>
        <item x="114"/>
        <item t="default"/>
      </items>
    </pivotField>
    <pivotField axis="axisPage" multipleItemSelectionAllowed="1" showAll="0">
      <items count="84">
        <item x="0"/>
        <item x="1"/>
        <item x="2"/>
        <item m="1" x="81"/>
        <item x="3"/>
        <item m="1" x="67"/>
        <item x="4"/>
        <item x="6"/>
        <item x="7"/>
        <item h="1" m="1" x="61"/>
        <item h="1" x="9"/>
        <item h="1" x="10"/>
        <item h="1" x="11"/>
        <item h="1" m="1" x="69"/>
        <item h="1" m="1" x="71"/>
        <item h="1" x="13"/>
        <item h="1" m="1" x="78"/>
        <item h="1" x="17"/>
        <item h="1" m="1" x="80"/>
        <item h="1" x="20"/>
        <item h="1" m="1" x="63"/>
        <item h="1" x="21"/>
        <item h="1" m="1" x="75"/>
        <item h="1" m="1" x="65"/>
        <item h="1" m="1" x="79"/>
        <item h="1" m="1" x="68"/>
        <item h="1" x="26"/>
        <item h="1" m="1" x="82"/>
        <item h="1" m="1" x="59"/>
        <item h="1" x="28"/>
        <item h="1" m="1" x="62"/>
        <item h="1" m="1" x="64"/>
        <item h="1" m="1" x="70"/>
        <item h="1" m="1" x="76"/>
        <item h="1" x="32"/>
        <item h="1" m="1" x="77"/>
        <item h="1" m="1" x="66"/>
        <item h="1" m="1" x="60"/>
        <item h="1" x="35"/>
        <item h="1" x="36"/>
        <item h="1" x="37"/>
        <item h="1" x="38"/>
        <item h="1" m="1" x="74"/>
        <item h="1" x="41"/>
        <item h="1" x="43"/>
        <item h="1" m="1" x="58"/>
        <item h="1" x="46"/>
        <item h="1" x="48"/>
        <item h="1" m="1" x="72"/>
        <item h="1" m="1" x="73"/>
        <item h="1" x="50"/>
        <item h="1" x="52"/>
        <item h="1" x="53"/>
        <item h="1" x="55"/>
        <item h="1" x="56"/>
        <item h="1" x="57"/>
        <item x="5"/>
        <item h="1" x="8"/>
        <item h="1" x="12"/>
        <item h="1" x="14"/>
        <item h="1" x="15"/>
        <item h="1" x="16"/>
        <item h="1" x="18"/>
        <item h="1" x="19"/>
        <item h="1" x="22"/>
        <item h="1" x="23"/>
        <item h="1" x="24"/>
        <item h="1" x="25"/>
        <item h="1" x="27"/>
        <item h="1" x="29"/>
        <item h="1" x="30"/>
        <item h="1" x="31"/>
        <item h="1" x="33"/>
        <item h="1" x="34"/>
        <item h="1" x="39"/>
        <item h="1" x="40"/>
        <item h="1" x="42"/>
        <item h="1" x="44"/>
        <item h="1" x="45"/>
        <item h="1" x="47"/>
        <item h="1" x="49"/>
        <item h="1" x="51"/>
        <item h="1" x="54"/>
        <item t="default"/>
      </items>
    </pivotField>
    <pivotField axis="axisRow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t="default"/>
      </items>
    </pivotField>
    <pivotField dataField="1" showAll="0"/>
  </pivotFields>
  <rowFields count="1">
    <field x="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0"/>
  </colFields>
  <colItems count="12">
    <i>
      <x v="16"/>
    </i>
    <i>
      <x v="26"/>
    </i>
    <i>
      <x v="34"/>
    </i>
    <i>
      <x v="40"/>
    </i>
    <i>
      <x v="44"/>
    </i>
    <i>
      <x v="65"/>
    </i>
    <i>
      <x v="70"/>
    </i>
    <i>
      <x v="81"/>
    </i>
    <i>
      <x v="89"/>
    </i>
    <i>
      <x v="94"/>
    </i>
    <i>
      <x v="104"/>
    </i>
    <i t="grand">
      <x/>
    </i>
  </colItems>
  <pageFields count="1">
    <pageField fld="1" hier="-1"/>
  </pageFields>
  <dataFields count="1">
    <dataField name="Soma de Ranking" fld="3" baseField="0" baseItem="0"/>
  </dataFields>
  <chartFormats count="9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2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2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2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2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2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2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2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2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2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2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2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2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2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2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2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2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2"/>
          </reference>
        </references>
      </pivotArea>
    </chartFormat>
    <chartFormat chart="2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2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2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2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2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2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2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2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2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2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2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2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2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2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D11CE20-60A9-495E-A485-62AA87D1693A}" autoFormatId="16" applyNumberFormats="0" applyBorderFormats="0" applyFontFormats="0" applyPatternFormats="0" applyAlignmentFormats="0" applyWidthHeightFormats="0">
  <queryTableRefresh nextId="5">
    <queryTableFields count="4">
      <queryTableField id="1" name="Jogador" tableColumnId="1"/>
      <queryTableField id="2" name="total" tableColumnId="2"/>
      <queryTableField id="3" name="Palpite" tableColumnId="3"/>
      <queryTableField id="4" name="Ranking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36B69D-0A62-4511-AEBA-47AC300AEECC}" name="TAcum" displayName="TAcum" ref="A1:BW1048576" totalsRowShown="0">
  <autoFilter ref="A1:BW1048576" xr:uid="{4036B69D-0A62-4511-AEBA-47AC300AEECC}"/>
  <tableColumns count="75">
    <tableColumn id="1" xr3:uid="{480572BB-483F-40BC-998D-DBFE07E7055F}" name="Jogador"/>
    <tableColumn id="2" xr3:uid="{23F9EB32-452F-4D0B-988F-CCAA84A50462}" name="total"/>
    <tableColumn id="3" xr3:uid="{4214FDDA-81C6-4675-A2C2-20BE2A7DFD64}" name="j01"/>
    <tableColumn id="4" xr3:uid="{C30418AA-2A64-454D-9C6B-5015C9E35EFB}" name="j02"/>
    <tableColumn id="5" xr3:uid="{E334B11D-7073-4CC3-B520-D3DD6FBD7E96}" name="j03"/>
    <tableColumn id="6" xr3:uid="{B14BF6E1-24C8-4DDF-B60C-90F6525EE433}" name="j04"/>
    <tableColumn id="7" xr3:uid="{AC21C930-38FF-469F-BB46-7329397A7895}" name="j05"/>
    <tableColumn id="8" xr3:uid="{9E1A90B3-2590-4562-83BC-6712D9370B0A}" name="j06"/>
    <tableColumn id="9" xr3:uid="{E44B1366-8A7B-4562-92F1-D5F3770C621A}" name="j07"/>
    <tableColumn id="10" xr3:uid="{C184813F-C019-4926-B936-6514926D0DB3}" name="j08"/>
    <tableColumn id="11" xr3:uid="{3B134B07-0C88-45C6-A327-EB8AF6EEBE61}" name="j09"/>
    <tableColumn id="12" xr3:uid="{4EF3C005-0663-408E-8A39-B0D83A290BD8}" name="j10"/>
    <tableColumn id="13" xr3:uid="{A5023B5E-A195-4CE9-9C29-502916ABC9F3}" name="j11"/>
    <tableColumn id="14" xr3:uid="{BFA4F52D-110D-4053-BF35-9C25CA03AA8E}" name="j12"/>
    <tableColumn id="15" xr3:uid="{D79D6934-8EFD-4272-B33D-AD3A27A97BC0}" name="j13"/>
    <tableColumn id="16" xr3:uid="{801695A2-A63F-4ED2-AC0F-21F0429E897B}" name="j14"/>
    <tableColumn id="17" xr3:uid="{F61AF983-1E7E-4D24-B353-FF574D29671F}" name="j15"/>
    <tableColumn id="18" xr3:uid="{A63B6E14-83CF-4B8D-9C8A-2FE59DD99724}" name="j16"/>
    <tableColumn id="19" xr3:uid="{3056E2AE-33A5-4578-800E-E53D274D42A4}" name="j17"/>
    <tableColumn id="20" xr3:uid="{4A784FE4-6E9A-44B6-9AED-4E7FFDFADEBF}" name="j18"/>
    <tableColumn id="21" xr3:uid="{C42D2EEA-B2B2-4A68-AC5E-0CD55509F09F}" name="j19"/>
    <tableColumn id="22" xr3:uid="{E5F2FF4B-DB40-4525-8D61-043E0C66C856}" name="j20"/>
    <tableColumn id="23" xr3:uid="{4398602A-C2E9-4D36-A575-00C2DA34D9FC}" name="j21"/>
    <tableColumn id="24" xr3:uid="{5EF2B6B9-63EE-42BC-99E2-B53D0BAD9C80}" name="j22"/>
    <tableColumn id="25" xr3:uid="{05DE143D-0F8C-483C-B931-735660BC040B}" name="j23"/>
    <tableColumn id="26" xr3:uid="{57A41F79-7693-449D-86B1-C188DFA159C1}" name="j24"/>
    <tableColumn id="27" xr3:uid="{93D5EF6B-B25D-4C45-9F81-A9F3E8D8AC44}" name="j25"/>
    <tableColumn id="28" xr3:uid="{1367F10E-49FB-493A-862F-7EB4FBABBE12}" name="j26"/>
    <tableColumn id="29" xr3:uid="{01ECD65A-8E5B-4C26-8FB2-04C5ADB0F540}" name="j27"/>
    <tableColumn id="30" xr3:uid="{C30DA32C-F601-4C18-B282-09FFCBA33CC1}" name="j28"/>
    <tableColumn id="31" xr3:uid="{286481D1-2E31-4A9F-B3CB-06C8D1CC5118}" name="j29"/>
    <tableColumn id="32" xr3:uid="{E584FAC0-CDD0-4704-A3E2-4D600A893FD9}" name="j30"/>
    <tableColumn id="33" xr3:uid="{05144C76-6B4B-401D-B9B3-4760EF210E6F}" name="j31"/>
    <tableColumn id="34" xr3:uid="{34664DA3-77B0-4F6C-8705-C7BE3FBE5ADF}" name="j32"/>
    <tableColumn id="35" xr3:uid="{E7C1CF69-2DE3-48EA-8E12-68620CC10480}" name="j33"/>
    <tableColumn id="36" xr3:uid="{BD2CD501-795F-4F08-9482-A99A7525491E}" name="j34"/>
    <tableColumn id="37" xr3:uid="{4F444D37-E164-44CC-9D35-36B0E1159BBE}" name="j35"/>
    <tableColumn id="38" xr3:uid="{4B33C57A-6BCB-4FE3-B9C8-BF0C829513F4}" name="j36"/>
    <tableColumn id="39" xr3:uid="{10B60C5C-5345-4E29-84AE-57EB62FBCF82}" name="j37"/>
    <tableColumn id="40" xr3:uid="{7DB5113E-853D-41F8-85E9-430C9EFFEF71}" name="j38"/>
    <tableColumn id="41" xr3:uid="{A2775BE5-7320-48D6-90B2-E22E7DD8B5A7}" name="j39"/>
    <tableColumn id="42" xr3:uid="{28B1836E-715B-416D-81FD-27DB21317270}" name="j40"/>
    <tableColumn id="43" xr3:uid="{994B7A0B-C596-4D83-96B4-5744AA0742E9}" name="j41"/>
    <tableColumn id="44" xr3:uid="{BBAD0640-DF86-4EA2-8A5B-3B8763D88537}" name="j42"/>
    <tableColumn id="45" xr3:uid="{745C02A8-F557-4999-BA83-6B90AF640EB1}" name="j43"/>
    <tableColumn id="46" xr3:uid="{9471CE00-9784-4B2E-80F5-65C4073BBACC}" name="j44"/>
    <tableColumn id="47" xr3:uid="{0F725DBF-5EAD-4134-8156-911AEE1918ED}" name="j45"/>
    <tableColumn id="48" xr3:uid="{E0F30529-B961-4347-96B0-080D8403A549}" name="j46"/>
    <tableColumn id="49" xr3:uid="{11DFD602-E80D-474E-B6B0-85368321523A}" name="j47"/>
    <tableColumn id="50" xr3:uid="{575AA50B-2EB8-4A46-A960-3DF138E89227}" name="j48"/>
    <tableColumn id="51" xr3:uid="{B7A03D50-D969-40A7-8204-4097C3D10349}" name="j49"/>
    <tableColumn id="52" xr3:uid="{DEB568F4-050B-4DEE-B0E2-FDB7D4C4574E}" name="j50"/>
    <tableColumn id="53" xr3:uid="{A67F18F6-57EA-4DD4-A1C4-F30260D84B9E}" name="j51"/>
    <tableColumn id="54" xr3:uid="{5B67F6C7-A9E9-4185-AA4C-20F989342931}" name="j52"/>
    <tableColumn id="55" xr3:uid="{B2184780-BE00-4BC9-A8CB-F56D54435B00}" name="j53"/>
    <tableColumn id="56" xr3:uid="{5E3E0D53-AEE2-4BD5-9404-DA9535C53891}" name="j54"/>
    <tableColumn id="57" xr3:uid="{E1C05683-1F70-4530-90A7-5902BB578380}" name="j55"/>
    <tableColumn id="58" xr3:uid="{2383AE60-B5E1-4AE5-A8BB-9DE71B358723}" name="j56"/>
    <tableColumn id="59" xr3:uid="{34A950D6-9758-48D5-B5E4-4A84DCCD5340}" name="j57"/>
    <tableColumn id="60" xr3:uid="{AFD8E50C-D718-45E7-AD79-46A0FE60D672}" name="j58"/>
    <tableColumn id="61" xr3:uid="{AB1963F0-01CD-4595-943F-B91327714849}" name="j59"/>
    <tableColumn id="62" xr3:uid="{EC5399C0-7025-48F7-B7A2-CBD9A176F266}" name="j60"/>
    <tableColumn id="63" xr3:uid="{E690E20B-E343-4289-9B70-1570D512A3E3}" name="j61"/>
    <tableColumn id="64" xr3:uid="{31F187A7-6985-4A9A-B27F-59CD5C8DB042}" name="j62"/>
    <tableColumn id="65" xr3:uid="{D9A57DFB-A560-48A5-9132-C2AD69491ACC}" name="j63"/>
    <tableColumn id="66" xr3:uid="{3ACAADDC-38FA-4FD8-8F41-993B2027FEFC}" name="j64"/>
    <tableColumn id="67" xr3:uid="{DD15A628-2419-41E6-AB20-8B66EE7282A1}" name="j65"/>
    <tableColumn id="68" xr3:uid="{E94EF1B3-25AB-4E20-B912-AEDD53159D33}" name="j66"/>
    <tableColumn id="69" xr3:uid="{D15C37CB-E3C1-47CA-AB9F-514D75EF6071}" name="j67"/>
    <tableColumn id="70" xr3:uid="{1983B34C-793F-4F5F-A68A-A791B1E13603}" name="j68"/>
    <tableColumn id="71" xr3:uid="{8B877610-B6D3-46A1-A2BD-AFEEBFDC38AC}" name="j69"/>
    <tableColumn id="72" xr3:uid="{B3114297-297E-4D61-ACFA-B8C0C6842786}" name="j70"/>
    <tableColumn id="73" xr3:uid="{C67BDB7E-3FAA-4A93-A695-014BE31F763C}" name="j71"/>
    <tableColumn id="74" xr3:uid="{6879AA88-F036-4E6B-95C9-7CEF458E7DB2}" name="j72"/>
    <tableColumn id="75" xr3:uid="{1533064F-46CB-4C69-8415-9E476EF647D3}" name="j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7ECA14-BA04-4BFC-8F96-6CEF5A440810}" name="Tabela5" displayName="Tabela5" ref="A1:BW1048576" totalsRowShown="0">
  <autoFilter ref="A1:BW1048576" xr:uid="{AD7ECA14-BA04-4BFC-8F96-6CEF5A440810}"/>
  <tableColumns count="75">
    <tableColumn id="1" xr3:uid="{A2EC6851-CE5F-493A-A134-622D3082EEB2}" name="Jogador"/>
    <tableColumn id="2" xr3:uid="{2C77044F-A121-4ED7-BEDC-C0B9763FCF50}" name="total"/>
    <tableColumn id="3" xr3:uid="{0B2D42D3-FE35-4EE4-A969-968A1A54B227}" name="j01"/>
    <tableColumn id="4" xr3:uid="{B3B3340C-7885-4FD5-B7F0-DC984773418A}" name="j02"/>
    <tableColumn id="5" xr3:uid="{0B5BAABE-DD60-4EB7-B4B6-838DAA57DEF3}" name="j03"/>
    <tableColumn id="6" xr3:uid="{CD4B2E53-219E-43B7-B5EA-C90D53FCE34F}" name="j04"/>
    <tableColumn id="7" xr3:uid="{68FB4DE3-61F2-4FEF-AA03-B8D97D2CC1E1}" name="j05"/>
    <tableColumn id="8" xr3:uid="{73E99C5B-2231-4E22-B0B0-0DA630D610D9}" name="j06"/>
    <tableColumn id="9" xr3:uid="{CAA85BC6-EFE8-4ABD-BFB8-EB2C51EEF786}" name="j07"/>
    <tableColumn id="10" xr3:uid="{28193899-C957-43A8-AB5E-23B18D7996CB}" name="j08"/>
    <tableColumn id="11" xr3:uid="{7E82D4E8-1D97-42E6-B987-4BF7E57526B4}" name="j09"/>
    <tableColumn id="12" xr3:uid="{EAD1C8FF-475C-4A63-92DF-A2C501962A43}" name="j10"/>
    <tableColumn id="13" xr3:uid="{9097A422-A157-44FA-A7E0-B13D059317D8}" name="j11"/>
    <tableColumn id="14" xr3:uid="{449903BB-3659-45BD-A991-7DEFDF0E2F7A}" name="j12"/>
    <tableColumn id="15" xr3:uid="{2EF7612F-D326-4029-813C-C4B62257D942}" name="j13"/>
    <tableColumn id="16" xr3:uid="{6A057821-55D4-44EA-8075-DB738D2AAE45}" name="j14"/>
    <tableColumn id="17" xr3:uid="{1BCAB8B1-0AF6-4D5B-A32D-5824A2DA6DA2}" name="j15"/>
    <tableColumn id="18" xr3:uid="{751A6AD3-9815-4D9B-BAFC-0F52E6C59C70}" name="j16"/>
    <tableColumn id="19" xr3:uid="{D713136F-5D33-4369-AF07-8C02A9499947}" name="j17"/>
    <tableColumn id="20" xr3:uid="{CBDE3740-C52C-4568-8689-C20056F87E88}" name="j18"/>
    <tableColumn id="21" xr3:uid="{76199060-01C5-428C-9FBD-2BA2F1DE7316}" name="j19"/>
    <tableColumn id="22" xr3:uid="{5991CAC5-B00F-4A4B-89A9-F011AF834F01}" name="j20"/>
    <tableColumn id="23" xr3:uid="{FFBE21E0-F627-4048-9745-725F23C9AE58}" name="j21"/>
    <tableColumn id="24" xr3:uid="{19E5EF5F-98F0-4034-8B1E-EAADCA88BF82}" name="j22"/>
    <tableColumn id="25" xr3:uid="{7C6923AB-F9E4-47AC-ADEA-8528A165EE6A}" name="j23"/>
    <tableColumn id="26" xr3:uid="{7123F6F3-36D9-46B8-ABE3-96C16360173C}" name="j24"/>
    <tableColumn id="27" xr3:uid="{B3BC8AA4-EAE6-4E6D-B085-62FA6FC0F774}" name="j25"/>
    <tableColumn id="28" xr3:uid="{A704D02A-49A8-427B-823E-E0797E22F4BC}" name="j26"/>
    <tableColumn id="29" xr3:uid="{F2A605CF-83E0-4FB7-8847-790449FD92C7}" name="j27"/>
    <tableColumn id="30" xr3:uid="{9E27BD1A-A9C7-4270-9A0B-22C7B5B4F7C7}" name="j28"/>
    <tableColumn id="31" xr3:uid="{FE5C9F24-8653-4862-8535-F2DE28F3A549}" name="j29"/>
    <tableColumn id="32" xr3:uid="{BB781453-E4DD-4126-8087-6D9B36E7A9B1}" name="j30"/>
    <tableColumn id="33" xr3:uid="{4BA525A7-AE18-4D81-B261-1CA0A05D0DE1}" name="j31"/>
    <tableColumn id="34" xr3:uid="{BE56383C-5D92-4C60-93A2-9F4058257114}" name="j32"/>
    <tableColumn id="35" xr3:uid="{BBDC499D-0F7F-42E3-A9D3-651447C89A57}" name="j33"/>
    <tableColumn id="36" xr3:uid="{8FF8BA76-FB2A-47B7-9DAF-8DF5A44D8787}" name="j34"/>
    <tableColumn id="37" xr3:uid="{6B66713D-3B01-4F02-AD99-E8F9D7BBE71F}" name="j35"/>
    <tableColumn id="38" xr3:uid="{00E1A025-91C5-445A-908B-C9426DF21CEE}" name="j36"/>
    <tableColumn id="39" xr3:uid="{36275D95-A0D6-418F-8576-6130AE1E3D83}" name="j37"/>
    <tableColumn id="40" xr3:uid="{0C35387A-7AE5-42B4-92DC-399F2E7F1175}" name="j38"/>
    <tableColumn id="41" xr3:uid="{2FD54626-F5C8-41CA-8D7B-7565DD229F81}" name="j39"/>
    <tableColumn id="42" xr3:uid="{74DC27E9-C16A-44DD-B30C-C0546A03912E}" name="j40"/>
    <tableColumn id="43" xr3:uid="{A8D9ED5D-4533-4992-B12A-22103C05E826}" name="j41"/>
    <tableColumn id="44" xr3:uid="{DF465070-01E7-41A4-B69E-EA82A9A1B028}" name="j42"/>
    <tableColumn id="45" xr3:uid="{42361E5C-A85C-4BCF-ADF2-269557471587}" name="j43"/>
    <tableColumn id="46" xr3:uid="{312F85B3-B662-4062-9A10-A9F605019160}" name="j44"/>
    <tableColumn id="47" xr3:uid="{23EC2AAE-F07B-47FF-AC17-94961D5DB1D7}" name="j45"/>
    <tableColumn id="48" xr3:uid="{68001A4E-AF3C-4368-BDD4-2093F2395AA5}" name="j46"/>
    <tableColumn id="49" xr3:uid="{36736012-0389-4048-912C-64CF664B39C3}" name="j47"/>
    <tableColumn id="50" xr3:uid="{10D4294D-0735-4391-AE08-47B6D5367F02}" name="j48"/>
    <tableColumn id="51" xr3:uid="{1E9F93A2-377F-4B04-AC77-5D59F4CF6B86}" name="j49"/>
    <tableColumn id="52" xr3:uid="{D5E5B956-2291-412D-BFF0-E48E3531252B}" name="j50"/>
    <tableColumn id="53" xr3:uid="{ACEFC779-9A66-42C9-BBB3-D9552EDB690E}" name="j51"/>
    <tableColumn id="54" xr3:uid="{CEA2DCE1-D6F2-4265-B0C8-F3D46308C906}" name="j52"/>
    <tableColumn id="55" xr3:uid="{FC241B1C-2912-4417-9B74-98F301B8F4A8}" name="j53"/>
    <tableColumn id="56" xr3:uid="{C38B45C2-A78A-45FE-965C-8E602F258BFA}" name="j54"/>
    <tableColumn id="57" xr3:uid="{F9A359C6-32EB-4C80-B27A-525BD44CD7A7}" name="j55"/>
    <tableColumn id="58" xr3:uid="{57FB1AAC-5432-4ED2-8D7A-5283A7B4B53E}" name="j56"/>
    <tableColumn id="59" xr3:uid="{3574AE42-E3B9-4F69-BF5E-2D852C86B69C}" name="j57"/>
    <tableColumn id="60" xr3:uid="{85340F1B-1676-4566-A9C3-D65B85807B47}" name="j58"/>
    <tableColumn id="61" xr3:uid="{D7AF2A7C-4463-4D1B-A796-4E42E53BB34C}" name="j59"/>
    <tableColumn id="62" xr3:uid="{EDE8B8D4-AF74-4B32-9A6E-00F2E7935931}" name="j60"/>
    <tableColumn id="63" xr3:uid="{FD4CE150-C2AF-4E24-B7FD-F710A4969403}" name="j61"/>
    <tableColumn id="64" xr3:uid="{28096F66-E1C7-426D-99F6-47539A9ECDA4}" name="j62"/>
    <tableColumn id="65" xr3:uid="{E77E372F-8B54-44CD-84A8-6341B52A378D}" name="j63"/>
    <tableColumn id="66" xr3:uid="{D49CD0D3-4EEB-4374-8755-0821BCE7CD3B}" name="j64"/>
    <tableColumn id="67" xr3:uid="{8499882F-E9E5-4511-B045-96E85D2D1E4F}" name="j65"/>
    <tableColumn id="68" xr3:uid="{08A01974-0C04-4D2A-8B67-865D6B3A1D94}" name="j66"/>
    <tableColumn id="69" xr3:uid="{80505FEF-374E-4696-824D-9066FB6229B9}" name="j67"/>
    <tableColumn id="70" xr3:uid="{AB401767-B821-4639-8CA0-AA599A5792BD}" name="j68"/>
    <tableColumn id="71" xr3:uid="{9C2CBDA6-7F50-41E5-A1BD-0001E3B2B376}" name="j69"/>
    <tableColumn id="72" xr3:uid="{BB9DBD70-57B9-4B5F-AAE0-E395A1595865}" name="j70"/>
    <tableColumn id="73" xr3:uid="{A205185C-F775-4917-9E21-4DA7771E0227}" name="j71"/>
    <tableColumn id="74" xr3:uid="{25D3F54D-B560-4EC4-B0A4-56E2E0A26F7E}" name="j72"/>
    <tableColumn id="75" xr3:uid="{B180DFF3-BF5E-496F-8415-875BA3EC0823}" name="j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0E3DEA-228B-400E-B6D7-E3BECDB643BB}" name="Tabela5_2" displayName="Tabela5_2" ref="A1:D8323" tableType="queryTable" totalsRowShown="0">
  <autoFilter ref="A1:D8323" xr:uid="{CC0E3DEA-228B-400E-B6D7-E3BECDB643BB}">
    <filterColumn colId="0">
      <filters>
        <filter val="Camila Dourado"/>
        <filter val="Rafael Vieira Valente"/>
      </filters>
    </filterColumn>
  </autoFilter>
  <tableColumns count="4">
    <tableColumn id="1" xr3:uid="{6F73AF0B-57F0-4100-91F6-43785008CEC9}" uniqueName="1" name="Jogador" queryTableFieldId="1" dataDxfId="1"/>
    <tableColumn id="2" xr3:uid="{E1E2262D-0DE8-4EB4-A12B-E9A7BFC6881C}" uniqueName="2" name="total" queryTableFieldId="2"/>
    <tableColumn id="3" xr3:uid="{D7A26409-0E94-40B9-8467-DF40774CF0E8}" uniqueName="3" name="Palpite" queryTableFieldId="3" dataDxfId="0"/>
    <tableColumn id="4" xr3:uid="{2AF2E640-B92A-44BA-AE59-AD6828373553}" uniqueName="4" name="Ranking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4973-D813-4AD0-A9B6-9589C02360E9}">
  <dimension ref="A1:BW115"/>
  <sheetViews>
    <sheetView zoomScale="115" zoomScaleNormal="115" workbookViewId="0">
      <selection activeCell="B9" sqref="B9"/>
    </sheetView>
  </sheetViews>
  <sheetFormatPr defaultRowHeight="15.75" x14ac:dyDescent="0.25"/>
  <cols>
    <col min="1" max="1" width="26.25" bestFit="1" customWidth="1"/>
    <col min="2" max="2" width="9" style="1"/>
    <col min="3" max="14" width="9" style="1" customWidth="1"/>
    <col min="15" max="19" width="9" customWidth="1"/>
  </cols>
  <sheetData>
    <row r="1" spans="1:75" x14ac:dyDescent="0.25">
      <c r="A1" t="s">
        <v>115</v>
      </c>
      <c r="B1" s="1" t="s">
        <v>114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164</v>
      </c>
      <c r="BI1" s="1" t="s">
        <v>165</v>
      </c>
      <c r="BJ1" s="1" t="s">
        <v>166</v>
      </c>
      <c r="BK1" s="1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1" t="s">
        <v>176</v>
      </c>
      <c r="BU1" s="1" t="s">
        <v>177</v>
      </c>
      <c r="BV1" s="1" t="s">
        <v>178</v>
      </c>
      <c r="BW1" s="1" t="s">
        <v>179</v>
      </c>
    </row>
    <row r="2" spans="1:75" x14ac:dyDescent="0.25">
      <c r="A2" t="s">
        <v>67</v>
      </c>
      <c r="B2" s="1">
        <f>SUM(C2:BW2)</f>
        <v>168</v>
      </c>
      <c r="C2" s="1">
        <v>8</v>
      </c>
      <c r="D2" s="1">
        <v>6</v>
      </c>
      <c r="E2" s="1">
        <v>6</v>
      </c>
      <c r="F2" s="1">
        <v>13</v>
      </c>
      <c r="G2" s="1">
        <v>0</v>
      </c>
      <c r="H2" s="1">
        <v>2</v>
      </c>
      <c r="I2" s="1">
        <v>6</v>
      </c>
      <c r="J2" s="1">
        <v>8</v>
      </c>
      <c r="K2" s="1">
        <v>2</v>
      </c>
      <c r="L2" s="1">
        <v>0</v>
      </c>
      <c r="M2" s="1">
        <v>6</v>
      </c>
      <c r="N2" s="1">
        <v>6</v>
      </c>
      <c r="O2" s="1">
        <v>6</v>
      </c>
      <c r="P2" s="1">
        <v>2</v>
      </c>
      <c r="Q2" s="1">
        <v>8</v>
      </c>
      <c r="R2" s="1">
        <v>13</v>
      </c>
      <c r="S2" s="1">
        <v>0</v>
      </c>
      <c r="T2" s="1">
        <v>0</v>
      </c>
      <c r="U2" s="1">
        <v>6</v>
      </c>
      <c r="V2" s="1">
        <v>13</v>
      </c>
      <c r="W2" s="1">
        <v>0</v>
      </c>
      <c r="X2" s="1">
        <v>13</v>
      </c>
      <c r="Y2" s="1">
        <v>13</v>
      </c>
      <c r="Z2" s="1">
        <v>8</v>
      </c>
      <c r="AA2" s="1">
        <v>13</v>
      </c>
      <c r="AB2" s="1">
        <v>2</v>
      </c>
      <c r="AC2" s="1">
        <v>0</v>
      </c>
      <c r="AD2" s="1">
        <v>6</v>
      </c>
      <c r="AE2" s="1">
        <v>2</v>
      </c>
    </row>
    <row r="3" spans="1:75" x14ac:dyDescent="0.25">
      <c r="A3" t="s">
        <v>62</v>
      </c>
      <c r="B3" s="1">
        <f t="shared" ref="B3:B66" si="0">SUM(C3:BW3)</f>
        <v>167</v>
      </c>
      <c r="C3" s="1">
        <v>8</v>
      </c>
      <c r="D3" s="1">
        <v>6</v>
      </c>
      <c r="E3" s="1">
        <v>8</v>
      </c>
      <c r="F3" s="1">
        <v>13</v>
      </c>
      <c r="G3" s="1">
        <v>0</v>
      </c>
      <c r="H3" s="1">
        <v>2</v>
      </c>
      <c r="I3" s="1">
        <v>6</v>
      </c>
      <c r="J3" s="1">
        <v>6</v>
      </c>
      <c r="K3" s="1">
        <v>2</v>
      </c>
      <c r="L3" s="1">
        <v>2</v>
      </c>
      <c r="M3" s="1">
        <v>8</v>
      </c>
      <c r="N3" s="1">
        <v>8</v>
      </c>
      <c r="O3" s="1">
        <v>13</v>
      </c>
      <c r="P3" s="1">
        <v>6</v>
      </c>
      <c r="Q3" s="1">
        <v>6</v>
      </c>
      <c r="R3" s="1">
        <v>13</v>
      </c>
      <c r="S3" s="1">
        <v>7</v>
      </c>
      <c r="T3" s="1">
        <v>0</v>
      </c>
      <c r="U3" s="1">
        <v>8</v>
      </c>
      <c r="V3" s="1">
        <v>6</v>
      </c>
      <c r="W3" s="1">
        <v>0</v>
      </c>
      <c r="X3" s="1">
        <v>2</v>
      </c>
      <c r="Y3" s="1">
        <v>8</v>
      </c>
      <c r="Z3" s="1">
        <v>13</v>
      </c>
      <c r="AA3" s="1">
        <v>8</v>
      </c>
      <c r="AB3" s="1">
        <v>0</v>
      </c>
      <c r="AC3" s="1">
        <v>0</v>
      </c>
      <c r="AD3" s="1">
        <v>2</v>
      </c>
      <c r="AE3" s="1">
        <v>6</v>
      </c>
    </row>
    <row r="4" spans="1:75" x14ac:dyDescent="0.25">
      <c r="A4" t="s">
        <v>26</v>
      </c>
      <c r="B4" s="1">
        <f t="shared" si="0"/>
        <v>166</v>
      </c>
      <c r="C4" s="1">
        <v>8</v>
      </c>
      <c r="D4" s="1">
        <v>6</v>
      </c>
      <c r="E4" s="1">
        <v>13</v>
      </c>
      <c r="F4" s="1">
        <v>13</v>
      </c>
      <c r="G4" s="1">
        <v>0</v>
      </c>
      <c r="H4" s="1">
        <v>2</v>
      </c>
      <c r="I4" s="1">
        <v>0</v>
      </c>
      <c r="J4" s="1">
        <v>6</v>
      </c>
      <c r="K4" s="1">
        <v>2</v>
      </c>
      <c r="L4" s="1">
        <v>0</v>
      </c>
      <c r="M4" s="1">
        <v>8</v>
      </c>
      <c r="N4" s="1">
        <v>8</v>
      </c>
      <c r="O4" s="1">
        <v>13</v>
      </c>
      <c r="P4" s="1">
        <v>2</v>
      </c>
      <c r="Q4" s="1">
        <v>6</v>
      </c>
      <c r="R4" s="1">
        <v>8</v>
      </c>
      <c r="S4" s="1">
        <v>7</v>
      </c>
      <c r="T4" s="1">
        <v>0</v>
      </c>
      <c r="U4" s="1">
        <v>6</v>
      </c>
      <c r="V4" s="1">
        <v>2</v>
      </c>
      <c r="W4" s="1">
        <v>2</v>
      </c>
      <c r="X4" s="1">
        <v>6</v>
      </c>
      <c r="Y4" s="1">
        <v>13</v>
      </c>
      <c r="Z4" s="1">
        <v>13</v>
      </c>
      <c r="AA4" s="1">
        <v>6</v>
      </c>
      <c r="AB4" s="1">
        <v>2</v>
      </c>
      <c r="AC4" s="1">
        <v>0</v>
      </c>
      <c r="AD4" s="1">
        <v>8</v>
      </c>
      <c r="AE4" s="1">
        <v>6</v>
      </c>
    </row>
    <row r="5" spans="1:75" x14ac:dyDescent="0.25">
      <c r="A5" t="s">
        <v>34</v>
      </c>
      <c r="B5" s="1">
        <f t="shared" si="0"/>
        <v>166</v>
      </c>
      <c r="C5" s="1">
        <v>13</v>
      </c>
      <c r="D5" s="1">
        <v>6</v>
      </c>
      <c r="E5" s="1">
        <v>8</v>
      </c>
      <c r="F5" s="1">
        <v>2</v>
      </c>
      <c r="G5" s="1">
        <v>0</v>
      </c>
      <c r="H5" s="1">
        <v>2</v>
      </c>
      <c r="I5" s="1">
        <v>2</v>
      </c>
      <c r="J5" s="1">
        <v>6</v>
      </c>
      <c r="K5" s="1">
        <v>2</v>
      </c>
      <c r="L5" s="1">
        <v>0</v>
      </c>
      <c r="M5" s="1">
        <v>8</v>
      </c>
      <c r="N5" s="1">
        <v>6</v>
      </c>
      <c r="O5" s="1">
        <v>13</v>
      </c>
      <c r="P5" s="1">
        <v>2</v>
      </c>
      <c r="Q5" s="1">
        <v>6</v>
      </c>
      <c r="R5" s="1">
        <v>13</v>
      </c>
      <c r="S5" s="1">
        <v>0</v>
      </c>
      <c r="T5" s="1">
        <v>0</v>
      </c>
      <c r="U5" s="1">
        <v>13</v>
      </c>
      <c r="V5" s="1">
        <v>0</v>
      </c>
      <c r="W5" s="1">
        <v>13</v>
      </c>
      <c r="X5" s="1">
        <v>8</v>
      </c>
      <c r="Y5" s="1">
        <v>8</v>
      </c>
      <c r="Z5" s="1">
        <v>6</v>
      </c>
      <c r="AA5" s="1">
        <v>8</v>
      </c>
      <c r="AB5" s="1">
        <v>13</v>
      </c>
      <c r="AC5" s="1">
        <v>0</v>
      </c>
      <c r="AD5" s="1">
        <v>6</v>
      </c>
      <c r="AE5" s="1">
        <v>2</v>
      </c>
    </row>
    <row r="6" spans="1:75" x14ac:dyDescent="0.25">
      <c r="A6" t="s">
        <v>40</v>
      </c>
      <c r="B6" s="1">
        <f t="shared" si="0"/>
        <v>163</v>
      </c>
      <c r="C6" s="1">
        <v>8</v>
      </c>
      <c r="D6" s="1">
        <v>6</v>
      </c>
      <c r="E6" s="1">
        <v>8</v>
      </c>
      <c r="F6" s="1">
        <v>13</v>
      </c>
      <c r="G6" s="1">
        <v>0</v>
      </c>
      <c r="H6" s="1">
        <v>2</v>
      </c>
      <c r="I6" s="1">
        <v>6</v>
      </c>
      <c r="J6" s="1">
        <v>8</v>
      </c>
      <c r="K6" s="1">
        <v>2</v>
      </c>
      <c r="L6" s="1">
        <v>0</v>
      </c>
      <c r="M6" s="1">
        <v>8</v>
      </c>
      <c r="N6" s="1">
        <v>8</v>
      </c>
      <c r="O6" s="1">
        <v>13</v>
      </c>
      <c r="P6" s="1">
        <v>6</v>
      </c>
      <c r="Q6" s="1">
        <v>6</v>
      </c>
      <c r="R6" s="1">
        <v>13</v>
      </c>
      <c r="S6" s="1">
        <v>7</v>
      </c>
      <c r="T6" s="1">
        <v>0</v>
      </c>
      <c r="U6" s="1">
        <v>0</v>
      </c>
      <c r="V6" s="1">
        <v>2</v>
      </c>
      <c r="W6" s="1">
        <v>2</v>
      </c>
      <c r="X6" s="1">
        <v>13</v>
      </c>
      <c r="Y6" s="1">
        <v>8</v>
      </c>
      <c r="Z6" s="1">
        <v>2</v>
      </c>
      <c r="AA6" s="1">
        <v>8</v>
      </c>
      <c r="AB6" s="1">
        <v>0</v>
      </c>
      <c r="AC6" s="1">
        <v>0</v>
      </c>
      <c r="AD6" s="1">
        <v>8</v>
      </c>
      <c r="AE6" s="1">
        <v>6</v>
      </c>
    </row>
    <row r="7" spans="1:75" x14ac:dyDescent="0.25">
      <c r="A7" t="s">
        <v>78</v>
      </c>
      <c r="B7" s="1">
        <f t="shared" si="0"/>
        <v>163</v>
      </c>
      <c r="C7" s="1">
        <v>6</v>
      </c>
      <c r="D7" s="1">
        <v>6</v>
      </c>
      <c r="E7" s="1">
        <v>8</v>
      </c>
      <c r="F7" s="1">
        <v>13</v>
      </c>
      <c r="G7" s="1">
        <v>0</v>
      </c>
      <c r="H7" s="1">
        <v>2</v>
      </c>
      <c r="I7" s="1">
        <v>6</v>
      </c>
      <c r="J7" s="1">
        <v>8</v>
      </c>
      <c r="K7" s="1">
        <v>6</v>
      </c>
      <c r="L7" s="1">
        <v>0</v>
      </c>
      <c r="M7" s="1">
        <v>0</v>
      </c>
      <c r="N7" s="1">
        <v>8</v>
      </c>
      <c r="O7" s="1">
        <v>2</v>
      </c>
      <c r="P7" s="1">
        <v>13</v>
      </c>
      <c r="Q7" s="1">
        <v>6</v>
      </c>
      <c r="R7" s="1">
        <v>8</v>
      </c>
      <c r="S7" s="1">
        <v>0</v>
      </c>
      <c r="T7" s="1">
        <v>2</v>
      </c>
      <c r="U7" s="1">
        <v>2</v>
      </c>
      <c r="V7" s="1">
        <v>13</v>
      </c>
      <c r="W7" s="1">
        <v>2</v>
      </c>
      <c r="X7" s="1">
        <v>13</v>
      </c>
      <c r="Y7" s="1">
        <v>8</v>
      </c>
      <c r="Z7" s="1">
        <v>6</v>
      </c>
      <c r="AA7" s="1">
        <v>13</v>
      </c>
      <c r="AB7" s="1">
        <v>0</v>
      </c>
      <c r="AC7" s="1">
        <v>0</v>
      </c>
      <c r="AD7" s="1">
        <v>6</v>
      </c>
      <c r="AE7" s="1">
        <v>6</v>
      </c>
    </row>
    <row r="8" spans="1:75" x14ac:dyDescent="0.25">
      <c r="A8" t="s">
        <v>43</v>
      </c>
      <c r="B8" s="1">
        <f t="shared" si="0"/>
        <v>161</v>
      </c>
      <c r="C8" s="1">
        <v>8</v>
      </c>
      <c r="D8" s="1">
        <v>6</v>
      </c>
      <c r="E8" s="1">
        <v>13</v>
      </c>
      <c r="F8" s="1">
        <v>13</v>
      </c>
      <c r="G8" s="1">
        <v>0</v>
      </c>
      <c r="H8" s="1">
        <v>2</v>
      </c>
      <c r="I8" s="1">
        <v>6</v>
      </c>
      <c r="J8" s="1">
        <v>8</v>
      </c>
      <c r="K8" s="1">
        <v>2</v>
      </c>
      <c r="L8" s="1">
        <v>2</v>
      </c>
      <c r="M8" s="1">
        <v>6</v>
      </c>
      <c r="N8" s="1">
        <v>6</v>
      </c>
      <c r="O8" s="1">
        <v>0</v>
      </c>
      <c r="P8" s="1">
        <v>2</v>
      </c>
      <c r="Q8" s="1">
        <v>6</v>
      </c>
      <c r="R8" s="1">
        <v>8</v>
      </c>
      <c r="S8" s="1">
        <v>0</v>
      </c>
      <c r="T8" s="1">
        <v>8</v>
      </c>
      <c r="U8" s="1">
        <v>13</v>
      </c>
      <c r="V8" s="1">
        <v>2</v>
      </c>
      <c r="W8" s="1">
        <v>0</v>
      </c>
      <c r="X8" s="1">
        <v>13</v>
      </c>
      <c r="Y8" s="1">
        <v>8</v>
      </c>
      <c r="Z8" s="1">
        <v>13</v>
      </c>
      <c r="AA8" s="1">
        <v>2</v>
      </c>
      <c r="AB8" s="1">
        <v>2</v>
      </c>
      <c r="AC8" s="1">
        <v>0</v>
      </c>
      <c r="AD8" s="1">
        <v>6</v>
      </c>
      <c r="AE8" s="1">
        <v>6</v>
      </c>
    </row>
    <row r="9" spans="1:75" x14ac:dyDescent="0.25">
      <c r="A9" t="s">
        <v>86</v>
      </c>
      <c r="B9" s="1">
        <f t="shared" si="0"/>
        <v>159</v>
      </c>
      <c r="C9" s="1">
        <v>8</v>
      </c>
      <c r="D9" s="1">
        <v>6</v>
      </c>
      <c r="E9" s="1">
        <v>8</v>
      </c>
      <c r="F9" s="1">
        <v>13</v>
      </c>
      <c r="G9" s="1">
        <v>0</v>
      </c>
      <c r="H9" s="1">
        <v>0</v>
      </c>
      <c r="I9" s="1">
        <v>6</v>
      </c>
      <c r="J9" s="1">
        <v>6</v>
      </c>
      <c r="K9" s="1">
        <v>2</v>
      </c>
      <c r="L9" s="1">
        <v>0</v>
      </c>
      <c r="M9" s="1">
        <v>8</v>
      </c>
      <c r="N9" s="1">
        <v>13</v>
      </c>
      <c r="O9" s="1">
        <v>13</v>
      </c>
      <c r="P9" s="1">
        <v>2</v>
      </c>
      <c r="Q9" s="1">
        <v>0</v>
      </c>
      <c r="R9" s="1">
        <v>6</v>
      </c>
      <c r="S9" s="1">
        <v>0</v>
      </c>
      <c r="T9" s="1">
        <v>8</v>
      </c>
      <c r="U9" s="1">
        <v>6</v>
      </c>
      <c r="V9" s="1">
        <v>2</v>
      </c>
      <c r="W9" s="1">
        <v>2</v>
      </c>
      <c r="X9" s="1">
        <v>2</v>
      </c>
      <c r="Y9" s="1">
        <v>13</v>
      </c>
      <c r="Z9" s="1">
        <v>0</v>
      </c>
      <c r="AA9" s="1">
        <v>8</v>
      </c>
      <c r="AB9" s="1">
        <v>13</v>
      </c>
      <c r="AC9" s="1">
        <v>0</v>
      </c>
      <c r="AD9" s="1">
        <v>8</v>
      </c>
      <c r="AE9" s="1">
        <v>6</v>
      </c>
    </row>
    <row r="10" spans="1:75" x14ac:dyDescent="0.25">
      <c r="A10" t="s">
        <v>16</v>
      </c>
      <c r="B10" s="1">
        <f t="shared" si="0"/>
        <v>158</v>
      </c>
      <c r="C10" s="1">
        <v>8</v>
      </c>
      <c r="D10" s="1">
        <v>6</v>
      </c>
      <c r="E10" s="1">
        <v>13</v>
      </c>
      <c r="F10" s="1">
        <v>13</v>
      </c>
      <c r="G10" s="1">
        <v>0</v>
      </c>
      <c r="H10" s="1">
        <v>2</v>
      </c>
      <c r="I10" s="1">
        <v>6</v>
      </c>
      <c r="J10" s="1">
        <v>6</v>
      </c>
      <c r="K10" s="1">
        <v>2</v>
      </c>
      <c r="L10" s="1">
        <v>0</v>
      </c>
      <c r="M10" s="1">
        <v>8</v>
      </c>
      <c r="N10" s="1">
        <v>13</v>
      </c>
      <c r="O10" s="1">
        <v>6</v>
      </c>
      <c r="P10" s="1">
        <v>2</v>
      </c>
      <c r="Q10" s="1">
        <v>6</v>
      </c>
      <c r="R10" s="1">
        <v>8</v>
      </c>
      <c r="S10" s="1">
        <v>7</v>
      </c>
      <c r="T10" s="1">
        <v>0</v>
      </c>
      <c r="U10" s="1">
        <v>8</v>
      </c>
      <c r="V10" s="1">
        <v>2</v>
      </c>
      <c r="W10" s="1">
        <v>0</v>
      </c>
      <c r="X10" s="1">
        <v>2</v>
      </c>
      <c r="Y10" s="1">
        <v>13</v>
      </c>
      <c r="Z10" s="1">
        <v>13</v>
      </c>
      <c r="AA10" s="1">
        <v>8</v>
      </c>
      <c r="AB10" s="1">
        <v>2</v>
      </c>
      <c r="AC10" s="1">
        <v>0</v>
      </c>
      <c r="AD10" s="1">
        <v>2</v>
      </c>
      <c r="AE10" s="1">
        <v>2</v>
      </c>
    </row>
    <row r="11" spans="1:75" x14ac:dyDescent="0.25">
      <c r="A11" t="s">
        <v>91</v>
      </c>
      <c r="B11" s="1">
        <f t="shared" si="0"/>
        <v>155</v>
      </c>
      <c r="C11" s="1">
        <v>0</v>
      </c>
      <c r="D11" s="1">
        <v>6</v>
      </c>
      <c r="E11" s="1">
        <v>13</v>
      </c>
      <c r="F11" s="1">
        <v>13</v>
      </c>
      <c r="G11" s="1">
        <v>0</v>
      </c>
      <c r="H11" s="1">
        <v>2</v>
      </c>
      <c r="I11" s="1">
        <v>0</v>
      </c>
      <c r="J11" s="1">
        <v>6</v>
      </c>
      <c r="K11" s="1">
        <v>2</v>
      </c>
      <c r="L11" s="1">
        <v>0</v>
      </c>
      <c r="M11" s="1">
        <v>6</v>
      </c>
      <c r="N11" s="1">
        <v>6</v>
      </c>
      <c r="O11" s="1">
        <v>6</v>
      </c>
      <c r="P11" s="1">
        <v>2</v>
      </c>
      <c r="Q11" s="1">
        <v>6</v>
      </c>
      <c r="R11" s="1">
        <v>13</v>
      </c>
      <c r="S11" s="1">
        <v>0</v>
      </c>
      <c r="T11" s="1">
        <v>0</v>
      </c>
      <c r="U11" s="1">
        <v>8</v>
      </c>
      <c r="V11" s="1">
        <v>2</v>
      </c>
      <c r="W11" s="1">
        <v>2</v>
      </c>
      <c r="X11" s="1">
        <v>13</v>
      </c>
      <c r="Y11" s="1">
        <v>13</v>
      </c>
      <c r="Z11" s="1">
        <v>13</v>
      </c>
      <c r="AA11" s="1">
        <v>13</v>
      </c>
      <c r="AB11" s="1">
        <v>2</v>
      </c>
      <c r="AC11" s="1">
        <v>0</v>
      </c>
      <c r="AD11" s="1">
        <v>6</v>
      </c>
      <c r="AE11" s="1">
        <v>2</v>
      </c>
    </row>
    <row r="12" spans="1:75" x14ac:dyDescent="0.25">
      <c r="A12" t="s">
        <v>102</v>
      </c>
      <c r="B12" s="1">
        <f t="shared" si="0"/>
        <v>155</v>
      </c>
      <c r="C12" s="1">
        <v>2</v>
      </c>
      <c r="D12" s="1">
        <v>6</v>
      </c>
      <c r="E12" s="1">
        <v>8</v>
      </c>
      <c r="F12" s="1">
        <v>2</v>
      </c>
      <c r="G12" s="1">
        <v>0</v>
      </c>
      <c r="H12" s="1">
        <v>2</v>
      </c>
      <c r="I12" s="1">
        <v>6</v>
      </c>
      <c r="J12" s="1">
        <v>8</v>
      </c>
      <c r="K12" s="1">
        <v>0</v>
      </c>
      <c r="L12" s="1">
        <v>0</v>
      </c>
      <c r="M12" s="1">
        <v>6</v>
      </c>
      <c r="N12" s="1">
        <v>8</v>
      </c>
      <c r="O12" s="1">
        <v>6</v>
      </c>
      <c r="P12" s="1">
        <v>2</v>
      </c>
      <c r="Q12" s="1">
        <v>6</v>
      </c>
      <c r="R12" s="1">
        <v>13</v>
      </c>
      <c r="S12" s="1">
        <v>7</v>
      </c>
      <c r="T12" s="1">
        <v>0</v>
      </c>
      <c r="U12" s="1">
        <v>6</v>
      </c>
      <c r="V12" s="1">
        <v>2</v>
      </c>
      <c r="W12" s="1">
        <v>6</v>
      </c>
      <c r="X12" s="1">
        <v>13</v>
      </c>
      <c r="Y12" s="1">
        <v>8</v>
      </c>
      <c r="Z12" s="1">
        <v>13</v>
      </c>
      <c r="AA12" s="1">
        <v>13</v>
      </c>
      <c r="AB12" s="1">
        <v>2</v>
      </c>
      <c r="AC12" s="1">
        <v>0</v>
      </c>
      <c r="AD12" s="1">
        <v>8</v>
      </c>
      <c r="AE12" s="1">
        <v>2</v>
      </c>
    </row>
    <row r="13" spans="1:75" x14ac:dyDescent="0.25">
      <c r="A13" t="s">
        <v>52</v>
      </c>
      <c r="B13" s="1">
        <f t="shared" si="0"/>
        <v>154</v>
      </c>
      <c r="C13" s="1">
        <v>13</v>
      </c>
      <c r="D13" s="1">
        <v>6</v>
      </c>
      <c r="E13" s="1">
        <v>8</v>
      </c>
      <c r="F13" s="1">
        <v>0</v>
      </c>
      <c r="G13" s="1">
        <v>0</v>
      </c>
      <c r="H13" s="1">
        <v>2</v>
      </c>
      <c r="I13" s="1">
        <v>0</v>
      </c>
      <c r="J13" s="1">
        <v>8</v>
      </c>
      <c r="K13" s="1">
        <v>13</v>
      </c>
      <c r="L13" s="1">
        <v>2</v>
      </c>
      <c r="M13" s="1">
        <v>8</v>
      </c>
      <c r="N13" s="1">
        <v>13</v>
      </c>
      <c r="O13" s="1">
        <v>6</v>
      </c>
      <c r="P13" s="1">
        <v>2</v>
      </c>
      <c r="Q13" s="1">
        <v>6</v>
      </c>
      <c r="R13" s="1">
        <v>8</v>
      </c>
      <c r="S13" s="1">
        <v>0</v>
      </c>
      <c r="T13" s="1">
        <v>2</v>
      </c>
      <c r="U13" s="1">
        <v>8</v>
      </c>
      <c r="V13" s="1">
        <v>0</v>
      </c>
      <c r="W13" s="1">
        <v>0</v>
      </c>
      <c r="X13" s="1">
        <v>8</v>
      </c>
      <c r="Y13" s="1">
        <v>8</v>
      </c>
      <c r="Z13" s="1">
        <v>13</v>
      </c>
      <c r="AA13" s="1">
        <v>8</v>
      </c>
      <c r="AB13" s="1">
        <v>2</v>
      </c>
      <c r="AC13" s="1">
        <v>0</v>
      </c>
      <c r="AD13" s="1">
        <v>8</v>
      </c>
      <c r="AE13" s="1">
        <v>2</v>
      </c>
    </row>
    <row r="14" spans="1:75" x14ac:dyDescent="0.25">
      <c r="A14" t="s">
        <v>53</v>
      </c>
      <c r="B14" s="1">
        <f t="shared" si="0"/>
        <v>154</v>
      </c>
      <c r="C14" s="1">
        <v>13</v>
      </c>
      <c r="D14" s="1">
        <v>6</v>
      </c>
      <c r="E14" s="1">
        <v>8</v>
      </c>
      <c r="F14" s="1">
        <v>0</v>
      </c>
      <c r="G14" s="1">
        <v>0</v>
      </c>
      <c r="H14" s="1">
        <v>2</v>
      </c>
      <c r="I14" s="1">
        <v>0</v>
      </c>
      <c r="J14" s="1">
        <v>8</v>
      </c>
      <c r="K14" s="1">
        <v>13</v>
      </c>
      <c r="L14" s="1">
        <v>2</v>
      </c>
      <c r="M14" s="1">
        <v>8</v>
      </c>
      <c r="N14" s="1">
        <v>13</v>
      </c>
      <c r="O14" s="1">
        <v>6</v>
      </c>
      <c r="P14" s="1">
        <v>2</v>
      </c>
      <c r="Q14" s="1">
        <v>6</v>
      </c>
      <c r="R14" s="1">
        <v>8</v>
      </c>
      <c r="S14" s="1">
        <v>0</v>
      </c>
      <c r="T14" s="1">
        <v>2</v>
      </c>
      <c r="U14" s="1">
        <v>8</v>
      </c>
      <c r="V14" s="1">
        <v>0</v>
      </c>
      <c r="W14" s="1">
        <v>0</v>
      </c>
      <c r="X14" s="1">
        <v>8</v>
      </c>
      <c r="Y14" s="1">
        <v>8</v>
      </c>
      <c r="Z14" s="1">
        <v>13</v>
      </c>
      <c r="AA14" s="1">
        <v>8</v>
      </c>
      <c r="AB14" s="1">
        <v>2</v>
      </c>
      <c r="AC14" s="1">
        <v>0</v>
      </c>
      <c r="AD14" s="1">
        <v>8</v>
      </c>
      <c r="AE14" s="1">
        <v>2</v>
      </c>
    </row>
    <row r="15" spans="1:75" x14ac:dyDescent="0.25">
      <c r="A15" t="s">
        <v>74</v>
      </c>
      <c r="B15" s="1">
        <f t="shared" si="0"/>
        <v>154</v>
      </c>
      <c r="C15" s="1">
        <v>8</v>
      </c>
      <c r="D15" s="1">
        <v>6</v>
      </c>
      <c r="E15" s="1">
        <v>13</v>
      </c>
      <c r="F15" s="1">
        <v>13</v>
      </c>
      <c r="G15" s="1">
        <v>0</v>
      </c>
      <c r="H15" s="1">
        <v>2</v>
      </c>
      <c r="I15" s="1">
        <v>0</v>
      </c>
      <c r="J15" s="1">
        <v>6</v>
      </c>
      <c r="K15" s="1">
        <v>0</v>
      </c>
      <c r="L15" s="1">
        <v>0</v>
      </c>
      <c r="M15" s="1">
        <v>8</v>
      </c>
      <c r="N15" s="1">
        <v>8</v>
      </c>
      <c r="O15" s="1">
        <v>13</v>
      </c>
      <c r="P15" s="1">
        <v>0</v>
      </c>
      <c r="Q15" s="1">
        <v>8</v>
      </c>
      <c r="R15" s="1">
        <v>8</v>
      </c>
      <c r="S15" s="1">
        <v>7</v>
      </c>
      <c r="T15" s="1">
        <v>2</v>
      </c>
      <c r="U15" s="1">
        <v>8</v>
      </c>
      <c r="V15" s="1">
        <v>2</v>
      </c>
      <c r="W15" s="1">
        <v>0</v>
      </c>
      <c r="X15" s="1">
        <v>2</v>
      </c>
      <c r="Y15" s="1">
        <v>13</v>
      </c>
      <c r="Z15" s="1">
        <v>2</v>
      </c>
      <c r="AA15" s="1">
        <v>6</v>
      </c>
      <c r="AB15" s="1">
        <v>0</v>
      </c>
      <c r="AC15" s="1">
        <v>0</v>
      </c>
      <c r="AD15" s="1">
        <v>6</v>
      </c>
      <c r="AE15" s="1">
        <v>13</v>
      </c>
    </row>
    <row r="16" spans="1:75" x14ac:dyDescent="0.25">
      <c r="A16" t="s">
        <v>6</v>
      </c>
      <c r="B16" s="1">
        <f t="shared" si="0"/>
        <v>153</v>
      </c>
      <c r="C16" s="1">
        <v>13</v>
      </c>
      <c r="D16" s="1">
        <v>6</v>
      </c>
      <c r="E16" s="1">
        <v>13</v>
      </c>
      <c r="F16" s="1">
        <v>2</v>
      </c>
      <c r="G16" s="1">
        <v>0</v>
      </c>
      <c r="H16" s="1">
        <v>2</v>
      </c>
      <c r="I16" s="1">
        <v>6</v>
      </c>
      <c r="J16" s="1">
        <v>6</v>
      </c>
      <c r="K16" s="1">
        <v>2</v>
      </c>
      <c r="L16" s="1">
        <v>0</v>
      </c>
      <c r="M16" s="1">
        <v>6</v>
      </c>
      <c r="N16" s="1">
        <v>8</v>
      </c>
      <c r="O16" s="1">
        <v>13</v>
      </c>
      <c r="P16" s="1">
        <v>2</v>
      </c>
      <c r="Q16" s="1">
        <v>6</v>
      </c>
      <c r="R16" s="1">
        <v>8</v>
      </c>
      <c r="S16" s="1">
        <v>0</v>
      </c>
      <c r="T16" s="1">
        <v>2</v>
      </c>
      <c r="U16" s="1">
        <v>6</v>
      </c>
      <c r="V16" s="1">
        <v>0</v>
      </c>
      <c r="W16" s="1">
        <v>2</v>
      </c>
      <c r="X16" s="1">
        <v>2</v>
      </c>
      <c r="Y16" s="1">
        <v>13</v>
      </c>
      <c r="Z16" s="1">
        <v>8</v>
      </c>
      <c r="AA16" s="1">
        <v>6</v>
      </c>
      <c r="AB16" s="1">
        <v>13</v>
      </c>
      <c r="AC16" s="1">
        <v>0</v>
      </c>
      <c r="AD16" s="1">
        <v>8</v>
      </c>
      <c r="AE16" s="1">
        <v>0</v>
      </c>
    </row>
    <row r="17" spans="1:31" x14ac:dyDescent="0.25">
      <c r="A17" t="s">
        <v>42</v>
      </c>
      <c r="B17" s="1">
        <f t="shared" si="0"/>
        <v>152</v>
      </c>
      <c r="C17" s="1">
        <v>8</v>
      </c>
      <c r="D17" s="1">
        <v>6</v>
      </c>
      <c r="E17" s="1">
        <v>13</v>
      </c>
      <c r="F17" s="1">
        <v>2</v>
      </c>
      <c r="G17" s="1">
        <v>0</v>
      </c>
      <c r="H17" s="1">
        <v>2</v>
      </c>
      <c r="I17" s="1">
        <v>6</v>
      </c>
      <c r="J17" s="1">
        <v>6</v>
      </c>
      <c r="K17" s="1">
        <v>2</v>
      </c>
      <c r="L17" s="1">
        <v>2</v>
      </c>
      <c r="M17" s="1">
        <v>8</v>
      </c>
      <c r="N17" s="1">
        <v>8</v>
      </c>
      <c r="O17" s="1">
        <v>13</v>
      </c>
      <c r="P17" s="1">
        <v>2</v>
      </c>
      <c r="Q17" s="1">
        <v>6</v>
      </c>
      <c r="R17" s="1">
        <v>13</v>
      </c>
      <c r="S17" s="1">
        <v>0</v>
      </c>
      <c r="T17" s="1">
        <v>0</v>
      </c>
      <c r="U17" s="1">
        <v>6</v>
      </c>
      <c r="V17" s="1">
        <v>2</v>
      </c>
      <c r="W17" s="1">
        <v>2</v>
      </c>
      <c r="X17" s="1">
        <v>2</v>
      </c>
      <c r="Y17" s="1">
        <v>8</v>
      </c>
      <c r="Z17" s="1">
        <v>13</v>
      </c>
      <c r="AA17" s="1">
        <v>8</v>
      </c>
      <c r="AB17" s="1">
        <v>2</v>
      </c>
      <c r="AC17" s="1">
        <v>0</v>
      </c>
      <c r="AD17" s="1">
        <v>6</v>
      </c>
      <c r="AE17" s="1">
        <v>6</v>
      </c>
    </row>
    <row r="18" spans="1:31" x14ac:dyDescent="0.25">
      <c r="A18" t="s">
        <v>33</v>
      </c>
      <c r="B18" s="1">
        <f t="shared" si="0"/>
        <v>151</v>
      </c>
      <c r="C18" s="1">
        <v>8</v>
      </c>
      <c r="D18" s="1">
        <v>6</v>
      </c>
      <c r="E18" s="1">
        <v>8</v>
      </c>
      <c r="F18" s="1">
        <v>13</v>
      </c>
      <c r="G18" s="1">
        <v>0</v>
      </c>
      <c r="H18" s="1">
        <v>2</v>
      </c>
      <c r="I18" s="1">
        <v>0</v>
      </c>
      <c r="J18" s="1">
        <v>6</v>
      </c>
      <c r="K18" s="1">
        <v>0</v>
      </c>
      <c r="L18" s="1">
        <v>0</v>
      </c>
      <c r="M18" s="1">
        <v>8</v>
      </c>
      <c r="N18" s="1">
        <v>8</v>
      </c>
      <c r="O18" s="1">
        <v>8</v>
      </c>
      <c r="P18" s="1">
        <v>0</v>
      </c>
      <c r="Q18" s="1">
        <v>6</v>
      </c>
      <c r="R18" s="1">
        <v>13</v>
      </c>
      <c r="S18" s="1">
        <v>7</v>
      </c>
      <c r="T18" s="1">
        <v>0</v>
      </c>
      <c r="U18" s="1">
        <v>6</v>
      </c>
      <c r="V18" s="1">
        <v>2</v>
      </c>
      <c r="W18" s="1">
        <v>2</v>
      </c>
      <c r="X18" s="1">
        <v>2</v>
      </c>
      <c r="Y18" s="1">
        <v>13</v>
      </c>
      <c r="Z18" s="1">
        <v>13</v>
      </c>
      <c r="AA18" s="1">
        <v>8</v>
      </c>
      <c r="AB18" s="1">
        <v>2</v>
      </c>
      <c r="AC18" s="1">
        <v>0</v>
      </c>
      <c r="AD18" s="1">
        <v>8</v>
      </c>
      <c r="AE18" s="1">
        <v>2</v>
      </c>
    </row>
    <row r="19" spans="1:31" x14ac:dyDescent="0.25">
      <c r="A19" t="s">
        <v>99</v>
      </c>
      <c r="B19" s="1">
        <f t="shared" si="0"/>
        <v>151</v>
      </c>
      <c r="C19" s="1">
        <v>13</v>
      </c>
      <c r="D19" s="1">
        <v>6</v>
      </c>
      <c r="E19" s="1">
        <v>8</v>
      </c>
      <c r="F19" s="1">
        <v>2</v>
      </c>
      <c r="G19" s="1">
        <v>0</v>
      </c>
      <c r="H19" s="1">
        <v>2</v>
      </c>
      <c r="I19" s="1">
        <v>2</v>
      </c>
      <c r="J19" s="1">
        <v>6</v>
      </c>
      <c r="K19" s="1">
        <v>2</v>
      </c>
      <c r="L19" s="1">
        <v>0</v>
      </c>
      <c r="M19" s="1">
        <v>8</v>
      </c>
      <c r="N19" s="1">
        <v>6</v>
      </c>
      <c r="O19" s="1">
        <v>13</v>
      </c>
      <c r="P19" s="1">
        <v>2</v>
      </c>
      <c r="Q19" s="1">
        <v>6</v>
      </c>
      <c r="R19" s="1">
        <v>8</v>
      </c>
      <c r="S19" s="1">
        <v>0</v>
      </c>
      <c r="T19" s="1">
        <v>8</v>
      </c>
      <c r="U19" s="1">
        <v>6</v>
      </c>
      <c r="V19" s="1">
        <v>13</v>
      </c>
      <c r="W19" s="1">
        <v>2</v>
      </c>
      <c r="X19" s="1">
        <v>2</v>
      </c>
      <c r="Y19" s="1">
        <v>8</v>
      </c>
      <c r="Z19" s="1">
        <v>6</v>
      </c>
      <c r="AA19" s="1">
        <v>8</v>
      </c>
      <c r="AB19" s="1">
        <v>2</v>
      </c>
      <c r="AC19" s="1">
        <v>0</v>
      </c>
      <c r="AD19" s="1">
        <v>6</v>
      </c>
      <c r="AE19" s="1">
        <v>6</v>
      </c>
    </row>
    <row r="20" spans="1:31" x14ac:dyDescent="0.25">
      <c r="A20" t="s">
        <v>55</v>
      </c>
      <c r="B20" s="1">
        <f t="shared" si="0"/>
        <v>151</v>
      </c>
      <c r="C20" s="1">
        <v>8</v>
      </c>
      <c r="D20" s="1">
        <v>6</v>
      </c>
      <c r="E20" s="1">
        <v>8</v>
      </c>
      <c r="F20" s="1">
        <v>13</v>
      </c>
      <c r="G20" s="1">
        <v>0</v>
      </c>
      <c r="H20" s="1">
        <v>2</v>
      </c>
      <c r="I20" s="1">
        <v>6</v>
      </c>
      <c r="J20" s="1">
        <v>8</v>
      </c>
      <c r="K20" s="1">
        <v>2</v>
      </c>
      <c r="L20" s="1">
        <v>0</v>
      </c>
      <c r="M20" s="1">
        <v>8</v>
      </c>
      <c r="N20" s="1">
        <v>8</v>
      </c>
      <c r="O20" s="1">
        <v>2</v>
      </c>
      <c r="P20" s="1">
        <v>6</v>
      </c>
      <c r="Q20" s="1">
        <v>6</v>
      </c>
      <c r="R20" s="1">
        <v>8</v>
      </c>
      <c r="S20" s="1">
        <v>0</v>
      </c>
      <c r="T20" s="1">
        <v>0</v>
      </c>
      <c r="U20" s="1">
        <v>6</v>
      </c>
      <c r="V20" s="1">
        <v>13</v>
      </c>
      <c r="W20" s="1">
        <v>0</v>
      </c>
      <c r="X20" s="1">
        <v>13</v>
      </c>
      <c r="Y20" s="1">
        <v>8</v>
      </c>
      <c r="Z20" s="1">
        <v>2</v>
      </c>
      <c r="AA20" s="1">
        <v>8</v>
      </c>
      <c r="AB20" s="1">
        <v>2</v>
      </c>
      <c r="AC20" s="1">
        <v>0</v>
      </c>
      <c r="AD20" s="1">
        <v>6</v>
      </c>
      <c r="AE20" s="1">
        <v>2</v>
      </c>
    </row>
    <row r="21" spans="1:31" x14ac:dyDescent="0.25">
      <c r="A21" t="s">
        <v>0</v>
      </c>
      <c r="B21" s="1">
        <f t="shared" si="0"/>
        <v>149</v>
      </c>
      <c r="C21" s="1">
        <v>13</v>
      </c>
      <c r="D21" s="1">
        <v>6</v>
      </c>
      <c r="E21" s="1">
        <v>8</v>
      </c>
      <c r="F21" s="1">
        <v>2</v>
      </c>
      <c r="G21" s="1">
        <v>0</v>
      </c>
      <c r="H21" s="1">
        <v>2</v>
      </c>
      <c r="I21" s="1">
        <v>2</v>
      </c>
      <c r="J21" s="1">
        <v>8</v>
      </c>
      <c r="K21" s="1">
        <v>2</v>
      </c>
      <c r="L21" s="1">
        <v>0</v>
      </c>
      <c r="M21" s="1">
        <v>8</v>
      </c>
      <c r="N21" s="1">
        <v>8</v>
      </c>
      <c r="O21" s="1">
        <v>8</v>
      </c>
      <c r="P21" s="1">
        <v>2</v>
      </c>
      <c r="Q21" s="1">
        <v>6</v>
      </c>
      <c r="R21" s="1">
        <v>13</v>
      </c>
      <c r="S21" s="1">
        <v>0</v>
      </c>
      <c r="T21" s="1">
        <v>0</v>
      </c>
      <c r="U21" s="1">
        <v>2</v>
      </c>
      <c r="V21" s="1">
        <v>2</v>
      </c>
      <c r="W21" s="1">
        <v>2</v>
      </c>
      <c r="X21" s="1">
        <v>13</v>
      </c>
      <c r="Y21" s="1">
        <v>13</v>
      </c>
      <c r="Z21" s="1">
        <v>6</v>
      </c>
      <c r="AA21" s="1">
        <v>8</v>
      </c>
      <c r="AB21" s="1">
        <v>0</v>
      </c>
      <c r="AC21" s="1">
        <v>0</v>
      </c>
      <c r="AD21" s="1">
        <v>2</v>
      </c>
      <c r="AE21" s="1">
        <v>13</v>
      </c>
    </row>
    <row r="22" spans="1:31" x14ac:dyDescent="0.25">
      <c r="A22" t="s">
        <v>10</v>
      </c>
      <c r="B22" s="1">
        <f t="shared" si="0"/>
        <v>149</v>
      </c>
      <c r="C22" s="1">
        <v>8</v>
      </c>
      <c r="D22" s="1">
        <v>6</v>
      </c>
      <c r="E22" s="1">
        <v>8</v>
      </c>
      <c r="F22" s="1">
        <v>13</v>
      </c>
      <c r="G22" s="1">
        <v>0</v>
      </c>
      <c r="H22" s="1">
        <v>2</v>
      </c>
      <c r="I22" s="1">
        <v>2</v>
      </c>
      <c r="J22" s="1">
        <v>6</v>
      </c>
      <c r="K22" s="1">
        <v>0</v>
      </c>
      <c r="L22" s="1">
        <v>0</v>
      </c>
      <c r="M22" s="1">
        <v>8</v>
      </c>
      <c r="N22" s="1">
        <v>8</v>
      </c>
      <c r="O22" s="1">
        <v>13</v>
      </c>
      <c r="P22" s="1">
        <v>0</v>
      </c>
      <c r="Q22" s="1">
        <v>6</v>
      </c>
      <c r="R22" s="1">
        <v>8</v>
      </c>
      <c r="S22" s="1">
        <v>7</v>
      </c>
      <c r="T22" s="1">
        <v>0</v>
      </c>
      <c r="U22" s="1">
        <v>6</v>
      </c>
      <c r="V22" s="1">
        <v>2</v>
      </c>
      <c r="W22" s="1">
        <v>2</v>
      </c>
      <c r="X22" s="1">
        <v>13</v>
      </c>
      <c r="Y22" s="1">
        <v>13</v>
      </c>
      <c r="Z22" s="1">
        <v>2</v>
      </c>
      <c r="AA22" s="1">
        <v>0</v>
      </c>
      <c r="AB22" s="1">
        <v>2</v>
      </c>
      <c r="AC22" s="1">
        <v>0</v>
      </c>
      <c r="AD22" s="1">
        <v>8</v>
      </c>
      <c r="AE22" s="1">
        <v>6</v>
      </c>
    </row>
    <row r="23" spans="1:31" x14ac:dyDescent="0.25">
      <c r="A23" t="s">
        <v>12</v>
      </c>
      <c r="B23" s="1">
        <f t="shared" si="0"/>
        <v>148</v>
      </c>
      <c r="C23" s="1">
        <v>13</v>
      </c>
      <c r="D23" s="1">
        <v>6</v>
      </c>
      <c r="E23" s="1">
        <v>8</v>
      </c>
      <c r="F23" s="1">
        <v>6</v>
      </c>
      <c r="G23" s="1">
        <v>0</v>
      </c>
      <c r="H23" s="1">
        <v>0</v>
      </c>
      <c r="I23" s="1">
        <v>0</v>
      </c>
      <c r="J23" s="1">
        <v>6</v>
      </c>
      <c r="K23" s="1">
        <v>0</v>
      </c>
      <c r="L23" s="1">
        <v>0</v>
      </c>
      <c r="M23" s="1">
        <v>8</v>
      </c>
      <c r="N23" s="1">
        <v>8</v>
      </c>
      <c r="O23" s="1">
        <v>6</v>
      </c>
      <c r="P23" s="1">
        <v>2</v>
      </c>
      <c r="Q23" s="1">
        <v>8</v>
      </c>
      <c r="R23" s="1">
        <v>13</v>
      </c>
      <c r="S23" s="1">
        <v>0</v>
      </c>
      <c r="T23" s="1">
        <v>0</v>
      </c>
      <c r="U23" s="1">
        <v>8</v>
      </c>
      <c r="V23" s="1">
        <v>2</v>
      </c>
      <c r="W23" s="1">
        <v>0</v>
      </c>
      <c r="X23" s="1">
        <v>2</v>
      </c>
      <c r="Y23" s="1">
        <v>8</v>
      </c>
      <c r="Z23" s="1">
        <v>13</v>
      </c>
      <c r="AA23" s="1">
        <v>8</v>
      </c>
      <c r="AB23" s="1">
        <v>2</v>
      </c>
      <c r="AC23" s="1">
        <v>0</v>
      </c>
      <c r="AD23" s="1">
        <v>8</v>
      </c>
      <c r="AE23" s="1">
        <v>13</v>
      </c>
    </row>
    <row r="24" spans="1:31" x14ac:dyDescent="0.25">
      <c r="A24" t="s">
        <v>30</v>
      </c>
      <c r="B24" s="1">
        <f t="shared" si="0"/>
        <v>148</v>
      </c>
      <c r="C24" s="1">
        <v>8</v>
      </c>
      <c r="D24" s="1">
        <v>6</v>
      </c>
      <c r="E24" s="1">
        <v>13</v>
      </c>
      <c r="F24" s="1">
        <v>2</v>
      </c>
      <c r="G24" s="1">
        <v>0</v>
      </c>
      <c r="H24" s="1">
        <v>6</v>
      </c>
      <c r="I24" s="1">
        <v>2</v>
      </c>
      <c r="J24" s="1">
        <v>6</v>
      </c>
      <c r="K24" s="1">
        <v>2</v>
      </c>
      <c r="L24" s="1">
        <v>2</v>
      </c>
      <c r="M24" s="1">
        <v>8</v>
      </c>
      <c r="N24" s="1">
        <v>8</v>
      </c>
      <c r="O24" s="1">
        <v>13</v>
      </c>
      <c r="P24" s="1">
        <v>2</v>
      </c>
      <c r="Q24" s="1">
        <v>6</v>
      </c>
      <c r="R24" s="1">
        <v>8</v>
      </c>
      <c r="S24" s="1">
        <v>0</v>
      </c>
      <c r="T24" s="1">
        <v>0</v>
      </c>
      <c r="U24" s="1">
        <v>6</v>
      </c>
      <c r="V24" s="1">
        <v>2</v>
      </c>
      <c r="W24" s="1">
        <v>0</v>
      </c>
      <c r="X24" s="1">
        <v>13</v>
      </c>
      <c r="Y24" s="1">
        <v>8</v>
      </c>
      <c r="Z24" s="1">
        <v>8</v>
      </c>
      <c r="AA24" s="1">
        <v>13</v>
      </c>
      <c r="AB24" s="1">
        <v>0</v>
      </c>
      <c r="AC24" s="1">
        <v>0</v>
      </c>
      <c r="AD24" s="1">
        <v>0</v>
      </c>
      <c r="AE24" s="1">
        <v>6</v>
      </c>
    </row>
    <row r="25" spans="1:31" x14ac:dyDescent="0.25">
      <c r="A25" t="s">
        <v>71</v>
      </c>
      <c r="B25" s="1">
        <f t="shared" si="0"/>
        <v>148</v>
      </c>
      <c r="C25" s="1">
        <v>8</v>
      </c>
      <c r="D25" s="1">
        <v>6</v>
      </c>
      <c r="E25" s="1">
        <v>13</v>
      </c>
      <c r="F25" s="1">
        <v>2</v>
      </c>
      <c r="G25" s="1">
        <v>0</v>
      </c>
      <c r="H25" s="1">
        <v>2</v>
      </c>
      <c r="I25" s="1">
        <v>0</v>
      </c>
      <c r="J25" s="1">
        <v>6</v>
      </c>
      <c r="K25" s="1">
        <v>2</v>
      </c>
      <c r="L25" s="1">
        <v>0</v>
      </c>
      <c r="M25" s="1">
        <v>8</v>
      </c>
      <c r="N25" s="1">
        <v>8</v>
      </c>
      <c r="O25" s="1">
        <v>6</v>
      </c>
      <c r="P25" s="1">
        <v>0</v>
      </c>
      <c r="Q25" s="1">
        <v>6</v>
      </c>
      <c r="R25" s="1">
        <v>13</v>
      </c>
      <c r="S25" s="1">
        <v>7</v>
      </c>
      <c r="T25" s="1">
        <v>0</v>
      </c>
      <c r="U25" s="1">
        <v>6</v>
      </c>
      <c r="V25" s="1">
        <v>2</v>
      </c>
      <c r="W25" s="1">
        <v>2</v>
      </c>
      <c r="X25" s="1">
        <v>2</v>
      </c>
      <c r="Y25" s="1">
        <v>13</v>
      </c>
      <c r="Z25" s="1">
        <v>13</v>
      </c>
      <c r="AA25" s="1">
        <v>13</v>
      </c>
      <c r="AB25" s="1">
        <v>2</v>
      </c>
      <c r="AC25" s="1">
        <v>0</v>
      </c>
      <c r="AD25" s="1">
        <v>6</v>
      </c>
      <c r="AE25" s="1">
        <v>2</v>
      </c>
    </row>
    <row r="26" spans="1:31" x14ac:dyDescent="0.25">
      <c r="A26" t="s">
        <v>109</v>
      </c>
      <c r="B26" s="1">
        <f t="shared" si="0"/>
        <v>147</v>
      </c>
      <c r="C26" s="1">
        <v>8</v>
      </c>
      <c r="D26" s="1">
        <v>0</v>
      </c>
      <c r="E26" s="1">
        <v>6</v>
      </c>
      <c r="F26" s="1">
        <v>13</v>
      </c>
      <c r="G26" s="1">
        <v>0</v>
      </c>
      <c r="H26" s="1">
        <v>2</v>
      </c>
      <c r="I26" s="1">
        <v>0</v>
      </c>
      <c r="J26" s="1">
        <v>6</v>
      </c>
      <c r="K26" s="1">
        <v>6</v>
      </c>
      <c r="L26" s="1">
        <v>2</v>
      </c>
      <c r="M26" s="1">
        <v>8</v>
      </c>
      <c r="N26" s="1">
        <v>8</v>
      </c>
      <c r="O26" s="1">
        <v>13</v>
      </c>
      <c r="P26" s="1">
        <v>2</v>
      </c>
      <c r="Q26" s="1">
        <v>8</v>
      </c>
      <c r="R26" s="1">
        <v>8</v>
      </c>
      <c r="S26" s="1">
        <v>7</v>
      </c>
      <c r="T26" s="1">
        <v>8</v>
      </c>
      <c r="U26" s="1">
        <v>0</v>
      </c>
      <c r="V26" s="1">
        <v>0</v>
      </c>
      <c r="W26" s="1">
        <v>2</v>
      </c>
      <c r="X26" s="1">
        <v>13</v>
      </c>
      <c r="Y26" s="1">
        <v>0</v>
      </c>
      <c r="Z26" s="1">
        <v>2</v>
      </c>
      <c r="AA26" s="1">
        <v>13</v>
      </c>
      <c r="AB26" s="1">
        <v>0</v>
      </c>
      <c r="AC26" s="1">
        <v>0</v>
      </c>
      <c r="AD26" s="1">
        <v>6</v>
      </c>
      <c r="AE26" s="1">
        <v>6</v>
      </c>
    </row>
    <row r="27" spans="1:31" x14ac:dyDescent="0.25">
      <c r="A27" t="s">
        <v>9</v>
      </c>
      <c r="B27" s="1">
        <f t="shared" si="0"/>
        <v>146</v>
      </c>
      <c r="C27" s="1">
        <v>8</v>
      </c>
      <c r="D27" s="1">
        <v>6</v>
      </c>
      <c r="E27" s="1">
        <v>8</v>
      </c>
      <c r="F27" s="1">
        <v>13</v>
      </c>
      <c r="G27" s="1">
        <v>0</v>
      </c>
      <c r="H27" s="1">
        <v>2</v>
      </c>
      <c r="I27" s="1">
        <v>0</v>
      </c>
      <c r="J27" s="1">
        <v>6</v>
      </c>
      <c r="K27" s="1">
        <v>2</v>
      </c>
      <c r="L27" s="1">
        <v>0</v>
      </c>
      <c r="M27" s="1">
        <v>8</v>
      </c>
      <c r="N27" s="1">
        <v>8</v>
      </c>
      <c r="O27" s="1">
        <v>6</v>
      </c>
      <c r="P27" s="1">
        <v>2</v>
      </c>
      <c r="Q27" s="1">
        <v>6</v>
      </c>
      <c r="R27" s="1">
        <v>8</v>
      </c>
      <c r="S27" s="1">
        <v>0</v>
      </c>
      <c r="T27" s="1">
        <v>0</v>
      </c>
      <c r="U27" s="1">
        <v>6</v>
      </c>
      <c r="V27" s="1">
        <v>0</v>
      </c>
      <c r="W27" s="1">
        <v>2</v>
      </c>
      <c r="X27" s="1">
        <v>2</v>
      </c>
      <c r="Y27" s="1">
        <v>13</v>
      </c>
      <c r="Z27" s="1">
        <v>13</v>
      </c>
      <c r="AA27" s="1">
        <v>8</v>
      </c>
      <c r="AB27" s="1">
        <v>0</v>
      </c>
      <c r="AC27" s="1">
        <v>0</v>
      </c>
      <c r="AD27" s="1">
        <v>6</v>
      </c>
      <c r="AE27" s="1">
        <v>13</v>
      </c>
    </row>
    <row r="28" spans="1:31" x14ac:dyDescent="0.25">
      <c r="A28" t="s">
        <v>20</v>
      </c>
      <c r="B28" s="1">
        <f t="shared" si="0"/>
        <v>146</v>
      </c>
      <c r="C28" s="1">
        <v>8</v>
      </c>
      <c r="D28" s="1">
        <v>6</v>
      </c>
      <c r="E28" s="1">
        <v>8</v>
      </c>
      <c r="F28" s="1">
        <v>2</v>
      </c>
      <c r="G28" s="1">
        <v>0</v>
      </c>
      <c r="H28" s="1">
        <v>2</v>
      </c>
      <c r="I28" s="1">
        <v>0</v>
      </c>
      <c r="J28" s="1">
        <v>6</v>
      </c>
      <c r="K28" s="1">
        <v>2</v>
      </c>
      <c r="L28" s="1">
        <v>2</v>
      </c>
      <c r="M28" s="1">
        <v>8</v>
      </c>
      <c r="N28" s="1">
        <v>8</v>
      </c>
      <c r="O28" s="1">
        <v>13</v>
      </c>
      <c r="P28" s="1">
        <v>2</v>
      </c>
      <c r="Q28" s="1">
        <v>6</v>
      </c>
      <c r="R28" s="1">
        <v>8</v>
      </c>
      <c r="S28" s="1">
        <v>0</v>
      </c>
      <c r="T28" s="1">
        <v>0</v>
      </c>
      <c r="U28" s="1">
        <v>6</v>
      </c>
      <c r="V28" s="1">
        <v>2</v>
      </c>
      <c r="W28" s="1">
        <v>2</v>
      </c>
      <c r="X28" s="1">
        <v>2</v>
      </c>
      <c r="Y28" s="1">
        <v>8</v>
      </c>
      <c r="Z28" s="1">
        <v>13</v>
      </c>
      <c r="AA28" s="1">
        <v>13</v>
      </c>
      <c r="AB28" s="1">
        <v>0</v>
      </c>
      <c r="AC28" s="1">
        <v>0</v>
      </c>
      <c r="AD28" s="1">
        <v>6</v>
      </c>
      <c r="AE28" s="1">
        <v>13</v>
      </c>
    </row>
    <row r="29" spans="1:31" x14ac:dyDescent="0.25">
      <c r="A29" t="s">
        <v>95</v>
      </c>
      <c r="B29" s="1">
        <f t="shared" si="0"/>
        <v>146</v>
      </c>
      <c r="C29" s="1">
        <v>8</v>
      </c>
      <c r="D29" s="1">
        <v>6</v>
      </c>
      <c r="E29" s="1">
        <v>8</v>
      </c>
      <c r="F29" s="1">
        <v>13</v>
      </c>
      <c r="G29" s="1">
        <v>0</v>
      </c>
      <c r="H29" s="1">
        <v>2</v>
      </c>
      <c r="I29" s="1">
        <v>2</v>
      </c>
      <c r="J29" s="1">
        <v>6</v>
      </c>
      <c r="K29" s="1">
        <v>0</v>
      </c>
      <c r="L29" s="1">
        <v>0</v>
      </c>
      <c r="M29" s="1">
        <v>8</v>
      </c>
      <c r="N29" s="1">
        <v>8</v>
      </c>
      <c r="O29" s="1">
        <v>6</v>
      </c>
      <c r="P29" s="1">
        <v>0</v>
      </c>
      <c r="Q29" s="1">
        <v>6</v>
      </c>
      <c r="R29" s="1">
        <v>8</v>
      </c>
      <c r="S29" s="1">
        <v>7</v>
      </c>
      <c r="T29" s="1">
        <v>0</v>
      </c>
      <c r="U29" s="1">
        <v>8</v>
      </c>
      <c r="V29" s="1">
        <v>2</v>
      </c>
      <c r="W29" s="1">
        <v>2</v>
      </c>
      <c r="X29" s="1">
        <v>0</v>
      </c>
      <c r="Y29" s="1">
        <v>13</v>
      </c>
      <c r="Z29" s="1">
        <v>13</v>
      </c>
      <c r="AA29" s="1">
        <v>8</v>
      </c>
      <c r="AB29" s="1">
        <v>0</v>
      </c>
      <c r="AC29" s="1">
        <v>0</v>
      </c>
      <c r="AD29" s="1">
        <v>6</v>
      </c>
      <c r="AE29" s="1">
        <v>6</v>
      </c>
    </row>
    <row r="30" spans="1:31" x14ac:dyDescent="0.25">
      <c r="A30" t="s">
        <v>66</v>
      </c>
      <c r="B30" s="1">
        <f t="shared" si="0"/>
        <v>145</v>
      </c>
      <c r="C30" s="1">
        <v>8</v>
      </c>
      <c r="D30" s="1">
        <v>6</v>
      </c>
      <c r="E30" s="1">
        <v>8</v>
      </c>
      <c r="F30" s="1">
        <v>13</v>
      </c>
      <c r="G30" s="1">
        <v>0</v>
      </c>
      <c r="H30" s="1">
        <v>0</v>
      </c>
      <c r="I30" s="1">
        <v>0</v>
      </c>
      <c r="J30" s="1">
        <v>6</v>
      </c>
      <c r="K30" s="1">
        <v>2</v>
      </c>
      <c r="L30" s="1">
        <v>0</v>
      </c>
      <c r="M30" s="1">
        <v>8</v>
      </c>
      <c r="N30" s="1">
        <v>6</v>
      </c>
      <c r="O30" s="1">
        <v>2</v>
      </c>
      <c r="P30" s="1">
        <v>0</v>
      </c>
      <c r="Q30" s="1">
        <v>6</v>
      </c>
      <c r="R30" s="1">
        <v>13</v>
      </c>
      <c r="S30" s="1">
        <v>7</v>
      </c>
      <c r="T30" s="1">
        <v>8</v>
      </c>
      <c r="U30" s="1">
        <v>13</v>
      </c>
      <c r="V30" s="1">
        <v>2</v>
      </c>
      <c r="W30" s="1">
        <v>2</v>
      </c>
      <c r="X30" s="1">
        <v>2</v>
      </c>
      <c r="Y30" s="1">
        <v>13</v>
      </c>
      <c r="Z30" s="1">
        <v>2</v>
      </c>
      <c r="AA30" s="1">
        <v>6</v>
      </c>
      <c r="AB30" s="1">
        <v>2</v>
      </c>
      <c r="AC30" s="1">
        <v>0</v>
      </c>
      <c r="AD30" s="1">
        <v>8</v>
      </c>
      <c r="AE30" s="1">
        <v>2</v>
      </c>
    </row>
    <row r="31" spans="1:31" x14ac:dyDescent="0.25">
      <c r="A31" t="s">
        <v>54</v>
      </c>
      <c r="B31" s="1">
        <f t="shared" si="0"/>
        <v>144</v>
      </c>
      <c r="C31" s="1">
        <v>8</v>
      </c>
      <c r="D31" s="1">
        <v>6</v>
      </c>
      <c r="E31" s="1">
        <v>13</v>
      </c>
      <c r="F31" s="1">
        <v>13</v>
      </c>
      <c r="G31" s="1">
        <v>0</v>
      </c>
      <c r="H31" s="1">
        <v>2</v>
      </c>
      <c r="I31" s="1">
        <v>2</v>
      </c>
      <c r="J31" s="1">
        <v>6</v>
      </c>
      <c r="K31" s="1">
        <v>2</v>
      </c>
      <c r="L31" s="1">
        <v>0</v>
      </c>
      <c r="M31" s="1">
        <v>8</v>
      </c>
      <c r="N31" s="1">
        <v>8</v>
      </c>
      <c r="O31" s="1">
        <v>13</v>
      </c>
      <c r="P31" s="1">
        <v>2</v>
      </c>
      <c r="Q31" s="1">
        <v>6</v>
      </c>
      <c r="R31" s="1">
        <v>8</v>
      </c>
      <c r="S31" s="1">
        <v>7</v>
      </c>
      <c r="T31" s="1">
        <v>8</v>
      </c>
      <c r="U31" s="1">
        <v>2</v>
      </c>
      <c r="V31" s="1">
        <v>2</v>
      </c>
      <c r="W31" s="1">
        <v>2</v>
      </c>
      <c r="X31" s="1">
        <v>0</v>
      </c>
      <c r="Y31" s="1">
        <v>6</v>
      </c>
      <c r="Z31" s="1">
        <v>2</v>
      </c>
      <c r="AA31" s="1">
        <v>8</v>
      </c>
      <c r="AB31" s="1">
        <v>0</v>
      </c>
      <c r="AC31" s="1">
        <v>0</v>
      </c>
      <c r="AD31" s="1">
        <v>8</v>
      </c>
      <c r="AE31" s="1">
        <v>2</v>
      </c>
    </row>
    <row r="32" spans="1:31" x14ac:dyDescent="0.25">
      <c r="A32" t="s">
        <v>75</v>
      </c>
      <c r="B32" s="1">
        <f t="shared" si="0"/>
        <v>144</v>
      </c>
      <c r="C32" s="1">
        <v>8</v>
      </c>
      <c r="D32" s="1">
        <v>0</v>
      </c>
      <c r="E32" s="1">
        <v>13</v>
      </c>
      <c r="F32" s="1">
        <v>6</v>
      </c>
      <c r="G32" s="1">
        <v>0</v>
      </c>
      <c r="H32" s="1">
        <v>2</v>
      </c>
      <c r="I32" s="1">
        <v>2</v>
      </c>
      <c r="J32" s="1">
        <v>6</v>
      </c>
      <c r="K32" s="1">
        <v>2</v>
      </c>
      <c r="L32" s="1">
        <v>0</v>
      </c>
      <c r="M32" s="1">
        <v>6</v>
      </c>
      <c r="N32" s="1">
        <v>6</v>
      </c>
      <c r="O32" s="1">
        <v>13</v>
      </c>
      <c r="P32" s="1">
        <v>6</v>
      </c>
      <c r="Q32" s="1">
        <v>6</v>
      </c>
      <c r="R32" s="1">
        <v>13</v>
      </c>
      <c r="S32" s="1">
        <v>0</v>
      </c>
      <c r="T32" s="1">
        <v>0</v>
      </c>
      <c r="U32" s="1">
        <v>6</v>
      </c>
      <c r="V32" s="1">
        <v>2</v>
      </c>
      <c r="W32" s="1">
        <v>2</v>
      </c>
      <c r="X32" s="1">
        <v>2</v>
      </c>
      <c r="Y32" s="1">
        <v>13</v>
      </c>
      <c r="Z32" s="1">
        <v>13</v>
      </c>
      <c r="AA32" s="1">
        <v>13</v>
      </c>
      <c r="AB32" s="1">
        <v>0</v>
      </c>
      <c r="AC32" s="1">
        <v>0</v>
      </c>
      <c r="AD32" s="1">
        <v>2</v>
      </c>
      <c r="AE32" s="1">
        <v>2</v>
      </c>
    </row>
    <row r="33" spans="1:31" x14ac:dyDescent="0.25">
      <c r="A33" t="s">
        <v>2</v>
      </c>
      <c r="B33" s="1">
        <f t="shared" si="0"/>
        <v>143</v>
      </c>
      <c r="C33" s="1">
        <v>2</v>
      </c>
      <c r="D33" s="1">
        <v>6</v>
      </c>
      <c r="E33" s="1">
        <v>8</v>
      </c>
      <c r="F33" s="1">
        <v>13</v>
      </c>
      <c r="G33" s="1">
        <v>2</v>
      </c>
      <c r="H33" s="1">
        <v>6</v>
      </c>
      <c r="I33" s="1">
        <v>6</v>
      </c>
      <c r="J33" s="1">
        <v>6</v>
      </c>
      <c r="K33" s="1">
        <v>6</v>
      </c>
      <c r="L33" s="1">
        <v>2</v>
      </c>
      <c r="M33" s="1">
        <v>8</v>
      </c>
      <c r="N33" s="1">
        <v>8</v>
      </c>
      <c r="O33" s="1">
        <v>6</v>
      </c>
      <c r="P33" s="1">
        <v>2</v>
      </c>
      <c r="Q33" s="1">
        <v>6</v>
      </c>
      <c r="R33" s="1">
        <v>13</v>
      </c>
      <c r="S33" s="1">
        <v>0</v>
      </c>
      <c r="T33" s="1">
        <v>0</v>
      </c>
      <c r="U33" s="1">
        <v>2</v>
      </c>
      <c r="V33" s="1">
        <v>6</v>
      </c>
      <c r="W33" s="1">
        <v>2</v>
      </c>
      <c r="X33" s="1">
        <v>2</v>
      </c>
      <c r="Y33" s="1">
        <v>0</v>
      </c>
      <c r="Z33" s="1">
        <v>2</v>
      </c>
      <c r="AA33" s="1">
        <v>8</v>
      </c>
      <c r="AB33" s="1">
        <v>2</v>
      </c>
      <c r="AC33" s="1">
        <v>0</v>
      </c>
      <c r="AD33" s="1">
        <v>6</v>
      </c>
      <c r="AE33" s="1">
        <v>13</v>
      </c>
    </row>
    <row r="34" spans="1:31" x14ac:dyDescent="0.25">
      <c r="A34" t="s">
        <v>77</v>
      </c>
      <c r="B34" s="1">
        <f t="shared" si="0"/>
        <v>143</v>
      </c>
      <c r="C34" s="1">
        <v>8</v>
      </c>
      <c r="D34" s="1">
        <v>6</v>
      </c>
      <c r="E34" s="1">
        <v>8</v>
      </c>
      <c r="F34" s="1">
        <v>2</v>
      </c>
      <c r="G34" s="1">
        <v>0</v>
      </c>
      <c r="H34" s="1">
        <v>2</v>
      </c>
      <c r="I34" s="1">
        <v>6</v>
      </c>
      <c r="J34" s="1">
        <v>6</v>
      </c>
      <c r="K34" s="1">
        <v>2</v>
      </c>
      <c r="L34" s="1">
        <v>0</v>
      </c>
      <c r="M34" s="1">
        <v>6</v>
      </c>
      <c r="N34" s="1">
        <v>8</v>
      </c>
      <c r="O34" s="1">
        <v>8</v>
      </c>
      <c r="P34" s="1">
        <v>6</v>
      </c>
      <c r="Q34" s="1">
        <v>6</v>
      </c>
      <c r="R34" s="1">
        <v>8</v>
      </c>
      <c r="S34" s="1">
        <v>7</v>
      </c>
      <c r="T34" s="1">
        <v>0</v>
      </c>
      <c r="U34" s="1">
        <v>6</v>
      </c>
      <c r="V34" s="1">
        <v>2</v>
      </c>
      <c r="W34" s="1">
        <v>2</v>
      </c>
      <c r="X34" s="1">
        <v>2</v>
      </c>
      <c r="Y34" s="1">
        <v>13</v>
      </c>
      <c r="Z34" s="1">
        <v>2</v>
      </c>
      <c r="AA34" s="1">
        <v>8</v>
      </c>
      <c r="AB34" s="1">
        <v>0</v>
      </c>
      <c r="AC34" s="1">
        <v>0</v>
      </c>
      <c r="AD34" s="1">
        <v>6</v>
      </c>
      <c r="AE34" s="1">
        <v>13</v>
      </c>
    </row>
    <row r="35" spans="1:31" x14ac:dyDescent="0.25">
      <c r="A35" t="s">
        <v>1</v>
      </c>
      <c r="B35" s="1">
        <f t="shared" si="0"/>
        <v>142</v>
      </c>
      <c r="C35" s="1">
        <v>2</v>
      </c>
      <c r="D35" s="1">
        <v>6</v>
      </c>
      <c r="E35" s="1">
        <v>13</v>
      </c>
      <c r="F35" s="1">
        <v>0</v>
      </c>
      <c r="G35" s="1">
        <v>2</v>
      </c>
      <c r="H35" s="1">
        <v>6</v>
      </c>
      <c r="I35" s="1">
        <v>0</v>
      </c>
      <c r="J35" s="1">
        <v>6</v>
      </c>
      <c r="K35" s="1">
        <v>6</v>
      </c>
      <c r="L35" s="1">
        <v>2</v>
      </c>
      <c r="M35" s="1">
        <v>8</v>
      </c>
      <c r="N35" s="1">
        <v>8</v>
      </c>
      <c r="O35" s="1">
        <v>13</v>
      </c>
      <c r="P35" s="1">
        <v>2</v>
      </c>
      <c r="Q35" s="1">
        <v>6</v>
      </c>
      <c r="R35" s="1">
        <v>13</v>
      </c>
      <c r="S35" s="1">
        <v>0</v>
      </c>
      <c r="T35" s="1">
        <v>2</v>
      </c>
      <c r="U35" s="1">
        <v>2</v>
      </c>
      <c r="V35" s="1">
        <v>2</v>
      </c>
      <c r="W35" s="1">
        <v>2</v>
      </c>
      <c r="X35" s="1">
        <v>0</v>
      </c>
      <c r="Y35" s="1">
        <v>8</v>
      </c>
      <c r="Z35" s="1">
        <v>6</v>
      </c>
      <c r="AA35" s="1">
        <v>8</v>
      </c>
      <c r="AB35" s="1">
        <v>0</v>
      </c>
      <c r="AC35" s="1">
        <v>0</v>
      </c>
      <c r="AD35" s="1">
        <v>6</v>
      </c>
      <c r="AE35" s="1">
        <v>13</v>
      </c>
    </row>
    <row r="36" spans="1:31" x14ac:dyDescent="0.25">
      <c r="A36" t="s">
        <v>59</v>
      </c>
      <c r="B36" s="1">
        <f t="shared" si="0"/>
        <v>141</v>
      </c>
      <c r="C36" s="1">
        <v>8</v>
      </c>
      <c r="D36" s="1">
        <v>6</v>
      </c>
      <c r="E36" s="1">
        <v>8</v>
      </c>
      <c r="F36" s="1">
        <v>6</v>
      </c>
      <c r="G36" s="1">
        <v>0</v>
      </c>
      <c r="H36" s="1">
        <v>0</v>
      </c>
      <c r="I36" s="1">
        <v>0</v>
      </c>
      <c r="J36" s="1">
        <v>8</v>
      </c>
      <c r="K36" s="1">
        <v>0</v>
      </c>
      <c r="L36" s="1">
        <v>0</v>
      </c>
      <c r="M36" s="1">
        <v>6</v>
      </c>
      <c r="N36" s="1">
        <v>6</v>
      </c>
      <c r="O36" s="1">
        <v>13</v>
      </c>
      <c r="P36" s="1">
        <v>2</v>
      </c>
      <c r="Q36" s="1">
        <v>6</v>
      </c>
      <c r="R36" s="1">
        <v>13</v>
      </c>
      <c r="S36" s="1">
        <v>7</v>
      </c>
      <c r="T36" s="1">
        <v>0</v>
      </c>
      <c r="U36" s="1">
        <v>13</v>
      </c>
      <c r="V36" s="1">
        <v>0</v>
      </c>
      <c r="W36" s="1">
        <v>0</v>
      </c>
      <c r="X36" s="1">
        <v>0</v>
      </c>
      <c r="Y36" s="1">
        <v>13</v>
      </c>
      <c r="Z36" s="1">
        <v>6</v>
      </c>
      <c r="AA36" s="1">
        <v>8</v>
      </c>
      <c r="AB36" s="1">
        <v>0</v>
      </c>
      <c r="AC36" s="1">
        <v>2</v>
      </c>
      <c r="AD36" s="1">
        <v>8</v>
      </c>
      <c r="AE36" s="1">
        <v>2</v>
      </c>
    </row>
    <row r="37" spans="1:31" x14ac:dyDescent="0.25">
      <c r="A37" t="s">
        <v>85</v>
      </c>
      <c r="B37" s="1">
        <f t="shared" si="0"/>
        <v>141</v>
      </c>
      <c r="C37" s="1">
        <v>0</v>
      </c>
      <c r="D37" s="1">
        <v>6</v>
      </c>
      <c r="E37" s="1">
        <v>8</v>
      </c>
      <c r="F37" s="1">
        <v>0</v>
      </c>
      <c r="G37" s="1">
        <v>0</v>
      </c>
      <c r="H37" s="1">
        <v>2</v>
      </c>
      <c r="I37" s="1">
        <v>2</v>
      </c>
      <c r="J37" s="1">
        <v>8</v>
      </c>
      <c r="K37" s="1">
        <v>2</v>
      </c>
      <c r="L37" s="1">
        <v>2</v>
      </c>
      <c r="M37" s="1">
        <v>6</v>
      </c>
      <c r="N37" s="1">
        <v>8</v>
      </c>
      <c r="O37" s="1">
        <v>13</v>
      </c>
      <c r="P37" s="1">
        <v>2</v>
      </c>
      <c r="Q37" s="1">
        <v>6</v>
      </c>
      <c r="R37" s="1">
        <v>8</v>
      </c>
      <c r="S37" s="1">
        <v>7</v>
      </c>
      <c r="T37" s="1">
        <v>0</v>
      </c>
      <c r="U37" s="1">
        <v>6</v>
      </c>
      <c r="V37" s="1">
        <v>2</v>
      </c>
      <c r="W37" s="1">
        <v>6</v>
      </c>
      <c r="X37" s="1">
        <v>13</v>
      </c>
      <c r="Y37" s="1">
        <v>0</v>
      </c>
      <c r="Z37" s="1">
        <v>13</v>
      </c>
      <c r="AA37" s="1">
        <v>0</v>
      </c>
      <c r="AB37" s="1">
        <v>13</v>
      </c>
      <c r="AC37" s="1">
        <v>0</v>
      </c>
      <c r="AD37" s="1">
        <v>6</v>
      </c>
      <c r="AE37" s="1">
        <v>2</v>
      </c>
    </row>
    <row r="38" spans="1:31" x14ac:dyDescent="0.25">
      <c r="A38" t="s">
        <v>92</v>
      </c>
      <c r="B38" s="1">
        <f t="shared" si="0"/>
        <v>141</v>
      </c>
      <c r="C38" s="1">
        <v>2</v>
      </c>
      <c r="D38" s="1">
        <v>6</v>
      </c>
      <c r="E38" s="1">
        <v>8</v>
      </c>
      <c r="F38" s="1">
        <v>6</v>
      </c>
      <c r="G38" s="1">
        <v>0</v>
      </c>
      <c r="H38" s="1">
        <v>2</v>
      </c>
      <c r="I38" s="1">
        <v>6</v>
      </c>
      <c r="J38" s="1">
        <v>8</v>
      </c>
      <c r="K38" s="1">
        <v>2</v>
      </c>
      <c r="L38" s="1">
        <v>2</v>
      </c>
      <c r="M38" s="1">
        <v>8</v>
      </c>
      <c r="N38" s="1">
        <v>8</v>
      </c>
      <c r="O38" s="1">
        <v>2</v>
      </c>
      <c r="P38" s="1">
        <v>6</v>
      </c>
      <c r="Q38" s="1">
        <v>6</v>
      </c>
      <c r="R38" s="1">
        <v>8</v>
      </c>
      <c r="S38" s="1">
        <v>0</v>
      </c>
      <c r="T38" s="1">
        <v>0</v>
      </c>
      <c r="U38" s="1">
        <v>6</v>
      </c>
      <c r="V38" s="1">
        <v>0</v>
      </c>
      <c r="W38" s="1">
        <v>2</v>
      </c>
      <c r="X38" s="1">
        <v>13</v>
      </c>
      <c r="Y38" s="1">
        <v>13</v>
      </c>
      <c r="Z38" s="1">
        <v>13</v>
      </c>
      <c r="AA38" s="1">
        <v>6</v>
      </c>
      <c r="AB38" s="1">
        <v>2</v>
      </c>
      <c r="AC38" s="1">
        <v>0</v>
      </c>
      <c r="AD38" s="1">
        <v>6</v>
      </c>
      <c r="AE38" s="1">
        <v>0</v>
      </c>
    </row>
    <row r="39" spans="1:31" x14ac:dyDescent="0.25">
      <c r="A39" t="s">
        <v>98</v>
      </c>
      <c r="B39" s="1">
        <f t="shared" si="0"/>
        <v>141</v>
      </c>
      <c r="C39" s="1">
        <v>0</v>
      </c>
      <c r="D39" s="1">
        <v>6</v>
      </c>
      <c r="E39" s="1">
        <v>8</v>
      </c>
      <c r="F39" s="1">
        <v>0</v>
      </c>
      <c r="G39" s="1">
        <v>0</v>
      </c>
      <c r="H39" s="1">
        <v>2</v>
      </c>
      <c r="I39" s="1">
        <v>6</v>
      </c>
      <c r="J39" s="1">
        <v>6</v>
      </c>
      <c r="K39" s="1">
        <v>2</v>
      </c>
      <c r="L39" s="1">
        <v>2</v>
      </c>
      <c r="M39" s="1">
        <v>8</v>
      </c>
      <c r="N39" s="1">
        <v>8</v>
      </c>
      <c r="O39" s="1">
        <v>13</v>
      </c>
      <c r="P39" s="1">
        <v>2</v>
      </c>
      <c r="Q39" s="1">
        <v>6</v>
      </c>
      <c r="R39" s="1">
        <v>13</v>
      </c>
      <c r="S39" s="1">
        <v>0</v>
      </c>
      <c r="T39" s="1">
        <v>0</v>
      </c>
      <c r="U39" s="1">
        <v>6</v>
      </c>
      <c r="V39" s="1">
        <v>2</v>
      </c>
      <c r="W39" s="1">
        <v>2</v>
      </c>
      <c r="X39" s="1">
        <v>13</v>
      </c>
      <c r="Y39" s="1">
        <v>8</v>
      </c>
      <c r="Z39" s="1">
        <v>8</v>
      </c>
      <c r="AA39" s="1">
        <v>8</v>
      </c>
      <c r="AB39" s="1">
        <v>0</v>
      </c>
      <c r="AC39" s="1">
        <v>0</v>
      </c>
      <c r="AD39" s="1">
        <v>6</v>
      </c>
      <c r="AE39" s="1">
        <v>6</v>
      </c>
    </row>
    <row r="40" spans="1:31" x14ac:dyDescent="0.25">
      <c r="A40" t="s">
        <v>27</v>
      </c>
      <c r="B40" s="1">
        <f t="shared" si="0"/>
        <v>140</v>
      </c>
      <c r="C40" s="1">
        <v>8</v>
      </c>
      <c r="D40" s="1">
        <v>6</v>
      </c>
      <c r="E40" s="1">
        <v>13</v>
      </c>
      <c r="F40" s="1">
        <v>13</v>
      </c>
      <c r="G40" s="1">
        <v>0</v>
      </c>
      <c r="H40" s="1">
        <v>2</v>
      </c>
      <c r="I40" s="1">
        <v>6</v>
      </c>
      <c r="J40" s="1">
        <v>6</v>
      </c>
      <c r="K40" s="1">
        <v>0</v>
      </c>
      <c r="L40" s="1">
        <v>0</v>
      </c>
      <c r="M40" s="1">
        <v>8</v>
      </c>
      <c r="N40" s="1">
        <v>8</v>
      </c>
      <c r="O40" s="1">
        <v>13</v>
      </c>
      <c r="P40" s="1">
        <v>0</v>
      </c>
      <c r="Q40" s="1">
        <v>6</v>
      </c>
      <c r="R40" s="1">
        <v>8</v>
      </c>
      <c r="S40" s="1">
        <v>0</v>
      </c>
      <c r="T40" s="1">
        <v>0</v>
      </c>
      <c r="U40" s="1">
        <v>2</v>
      </c>
      <c r="V40" s="1">
        <v>2</v>
      </c>
      <c r="W40" s="1">
        <v>0</v>
      </c>
      <c r="X40" s="1">
        <v>2</v>
      </c>
      <c r="Y40" s="1">
        <v>8</v>
      </c>
      <c r="Z40" s="1">
        <v>13</v>
      </c>
      <c r="AA40" s="1">
        <v>6</v>
      </c>
      <c r="AB40" s="1">
        <v>2</v>
      </c>
      <c r="AC40" s="1">
        <v>0</v>
      </c>
      <c r="AD40" s="1">
        <v>6</v>
      </c>
      <c r="AE40" s="1">
        <v>2</v>
      </c>
    </row>
    <row r="41" spans="1:31" x14ac:dyDescent="0.25">
      <c r="A41" t="s">
        <v>31</v>
      </c>
      <c r="B41" s="1">
        <f t="shared" si="0"/>
        <v>140</v>
      </c>
      <c r="C41" s="1">
        <v>8</v>
      </c>
      <c r="D41" s="1">
        <v>6</v>
      </c>
      <c r="E41" s="1">
        <v>8</v>
      </c>
      <c r="F41" s="1">
        <v>2</v>
      </c>
      <c r="G41" s="1">
        <v>0</v>
      </c>
      <c r="H41" s="1">
        <v>2</v>
      </c>
      <c r="I41" s="1">
        <v>2</v>
      </c>
      <c r="J41" s="1">
        <v>6</v>
      </c>
      <c r="K41" s="1">
        <v>2</v>
      </c>
      <c r="L41" s="1">
        <v>2</v>
      </c>
      <c r="M41" s="1">
        <v>8</v>
      </c>
      <c r="N41" s="1">
        <v>6</v>
      </c>
      <c r="O41" s="1">
        <v>13</v>
      </c>
      <c r="P41" s="1">
        <v>6</v>
      </c>
      <c r="Q41" s="1">
        <v>8</v>
      </c>
      <c r="R41" s="1">
        <v>13</v>
      </c>
      <c r="S41" s="1">
        <v>0</v>
      </c>
      <c r="T41" s="1">
        <v>0</v>
      </c>
      <c r="U41" s="1">
        <v>8</v>
      </c>
      <c r="V41" s="1">
        <v>0</v>
      </c>
      <c r="W41" s="1">
        <v>0</v>
      </c>
      <c r="X41" s="1">
        <v>2</v>
      </c>
      <c r="Y41" s="1">
        <v>13</v>
      </c>
      <c r="Z41" s="1">
        <v>2</v>
      </c>
      <c r="AA41" s="1">
        <v>13</v>
      </c>
      <c r="AB41" s="1">
        <v>2</v>
      </c>
      <c r="AC41" s="1">
        <v>0</v>
      </c>
      <c r="AD41" s="1">
        <v>6</v>
      </c>
      <c r="AE41" s="1">
        <v>2</v>
      </c>
    </row>
    <row r="42" spans="1:31" x14ac:dyDescent="0.25">
      <c r="A42" t="s">
        <v>58</v>
      </c>
      <c r="B42" s="1">
        <f t="shared" si="0"/>
        <v>140</v>
      </c>
      <c r="C42" s="1">
        <v>0</v>
      </c>
      <c r="D42" s="1">
        <v>6</v>
      </c>
      <c r="E42" s="1">
        <v>8</v>
      </c>
      <c r="F42" s="1">
        <v>13</v>
      </c>
      <c r="G42" s="1">
        <v>0</v>
      </c>
      <c r="H42" s="1">
        <v>0</v>
      </c>
      <c r="I42" s="1">
        <v>6</v>
      </c>
      <c r="J42" s="1">
        <v>6</v>
      </c>
      <c r="K42" s="1">
        <v>0</v>
      </c>
      <c r="L42" s="1">
        <v>0</v>
      </c>
      <c r="M42" s="1">
        <v>8</v>
      </c>
      <c r="N42" s="1">
        <v>6</v>
      </c>
      <c r="O42" s="1">
        <v>13</v>
      </c>
      <c r="P42" s="1">
        <v>6</v>
      </c>
      <c r="Q42" s="1">
        <v>6</v>
      </c>
      <c r="R42" s="1">
        <v>6</v>
      </c>
      <c r="S42" s="1">
        <v>7</v>
      </c>
      <c r="T42" s="1">
        <v>0</v>
      </c>
      <c r="U42" s="1">
        <v>8</v>
      </c>
      <c r="V42" s="1">
        <v>0</v>
      </c>
      <c r="W42" s="1">
        <v>0</v>
      </c>
      <c r="X42" s="1">
        <v>2</v>
      </c>
      <c r="Y42" s="1">
        <v>13</v>
      </c>
      <c r="Z42" s="1">
        <v>2</v>
      </c>
      <c r="AA42" s="1">
        <v>8</v>
      </c>
      <c r="AB42" s="1">
        <v>2</v>
      </c>
      <c r="AC42" s="1">
        <v>0</v>
      </c>
      <c r="AD42" s="1">
        <v>8</v>
      </c>
      <c r="AE42" s="1">
        <v>6</v>
      </c>
    </row>
    <row r="43" spans="1:31" x14ac:dyDescent="0.25">
      <c r="A43" t="s">
        <v>63</v>
      </c>
      <c r="B43" s="1">
        <f t="shared" si="0"/>
        <v>140</v>
      </c>
      <c r="C43" s="1">
        <v>0</v>
      </c>
      <c r="D43" s="1">
        <v>6</v>
      </c>
      <c r="E43" s="1">
        <v>13</v>
      </c>
      <c r="F43" s="1">
        <v>13</v>
      </c>
      <c r="G43" s="1">
        <v>0</v>
      </c>
      <c r="H43" s="1">
        <v>2</v>
      </c>
      <c r="I43" s="1">
        <v>6</v>
      </c>
      <c r="J43" s="1">
        <v>8</v>
      </c>
      <c r="K43" s="1">
        <v>2</v>
      </c>
      <c r="L43" s="1">
        <v>2</v>
      </c>
      <c r="M43" s="1">
        <v>8</v>
      </c>
      <c r="N43" s="1">
        <v>8</v>
      </c>
      <c r="O43" s="1">
        <v>13</v>
      </c>
      <c r="P43" s="1">
        <v>2</v>
      </c>
      <c r="Q43" s="1">
        <v>6</v>
      </c>
      <c r="R43" s="1">
        <v>8</v>
      </c>
      <c r="S43" s="1">
        <v>7</v>
      </c>
      <c r="T43" s="1">
        <v>0</v>
      </c>
      <c r="U43" s="1">
        <v>6</v>
      </c>
      <c r="V43" s="1">
        <v>2</v>
      </c>
      <c r="W43" s="1">
        <v>0</v>
      </c>
      <c r="X43" s="1">
        <v>2</v>
      </c>
      <c r="Y43" s="1">
        <v>8</v>
      </c>
      <c r="Z43" s="1">
        <v>2</v>
      </c>
      <c r="AA43" s="1">
        <v>8</v>
      </c>
      <c r="AB43" s="1">
        <v>0</v>
      </c>
      <c r="AC43" s="1">
        <v>0</v>
      </c>
      <c r="AD43" s="1">
        <v>2</v>
      </c>
      <c r="AE43" s="1">
        <v>6</v>
      </c>
    </row>
    <row r="44" spans="1:31" x14ac:dyDescent="0.25">
      <c r="A44" t="s">
        <v>93</v>
      </c>
      <c r="B44" s="1">
        <f t="shared" si="0"/>
        <v>140</v>
      </c>
      <c r="C44" s="1">
        <v>8</v>
      </c>
      <c r="D44" s="1">
        <v>6</v>
      </c>
      <c r="E44" s="1">
        <v>8</v>
      </c>
      <c r="F44" s="1">
        <v>13</v>
      </c>
      <c r="G44" s="1">
        <v>0</v>
      </c>
      <c r="H44" s="1">
        <v>2</v>
      </c>
      <c r="I44" s="1">
        <v>6</v>
      </c>
      <c r="J44" s="1">
        <v>6</v>
      </c>
      <c r="K44" s="1">
        <v>2</v>
      </c>
      <c r="L44" s="1">
        <v>0</v>
      </c>
      <c r="M44" s="1">
        <v>8</v>
      </c>
      <c r="N44" s="1">
        <v>8</v>
      </c>
      <c r="O44" s="1">
        <v>13</v>
      </c>
      <c r="P44" s="1">
        <v>2</v>
      </c>
      <c r="Q44" s="1">
        <v>6</v>
      </c>
      <c r="R44" s="1">
        <v>8</v>
      </c>
      <c r="S44" s="1">
        <v>0</v>
      </c>
      <c r="T44" s="1">
        <v>0</v>
      </c>
      <c r="U44" s="1">
        <v>6</v>
      </c>
      <c r="V44" s="1">
        <v>2</v>
      </c>
      <c r="W44" s="1">
        <v>2</v>
      </c>
      <c r="X44" s="1">
        <v>2</v>
      </c>
      <c r="Y44" s="1">
        <v>8</v>
      </c>
      <c r="Z44" s="1">
        <v>6</v>
      </c>
      <c r="AA44" s="1">
        <v>8</v>
      </c>
      <c r="AB44" s="1">
        <v>2</v>
      </c>
      <c r="AC44" s="1">
        <v>0</v>
      </c>
      <c r="AD44" s="1">
        <v>6</v>
      </c>
      <c r="AE44" s="1">
        <v>2</v>
      </c>
    </row>
    <row r="45" spans="1:31" x14ac:dyDescent="0.25">
      <c r="A45" t="s">
        <v>107</v>
      </c>
      <c r="B45" s="1">
        <f t="shared" si="0"/>
        <v>140</v>
      </c>
      <c r="C45" s="1">
        <v>0</v>
      </c>
      <c r="D45" s="1">
        <v>6</v>
      </c>
      <c r="E45" s="1">
        <v>13</v>
      </c>
      <c r="F45" s="1">
        <v>13</v>
      </c>
      <c r="G45" s="1">
        <v>0</v>
      </c>
      <c r="H45" s="1">
        <v>0</v>
      </c>
      <c r="I45" s="1">
        <v>6</v>
      </c>
      <c r="J45" s="1">
        <v>8</v>
      </c>
      <c r="K45" s="1">
        <v>6</v>
      </c>
      <c r="L45" s="1">
        <v>2</v>
      </c>
      <c r="M45" s="1">
        <v>8</v>
      </c>
      <c r="N45" s="1">
        <v>13</v>
      </c>
      <c r="O45" s="1">
        <v>8</v>
      </c>
      <c r="P45" s="1">
        <v>2</v>
      </c>
      <c r="Q45" s="1">
        <v>8</v>
      </c>
      <c r="R45" s="1">
        <v>0</v>
      </c>
      <c r="S45" s="1">
        <v>0</v>
      </c>
      <c r="T45" s="1">
        <v>0</v>
      </c>
      <c r="U45" s="1">
        <v>6</v>
      </c>
      <c r="V45" s="1">
        <v>0</v>
      </c>
      <c r="W45" s="1">
        <v>0</v>
      </c>
      <c r="X45" s="1">
        <v>0</v>
      </c>
      <c r="Y45" s="1">
        <v>6</v>
      </c>
      <c r="Z45" s="1">
        <v>0</v>
      </c>
      <c r="AA45" s="1">
        <v>8</v>
      </c>
      <c r="AB45" s="1">
        <v>13</v>
      </c>
      <c r="AC45" s="1">
        <v>0</v>
      </c>
      <c r="AD45" s="1">
        <v>8</v>
      </c>
      <c r="AE45" s="1">
        <v>6</v>
      </c>
    </row>
    <row r="46" spans="1:31" x14ac:dyDescent="0.25">
      <c r="A46" t="s">
        <v>50</v>
      </c>
      <c r="B46" s="1">
        <f t="shared" si="0"/>
        <v>138</v>
      </c>
      <c r="C46" s="1">
        <v>8</v>
      </c>
      <c r="D46" s="1">
        <v>6</v>
      </c>
      <c r="E46" s="1">
        <v>8</v>
      </c>
      <c r="F46" s="1">
        <v>13</v>
      </c>
      <c r="G46" s="1">
        <v>0</v>
      </c>
      <c r="H46" s="1">
        <v>2</v>
      </c>
      <c r="I46" s="1">
        <v>6</v>
      </c>
      <c r="J46" s="1">
        <v>6</v>
      </c>
      <c r="K46" s="1">
        <v>2</v>
      </c>
      <c r="L46" s="1">
        <v>0</v>
      </c>
      <c r="M46" s="1">
        <v>6</v>
      </c>
      <c r="N46" s="1">
        <v>8</v>
      </c>
      <c r="O46" s="1">
        <v>6</v>
      </c>
      <c r="P46" s="1">
        <v>2</v>
      </c>
      <c r="Q46" s="1">
        <v>6</v>
      </c>
      <c r="R46" s="1">
        <v>6</v>
      </c>
      <c r="S46" s="1">
        <v>0</v>
      </c>
      <c r="T46" s="1">
        <v>0</v>
      </c>
      <c r="U46" s="1">
        <v>6</v>
      </c>
      <c r="V46" s="1">
        <v>2</v>
      </c>
      <c r="W46" s="1">
        <v>0</v>
      </c>
      <c r="X46" s="1">
        <v>2</v>
      </c>
      <c r="Y46" s="1">
        <v>8</v>
      </c>
      <c r="Z46" s="1">
        <v>2</v>
      </c>
      <c r="AA46" s="1">
        <v>8</v>
      </c>
      <c r="AB46" s="1">
        <v>6</v>
      </c>
      <c r="AC46" s="1">
        <v>0</v>
      </c>
      <c r="AD46" s="1">
        <v>6</v>
      </c>
      <c r="AE46" s="1">
        <v>13</v>
      </c>
    </row>
    <row r="47" spans="1:31" x14ac:dyDescent="0.25">
      <c r="A47" t="s">
        <v>17</v>
      </c>
      <c r="B47" s="1">
        <f t="shared" si="0"/>
        <v>137</v>
      </c>
      <c r="C47" s="1">
        <v>8</v>
      </c>
      <c r="D47" s="1">
        <v>6</v>
      </c>
      <c r="E47" s="1">
        <v>13</v>
      </c>
      <c r="F47" s="1">
        <v>13</v>
      </c>
      <c r="G47" s="1">
        <v>0</v>
      </c>
      <c r="H47" s="1">
        <v>2</v>
      </c>
      <c r="I47" s="1">
        <v>0</v>
      </c>
      <c r="J47" s="1">
        <v>6</v>
      </c>
      <c r="K47" s="1">
        <v>0</v>
      </c>
      <c r="L47" s="1">
        <v>0</v>
      </c>
      <c r="M47" s="1">
        <v>8</v>
      </c>
      <c r="N47" s="1">
        <v>8</v>
      </c>
      <c r="O47" s="1">
        <v>6</v>
      </c>
      <c r="P47" s="1">
        <v>2</v>
      </c>
      <c r="Q47" s="1">
        <v>8</v>
      </c>
      <c r="R47" s="1">
        <v>8</v>
      </c>
      <c r="S47" s="1">
        <v>0</v>
      </c>
      <c r="T47" s="1">
        <v>0</v>
      </c>
      <c r="U47" s="1">
        <v>6</v>
      </c>
      <c r="V47" s="1">
        <v>0</v>
      </c>
      <c r="W47" s="1">
        <v>2</v>
      </c>
      <c r="X47" s="1">
        <v>2</v>
      </c>
      <c r="Y47" s="1">
        <v>13</v>
      </c>
      <c r="Z47" s="1">
        <v>8</v>
      </c>
      <c r="AA47" s="1">
        <v>8</v>
      </c>
      <c r="AB47" s="1">
        <v>2</v>
      </c>
      <c r="AC47" s="1">
        <v>0</v>
      </c>
      <c r="AD47" s="1">
        <v>6</v>
      </c>
      <c r="AE47" s="1">
        <v>2</v>
      </c>
    </row>
    <row r="48" spans="1:31" x14ac:dyDescent="0.25">
      <c r="A48" t="s">
        <v>21</v>
      </c>
      <c r="B48" s="1">
        <f t="shared" si="0"/>
        <v>137</v>
      </c>
      <c r="C48" s="1">
        <v>8</v>
      </c>
      <c r="D48" s="1">
        <v>6</v>
      </c>
      <c r="E48" s="1">
        <v>8</v>
      </c>
      <c r="F48" s="1">
        <v>13</v>
      </c>
      <c r="G48" s="1">
        <v>0</v>
      </c>
      <c r="H48" s="1">
        <v>2</v>
      </c>
      <c r="I48" s="1">
        <v>0</v>
      </c>
      <c r="J48" s="1">
        <v>6</v>
      </c>
      <c r="K48" s="1">
        <v>2</v>
      </c>
      <c r="L48" s="1">
        <v>0</v>
      </c>
      <c r="M48" s="1">
        <v>6</v>
      </c>
      <c r="N48" s="1">
        <v>8</v>
      </c>
      <c r="O48" s="1">
        <v>2</v>
      </c>
      <c r="P48" s="1">
        <v>2</v>
      </c>
      <c r="Q48" s="1">
        <v>6</v>
      </c>
      <c r="R48" s="1">
        <v>13</v>
      </c>
      <c r="S48" s="1">
        <v>7</v>
      </c>
      <c r="T48" s="1">
        <v>0</v>
      </c>
      <c r="U48" s="1">
        <v>6</v>
      </c>
      <c r="V48" s="1">
        <v>2</v>
      </c>
      <c r="W48" s="1">
        <v>2</v>
      </c>
      <c r="X48" s="1">
        <v>6</v>
      </c>
      <c r="Y48" s="1">
        <v>8</v>
      </c>
      <c r="Z48" s="1">
        <v>2</v>
      </c>
      <c r="AA48" s="1">
        <v>8</v>
      </c>
      <c r="AB48" s="1">
        <v>2</v>
      </c>
      <c r="AC48" s="1">
        <v>0</v>
      </c>
      <c r="AD48" s="1">
        <v>6</v>
      </c>
      <c r="AE48" s="1">
        <v>6</v>
      </c>
    </row>
    <row r="49" spans="1:31" x14ac:dyDescent="0.25">
      <c r="A49" t="s">
        <v>47</v>
      </c>
      <c r="B49" s="1">
        <f t="shared" si="0"/>
        <v>137</v>
      </c>
      <c r="C49" s="1">
        <v>8</v>
      </c>
      <c r="D49" s="1">
        <v>6</v>
      </c>
      <c r="E49" s="1">
        <v>8</v>
      </c>
      <c r="F49" s="1">
        <v>13</v>
      </c>
      <c r="G49" s="1">
        <v>0</v>
      </c>
      <c r="H49" s="1">
        <v>2</v>
      </c>
      <c r="I49" s="1">
        <v>0</v>
      </c>
      <c r="J49" s="1">
        <v>6</v>
      </c>
      <c r="K49" s="1">
        <v>2</v>
      </c>
      <c r="L49" s="1">
        <v>0</v>
      </c>
      <c r="M49" s="1">
        <v>8</v>
      </c>
      <c r="N49" s="1">
        <v>8</v>
      </c>
      <c r="O49" s="1">
        <v>13</v>
      </c>
      <c r="P49" s="1">
        <v>2</v>
      </c>
      <c r="Q49" s="1">
        <v>6</v>
      </c>
      <c r="R49" s="1">
        <v>13</v>
      </c>
      <c r="S49" s="1">
        <v>0</v>
      </c>
      <c r="T49" s="1">
        <v>2</v>
      </c>
      <c r="U49" s="1">
        <v>8</v>
      </c>
      <c r="V49" s="1">
        <v>0</v>
      </c>
      <c r="W49" s="1">
        <v>0</v>
      </c>
      <c r="X49" s="1">
        <v>2</v>
      </c>
      <c r="Y49" s="1">
        <v>8</v>
      </c>
      <c r="Z49" s="1">
        <v>8</v>
      </c>
      <c r="AA49" s="1">
        <v>8</v>
      </c>
      <c r="AB49" s="1">
        <v>0</v>
      </c>
      <c r="AC49" s="1">
        <v>0</v>
      </c>
      <c r="AD49" s="1">
        <v>6</v>
      </c>
      <c r="AE49" s="1">
        <v>0</v>
      </c>
    </row>
    <row r="50" spans="1:31" x14ac:dyDescent="0.25">
      <c r="A50" t="s">
        <v>44</v>
      </c>
      <c r="B50" s="1">
        <f t="shared" si="0"/>
        <v>136</v>
      </c>
      <c r="C50" s="1">
        <v>6</v>
      </c>
      <c r="D50" s="1">
        <v>6</v>
      </c>
      <c r="E50" s="1">
        <v>8</v>
      </c>
      <c r="F50" s="1">
        <v>2</v>
      </c>
      <c r="G50" s="1">
        <v>0</v>
      </c>
      <c r="H50" s="1">
        <v>2</v>
      </c>
      <c r="I50" s="1">
        <v>2</v>
      </c>
      <c r="J50" s="1">
        <v>6</v>
      </c>
      <c r="K50" s="1">
        <v>2</v>
      </c>
      <c r="L50" s="1">
        <v>0</v>
      </c>
      <c r="M50" s="1">
        <v>6</v>
      </c>
      <c r="N50" s="1">
        <v>8</v>
      </c>
      <c r="O50" s="1">
        <v>2</v>
      </c>
      <c r="P50" s="1">
        <v>2</v>
      </c>
      <c r="Q50" s="1">
        <v>6</v>
      </c>
      <c r="R50" s="1">
        <v>8</v>
      </c>
      <c r="S50" s="1">
        <v>7</v>
      </c>
      <c r="T50" s="1">
        <v>2</v>
      </c>
      <c r="U50" s="1">
        <v>6</v>
      </c>
      <c r="V50" s="1">
        <v>2</v>
      </c>
      <c r="W50" s="1">
        <v>0</v>
      </c>
      <c r="X50" s="1">
        <v>13</v>
      </c>
      <c r="Y50" s="1">
        <v>13</v>
      </c>
      <c r="Z50" s="1">
        <v>6</v>
      </c>
      <c r="AA50" s="1">
        <v>0</v>
      </c>
      <c r="AB50" s="1">
        <v>2</v>
      </c>
      <c r="AC50" s="1">
        <v>0</v>
      </c>
      <c r="AD50" s="1">
        <v>6</v>
      </c>
      <c r="AE50" s="1">
        <v>13</v>
      </c>
    </row>
    <row r="51" spans="1:31" x14ac:dyDescent="0.25">
      <c r="A51" t="s">
        <v>94</v>
      </c>
      <c r="B51" s="1">
        <f t="shared" si="0"/>
        <v>136</v>
      </c>
      <c r="C51" s="1">
        <v>8</v>
      </c>
      <c r="D51" s="1">
        <v>6</v>
      </c>
      <c r="E51" s="1">
        <v>8</v>
      </c>
      <c r="F51" s="1">
        <v>13</v>
      </c>
      <c r="G51" s="1">
        <v>0</v>
      </c>
      <c r="H51" s="1">
        <v>0</v>
      </c>
      <c r="I51" s="1">
        <v>6</v>
      </c>
      <c r="J51" s="1">
        <v>8</v>
      </c>
      <c r="K51" s="1">
        <v>2</v>
      </c>
      <c r="L51" s="1">
        <v>0</v>
      </c>
      <c r="M51" s="1">
        <v>8</v>
      </c>
      <c r="N51" s="1">
        <v>6</v>
      </c>
      <c r="O51" s="1">
        <v>2</v>
      </c>
      <c r="P51" s="1">
        <v>2</v>
      </c>
      <c r="Q51" s="1">
        <v>6</v>
      </c>
      <c r="R51" s="1">
        <v>8</v>
      </c>
      <c r="S51" s="1">
        <v>0</v>
      </c>
      <c r="T51" s="1">
        <v>0</v>
      </c>
      <c r="U51" s="1">
        <v>13</v>
      </c>
      <c r="V51" s="1">
        <v>0</v>
      </c>
      <c r="W51" s="1">
        <v>0</v>
      </c>
      <c r="X51" s="1">
        <v>6</v>
      </c>
      <c r="Y51" s="1">
        <v>8</v>
      </c>
      <c r="Z51" s="1">
        <v>2</v>
      </c>
      <c r="AA51" s="1">
        <v>8</v>
      </c>
      <c r="AB51" s="1">
        <v>2</v>
      </c>
      <c r="AC51" s="1">
        <v>0</v>
      </c>
      <c r="AD51" s="1">
        <v>8</v>
      </c>
      <c r="AE51" s="1">
        <v>6</v>
      </c>
    </row>
    <row r="52" spans="1:31" x14ac:dyDescent="0.25">
      <c r="A52" t="s">
        <v>5</v>
      </c>
      <c r="B52" s="1">
        <f t="shared" si="0"/>
        <v>135</v>
      </c>
      <c r="C52" s="1">
        <v>8</v>
      </c>
      <c r="D52" s="1">
        <v>6</v>
      </c>
      <c r="E52" s="1">
        <v>13</v>
      </c>
      <c r="F52" s="1">
        <v>2</v>
      </c>
      <c r="G52" s="1">
        <v>0</v>
      </c>
      <c r="H52" s="1">
        <v>2</v>
      </c>
      <c r="I52" s="1">
        <v>6</v>
      </c>
      <c r="J52" s="1">
        <v>6</v>
      </c>
      <c r="K52" s="1">
        <v>2</v>
      </c>
      <c r="L52" s="1">
        <v>0</v>
      </c>
      <c r="M52" s="1">
        <v>8</v>
      </c>
      <c r="N52" s="1">
        <v>8</v>
      </c>
      <c r="O52" s="1">
        <v>8</v>
      </c>
      <c r="P52" s="1">
        <v>2</v>
      </c>
      <c r="Q52" s="1">
        <v>6</v>
      </c>
      <c r="R52" s="1">
        <v>8</v>
      </c>
      <c r="S52" s="1">
        <v>0</v>
      </c>
      <c r="T52" s="1">
        <v>0</v>
      </c>
      <c r="U52" s="1">
        <v>6</v>
      </c>
      <c r="V52" s="1">
        <v>0</v>
      </c>
      <c r="W52" s="1">
        <v>2</v>
      </c>
      <c r="X52" s="1">
        <v>2</v>
      </c>
      <c r="Y52" s="1">
        <v>8</v>
      </c>
      <c r="Z52" s="1">
        <v>8</v>
      </c>
      <c r="AA52" s="1">
        <v>8</v>
      </c>
      <c r="AB52" s="1">
        <v>6</v>
      </c>
      <c r="AC52" s="1">
        <v>0</v>
      </c>
      <c r="AD52" s="1">
        <v>8</v>
      </c>
      <c r="AE52" s="1">
        <v>2</v>
      </c>
    </row>
    <row r="53" spans="1:31" x14ac:dyDescent="0.25">
      <c r="A53" t="s">
        <v>60</v>
      </c>
      <c r="B53" s="1">
        <f t="shared" si="0"/>
        <v>135</v>
      </c>
      <c r="C53" s="1">
        <v>8</v>
      </c>
      <c r="D53" s="1">
        <v>6</v>
      </c>
      <c r="E53" s="1">
        <v>8</v>
      </c>
      <c r="F53" s="1">
        <v>0</v>
      </c>
      <c r="G53" s="1">
        <v>0</v>
      </c>
      <c r="H53" s="1">
        <v>0</v>
      </c>
      <c r="I53" s="1">
        <v>0</v>
      </c>
      <c r="J53" s="1">
        <v>8</v>
      </c>
      <c r="K53" s="1">
        <v>0</v>
      </c>
      <c r="L53" s="1">
        <v>0</v>
      </c>
      <c r="M53" s="1">
        <v>6</v>
      </c>
      <c r="N53" s="1">
        <v>6</v>
      </c>
      <c r="O53" s="1">
        <v>13</v>
      </c>
      <c r="P53" s="1">
        <v>2</v>
      </c>
      <c r="Q53" s="1">
        <v>6</v>
      </c>
      <c r="R53" s="1">
        <v>13</v>
      </c>
      <c r="S53" s="1">
        <v>7</v>
      </c>
      <c r="T53" s="1">
        <v>0</v>
      </c>
      <c r="U53" s="1">
        <v>13</v>
      </c>
      <c r="V53" s="1">
        <v>0</v>
      </c>
      <c r="W53" s="1">
        <v>0</v>
      </c>
      <c r="X53" s="1">
        <v>0</v>
      </c>
      <c r="Y53" s="1">
        <v>13</v>
      </c>
      <c r="Z53" s="1">
        <v>6</v>
      </c>
      <c r="AA53" s="1">
        <v>8</v>
      </c>
      <c r="AB53" s="1">
        <v>0</v>
      </c>
      <c r="AC53" s="1">
        <v>2</v>
      </c>
      <c r="AD53" s="1">
        <v>8</v>
      </c>
      <c r="AE53" s="1">
        <v>2</v>
      </c>
    </row>
    <row r="54" spans="1:31" x14ac:dyDescent="0.25">
      <c r="A54" t="s">
        <v>14</v>
      </c>
      <c r="B54" s="1">
        <f t="shared" si="0"/>
        <v>134</v>
      </c>
      <c r="C54" s="1">
        <v>0</v>
      </c>
      <c r="D54" s="1">
        <v>6</v>
      </c>
      <c r="E54" s="1">
        <v>13</v>
      </c>
      <c r="F54" s="1">
        <v>6</v>
      </c>
      <c r="G54" s="1">
        <v>0</v>
      </c>
      <c r="H54" s="1">
        <v>2</v>
      </c>
      <c r="I54" s="1">
        <v>6</v>
      </c>
      <c r="J54" s="1">
        <v>6</v>
      </c>
      <c r="K54" s="1">
        <v>6</v>
      </c>
      <c r="L54" s="1">
        <v>0</v>
      </c>
      <c r="M54" s="1">
        <v>8</v>
      </c>
      <c r="N54" s="1">
        <v>8</v>
      </c>
      <c r="O54" s="1">
        <v>13</v>
      </c>
      <c r="P54" s="1">
        <v>2</v>
      </c>
      <c r="Q54" s="1">
        <v>6</v>
      </c>
      <c r="R54" s="1">
        <v>13</v>
      </c>
      <c r="S54" s="1">
        <v>0</v>
      </c>
      <c r="T54" s="1">
        <v>0</v>
      </c>
      <c r="U54" s="1">
        <v>6</v>
      </c>
      <c r="V54" s="1">
        <v>0</v>
      </c>
      <c r="W54" s="1">
        <v>2</v>
      </c>
      <c r="X54" s="1">
        <v>0</v>
      </c>
      <c r="Y54" s="1">
        <v>13</v>
      </c>
      <c r="Z54" s="1">
        <v>2</v>
      </c>
      <c r="AA54" s="1">
        <v>8</v>
      </c>
      <c r="AB54" s="1">
        <v>0</v>
      </c>
      <c r="AC54" s="1">
        <v>0</v>
      </c>
      <c r="AD54" s="1">
        <v>6</v>
      </c>
      <c r="AE54" s="1">
        <v>2</v>
      </c>
    </row>
    <row r="55" spans="1:31" x14ac:dyDescent="0.25">
      <c r="A55" t="s">
        <v>57</v>
      </c>
      <c r="B55" s="1">
        <f t="shared" si="0"/>
        <v>134</v>
      </c>
      <c r="C55" s="1">
        <v>2</v>
      </c>
      <c r="D55" s="1">
        <v>6</v>
      </c>
      <c r="E55" s="1">
        <v>8</v>
      </c>
      <c r="F55" s="1">
        <v>13</v>
      </c>
      <c r="G55" s="1">
        <v>0</v>
      </c>
      <c r="H55" s="1">
        <v>2</v>
      </c>
      <c r="I55" s="1">
        <v>2</v>
      </c>
      <c r="J55" s="1">
        <v>6</v>
      </c>
      <c r="K55" s="1">
        <v>2</v>
      </c>
      <c r="L55" s="1">
        <v>0</v>
      </c>
      <c r="M55" s="1">
        <v>8</v>
      </c>
      <c r="N55" s="1">
        <v>8</v>
      </c>
      <c r="O55" s="1">
        <v>8</v>
      </c>
      <c r="P55" s="1">
        <v>2</v>
      </c>
      <c r="Q55" s="1">
        <v>8</v>
      </c>
      <c r="R55" s="1">
        <v>13</v>
      </c>
      <c r="S55" s="1">
        <v>0</v>
      </c>
      <c r="T55" s="1">
        <v>0</v>
      </c>
      <c r="U55" s="1">
        <v>2</v>
      </c>
      <c r="V55" s="1">
        <v>13</v>
      </c>
      <c r="W55" s="1">
        <v>0</v>
      </c>
      <c r="X55" s="1">
        <v>0</v>
      </c>
      <c r="Y55" s="1">
        <v>8</v>
      </c>
      <c r="Z55" s="1">
        <v>2</v>
      </c>
      <c r="AA55" s="1">
        <v>13</v>
      </c>
      <c r="AB55" s="1">
        <v>2</v>
      </c>
      <c r="AC55" s="1">
        <v>0</v>
      </c>
      <c r="AD55" s="1">
        <v>0</v>
      </c>
      <c r="AE55" s="1">
        <v>6</v>
      </c>
    </row>
    <row r="56" spans="1:31" x14ac:dyDescent="0.25">
      <c r="A56" t="s">
        <v>73</v>
      </c>
      <c r="B56" s="1">
        <f t="shared" si="0"/>
        <v>134</v>
      </c>
      <c r="C56" s="1">
        <v>0</v>
      </c>
      <c r="D56" s="1">
        <v>6</v>
      </c>
      <c r="E56" s="1">
        <v>13</v>
      </c>
      <c r="F56" s="1">
        <v>13</v>
      </c>
      <c r="G56" s="1">
        <v>0</v>
      </c>
      <c r="H56" s="1">
        <v>2</v>
      </c>
      <c r="I56" s="1">
        <v>0</v>
      </c>
      <c r="J56" s="1">
        <v>6</v>
      </c>
      <c r="K56" s="1">
        <v>2</v>
      </c>
      <c r="L56" s="1">
        <v>0</v>
      </c>
      <c r="M56" s="1">
        <v>8</v>
      </c>
      <c r="N56" s="1">
        <v>6</v>
      </c>
      <c r="O56" s="1">
        <v>2</v>
      </c>
      <c r="P56" s="1">
        <v>0</v>
      </c>
      <c r="Q56" s="1">
        <v>6</v>
      </c>
      <c r="R56" s="1">
        <v>8</v>
      </c>
      <c r="S56" s="1">
        <v>0</v>
      </c>
      <c r="T56" s="1">
        <v>0</v>
      </c>
      <c r="U56" s="1">
        <v>6</v>
      </c>
      <c r="V56" s="1">
        <v>0</v>
      </c>
      <c r="W56" s="1">
        <v>0</v>
      </c>
      <c r="X56" s="1">
        <v>13</v>
      </c>
      <c r="Y56" s="1">
        <v>8</v>
      </c>
      <c r="Z56" s="1">
        <v>6</v>
      </c>
      <c r="AA56" s="1">
        <v>8</v>
      </c>
      <c r="AB56" s="1">
        <v>2</v>
      </c>
      <c r="AC56" s="1">
        <v>0</v>
      </c>
      <c r="AD56" s="1">
        <v>6</v>
      </c>
      <c r="AE56" s="1">
        <v>13</v>
      </c>
    </row>
    <row r="57" spans="1:31" x14ac:dyDescent="0.25">
      <c r="A57" t="s">
        <v>13</v>
      </c>
      <c r="B57" s="1">
        <f t="shared" si="0"/>
        <v>133</v>
      </c>
      <c r="C57" s="1">
        <v>0</v>
      </c>
      <c r="D57" s="1">
        <v>6</v>
      </c>
      <c r="E57" s="1">
        <v>13</v>
      </c>
      <c r="F57" s="1">
        <v>2</v>
      </c>
      <c r="G57" s="1">
        <v>2</v>
      </c>
      <c r="H57" s="1">
        <v>2</v>
      </c>
      <c r="I57" s="1">
        <v>2</v>
      </c>
      <c r="J57" s="1">
        <v>6</v>
      </c>
      <c r="K57" s="1">
        <v>2</v>
      </c>
      <c r="L57" s="1">
        <v>2</v>
      </c>
      <c r="M57" s="1">
        <v>8</v>
      </c>
      <c r="N57" s="1">
        <v>13</v>
      </c>
      <c r="O57" s="1">
        <v>8</v>
      </c>
      <c r="P57" s="1">
        <v>0</v>
      </c>
      <c r="Q57" s="1">
        <v>6</v>
      </c>
      <c r="R57" s="1">
        <v>6</v>
      </c>
      <c r="S57" s="1">
        <v>7</v>
      </c>
      <c r="T57" s="1">
        <v>8</v>
      </c>
      <c r="U57" s="1">
        <v>0</v>
      </c>
      <c r="V57" s="1">
        <v>0</v>
      </c>
      <c r="W57" s="1">
        <v>2</v>
      </c>
      <c r="X57" s="1">
        <v>2</v>
      </c>
      <c r="Y57" s="1">
        <v>0</v>
      </c>
      <c r="Z57" s="1">
        <v>13</v>
      </c>
      <c r="AA57" s="1">
        <v>13</v>
      </c>
      <c r="AB57" s="1">
        <v>2</v>
      </c>
      <c r="AC57" s="1">
        <v>0</v>
      </c>
      <c r="AD57" s="1">
        <v>8</v>
      </c>
      <c r="AE57" s="1">
        <v>0</v>
      </c>
    </row>
    <row r="58" spans="1:31" x14ac:dyDescent="0.25">
      <c r="A58" t="s">
        <v>19</v>
      </c>
      <c r="B58" s="1">
        <f t="shared" si="0"/>
        <v>133</v>
      </c>
      <c r="C58" s="1">
        <v>13</v>
      </c>
      <c r="D58" s="1">
        <v>6</v>
      </c>
      <c r="E58" s="1">
        <v>0</v>
      </c>
      <c r="F58" s="1">
        <v>2</v>
      </c>
      <c r="G58" s="1">
        <v>0</v>
      </c>
      <c r="H58" s="1">
        <v>2</v>
      </c>
      <c r="I58" s="1">
        <v>2</v>
      </c>
      <c r="J58" s="1">
        <v>6</v>
      </c>
      <c r="K58" s="1">
        <v>6</v>
      </c>
      <c r="L58" s="1">
        <v>0</v>
      </c>
      <c r="M58" s="1">
        <v>8</v>
      </c>
      <c r="N58" s="1">
        <v>6</v>
      </c>
      <c r="O58" s="1">
        <v>2</v>
      </c>
      <c r="P58" s="1">
        <v>2</v>
      </c>
      <c r="Q58" s="1">
        <v>6</v>
      </c>
      <c r="R58" s="1">
        <v>0</v>
      </c>
      <c r="S58" s="1">
        <v>7</v>
      </c>
      <c r="T58" s="1">
        <v>0</v>
      </c>
      <c r="U58" s="1">
        <v>13</v>
      </c>
      <c r="V58" s="1">
        <v>2</v>
      </c>
      <c r="W58" s="1">
        <v>2</v>
      </c>
      <c r="X58" s="1">
        <v>6</v>
      </c>
      <c r="Y58" s="1">
        <v>13</v>
      </c>
      <c r="Z58" s="1">
        <v>13</v>
      </c>
      <c r="AA58" s="1">
        <v>0</v>
      </c>
      <c r="AB58" s="1">
        <v>2</v>
      </c>
      <c r="AC58" s="1">
        <v>0</v>
      </c>
      <c r="AD58" s="1">
        <v>8</v>
      </c>
      <c r="AE58" s="1">
        <v>6</v>
      </c>
    </row>
    <row r="59" spans="1:31" x14ac:dyDescent="0.25">
      <c r="A59" t="s">
        <v>83</v>
      </c>
      <c r="B59" s="1">
        <f t="shared" si="0"/>
        <v>132</v>
      </c>
      <c r="C59" s="1">
        <v>0</v>
      </c>
      <c r="D59" s="1">
        <v>6</v>
      </c>
      <c r="E59" s="1">
        <v>8</v>
      </c>
      <c r="F59" s="1">
        <v>6</v>
      </c>
      <c r="G59" s="1">
        <v>0</v>
      </c>
      <c r="H59" s="1">
        <v>2</v>
      </c>
      <c r="I59" s="1">
        <v>2</v>
      </c>
      <c r="J59" s="1">
        <v>8</v>
      </c>
      <c r="K59" s="1">
        <v>2</v>
      </c>
      <c r="L59" s="1">
        <v>0</v>
      </c>
      <c r="M59" s="1">
        <v>8</v>
      </c>
      <c r="N59" s="1">
        <v>6</v>
      </c>
      <c r="O59" s="1">
        <v>13</v>
      </c>
      <c r="P59" s="1">
        <v>6</v>
      </c>
      <c r="Q59" s="1">
        <v>6</v>
      </c>
      <c r="R59" s="1">
        <v>13</v>
      </c>
      <c r="S59" s="1">
        <v>7</v>
      </c>
      <c r="T59" s="1">
        <v>0</v>
      </c>
      <c r="U59" s="1">
        <v>6</v>
      </c>
      <c r="V59" s="1">
        <v>0</v>
      </c>
      <c r="W59" s="1">
        <v>0</v>
      </c>
      <c r="X59" s="1">
        <v>0</v>
      </c>
      <c r="Y59" s="1">
        <v>13</v>
      </c>
      <c r="Z59" s="1">
        <v>2</v>
      </c>
      <c r="AA59" s="1">
        <v>8</v>
      </c>
      <c r="AB59" s="1">
        <v>6</v>
      </c>
      <c r="AC59" s="1">
        <v>0</v>
      </c>
      <c r="AD59" s="1">
        <v>2</v>
      </c>
      <c r="AE59" s="1">
        <v>2</v>
      </c>
    </row>
    <row r="60" spans="1:31" x14ac:dyDescent="0.25">
      <c r="A60" t="s">
        <v>100</v>
      </c>
      <c r="B60" s="1">
        <f t="shared" si="0"/>
        <v>132</v>
      </c>
      <c r="C60" s="1">
        <v>8</v>
      </c>
      <c r="D60" s="1">
        <v>6</v>
      </c>
      <c r="E60" s="1">
        <v>13</v>
      </c>
      <c r="F60" s="1">
        <v>2</v>
      </c>
      <c r="G60" s="1">
        <v>0</v>
      </c>
      <c r="H60" s="1">
        <v>2</v>
      </c>
      <c r="I60" s="1">
        <v>6</v>
      </c>
      <c r="J60" s="1">
        <v>6</v>
      </c>
      <c r="K60" s="1">
        <v>2</v>
      </c>
      <c r="L60" s="1">
        <v>2</v>
      </c>
      <c r="M60" s="1">
        <v>8</v>
      </c>
      <c r="N60" s="1">
        <v>8</v>
      </c>
      <c r="O60" s="1">
        <v>8</v>
      </c>
      <c r="P60" s="1">
        <v>2</v>
      </c>
      <c r="Q60" s="1">
        <v>8</v>
      </c>
      <c r="R60" s="1">
        <v>8</v>
      </c>
      <c r="S60" s="1">
        <v>0</v>
      </c>
      <c r="T60" s="1">
        <v>0</v>
      </c>
      <c r="U60" s="1">
        <v>6</v>
      </c>
      <c r="V60" s="1">
        <v>2</v>
      </c>
      <c r="W60" s="1">
        <v>2</v>
      </c>
      <c r="X60" s="1">
        <v>2</v>
      </c>
      <c r="Y60" s="1">
        <v>8</v>
      </c>
      <c r="Z60" s="1">
        <v>0</v>
      </c>
      <c r="AA60" s="1">
        <v>13</v>
      </c>
      <c r="AB60" s="1">
        <v>2</v>
      </c>
      <c r="AC60" s="1">
        <v>0</v>
      </c>
      <c r="AD60" s="1">
        <v>6</v>
      </c>
      <c r="AE60" s="1">
        <v>2</v>
      </c>
    </row>
    <row r="61" spans="1:31" x14ac:dyDescent="0.25">
      <c r="A61" t="s">
        <v>35</v>
      </c>
      <c r="B61" s="1">
        <f t="shared" si="0"/>
        <v>131</v>
      </c>
      <c r="C61" s="1">
        <v>8</v>
      </c>
      <c r="D61" s="1">
        <v>0</v>
      </c>
      <c r="E61" s="1">
        <v>8</v>
      </c>
      <c r="F61" s="1">
        <v>13</v>
      </c>
      <c r="G61" s="1">
        <v>0</v>
      </c>
      <c r="H61" s="1">
        <v>2</v>
      </c>
      <c r="I61" s="1">
        <v>6</v>
      </c>
      <c r="J61" s="1">
        <v>2</v>
      </c>
      <c r="K61" s="1">
        <v>6</v>
      </c>
      <c r="L61" s="1">
        <v>2</v>
      </c>
      <c r="M61" s="1">
        <v>8</v>
      </c>
      <c r="N61" s="1">
        <v>6</v>
      </c>
      <c r="O61" s="1">
        <v>2</v>
      </c>
      <c r="P61" s="1">
        <v>0</v>
      </c>
      <c r="Q61" s="1">
        <v>8</v>
      </c>
      <c r="R61" s="1">
        <v>13</v>
      </c>
      <c r="S61" s="1">
        <v>7</v>
      </c>
      <c r="T61" s="1">
        <v>0</v>
      </c>
      <c r="U61" s="1">
        <v>6</v>
      </c>
      <c r="V61" s="1">
        <v>2</v>
      </c>
      <c r="W61" s="1">
        <v>0</v>
      </c>
      <c r="X61" s="1">
        <v>2</v>
      </c>
      <c r="Y61" s="1">
        <v>8</v>
      </c>
      <c r="Z61" s="1">
        <v>2</v>
      </c>
      <c r="AA61" s="1">
        <v>8</v>
      </c>
      <c r="AB61" s="1">
        <v>2</v>
      </c>
      <c r="AC61" s="1">
        <v>0</v>
      </c>
      <c r="AD61" s="1">
        <v>8</v>
      </c>
      <c r="AE61" s="1">
        <v>2</v>
      </c>
    </row>
    <row r="62" spans="1:31" x14ac:dyDescent="0.25">
      <c r="A62" t="s">
        <v>90</v>
      </c>
      <c r="B62" s="1">
        <f t="shared" si="0"/>
        <v>131</v>
      </c>
      <c r="C62" s="1">
        <v>0</v>
      </c>
      <c r="D62" s="1">
        <v>6</v>
      </c>
      <c r="E62" s="1">
        <v>8</v>
      </c>
      <c r="F62" s="1">
        <v>13</v>
      </c>
      <c r="G62" s="1">
        <v>0</v>
      </c>
      <c r="H62" s="1">
        <v>2</v>
      </c>
      <c r="I62" s="1">
        <v>6</v>
      </c>
      <c r="J62" s="1">
        <v>8</v>
      </c>
      <c r="K62" s="1">
        <v>2</v>
      </c>
      <c r="L62" s="1">
        <v>0</v>
      </c>
      <c r="M62" s="1">
        <v>8</v>
      </c>
      <c r="N62" s="1">
        <v>8</v>
      </c>
      <c r="O62" s="1">
        <v>2</v>
      </c>
      <c r="P62" s="1">
        <v>2</v>
      </c>
      <c r="Q62" s="1">
        <v>6</v>
      </c>
      <c r="R62" s="1">
        <v>13</v>
      </c>
      <c r="S62" s="1">
        <v>0</v>
      </c>
      <c r="T62" s="1">
        <v>2</v>
      </c>
      <c r="U62" s="1">
        <v>8</v>
      </c>
      <c r="V62" s="1">
        <v>2</v>
      </c>
      <c r="W62" s="1">
        <v>2</v>
      </c>
      <c r="X62" s="1">
        <v>2</v>
      </c>
      <c r="Y62" s="1">
        <v>8</v>
      </c>
      <c r="Z62" s="1">
        <v>0</v>
      </c>
      <c r="AA62" s="1">
        <v>0</v>
      </c>
      <c r="AB62" s="1">
        <v>2</v>
      </c>
      <c r="AC62" s="1">
        <v>0</v>
      </c>
      <c r="AD62" s="1">
        <v>8</v>
      </c>
      <c r="AE62" s="1">
        <v>13</v>
      </c>
    </row>
    <row r="63" spans="1:31" x14ac:dyDescent="0.25">
      <c r="A63" t="s">
        <v>49</v>
      </c>
      <c r="B63" s="1">
        <f t="shared" si="0"/>
        <v>130</v>
      </c>
      <c r="C63" s="1">
        <v>8</v>
      </c>
      <c r="D63" s="1">
        <v>6</v>
      </c>
      <c r="E63" s="1">
        <v>8</v>
      </c>
      <c r="F63" s="1">
        <v>13</v>
      </c>
      <c r="G63" s="1">
        <v>0</v>
      </c>
      <c r="H63" s="1">
        <v>2</v>
      </c>
      <c r="I63" s="1">
        <v>0</v>
      </c>
      <c r="J63" s="1">
        <v>6</v>
      </c>
      <c r="K63" s="1">
        <v>0</v>
      </c>
      <c r="L63" s="1">
        <v>0</v>
      </c>
      <c r="M63" s="1">
        <v>8</v>
      </c>
      <c r="N63" s="1">
        <v>8</v>
      </c>
      <c r="O63" s="1">
        <v>13</v>
      </c>
      <c r="P63" s="1">
        <v>0</v>
      </c>
      <c r="Q63" s="1">
        <v>6</v>
      </c>
      <c r="R63" s="1">
        <v>8</v>
      </c>
      <c r="S63" s="1">
        <v>0</v>
      </c>
      <c r="T63" s="1">
        <v>8</v>
      </c>
      <c r="U63" s="1">
        <v>6</v>
      </c>
      <c r="V63" s="1">
        <v>2</v>
      </c>
      <c r="W63" s="1">
        <v>2</v>
      </c>
      <c r="X63" s="1">
        <v>0</v>
      </c>
      <c r="Y63" s="1">
        <v>8</v>
      </c>
      <c r="Z63" s="1">
        <v>0</v>
      </c>
      <c r="AA63" s="1">
        <v>8</v>
      </c>
      <c r="AB63" s="1">
        <v>2</v>
      </c>
      <c r="AC63" s="1">
        <v>0</v>
      </c>
      <c r="AD63" s="1">
        <v>6</v>
      </c>
      <c r="AE63" s="1">
        <v>2</v>
      </c>
    </row>
    <row r="64" spans="1:31" x14ac:dyDescent="0.25">
      <c r="A64" t="s">
        <v>89</v>
      </c>
      <c r="B64" s="1">
        <f t="shared" si="0"/>
        <v>130</v>
      </c>
      <c r="C64" s="1">
        <v>0</v>
      </c>
      <c r="D64" s="1">
        <v>6</v>
      </c>
      <c r="E64" s="1">
        <v>8</v>
      </c>
      <c r="F64" s="1">
        <v>6</v>
      </c>
      <c r="G64" s="1">
        <v>0</v>
      </c>
      <c r="H64" s="1">
        <v>0</v>
      </c>
      <c r="I64" s="1">
        <v>6</v>
      </c>
      <c r="J64" s="1">
        <v>6</v>
      </c>
      <c r="K64" s="1">
        <v>0</v>
      </c>
      <c r="L64" s="1">
        <v>2</v>
      </c>
      <c r="M64" s="1">
        <v>6</v>
      </c>
      <c r="N64" s="1">
        <v>6</v>
      </c>
      <c r="O64" s="1">
        <v>13</v>
      </c>
      <c r="P64" s="1">
        <v>2</v>
      </c>
      <c r="Q64" s="1">
        <v>6</v>
      </c>
      <c r="R64" s="1">
        <v>13</v>
      </c>
      <c r="S64" s="1">
        <v>0</v>
      </c>
      <c r="T64" s="1">
        <v>8</v>
      </c>
      <c r="U64" s="1">
        <v>2</v>
      </c>
      <c r="V64" s="1">
        <v>0</v>
      </c>
      <c r="W64" s="1">
        <v>2</v>
      </c>
      <c r="X64" s="1">
        <v>2</v>
      </c>
      <c r="Y64" s="1">
        <v>8</v>
      </c>
      <c r="Z64" s="1">
        <v>8</v>
      </c>
      <c r="AA64" s="1">
        <v>6</v>
      </c>
      <c r="AB64" s="1">
        <v>2</v>
      </c>
      <c r="AC64" s="1">
        <v>0</v>
      </c>
      <c r="AD64" s="1">
        <v>6</v>
      </c>
      <c r="AE64" s="1">
        <v>6</v>
      </c>
    </row>
    <row r="65" spans="1:31" x14ac:dyDescent="0.25">
      <c r="A65" t="s">
        <v>8</v>
      </c>
      <c r="B65" s="1">
        <f t="shared" si="0"/>
        <v>128</v>
      </c>
      <c r="C65" s="1">
        <v>8</v>
      </c>
      <c r="D65" s="1">
        <v>6</v>
      </c>
      <c r="E65" s="1">
        <v>6</v>
      </c>
      <c r="F65" s="1">
        <v>13</v>
      </c>
      <c r="G65" s="1">
        <v>0</v>
      </c>
      <c r="H65" s="1">
        <v>2</v>
      </c>
      <c r="I65" s="1">
        <v>6</v>
      </c>
      <c r="J65" s="1">
        <v>6</v>
      </c>
      <c r="K65" s="1">
        <v>0</v>
      </c>
      <c r="L65" s="1">
        <v>0</v>
      </c>
      <c r="M65" s="1">
        <v>8</v>
      </c>
      <c r="N65" s="1">
        <v>8</v>
      </c>
      <c r="O65" s="1">
        <v>13</v>
      </c>
      <c r="P65" s="1">
        <v>2</v>
      </c>
      <c r="Q65" s="1">
        <v>6</v>
      </c>
      <c r="R65" s="1">
        <v>8</v>
      </c>
      <c r="S65" s="1">
        <v>0</v>
      </c>
      <c r="T65" s="1">
        <v>0</v>
      </c>
      <c r="U65" s="1">
        <v>6</v>
      </c>
      <c r="V65" s="1">
        <v>0</v>
      </c>
      <c r="W65" s="1">
        <v>0</v>
      </c>
      <c r="X65" s="1">
        <v>2</v>
      </c>
      <c r="Y65" s="1">
        <v>8</v>
      </c>
      <c r="Z65" s="1">
        <v>2</v>
      </c>
      <c r="AA65" s="1">
        <v>8</v>
      </c>
      <c r="AB65" s="1">
        <v>2</v>
      </c>
      <c r="AC65" s="1">
        <v>0</v>
      </c>
      <c r="AD65" s="1">
        <v>6</v>
      </c>
      <c r="AE65" s="1">
        <v>2</v>
      </c>
    </row>
    <row r="66" spans="1:31" x14ac:dyDescent="0.25">
      <c r="A66" t="s">
        <v>36</v>
      </c>
      <c r="B66" s="1">
        <f t="shared" si="0"/>
        <v>128</v>
      </c>
      <c r="C66" s="1">
        <v>8</v>
      </c>
      <c r="D66" s="1">
        <v>6</v>
      </c>
      <c r="E66" s="1">
        <v>6</v>
      </c>
      <c r="F66" s="1">
        <v>13</v>
      </c>
      <c r="G66" s="1">
        <v>0</v>
      </c>
      <c r="H66" s="1">
        <v>2</v>
      </c>
      <c r="I66" s="1">
        <v>6</v>
      </c>
      <c r="J66" s="1">
        <v>6</v>
      </c>
      <c r="K66" s="1">
        <v>0</v>
      </c>
      <c r="L66" s="1">
        <v>0</v>
      </c>
      <c r="M66" s="1">
        <v>6</v>
      </c>
      <c r="N66" s="1">
        <v>8</v>
      </c>
      <c r="O66" s="1">
        <v>8</v>
      </c>
      <c r="P66" s="1">
        <v>0</v>
      </c>
      <c r="Q66" s="1">
        <v>8</v>
      </c>
      <c r="R66" s="1">
        <v>6</v>
      </c>
      <c r="S66" s="1">
        <v>0</v>
      </c>
      <c r="T66" s="1">
        <v>0</v>
      </c>
      <c r="U66" s="1">
        <v>2</v>
      </c>
      <c r="V66" s="1">
        <v>0</v>
      </c>
      <c r="W66" s="1">
        <v>6</v>
      </c>
      <c r="X66" s="1">
        <v>6</v>
      </c>
      <c r="Y66" s="1">
        <v>6</v>
      </c>
      <c r="Z66" s="1">
        <v>2</v>
      </c>
      <c r="AA66" s="1">
        <v>0</v>
      </c>
      <c r="AB66" s="1">
        <v>2</v>
      </c>
      <c r="AC66" s="1">
        <v>0</v>
      </c>
      <c r="AD66" s="1">
        <v>8</v>
      </c>
      <c r="AE66" s="1">
        <v>13</v>
      </c>
    </row>
    <row r="67" spans="1:31" x14ac:dyDescent="0.25">
      <c r="A67" t="s">
        <v>51</v>
      </c>
      <c r="B67" s="1">
        <f t="shared" ref="B67:B115" si="1">SUM(C67:BW67)</f>
        <v>128</v>
      </c>
      <c r="C67" s="1">
        <v>8</v>
      </c>
      <c r="D67" s="1">
        <v>6</v>
      </c>
      <c r="E67" s="1">
        <v>0</v>
      </c>
      <c r="F67" s="1">
        <v>13</v>
      </c>
      <c r="G67" s="1">
        <v>0</v>
      </c>
      <c r="H67" s="1">
        <v>2</v>
      </c>
      <c r="I67" s="1">
        <v>2</v>
      </c>
      <c r="J67" s="1">
        <v>6</v>
      </c>
      <c r="K67" s="1">
        <v>2</v>
      </c>
      <c r="L67" s="1">
        <v>0</v>
      </c>
      <c r="M67" s="1">
        <v>6</v>
      </c>
      <c r="N67" s="1">
        <v>6</v>
      </c>
      <c r="O67" s="1">
        <v>0</v>
      </c>
      <c r="P67" s="1">
        <v>2</v>
      </c>
      <c r="Q67" s="1">
        <v>2</v>
      </c>
      <c r="R67" s="1">
        <v>8</v>
      </c>
      <c r="S67" s="1">
        <v>0</v>
      </c>
      <c r="T67" s="1">
        <v>0</v>
      </c>
      <c r="U67" s="1">
        <v>13</v>
      </c>
      <c r="V67" s="1">
        <v>2</v>
      </c>
      <c r="W67" s="1">
        <v>2</v>
      </c>
      <c r="X67" s="1">
        <v>0</v>
      </c>
      <c r="Y67" s="1">
        <v>13</v>
      </c>
      <c r="Z67" s="1">
        <v>13</v>
      </c>
      <c r="AA67" s="1">
        <v>8</v>
      </c>
      <c r="AB67" s="1">
        <v>0</v>
      </c>
      <c r="AC67" s="1">
        <v>0</v>
      </c>
      <c r="AD67" s="1">
        <v>8</v>
      </c>
      <c r="AE67" s="1">
        <v>6</v>
      </c>
    </row>
    <row r="68" spans="1:31" x14ac:dyDescent="0.25">
      <c r="A68" t="s">
        <v>82</v>
      </c>
      <c r="B68" s="1">
        <f t="shared" si="1"/>
        <v>128</v>
      </c>
      <c r="C68" s="1">
        <v>2</v>
      </c>
      <c r="D68" s="1">
        <v>6</v>
      </c>
      <c r="E68" s="1">
        <v>8</v>
      </c>
      <c r="F68" s="1">
        <v>13</v>
      </c>
      <c r="G68" s="1">
        <v>0</v>
      </c>
      <c r="H68" s="1">
        <v>2</v>
      </c>
      <c r="I68" s="1">
        <v>0</v>
      </c>
      <c r="J68" s="1">
        <v>8</v>
      </c>
      <c r="K68" s="1">
        <v>2</v>
      </c>
      <c r="L68" s="1">
        <v>0</v>
      </c>
      <c r="M68" s="1">
        <v>8</v>
      </c>
      <c r="N68" s="1">
        <v>6</v>
      </c>
      <c r="O68" s="1">
        <v>13</v>
      </c>
      <c r="P68" s="1">
        <v>0</v>
      </c>
      <c r="Q68" s="1">
        <v>6</v>
      </c>
      <c r="R68" s="1">
        <v>13</v>
      </c>
      <c r="S68" s="1">
        <v>0</v>
      </c>
      <c r="T68" s="1">
        <v>0</v>
      </c>
      <c r="U68" s="1">
        <v>13</v>
      </c>
      <c r="V68" s="1">
        <v>0</v>
      </c>
      <c r="W68" s="1">
        <v>0</v>
      </c>
      <c r="X68" s="1">
        <v>0</v>
      </c>
      <c r="Y68" s="1">
        <v>8</v>
      </c>
      <c r="Z68" s="1">
        <v>2</v>
      </c>
      <c r="AA68" s="1">
        <v>6</v>
      </c>
      <c r="AB68" s="1">
        <v>0</v>
      </c>
      <c r="AC68" s="1">
        <v>0</v>
      </c>
      <c r="AD68" s="1">
        <v>6</v>
      </c>
      <c r="AE68" s="1">
        <v>6</v>
      </c>
    </row>
    <row r="69" spans="1:31" x14ac:dyDescent="0.25">
      <c r="A69" t="s">
        <v>88</v>
      </c>
      <c r="B69" s="1">
        <f t="shared" si="1"/>
        <v>128</v>
      </c>
      <c r="C69" s="1">
        <v>8</v>
      </c>
      <c r="D69" s="1">
        <v>6</v>
      </c>
      <c r="E69" s="1">
        <v>8</v>
      </c>
      <c r="F69" s="1">
        <v>13</v>
      </c>
      <c r="G69" s="1">
        <v>0</v>
      </c>
      <c r="H69" s="1">
        <v>0</v>
      </c>
      <c r="I69" s="1">
        <v>0</v>
      </c>
      <c r="J69" s="1">
        <v>8</v>
      </c>
      <c r="K69" s="1">
        <v>0</v>
      </c>
      <c r="L69" s="1">
        <v>0</v>
      </c>
      <c r="M69" s="1">
        <v>8</v>
      </c>
      <c r="N69" s="1">
        <v>6</v>
      </c>
      <c r="O69" s="1">
        <v>6</v>
      </c>
      <c r="P69" s="1">
        <v>0</v>
      </c>
      <c r="Q69" s="1">
        <v>8</v>
      </c>
      <c r="R69" s="1">
        <v>8</v>
      </c>
      <c r="S69" s="1">
        <v>0</v>
      </c>
      <c r="T69" s="1">
        <v>2</v>
      </c>
      <c r="U69" s="1">
        <v>8</v>
      </c>
      <c r="V69" s="1">
        <v>2</v>
      </c>
      <c r="W69" s="1">
        <v>2</v>
      </c>
      <c r="X69" s="1">
        <v>2</v>
      </c>
      <c r="Y69" s="1">
        <v>8</v>
      </c>
      <c r="Z69" s="1">
        <v>2</v>
      </c>
      <c r="AA69" s="1">
        <v>2</v>
      </c>
      <c r="AB69" s="1">
        <v>0</v>
      </c>
      <c r="AC69" s="1">
        <v>0</v>
      </c>
      <c r="AD69" s="1">
        <v>8</v>
      </c>
      <c r="AE69" s="1">
        <v>13</v>
      </c>
    </row>
    <row r="70" spans="1:31" x14ac:dyDescent="0.25">
      <c r="A70" t="s">
        <v>32</v>
      </c>
      <c r="B70" s="1">
        <f t="shared" si="1"/>
        <v>127</v>
      </c>
      <c r="C70" s="1">
        <v>8</v>
      </c>
      <c r="D70" s="1">
        <v>6</v>
      </c>
      <c r="E70" s="1">
        <v>6</v>
      </c>
      <c r="F70" s="1">
        <v>2</v>
      </c>
      <c r="G70" s="1">
        <v>0</v>
      </c>
      <c r="H70" s="1">
        <v>2</v>
      </c>
      <c r="I70" s="1">
        <v>2</v>
      </c>
      <c r="J70" s="1">
        <v>8</v>
      </c>
      <c r="K70" s="1">
        <v>0</v>
      </c>
      <c r="L70" s="1">
        <v>0</v>
      </c>
      <c r="M70" s="1">
        <v>8</v>
      </c>
      <c r="N70" s="1">
        <v>8</v>
      </c>
      <c r="O70" s="1">
        <v>0</v>
      </c>
      <c r="P70" s="1">
        <v>2</v>
      </c>
      <c r="Q70" s="1">
        <v>6</v>
      </c>
      <c r="R70" s="1">
        <v>8</v>
      </c>
      <c r="S70" s="1">
        <v>0</v>
      </c>
      <c r="T70" s="1">
        <v>0</v>
      </c>
      <c r="U70" s="1">
        <v>8</v>
      </c>
      <c r="V70" s="1">
        <v>0</v>
      </c>
      <c r="W70" s="1">
        <v>0</v>
      </c>
      <c r="X70" s="1">
        <v>8</v>
      </c>
      <c r="Y70" s="1">
        <v>8</v>
      </c>
      <c r="Z70" s="1">
        <v>8</v>
      </c>
      <c r="AA70" s="1">
        <v>8</v>
      </c>
      <c r="AB70" s="1">
        <v>13</v>
      </c>
      <c r="AC70" s="1">
        <v>0</v>
      </c>
      <c r="AD70" s="1">
        <v>6</v>
      </c>
      <c r="AE70" s="1">
        <v>2</v>
      </c>
    </row>
    <row r="71" spans="1:31" x14ac:dyDescent="0.25">
      <c r="A71" t="s">
        <v>22</v>
      </c>
      <c r="B71" s="1">
        <f t="shared" si="1"/>
        <v>126</v>
      </c>
      <c r="C71" s="1">
        <v>0</v>
      </c>
      <c r="D71" s="1">
        <v>6</v>
      </c>
      <c r="E71" s="1">
        <v>8</v>
      </c>
      <c r="F71" s="1">
        <v>2</v>
      </c>
      <c r="G71" s="1">
        <v>0</v>
      </c>
      <c r="H71" s="1">
        <v>2</v>
      </c>
      <c r="I71" s="1">
        <v>0</v>
      </c>
      <c r="J71" s="1">
        <v>8</v>
      </c>
      <c r="K71" s="1">
        <v>2</v>
      </c>
      <c r="L71" s="1">
        <v>0</v>
      </c>
      <c r="M71" s="1">
        <v>8</v>
      </c>
      <c r="N71" s="1">
        <v>8</v>
      </c>
      <c r="O71" s="1">
        <v>13</v>
      </c>
      <c r="P71" s="1">
        <v>0</v>
      </c>
      <c r="Q71" s="1">
        <v>6</v>
      </c>
      <c r="R71" s="1">
        <v>8</v>
      </c>
      <c r="S71" s="1">
        <v>0</v>
      </c>
      <c r="T71" s="1">
        <v>8</v>
      </c>
      <c r="U71" s="1">
        <v>6</v>
      </c>
      <c r="V71" s="1">
        <v>2</v>
      </c>
      <c r="W71" s="1">
        <v>0</v>
      </c>
      <c r="X71" s="1">
        <v>2</v>
      </c>
      <c r="Y71" s="1">
        <v>6</v>
      </c>
      <c r="Z71" s="1">
        <v>13</v>
      </c>
      <c r="AA71" s="1">
        <v>6</v>
      </c>
      <c r="AB71" s="1">
        <v>0</v>
      </c>
      <c r="AC71" s="1">
        <v>0</v>
      </c>
      <c r="AD71" s="1">
        <v>6</v>
      </c>
      <c r="AE71" s="1">
        <v>6</v>
      </c>
    </row>
    <row r="72" spans="1:31" x14ac:dyDescent="0.25">
      <c r="A72" t="s">
        <v>4</v>
      </c>
      <c r="B72" s="1">
        <f t="shared" si="1"/>
        <v>125</v>
      </c>
      <c r="C72" s="1">
        <v>2</v>
      </c>
      <c r="D72" s="1">
        <v>6</v>
      </c>
      <c r="E72" s="1">
        <v>0</v>
      </c>
      <c r="F72" s="1">
        <v>0</v>
      </c>
      <c r="G72" s="1">
        <v>0</v>
      </c>
      <c r="H72" s="1">
        <v>2</v>
      </c>
      <c r="I72" s="1">
        <v>6</v>
      </c>
      <c r="J72" s="1">
        <v>2</v>
      </c>
      <c r="K72" s="1">
        <v>0</v>
      </c>
      <c r="L72" s="1">
        <v>0</v>
      </c>
      <c r="M72" s="1">
        <v>6</v>
      </c>
      <c r="N72" s="1">
        <v>13</v>
      </c>
      <c r="O72" s="1">
        <v>2</v>
      </c>
      <c r="P72" s="1">
        <v>0</v>
      </c>
      <c r="Q72" s="1">
        <v>6</v>
      </c>
      <c r="R72" s="1">
        <v>6</v>
      </c>
      <c r="S72" s="1">
        <v>7</v>
      </c>
      <c r="T72" s="1">
        <v>0</v>
      </c>
      <c r="U72" s="1">
        <v>8</v>
      </c>
      <c r="V72" s="1">
        <v>2</v>
      </c>
      <c r="W72" s="1">
        <v>6</v>
      </c>
      <c r="X72" s="1">
        <v>13</v>
      </c>
      <c r="Y72" s="1">
        <v>0</v>
      </c>
      <c r="Z72" s="1">
        <v>13</v>
      </c>
      <c r="AA72" s="1">
        <v>0</v>
      </c>
      <c r="AB72" s="1">
        <v>6</v>
      </c>
      <c r="AC72" s="1">
        <v>0</v>
      </c>
      <c r="AD72" s="1">
        <v>6</v>
      </c>
      <c r="AE72" s="1">
        <v>13</v>
      </c>
    </row>
    <row r="73" spans="1:31" x14ac:dyDescent="0.25">
      <c r="A73" s="5" t="s">
        <v>18</v>
      </c>
      <c r="B73" s="1">
        <f t="shared" si="1"/>
        <v>125</v>
      </c>
      <c r="C73" s="1">
        <v>2</v>
      </c>
      <c r="D73" s="1">
        <v>6</v>
      </c>
      <c r="E73" s="1">
        <v>6</v>
      </c>
      <c r="F73" s="1">
        <v>13</v>
      </c>
      <c r="G73" s="1">
        <v>0</v>
      </c>
      <c r="H73" s="1">
        <v>2</v>
      </c>
      <c r="I73" s="1">
        <v>2</v>
      </c>
      <c r="J73" s="1">
        <v>6</v>
      </c>
      <c r="K73" s="1">
        <v>6</v>
      </c>
      <c r="L73" s="1">
        <v>0</v>
      </c>
      <c r="M73" s="1">
        <v>6</v>
      </c>
      <c r="N73" s="1">
        <v>13</v>
      </c>
      <c r="O73" s="1">
        <v>0</v>
      </c>
      <c r="P73" s="1">
        <v>2</v>
      </c>
      <c r="Q73" s="1">
        <v>6</v>
      </c>
      <c r="R73" s="1">
        <v>6</v>
      </c>
      <c r="S73" s="1">
        <v>0</v>
      </c>
      <c r="T73" s="1">
        <v>0</v>
      </c>
      <c r="U73" s="1">
        <v>6</v>
      </c>
      <c r="V73" s="1">
        <v>0</v>
      </c>
      <c r="W73" s="1">
        <v>2</v>
      </c>
      <c r="X73" s="1">
        <v>2</v>
      </c>
      <c r="Y73" s="1">
        <v>2</v>
      </c>
      <c r="Z73" s="1">
        <v>8</v>
      </c>
      <c r="AA73" s="1">
        <v>8</v>
      </c>
      <c r="AB73" s="1">
        <v>13</v>
      </c>
      <c r="AC73" s="1">
        <v>0</v>
      </c>
      <c r="AD73" s="1">
        <v>2</v>
      </c>
      <c r="AE73" s="1">
        <v>6</v>
      </c>
    </row>
    <row r="74" spans="1:31" x14ac:dyDescent="0.25">
      <c r="A74" t="s">
        <v>29</v>
      </c>
      <c r="B74" s="1">
        <f t="shared" si="1"/>
        <v>125</v>
      </c>
      <c r="C74" s="1">
        <v>8</v>
      </c>
      <c r="D74" s="1">
        <v>6</v>
      </c>
      <c r="E74" s="1">
        <v>8</v>
      </c>
      <c r="F74" s="1">
        <v>2</v>
      </c>
      <c r="G74" s="1">
        <v>0</v>
      </c>
      <c r="H74" s="1">
        <v>2</v>
      </c>
      <c r="I74" s="1">
        <v>6</v>
      </c>
      <c r="J74" s="1">
        <v>6</v>
      </c>
      <c r="K74" s="1">
        <v>0</v>
      </c>
      <c r="L74" s="1">
        <v>0</v>
      </c>
      <c r="M74" s="1">
        <v>8</v>
      </c>
      <c r="N74" s="1">
        <v>8</v>
      </c>
      <c r="O74" s="1">
        <v>13</v>
      </c>
      <c r="P74" s="1">
        <v>0</v>
      </c>
      <c r="Q74" s="1">
        <v>6</v>
      </c>
      <c r="R74" s="1">
        <v>6</v>
      </c>
      <c r="S74" s="1">
        <v>0</v>
      </c>
      <c r="T74" s="1">
        <v>0</v>
      </c>
      <c r="U74" s="1">
        <v>6</v>
      </c>
      <c r="V74" s="1">
        <v>2</v>
      </c>
      <c r="W74" s="1">
        <v>2</v>
      </c>
      <c r="X74" s="1">
        <v>6</v>
      </c>
      <c r="Y74" s="1">
        <v>8</v>
      </c>
      <c r="Z74" s="1">
        <v>0</v>
      </c>
      <c r="AA74" s="1">
        <v>8</v>
      </c>
      <c r="AB74" s="1">
        <v>2</v>
      </c>
      <c r="AC74" s="1">
        <v>0</v>
      </c>
      <c r="AD74" s="1">
        <v>6</v>
      </c>
      <c r="AE74" s="1">
        <v>6</v>
      </c>
    </row>
    <row r="75" spans="1:31" x14ac:dyDescent="0.25">
      <c r="A75" t="s">
        <v>39</v>
      </c>
      <c r="B75" s="1">
        <f t="shared" si="1"/>
        <v>125</v>
      </c>
      <c r="C75" s="1">
        <v>0</v>
      </c>
      <c r="D75" s="1">
        <v>6</v>
      </c>
      <c r="E75" s="1">
        <v>8</v>
      </c>
      <c r="F75" s="1">
        <v>6</v>
      </c>
      <c r="G75" s="1">
        <v>0</v>
      </c>
      <c r="H75" s="1">
        <v>2</v>
      </c>
      <c r="I75" s="1">
        <v>0</v>
      </c>
      <c r="J75" s="1">
        <v>6</v>
      </c>
      <c r="K75" s="1">
        <v>2</v>
      </c>
      <c r="L75" s="1">
        <v>0</v>
      </c>
      <c r="M75" s="1">
        <v>0</v>
      </c>
      <c r="N75" s="1">
        <v>8</v>
      </c>
      <c r="O75" s="1">
        <v>0</v>
      </c>
      <c r="P75" s="1">
        <v>6</v>
      </c>
      <c r="Q75" s="1">
        <v>6</v>
      </c>
      <c r="R75" s="1">
        <v>13</v>
      </c>
      <c r="S75" s="1">
        <v>7</v>
      </c>
      <c r="T75" s="1">
        <v>0</v>
      </c>
      <c r="U75" s="1">
        <v>8</v>
      </c>
      <c r="V75" s="1">
        <v>0</v>
      </c>
      <c r="W75" s="1">
        <v>0</v>
      </c>
      <c r="X75" s="1">
        <v>2</v>
      </c>
      <c r="Y75" s="1">
        <v>8</v>
      </c>
      <c r="Z75" s="1">
        <v>13</v>
      </c>
      <c r="AA75" s="1">
        <v>8</v>
      </c>
      <c r="AB75" s="1">
        <v>6</v>
      </c>
      <c r="AC75" s="1">
        <v>0</v>
      </c>
      <c r="AD75" s="1">
        <v>8</v>
      </c>
      <c r="AE75" s="1">
        <v>2</v>
      </c>
    </row>
    <row r="76" spans="1:31" x14ac:dyDescent="0.25">
      <c r="A76" t="s">
        <v>61</v>
      </c>
      <c r="B76" s="1">
        <f t="shared" si="1"/>
        <v>125</v>
      </c>
      <c r="C76" s="1">
        <v>8</v>
      </c>
      <c r="D76" s="1">
        <v>6</v>
      </c>
      <c r="E76" s="1">
        <v>6</v>
      </c>
      <c r="F76" s="1">
        <v>2</v>
      </c>
      <c r="G76" s="1">
        <v>0</v>
      </c>
      <c r="H76" s="1">
        <v>2</v>
      </c>
      <c r="I76" s="1">
        <v>6</v>
      </c>
      <c r="J76" s="1">
        <v>6</v>
      </c>
      <c r="K76" s="1">
        <v>2</v>
      </c>
      <c r="L76" s="1">
        <v>0</v>
      </c>
      <c r="M76" s="1">
        <v>8</v>
      </c>
      <c r="N76" s="1">
        <v>8</v>
      </c>
      <c r="O76" s="1">
        <v>6</v>
      </c>
      <c r="P76" s="1">
        <v>6</v>
      </c>
      <c r="Q76" s="1">
        <v>6</v>
      </c>
      <c r="R76" s="1">
        <v>0</v>
      </c>
      <c r="S76" s="1">
        <v>7</v>
      </c>
      <c r="T76" s="1">
        <v>8</v>
      </c>
      <c r="U76" s="1">
        <v>8</v>
      </c>
      <c r="V76" s="1">
        <v>0</v>
      </c>
      <c r="W76" s="1">
        <v>0</v>
      </c>
      <c r="X76" s="1">
        <v>2</v>
      </c>
      <c r="Y76" s="1">
        <v>8</v>
      </c>
      <c r="Z76" s="1">
        <v>2</v>
      </c>
      <c r="AA76" s="1">
        <v>8</v>
      </c>
      <c r="AB76" s="1">
        <v>2</v>
      </c>
      <c r="AC76" s="1">
        <v>0</v>
      </c>
      <c r="AD76" s="1">
        <v>6</v>
      </c>
      <c r="AE76" s="1">
        <v>2</v>
      </c>
    </row>
    <row r="77" spans="1:31" x14ac:dyDescent="0.25">
      <c r="A77" t="s">
        <v>112</v>
      </c>
      <c r="B77" s="1">
        <f t="shared" si="1"/>
        <v>123</v>
      </c>
      <c r="C77" s="1">
        <v>6</v>
      </c>
      <c r="D77" s="1">
        <v>6</v>
      </c>
      <c r="E77" s="1">
        <v>8</v>
      </c>
      <c r="F77" s="1">
        <v>6</v>
      </c>
      <c r="G77" s="1">
        <v>2</v>
      </c>
      <c r="H77" s="1">
        <v>6</v>
      </c>
      <c r="I77" s="1">
        <v>0</v>
      </c>
      <c r="J77" s="1">
        <v>6</v>
      </c>
      <c r="K77" s="1">
        <v>0</v>
      </c>
      <c r="L77" s="1">
        <v>2</v>
      </c>
      <c r="M77" s="1">
        <v>0</v>
      </c>
      <c r="N77" s="1">
        <v>8</v>
      </c>
      <c r="O77" s="1">
        <v>6</v>
      </c>
      <c r="P77" s="1">
        <v>0</v>
      </c>
      <c r="Q77" s="1">
        <v>6</v>
      </c>
      <c r="R77" s="1">
        <v>6</v>
      </c>
      <c r="S77" s="1">
        <v>0</v>
      </c>
      <c r="T77" s="1">
        <v>8</v>
      </c>
      <c r="U77" s="1">
        <v>6</v>
      </c>
      <c r="V77" s="1">
        <v>6</v>
      </c>
      <c r="W77" s="1">
        <v>0</v>
      </c>
      <c r="X77" s="1">
        <v>2</v>
      </c>
      <c r="Y77" s="1">
        <v>2</v>
      </c>
      <c r="Z77" s="1">
        <v>0</v>
      </c>
      <c r="AA77" s="1">
        <v>6</v>
      </c>
      <c r="AB77" s="1">
        <v>13</v>
      </c>
      <c r="AC77" s="1">
        <v>2</v>
      </c>
      <c r="AD77" s="1">
        <v>8</v>
      </c>
      <c r="AE77" s="1">
        <v>2</v>
      </c>
    </row>
    <row r="78" spans="1:31" x14ac:dyDescent="0.25">
      <c r="A78" t="s">
        <v>45</v>
      </c>
      <c r="B78" s="1">
        <f t="shared" si="1"/>
        <v>123</v>
      </c>
      <c r="C78" s="1">
        <v>8</v>
      </c>
      <c r="D78" s="1">
        <v>6</v>
      </c>
      <c r="E78" s="1">
        <v>6</v>
      </c>
      <c r="F78" s="1">
        <v>2</v>
      </c>
      <c r="G78" s="1">
        <v>0</v>
      </c>
      <c r="H78" s="1">
        <v>2</v>
      </c>
      <c r="I78" s="1">
        <v>2</v>
      </c>
      <c r="J78" s="1">
        <v>6</v>
      </c>
      <c r="K78" s="1">
        <v>2</v>
      </c>
      <c r="L78" s="1">
        <v>0</v>
      </c>
      <c r="M78" s="1">
        <v>8</v>
      </c>
      <c r="N78" s="1">
        <v>8</v>
      </c>
      <c r="O78" s="1">
        <v>13</v>
      </c>
      <c r="P78" s="1">
        <v>2</v>
      </c>
      <c r="Q78" s="1">
        <v>0</v>
      </c>
      <c r="R78" s="1">
        <v>8</v>
      </c>
      <c r="S78" s="1">
        <v>0</v>
      </c>
      <c r="T78" s="1">
        <v>0</v>
      </c>
      <c r="U78" s="1">
        <v>8</v>
      </c>
      <c r="V78" s="1">
        <v>2</v>
      </c>
      <c r="W78" s="1">
        <v>0</v>
      </c>
      <c r="X78" s="1">
        <v>0</v>
      </c>
      <c r="Y78" s="1">
        <v>8</v>
      </c>
      <c r="Z78" s="1">
        <v>13</v>
      </c>
      <c r="AA78" s="1">
        <v>13</v>
      </c>
      <c r="AB78" s="1">
        <v>2</v>
      </c>
      <c r="AC78" s="1">
        <v>0</v>
      </c>
      <c r="AD78" s="1">
        <v>2</v>
      </c>
      <c r="AE78" s="1">
        <v>2</v>
      </c>
    </row>
    <row r="79" spans="1:31" x14ac:dyDescent="0.25">
      <c r="A79" t="s">
        <v>15</v>
      </c>
      <c r="B79" s="1">
        <f t="shared" si="1"/>
        <v>122</v>
      </c>
      <c r="C79" s="1">
        <v>0</v>
      </c>
      <c r="D79" s="1">
        <v>6</v>
      </c>
      <c r="E79" s="1">
        <v>8</v>
      </c>
      <c r="F79" s="1">
        <v>6</v>
      </c>
      <c r="G79" s="1">
        <v>0</v>
      </c>
      <c r="H79" s="1">
        <v>0</v>
      </c>
      <c r="I79" s="1">
        <v>0</v>
      </c>
      <c r="J79" s="1">
        <v>8</v>
      </c>
      <c r="K79" s="1">
        <v>2</v>
      </c>
      <c r="L79" s="1">
        <v>0</v>
      </c>
      <c r="M79" s="1">
        <v>6</v>
      </c>
      <c r="N79" s="1">
        <v>6</v>
      </c>
      <c r="O79" s="1">
        <v>2</v>
      </c>
      <c r="P79" s="1">
        <v>2</v>
      </c>
      <c r="Q79" s="1">
        <v>6</v>
      </c>
      <c r="R79" s="1">
        <v>13</v>
      </c>
      <c r="S79" s="1">
        <v>0</v>
      </c>
      <c r="T79" s="1">
        <v>0</v>
      </c>
      <c r="U79" s="1">
        <v>6</v>
      </c>
      <c r="V79" s="1">
        <v>2</v>
      </c>
      <c r="W79" s="1">
        <v>2</v>
      </c>
      <c r="X79" s="1">
        <v>2</v>
      </c>
      <c r="Y79" s="1">
        <v>13</v>
      </c>
      <c r="Z79" s="1">
        <v>8</v>
      </c>
      <c r="AA79" s="1">
        <v>8</v>
      </c>
      <c r="AB79" s="1">
        <v>6</v>
      </c>
      <c r="AC79" s="1">
        <v>0</v>
      </c>
      <c r="AD79" s="1">
        <v>8</v>
      </c>
      <c r="AE79" s="1">
        <v>2</v>
      </c>
    </row>
    <row r="80" spans="1:31" x14ac:dyDescent="0.25">
      <c r="A80" t="s">
        <v>108</v>
      </c>
      <c r="B80" s="1">
        <f t="shared" si="1"/>
        <v>122</v>
      </c>
      <c r="C80" s="1">
        <v>13</v>
      </c>
      <c r="D80" s="1">
        <v>6</v>
      </c>
      <c r="E80" s="1">
        <v>8</v>
      </c>
      <c r="F80" s="1">
        <v>2</v>
      </c>
      <c r="G80" s="1">
        <v>0</v>
      </c>
      <c r="H80" s="1">
        <v>2</v>
      </c>
      <c r="I80" s="1">
        <v>2</v>
      </c>
      <c r="J80" s="1">
        <v>6</v>
      </c>
      <c r="K80" s="1">
        <v>6</v>
      </c>
      <c r="L80" s="1">
        <v>0</v>
      </c>
      <c r="M80" s="1">
        <v>6</v>
      </c>
      <c r="N80" s="1">
        <v>8</v>
      </c>
      <c r="O80" s="1">
        <v>2</v>
      </c>
      <c r="P80" s="1">
        <v>6</v>
      </c>
      <c r="Q80" s="1">
        <v>6</v>
      </c>
      <c r="R80" s="1">
        <v>8</v>
      </c>
      <c r="S80" s="1">
        <v>0</v>
      </c>
      <c r="T80" s="1">
        <v>0</v>
      </c>
      <c r="U80" s="1">
        <v>6</v>
      </c>
      <c r="V80" s="1">
        <v>2</v>
      </c>
      <c r="W80" s="1">
        <v>2</v>
      </c>
      <c r="X80" s="1">
        <v>2</v>
      </c>
      <c r="Y80" s="1">
        <v>13</v>
      </c>
      <c r="Z80" s="1">
        <v>2</v>
      </c>
      <c r="AA80" s="1">
        <v>8</v>
      </c>
      <c r="AB80" s="1">
        <v>2</v>
      </c>
      <c r="AC80" s="1">
        <v>0</v>
      </c>
      <c r="AD80" s="1">
        <v>2</v>
      </c>
      <c r="AE80" s="1">
        <v>2</v>
      </c>
    </row>
    <row r="81" spans="1:31" x14ac:dyDescent="0.25">
      <c r="A81" t="s">
        <v>41</v>
      </c>
      <c r="B81" s="1">
        <f t="shared" si="1"/>
        <v>121</v>
      </c>
      <c r="C81" s="1">
        <v>0</v>
      </c>
      <c r="D81" s="1">
        <v>6</v>
      </c>
      <c r="E81" s="1">
        <v>13</v>
      </c>
      <c r="F81" s="1">
        <v>2</v>
      </c>
      <c r="G81" s="1">
        <v>0</v>
      </c>
      <c r="H81" s="1">
        <v>0</v>
      </c>
      <c r="I81" s="1">
        <v>13</v>
      </c>
      <c r="J81" s="1">
        <v>6</v>
      </c>
      <c r="K81" s="1">
        <v>2</v>
      </c>
      <c r="L81" s="1">
        <v>0</v>
      </c>
      <c r="M81" s="1">
        <v>6</v>
      </c>
      <c r="N81" s="1">
        <v>6</v>
      </c>
      <c r="O81" s="1">
        <v>0</v>
      </c>
      <c r="P81" s="1">
        <v>2</v>
      </c>
      <c r="Q81" s="1">
        <v>6</v>
      </c>
      <c r="R81" s="1">
        <v>0</v>
      </c>
      <c r="S81" s="1">
        <v>0</v>
      </c>
      <c r="T81" s="1">
        <v>0</v>
      </c>
      <c r="U81" s="1">
        <v>6</v>
      </c>
      <c r="V81" s="1">
        <v>2</v>
      </c>
      <c r="W81" s="1">
        <v>2</v>
      </c>
      <c r="X81" s="1">
        <v>6</v>
      </c>
      <c r="Y81" s="1">
        <v>8</v>
      </c>
      <c r="Z81" s="1">
        <v>8</v>
      </c>
      <c r="AA81" s="1">
        <v>13</v>
      </c>
      <c r="AB81" s="1">
        <v>0</v>
      </c>
      <c r="AC81" s="1">
        <v>0</v>
      </c>
      <c r="AD81" s="1">
        <v>8</v>
      </c>
      <c r="AE81" s="1">
        <v>6</v>
      </c>
    </row>
    <row r="82" spans="1:31" x14ac:dyDescent="0.25">
      <c r="A82" t="s">
        <v>56</v>
      </c>
      <c r="B82" s="1">
        <f t="shared" si="1"/>
        <v>120</v>
      </c>
      <c r="C82" s="1">
        <v>2</v>
      </c>
      <c r="D82" s="1">
        <v>6</v>
      </c>
      <c r="E82" s="1">
        <v>8</v>
      </c>
      <c r="F82" s="1">
        <v>2</v>
      </c>
      <c r="G82" s="1">
        <v>0</v>
      </c>
      <c r="H82" s="1">
        <v>2</v>
      </c>
      <c r="I82" s="1">
        <v>2</v>
      </c>
      <c r="J82" s="1">
        <v>6</v>
      </c>
      <c r="K82" s="1">
        <v>2</v>
      </c>
      <c r="L82" s="1">
        <v>0</v>
      </c>
      <c r="M82" s="1">
        <v>8</v>
      </c>
      <c r="N82" s="1">
        <v>8</v>
      </c>
      <c r="O82" s="1">
        <v>6</v>
      </c>
      <c r="P82" s="1">
        <v>2</v>
      </c>
      <c r="Q82" s="1">
        <v>8</v>
      </c>
      <c r="R82" s="1">
        <v>8</v>
      </c>
      <c r="S82" s="1">
        <v>0</v>
      </c>
      <c r="T82" s="1">
        <v>0</v>
      </c>
      <c r="U82" s="1">
        <v>0</v>
      </c>
      <c r="V82" s="1">
        <v>13</v>
      </c>
      <c r="W82" s="1">
        <v>0</v>
      </c>
      <c r="X82" s="1">
        <v>0</v>
      </c>
      <c r="Y82" s="1">
        <v>8</v>
      </c>
      <c r="Z82" s="1">
        <v>2</v>
      </c>
      <c r="AA82" s="1">
        <v>13</v>
      </c>
      <c r="AB82" s="1">
        <v>0</v>
      </c>
      <c r="AC82" s="1">
        <v>0</v>
      </c>
      <c r="AD82" s="1">
        <v>8</v>
      </c>
      <c r="AE82" s="1">
        <v>6</v>
      </c>
    </row>
    <row r="83" spans="1:31" x14ac:dyDescent="0.25">
      <c r="A83" t="s">
        <v>7</v>
      </c>
      <c r="B83" s="1">
        <f t="shared" si="1"/>
        <v>119</v>
      </c>
      <c r="C83" s="1">
        <v>0</v>
      </c>
      <c r="D83" s="1">
        <v>6</v>
      </c>
      <c r="E83" s="1">
        <v>6</v>
      </c>
      <c r="F83" s="1">
        <v>2</v>
      </c>
      <c r="G83" s="1">
        <v>0</v>
      </c>
      <c r="H83" s="1">
        <v>0</v>
      </c>
      <c r="I83" s="1">
        <v>0</v>
      </c>
      <c r="J83" s="1">
        <v>8</v>
      </c>
      <c r="K83" s="1">
        <v>0</v>
      </c>
      <c r="L83" s="1">
        <v>0</v>
      </c>
      <c r="M83" s="1">
        <v>6</v>
      </c>
      <c r="N83" s="1">
        <v>8</v>
      </c>
      <c r="O83" s="1">
        <v>13</v>
      </c>
      <c r="P83" s="1">
        <v>2</v>
      </c>
      <c r="Q83" s="1">
        <v>8</v>
      </c>
      <c r="R83" s="1">
        <v>13</v>
      </c>
      <c r="S83" s="1">
        <v>0</v>
      </c>
      <c r="T83" s="1">
        <v>0</v>
      </c>
      <c r="U83" s="1">
        <v>6</v>
      </c>
      <c r="V83" s="1">
        <v>0</v>
      </c>
      <c r="W83" s="1">
        <v>0</v>
      </c>
      <c r="X83" s="1">
        <v>2</v>
      </c>
      <c r="Y83" s="1">
        <v>13</v>
      </c>
      <c r="Z83" s="1">
        <v>8</v>
      </c>
      <c r="AA83" s="1">
        <v>6</v>
      </c>
      <c r="AB83" s="1">
        <v>2</v>
      </c>
      <c r="AC83" s="1">
        <v>0</v>
      </c>
      <c r="AD83" s="1">
        <v>8</v>
      </c>
      <c r="AE83" s="1">
        <v>2</v>
      </c>
    </row>
    <row r="84" spans="1:31" x14ac:dyDescent="0.25">
      <c r="A84" t="s">
        <v>11</v>
      </c>
      <c r="B84" s="1">
        <f t="shared" si="1"/>
        <v>119</v>
      </c>
      <c r="C84" s="1">
        <v>0</v>
      </c>
      <c r="D84" s="1">
        <v>6</v>
      </c>
      <c r="E84" s="1">
        <v>8</v>
      </c>
      <c r="F84" s="1">
        <v>2</v>
      </c>
      <c r="G84" s="1">
        <v>0</v>
      </c>
      <c r="H84" s="1">
        <v>2</v>
      </c>
      <c r="I84" s="1">
        <v>0</v>
      </c>
      <c r="J84" s="1">
        <v>6</v>
      </c>
      <c r="K84" s="1">
        <v>2</v>
      </c>
      <c r="L84" s="1">
        <v>0</v>
      </c>
      <c r="M84" s="1">
        <v>6</v>
      </c>
      <c r="N84" s="1">
        <v>8</v>
      </c>
      <c r="O84" s="1">
        <v>2</v>
      </c>
      <c r="P84" s="1">
        <v>0</v>
      </c>
      <c r="Q84" s="1">
        <v>6</v>
      </c>
      <c r="R84" s="1">
        <v>8</v>
      </c>
      <c r="S84" s="1">
        <v>7</v>
      </c>
      <c r="T84" s="1">
        <v>0</v>
      </c>
      <c r="U84" s="1">
        <v>6</v>
      </c>
      <c r="V84" s="1">
        <v>0</v>
      </c>
      <c r="W84" s="1">
        <v>0</v>
      </c>
      <c r="X84" s="1">
        <v>2</v>
      </c>
      <c r="Y84" s="1">
        <v>13</v>
      </c>
      <c r="Z84" s="1">
        <v>6</v>
      </c>
      <c r="AA84" s="1">
        <v>8</v>
      </c>
      <c r="AB84" s="1">
        <v>0</v>
      </c>
      <c r="AC84" s="1">
        <v>0</v>
      </c>
      <c r="AD84" s="1">
        <v>8</v>
      </c>
      <c r="AE84" s="1">
        <v>13</v>
      </c>
    </row>
    <row r="85" spans="1:31" x14ac:dyDescent="0.25">
      <c r="A85" t="s">
        <v>25</v>
      </c>
      <c r="B85" s="1">
        <f t="shared" si="1"/>
        <v>119</v>
      </c>
      <c r="C85" s="1">
        <v>13</v>
      </c>
      <c r="D85" s="1">
        <v>6</v>
      </c>
      <c r="E85" s="1">
        <v>13</v>
      </c>
      <c r="F85" s="1">
        <v>6</v>
      </c>
      <c r="G85" s="1">
        <v>0</v>
      </c>
      <c r="H85" s="1">
        <v>2</v>
      </c>
      <c r="I85" s="1">
        <v>2</v>
      </c>
      <c r="J85" s="1">
        <v>8</v>
      </c>
      <c r="K85" s="1">
        <v>2</v>
      </c>
      <c r="L85" s="1">
        <v>0</v>
      </c>
      <c r="M85" s="1">
        <v>8</v>
      </c>
      <c r="N85" s="1">
        <v>6</v>
      </c>
      <c r="O85" s="1">
        <v>2</v>
      </c>
      <c r="P85" s="1">
        <v>2</v>
      </c>
      <c r="Q85" s="1">
        <v>0</v>
      </c>
      <c r="R85" s="1">
        <v>8</v>
      </c>
      <c r="S85" s="1">
        <v>0</v>
      </c>
      <c r="T85" s="1">
        <v>0</v>
      </c>
      <c r="U85" s="1">
        <v>2</v>
      </c>
      <c r="V85" s="1">
        <v>2</v>
      </c>
      <c r="W85" s="1">
        <v>0</v>
      </c>
      <c r="X85" s="1">
        <v>2</v>
      </c>
      <c r="Y85" s="1">
        <v>0</v>
      </c>
      <c r="Z85" s="1">
        <v>13</v>
      </c>
      <c r="AA85" s="1">
        <v>8</v>
      </c>
      <c r="AB85" s="1">
        <v>2</v>
      </c>
      <c r="AC85" s="1">
        <v>0</v>
      </c>
      <c r="AD85" s="1">
        <v>6</v>
      </c>
      <c r="AE85" s="1">
        <v>6</v>
      </c>
    </row>
    <row r="86" spans="1:31" x14ac:dyDescent="0.25">
      <c r="A86" t="s">
        <v>76</v>
      </c>
      <c r="B86" s="1">
        <f t="shared" si="1"/>
        <v>119</v>
      </c>
      <c r="C86" s="1">
        <v>0</v>
      </c>
      <c r="D86" s="1">
        <v>6</v>
      </c>
      <c r="E86" s="1">
        <v>6</v>
      </c>
      <c r="F86" s="1">
        <v>13</v>
      </c>
      <c r="G86" s="1">
        <v>0</v>
      </c>
      <c r="H86" s="1">
        <v>2</v>
      </c>
      <c r="I86" s="1">
        <v>6</v>
      </c>
      <c r="J86" s="1">
        <v>6</v>
      </c>
      <c r="K86" s="1">
        <v>0</v>
      </c>
      <c r="L86" s="1">
        <v>0</v>
      </c>
      <c r="M86" s="1">
        <v>8</v>
      </c>
      <c r="N86" s="1">
        <v>8</v>
      </c>
      <c r="O86" s="1">
        <v>2</v>
      </c>
      <c r="P86" s="1">
        <v>2</v>
      </c>
      <c r="Q86" s="1">
        <v>8</v>
      </c>
      <c r="R86" s="1">
        <v>6</v>
      </c>
      <c r="S86" s="1">
        <v>0</v>
      </c>
      <c r="T86" s="1">
        <v>0</v>
      </c>
      <c r="U86" s="1">
        <v>0</v>
      </c>
      <c r="V86" s="1">
        <v>13</v>
      </c>
      <c r="W86" s="1">
        <v>2</v>
      </c>
      <c r="X86" s="1">
        <v>2</v>
      </c>
      <c r="Y86" s="1">
        <v>8</v>
      </c>
      <c r="Z86" s="1">
        <v>2</v>
      </c>
      <c r="AA86" s="1">
        <v>0</v>
      </c>
      <c r="AB86" s="1">
        <v>0</v>
      </c>
      <c r="AC86" s="1">
        <v>0</v>
      </c>
      <c r="AD86" s="1">
        <v>6</v>
      </c>
      <c r="AE86" s="1">
        <v>13</v>
      </c>
    </row>
    <row r="87" spans="1:31" x14ac:dyDescent="0.25">
      <c r="A87" t="s">
        <v>87</v>
      </c>
      <c r="B87" s="1">
        <f t="shared" si="1"/>
        <v>119</v>
      </c>
      <c r="C87" s="1">
        <v>2</v>
      </c>
      <c r="D87" s="1">
        <v>6</v>
      </c>
      <c r="E87" s="1">
        <v>6</v>
      </c>
      <c r="F87" s="1">
        <v>0</v>
      </c>
      <c r="G87" s="1">
        <v>0</v>
      </c>
      <c r="H87" s="1">
        <v>6</v>
      </c>
      <c r="I87" s="1">
        <v>6</v>
      </c>
      <c r="J87" s="1">
        <v>6</v>
      </c>
      <c r="K87" s="1">
        <v>6</v>
      </c>
      <c r="L87" s="1">
        <v>0</v>
      </c>
      <c r="M87" s="1">
        <v>8</v>
      </c>
      <c r="N87" s="1">
        <v>2</v>
      </c>
      <c r="O87" s="1">
        <v>2</v>
      </c>
      <c r="P87" s="1">
        <v>6</v>
      </c>
      <c r="Q87" s="1">
        <v>6</v>
      </c>
      <c r="R87" s="1">
        <v>8</v>
      </c>
      <c r="S87" s="1">
        <v>0</v>
      </c>
      <c r="T87" s="1">
        <v>2</v>
      </c>
      <c r="U87" s="1">
        <v>8</v>
      </c>
      <c r="V87" s="1">
        <v>2</v>
      </c>
      <c r="W87" s="1">
        <v>6</v>
      </c>
      <c r="X87" s="1">
        <v>13</v>
      </c>
      <c r="Y87" s="1">
        <v>0</v>
      </c>
      <c r="Z87" s="1">
        <v>8</v>
      </c>
      <c r="AA87" s="1">
        <v>2</v>
      </c>
      <c r="AB87" s="1">
        <v>0</v>
      </c>
      <c r="AC87" s="1">
        <v>0</v>
      </c>
      <c r="AD87" s="1">
        <v>8</v>
      </c>
      <c r="AE87" s="1">
        <v>0</v>
      </c>
    </row>
    <row r="88" spans="1:31" x14ac:dyDescent="0.25">
      <c r="A88" t="s">
        <v>46</v>
      </c>
      <c r="B88" s="1">
        <f t="shared" si="1"/>
        <v>118</v>
      </c>
      <c r="C88" s="1">
        <v>0</v>
      </c>
      <c r="D88" s="1">
        <v>6</v>
      </c>
      <c r="E88" s="1">
        <v>8</v>
      </c>
      <c r="F88" s="1">
        <v>2</v>
      </c>
      <c r="G88" s="1">
        <v>0</v>
      </c>
      <c r="H88" s="1">
        <v>2</v>
      </c>
      <c r="I88" s="1">
        <v>2</v>
      </c>
      <c r="J88" s="1">
        <v>6</v>
      </c>
      <c r="K88" s="1">
        <v>2</v>
      </c>
      <c r="L88" s="1">
        <v>0</v>
      </c>
      <c r="M88" s="1">
        <v>8</v>
      </c>
      <c r="N88" s="1">
        <v>8</v>
      </c>
      <c r="O88" s="1">
        <v>6</v>
      </c>
      <c r="P88" s="1">
        <v>6</v>
      </c>
      <c r="Q88" s="1">
        <v>6</v>
      </c>
      <c r="R88" s="1">
        <v>13</v>
      </c>
      <c r="S88" s="1">
        <v>0</v>
      </c>
      <c r="T88" s="1">
        <v>0</v>
      </c>
      <c r="U88" s="1">
        <v>2</v>
      </c>
      <c r="V88" s="1">
        <v>6</v>
      </c>
      <c r="W88" s="1">
        <v>0</v>
      </c>
      <c r="X88" s="1">
        <v>2</v>
      </c>
      <c r="Y88" s="1">
        <v>13</v>
      </c>
      <c r="Z88" s="1">
        <v>6</v>
      </c>
      <c r="AA88" s="1">
        <v>6</v>
      </c>
      <c r="AB88" s="1">
        <v>0</v>
      </c>
      <c r="AC88" s="1">
        <v>0</v>
      </c>
      <c r="AD88" s="1">
        <v>6</v>
      </c>
      <c r="AE88" s="1">
        <v>2</v>
      </c>
    </row>
    <row r="89" spans="1:31" x14ac:dyDescent="0.25">
      <c r="A89" t="s">
        <v>97</v>
      </c>
      <c r="B89" s="1">
        <f t="shared" si="1"/>
        <v>118</v>
      </c>
      <c r="C89" s="1">
        <v>0</v>
      </c>
      <c r="D89" s="1">
        <v>6</v>
      </c>
      <c r="E89" s="1">
        <v>8</v>
      </c>
      <c r="F89" s="1">
        <v>13</v>
      </c>
      <c r="G89" s="1">
        <v>0</v>
      </c>
      <c r="H89" s="1">
        <v>2</v>
      </c>
      <c r="I89" s="1">
        <v>6</v>
      </c>
      <c r="J89" s="1">
        <v>6</v>
      </c>
      <c r="K89" s="1">
        <v>0</v>
      </c>
      <c r="L89" s="1">
        <v>0</v>
      </c>
      <c r="M89" s="1">
        <v>6</v>
      </c>
      <c r="N89" s="1">
        <v>6</v>
      </c>
      <c r="O89" s="1">
        <v>13</v>
      </c>
      <c r="P89" s="1">
        <v>0</v>
      </c>
      <c r="Q89" s="1">
        <v>6</v>
      </c>
      <c r="R89" s="1">
        <v>6</v>
      </c>
      <c r="S89" s="1">
        <v>0</v>
      </c>
      <c r="T89" s="1">
        <v>0</v>
      </c>
      <c r="U89" s="1">
        <v>6</v>
      </c>
      <c r="V89" s="1">
        <v>2</v>
      </c>
      <c r="W89" s="1">
        <v>0</v>
      </c>
      <c r="X89" s="1">
        <v>2</v>
      </c>
      <c r="Y89" s="1">
        <v>8</v>
      </c>
      <c r="Z89" s="1">
        <v>2</v>
      </c>
      <c r="AA89" s="1">
        <v>6</v>
      </c>
      <c r="AB89" s="1">
        <v>0</v>
      </c>
      <c r="AC89" s="1">
        <v>0</v>
      </c>
      <c r="AD89" s="1">
        <v>8</v>
      </c>
      <c r="AE89" s="1">
        <v>6</v>
      </c>
    </row>
    <row r="90" spans="1:31" x14ac:dyDescent="0.25">
      <c r="A90" t="s">
        <v>80</v>
      </c>
      <c r="B90" s="1">
        <f t="shared" si="1"/>
        <v>117</v>
      </c>
      <c r="C90" s="1">
        <v>8</v>
      </c>
      <c r="D90" s="1">
        <v>8</v>
      </c>
      <c r="E90" s="1">
        <v>6</v>
      </c>
      <c r="F90" s="1">
        <v>2</v>
      </c>
      <c r="G90" s="1">
        <v>0</v>
      </c>
      <c r="H90" s="1">
        <v>0</v>
      </c>
      <c r="I90" s="1">
        <v>6</v>
      </c>
      <c r="J90" s="1">
        <v>8</v>
      </c>
      <c r="K90" s="1">
        <v>0</v>
      </c>
      <c r="L90" s="1">
        <v>2</v>
      </c>
      <c r="M90" s="1">
        <v>8</v>
      </c>
      <c r="N90" s="1">
        <v>6</v>
      </c>
      <c r="O90" s="1">
        <v>6</v>
      </c>
      <c r="P90" s="1">
        <v>0</v>
      </c>
      <c r="Q90" s="1">
        <v>8</v>
      </c>
      <c r="R90" s="1">
        <v>8</v>
      </c>
      <c r="S90" s="1">
        <v>0</v>
      </c>
      <c r="T90" s="1">
        <v>0</v>
      </c>
      <c r="U90" s="1">
        <v>8</v>
      </c>
      <c r="V90" s="1">
        <v>0</v>
      </c>
      <c r="W90" s="1">
        <v>0</v>
      </c>
      <c r="X90" s="1">
        <v>0</v>
      </c>
      <c r="Y90" s="1">
        <v>6</v>
      </c>
      <c r="Z90" s="1">
        <v>6</v>
      </c>
      <c r="AA90" s="1">
        <v>6</v>
      </c>
      <c r="AB90" s="1">
        <v>2</v>
      </c>
      <c r="AC90" s="1">
        <v>0</v>
      </c>
      <c r="AD90" s="1">
        <v>13</v>
      </c>
      <c r="AE90" s="1">
        <v>0</v>
      </c>
    </row>
    <row r="91" spans="1:31" x14ac:dyDescent="0.25">
      <c r="A91" t="s">
        <v>64</v>
      </c>
      <c r="B91" s="1">
        <f t="shared" si="1"/>
        <v>116</v>
      </c>
      <c r="C91" s="1">
        <v>0</v>
      </c>
      <c r="D91" s="1">
        <v>6</v>
      </c>
      <c r="E91" s="1">
        <v>13</v>
      </c>
      <c r="F91" s="1">
        <v>13</v>
      </c>
      <c r="G91" s="1">
        <v>0</v>
      </c>
      <c r="H91" s="1">
        <v>2</v>
      </c>
      <c r="I91" s="1">
        <v>0</v>
      </c>
      <c r="J91" s="1">
        <v>6</v>
      </c>
      <c r="K91" s="1">
        <v>0</v>
      </c>
      <c r="L91" s="1">
        <v>0</v>
      </c>
      <c r="M91" s="1">
        <v>6</v>
      </c>
      <c r="N91" s="1">
        <v>6</v>
      </c>
      <c r="O91" s="1">
        <v>6</v>
      </c>
      <c r="P91" s="1">
        <v>0</v>
      </c>
      <c r="Q91" s="1">
        <v>6</v>
      </c>
      <c r="R91" s="1">
        <v>6</v>
      </c>
      <c r="S91" s="1">
        <v>0</v>
      </c>
      <c r="T91" s="1">
        <v>0</v>
      </c>
      <c r="U91" s="1">
        <v>0</v>
      </c>
      <c r="V91" s="1">
        <v>2</v>
      </c>
      <c r="W91" s="1">
        <v>0</v>
      </c>
      <c r="X91" s="1">
        <v>2</v>
      </c>
      <c r="Y91" s="1">
        <v>8</v>
      </c>
      <c r="Z91" s="1">
        <v>2</v>
      </c>
      <c r="AA91" s="1">
        <v>8</v>
      </c>
      <c r="AB91" s="1">
        <v>8</v>
      </c>
      <c r="AC91" s="1">
        <v>2</v>
      </c>
      <c r="AD91" s="1">
        <v>8</v>
      </c>
      <c r="AE91" s="1">
        <v>6</v>
      </c>
    </row>
    <row r="92" spans="1:31" x14ac:dyDescent="0.25">
      <c r="A92" t="s">
        <v>24</v>
      </c>
      <c r="B92" s="1">
        <f t="shared" si="1"/>
        <v>115</v>
      </c>
      <c r="C92" s="1">
        <v>13</v>
      </c>
      <c r="D92" s="1">
        <v>6</v>
      </c>
      <c r="E92" s="1">
        <v>8</v>
      </c>
      <c r="F92" s="1">
        <v>0</v>
      </c>
      <c r="G92" s="1">
        <v>0</v>
      </c>
      <c r="H92" s="1">
        <v>2</v>
      </c>
      <c r="I92" s="1">
        <v>6</v>
      </c>
      <c r="J92" s="1">
        <v>6</v>
      </c>
      <c r="K92" s="1">
        <v>2</v>
      </c>
      <c r="L92" s="1">
        <v>2</v>
      </c>
      <c r="M92" s="1">
        <v>8</v>
      </c>
      <c r="N92" s="1">
        <v>8</v>
      </c>
      <c r="O92" s="1">
        <v>0</v>
      </c>
      <c r="P92" s="1">
        <v>2</v>
      </c>
      <c r="Q92" s="1">
        <v>6</v>
      </c>
      <c r="R92" s="1">
        <v>13</v>
      </c>
      <c r="S92" s="1">
        <v>0</v>
      </c>
      <c r="T92" s="1">
        <v>0</v>
      </c>
      <c r="U92" s="1">
        <v>2</v>
      </c>
      <c r="V92" s="1">
        <v>2</v>
      </c>
      <c r="W92" s="1">
        <v>2</v>
      </c>
      <c r="X92" s="1">
        <v>0</v>
      </c>
      <c r="Y92" s="1">
        <v>8</v>
      </c>
      <c r="Z92" s="1">
        <v>13</v>
      </c>
      <c r="AA92" s="1">
        <v>6</v>
      </c>
      <c r="AB92" s="1">
        <v>0</v>
      </c>
      <c r="AC92" s="1">
        <v>0</v>
      </c>
      <c r="AD92" s="1">
        <v>0</v>
      </c>
      <c r="AE92" s="1">
        <v>0</v>
      </c>
    </row>
    <row r="93" spans="1:31" x14ac:dyDescent="0.25">
      <c r="A93" t="s">
        <v>37</v>
      </c>
      <c r="B93" s="1">
        <f t="shared" si="1"/>
        <v>115</v>
      </c>
      <c r="C93" s="1">
        <v>0</v>
      </c>
      <c r="D93" s="1">
        <v>6</v>
      </c>
      <c r="E93" s="1">
        <v>13</v>
      </c>
      <c r="F93" s="1">
        <v>2</v>
      </c>
      <c r="G93" s="1">
        <v>0</v>
      </c>
      <c r="H93" s="1">
        <v>2</v>
      </c>
      <c r="I93" s="1">
        <v>6</v>
      </c>
      <c r="J93" s="1">
        <v>6</v>
      </c>
      <c r="K93" s="1">
        <v>0</v>
      </c>
      <c r="L93" s="1">
        <v>2</v>
      </c>
      <c r="M93" s="1">
        <v>0</v>
      </c>
      <c r="N93" s="1">
        <v>6</v>
      </c>
      <c r="O93" s="1">
        <v>8</v>
      </c>
      <c r="P93" s="1">
        <v>6</v>
      </c>
      <c r="Q93" s="1">
        <v>6</v>
      </c>
      <c r="R93" s="1">
        <v>6</v>
      </c>
      <c r="S93" s="1">
        <v>0</v>
      </c>
      <c r="T93" s="1">
        <v>0</v>
      </c>
      <c r="U93" s="1">
        <v>6</v>
      </c>
      <c r="V93" s="1">
        <v>0</v>
      </c>
      <c r="W93" s="1">
        <v>6</v>
      </c>
      <c r="X93" s="1">
        <v>6</v>
      </c>
      <c r="Y93" s="1">
        <v>6</v>
      </c>
      <c r="Z93" s="1">
        <v>2</v>
      </c>
      <c r="AA93" s="1">
        <v>8</v>
      </c>
      <c r="AB93" s="1">
        <v>2</v>
      </c>
      <c r="AC93" s="1">
        <v>0</v>
      </c>
      <c r="AD93" s="1">
        <v>8</v>
      </c>
      <c r="AE93" s="1">
        <v>2</v>
      </c>
    </row>
    <row r="94" spans="1:31" x14ac:dyDescent="0.25">
      <c r="A94" t="s">
        <v>3</v>
      </c>
      <c r="B94" s="1">
        <f t="shared" si="1"/>
        <v>114</v>
      </c>
      <c r="C94" s="1">
        <v>0</v>
      </c>
      <c r="D94" s="1">
        <v>6</v>
      </c>
      <c r="E94" s="1">
        <v>0</v>
      </c>
      <c r="F94" s="1">
        <v>13</v>
      </c>
      <c r="G94" s="1">
        <v>0</v>
      </c>
      <c r="H94" s="1">
        <v>2</v>
      </c>
      <c r="I94" s="1">
        <v>2</v>
      </c>
      <c r="J94" s="1">
        <v>8</v>
      </c>
      <c r="K94" s="1">
        <v>0</v>
      </c>
      <c r="L94" s="1">
        <v>0</v>
      </c>
      <c r="M94" s="1">
        <v>6</v>
      </c>
      <c r="N94" s="1">
        <v>8</v>
      </c>
      <c r="O94" s="1">
        <v>6</v>
      </c>
      <c r="P94" s="1">
        <v>2</v>
      </c>
      <c r="Q94" s="1">
        <v>6</v>
      </c>
      <c r="R94" s="1">
        <v>8</v>
      </c>
      <c r="S94" s="1">
        <v>0</v>
      </c>
      <c r="T94" s="1">
        <v>0</v>
      </c>
      <c r="U94" s="1">
        <v>6</v>
      </c>
      <c r="V94" s="1">
        <v>0</v>
      </c>
      <c r="W94" s="1">
        <v>0</v>
      </c>
      <c r="X94" s="1">
        <v>2</v>
      </c>
      <c r="Y94" s="1">
        <v>8</v>
      </c>
      <c r="Z94" s="1">
        <v>2</v>
      </c>
      <c r="AA94" s="1">
        <v>8</v>
      </c>
      <c r="AB94" s="1">
        <v>13</v>
      </c>
      <c r="AC94" s="1">
        <v>0</v>
      </c>
      <c r="AD94" s="1">
        <v>6</v>
      </c>
      <c r="AE94" s="1">
        <v>2</v>
      </c>
    </row>
    <row r="95" spans="1:31" x14ac:dyDescent="0.25">
      <c r="A95" t="s">
        <v>65</v>
      </c>
      <c r="B95" s="1">
        <f t="shared" si="1"/>
        <v>114</v>
      </c>
      <c r="C95" s="1">
        <v>0</v>
      </c>
      <c r="D95" s="1">
        <v>6</v>
      </c>
      <c r="E95" s="1">
        <v>13</v>
      </c>
      <c r="F95" s="1">
        <v>13</v>
      </c>
      <c r="G95" s="1">
        <v>0</v>
      </c>
      <c r="H95" s="1">
        <v>2</v>
      </c>
      <c r="I95" s="1">
        <v>0</v>
      </c>
      <c r="J95" s="1">
        <v>8</v>
      </c>
      <c r="K95" s="1">
        <v>2</v>
      </c>
      <c r="L95" s="1">
        <v>0</v>
      </c>
      <c r="M95" s="1">
        <v>8</v>
      </c>
      <c r="N95" s="1">
        <v>8</v>
      </c>
      <c r="O95" s="1">
        <v>2</v>
      </c>
      <c r="P95" s="1">
        <v>0</v>
      </c>
      <c r="Q95" s="1">
        <v>6</v>
      </c>
      <c r="R95" s="1">
        <v>0</v>
      </c>
      <c r="S95" s="1">
        <v>0</v>
      </c>
      <c r="T95" s="1">
        <v>0</v>
      </c>
      <c r="U95" s="1">
        <v>0</v>
      </c>
      <c r="V95" s="1">
        <v>2</v>
      </c>
      <c r="W95" s="1">
        <v>0</v>
      </c>
      <c r="X95" s="1">
        <v>6</v>
      </c>
      <c r="Y95" s="1">
        <v>8</v>
      </c>
      <c r="Z95" s="1">
        <v>6</v>
      </c>
      <c r="AA95" s="1">
        <v>6</v>
      </c>
      <c r="AB95" s="1">
        <v>6</v>
      </c>
      <c r="AC95" s="1">
        <v>0</v>
      </c>
      <c r="AD95" s="1">
        <v>6</v>
      </c>
      <c r="AE95" s="1">
        <v>6</v>
      </c>
    </row>
    <row r="96" spans="1:31" x14ac:dyDescent="0.25">
      <c r="A96" t="s">
        <v>68</v>
      </c>
      <c r="B96" s="1">
        <f t="shared" si="1"/>
        <v>113</v>
      </c>
      <c r="C96" s="1">
        <v>0</v>
      </c>
      <c r="D96" s="1">
        <v>6</v>
      </c>
      <c r="E96" s="1">
        <v>2</v>
      </c>
      <c r="F96" s="1">
        <v>2</v>
      </c>
      <c r="G96" s="1">
        <v>0</v>
      </c>
      <c r="H96" s="1">
        <v>0</v>
      </c>
      <c r="I96" s="1">
        <v>0</v>
      </c>
      <c r="J96" s="1">
        <v>6</v>
      </c>
      <c r="K96" s="1">
        <v>0</v>
      </c>
      <c r="L96" s="1">
        <v>0</v>
      </c>
      <c r="M96" s="1">
        <v>6</v>
      </c>
      <c r="N96" s="1">
        <v>8</v>
      </c>
      <c r="O96" s="1">
        <v>13</v>
      </c>
      <c r="P96" s="1">
        <v>2</v>
      </c>
      <c r="Q96" s="1">
        <v>6</v>
      </c>
      <c r="R96" s="1">
        <v>13</v>
      </c>
      <c r="S96" s="1">
        <v>7</v>
      </c>
      <c r="T96" s="1">
        <v>0</v>
      </c>
      <c r="U96" s="1">
        <v>8</v>
      </c>
      <c r="V96" s="1">
        <v>0</v>
      </c>
      <c r="W96" s="1">
        <v>6</v>
      </c>
      <c r="X96" s="1">
        <v>2</v>
      </c>
      <c r="Y96" s="1">
        <v>8</v>
      </c>
      <c r="Z96" s="1">
        <v>0</v>
      </c>
      <c r="AA96" s="1">
        <v>8</v>
      </c>
      <c r="AB96" s="1">
        <v>2</v>
      </c>
      <c r="AC96" s="1">
        <v>0</v>
      </c>
      <c r="AD96" s="1">
        <v>2</v>
      </c>
      <c r="AE96" s="1">
        <v>6</v>
      </c>
    </row>
    <row r="97" spans="1:31" x14ac:dyDescent="0.25">
      <c r="A97" t="s">
        <v>110</v>
      </c>
      <c r="B97" s="1">
        <f t="shared" si="1"/>
        <v>113</v>
      </c>
      <c r="C97" s="1">
        <v>0</v>
      </c>
      <c r="D97" s="1">
        <v>6</v>
      </c>
      <c r="E97" s="1">
        <v>8</v>
      </c>
      <c r="F97" s="1">
        <v>2</v>
      </c>
      <c r="G97" s="1">
        <v>0</v>
      </c>
      <c r="H97" s="1">
        <v>2</v>
      </c>
      <c r="I97" s="1">
        <v>0</v>
      </c>
      <c r="J97" s="1">
        <v>8</v>
      </c>
      <c r="K97" s="1">
        <v>2</v>
      </c>
      <c r="L97" s="1">
        <v>0</v>
      </c>
      <c r="M97" s="1">
        <v>8</v>
      </c>
      <c r="N97" s="1">
        <v>8</v>
      </c>
      <c r="O97" s="1">
        <v>2</v>
      </c>
      <c r="P97" s="1">
        <v>6</v>
      </c>
      <c r="Q97" s="1">
        <v>6</v>
      </c>
      <c r="R97" s="1">
        <v>8</v>
      </c>
      <c r="S97" s="1">
        <v>7</v>
      </c>
      <c r="T97" s="1">
        <v>0</v>
      </c>
      <c r="U97" s="1">
        <v>6</v>
      </c>
      <c r="V97" s="1">
        <v>0</v>
      </c>
      <c r="W97" s="1">
        <v>2</v>
      </c>
      <c r="X97" s="1">
        <v>2</v>
      </c>
      <c r="Y97" s="1">
        <v>8</v>
      </c>
      <c r="Z97" s="1">
        <v>2</v>
      </c>
      <c r="AA97" s="1">
        <v>8</v>
      </c>
      <c r="AB97" s="1">
        <v>0</v>
      </c>
      <c r="AC97" s="1">
        <v>0</v>
      </c>
      <c r="AD97" s="1">
        <v>6</v>
      </c>
      <c r="AE97" s="1">
        <v>6</v>
      </c>
    </row>
    <row r="98" spans="1:31" x14ac:dyDescent="0.25">
      <c r="A98" t="s">
        <v>38</v>
      </c>
      <c r="B98" s="1">
        <f t="shared" si="1"/>
        <v>112</v>
      </c>
      <c r="C98" s="1">
        <v>0</v>
      </c>
      <c r="D98" s="1">
        <v>6</v>
      </c>
      <c r="E98" s="1">
        <v>8</v>
      </c>
      <c r="F98" s="1">
        <v>2</v>
      </c>
      <c r="G98" s="1">
        <v>0</v>
      </c>
      <c r="H98" s="1">
        <v>2</v>
      </c>
      <c r="I98" s="1">
        <v>6</v>
      </c>
      <c r="J98" s="1">
        <v>8</v>
      </c>
      <c r="K98" s="1">
        <v>2</v>
      </c>
      <c r="L98" s="1">
        <v>0</v>
      </c>
      <c r="M98" s="1">
        <v>6</v>
      </c>
      <c r="N98" s="1">
        <v>6</v>
      </c>
      <c r="O98" s="1">
        <v>6</v>
      </c>
      <c r="P98" s="1">
        <v>0</v>
      </c>
      <c r="Q98" s="1">
        <v>8</v>
      </c>
      <c r="R98" s="1">
        <v>8</v>
      </c>
      <c r="S98" s="1">
        <v>0</v>
      </c>
      <c r="T98" s="1">
        <v>0</v>
      </c>
      <c r="U98" s="1">
        <v>8</v>
      </c>
      <c r="V98" s="1">
        <v>0</v>
      </c>
      <c r="W98" s="1">
        <v>2</v>
      </c>
      <c r="X98" s="1">
        <v>6</v>
      </c>
      <c r="Y98" s="1">
        <v>6</v>
      </c>
      <c r="Z98" s="1">
        <v>6</v>
      </c>
      <c r="AA98" s="1">
        <v>8</v>
      </c>
      <c r="AB98" s="1">
        <v>2</v>
      </c>
      <c r="AC98" s="1">
        <v>0</v>
      </c>
      <c r="AD98" s="1">
        <v>6</v>
      </c>
      <c r="AE98" s="1">
        <v>0</v>
      </c>
    </row>
    <row r="99" spans="1:31" x14ac:dyDescent="0.25">
      <c r="A99" t="s">
        <v>79</v>
      </c>
      <c r="B99" s="1">
        <f t="shared" si="1"/>
        <v>112</v>
      </c>
      <c r="C99" s="1">
        <v>0</v>
      </c>
      <c r="D99" s="1">
        <v>6</v>
      </c>
      <c r="E99" s="1">
        <v>13</v>
      </c>
      <c r="F99" s="1">
        <v>0</v>
      </c>
      <c r="G99" s="1">
        <v>0</v>
      </c>
      <c r="H99" s="1">
        <v>0</v>
      </c>
      <c r="I99" s="1">
        <v>6</v>
      </c>
      <c r="J99" s="1">
        <v>8</v>
      </c>
      <c r="K99" s="1">
        <v>2</v>
      </c>
      <c r="L99" s="1">
        <v>0</v>
      </c>
      <c r="M99" s="1">
        <v>8</v>
      </c>
      <c r="N99" s="1">
        <v>8</v>
      </c>
      <c r="O99" s="1">
        <v>8</v>
      </c>
      <c r="P99" s="1">
        <v>2</v>
      </c>
      <c r="Q99" s="1">
        <v>6</v>
      </c>
      <c r="R99" s="1">
        <v>13</v>
      </c>
      <c r="S99" s="1">
        <v>0</v>
      </c>
      <c r="T99" s="1">
        <v>0</v>
      </c>
      <c r="U99" s="1">
        <v>0</v>
      </c>
      <c r="V99" s="1">
        <v>2</v>
      </c>
      <c r="W99" s="1">
        <v>2</v>
      </c>
      <c r="X99" s="1">
        <v>2</v>
      </c>
      <c r="Y99" s="1">
        <v>6</v>
      </c>
      <c r="Z99" s="1">
        <v>0</v>
      </c>
      <c r="AA99" s="1">
        <v>6</v>
      </c>
      <c r="AB99" s="1">
        <v>6</v>
      </c>
      <c r="AC99" s="1">
        <v>0</v>
      </c>
      <c r="AD99" s="1">
        <v>8</v>
      </c>
      <c r="AE99" s="1">
        <v>0</v>
      </c>
    </row>
    <row r="100" spans="1:31" x14ac:dyDescent="0.25">
      <c r="A100" t="s">
        <v>84</v>
      </c>
      <c r="B100" s="1">
        <f t="shared" si="1"/>
        <v>112</v>
      </c>
      <c r="C100" s="1">
        <v>0</v>
      </c>
      <c r="D100" s="1">
        <v>6</v>
      </c>
      <c r="E100" s="1">
        <v>13</v>
      </c>
      <c r="F100" s="1">
        <v>2</v>
      </c>
      <c r="G100" s="1">
        <v>0</v>
      </c>
      <c r="H100" s="1">
        <v>2</v>
      </c>
      <c r="I100" s="1">
        <v>6</v>
      </c>
      <c r="J100" s="1">
        <v>6</v>
      </c>
      <c r="K100" s="1">
        <v>2</v>
      </c>
      <c r="L100" s="1">
        <v>2</v>
      </c>
      <c r="M100" s="1">
        <v>8</v>
      </c>
      <c r="N100" s="1">
        <v>6</v>
      </c>
      <c r="O100" s="1">
        <v>2</v>
      </c>
      <c r="P100" s="1">
        <v>2</v>
      </c>
      <c r="Q100" s="1">
        <v>6</v>
      </c>
      <c r="R100" s="1">
        <v>8</v>
      </c>
      <c r="S100" s="1">
        <v>0</v>
      </c>
      <c r="T100" s="1">
        <v>0</v>
      </c>
      <c r="U100" s="1">
        <v>6</v>
      </c>
      <c r="V100" s="1">
        <v>0</v>
      </c>
      <c r="W100" s="1">
        <v>0</v>
      </c>
      <c r="X100" s="1">
        <v>2</v>
      </c>
      <c r="Y100" s="1">
        <v>8</v>
      </c>
      <c r="Z100" s="1">
        <v>2</v>
      </c>
      <c r="AA100" s="1">
        <v>13</v>
      </c>
      <c r="AB100" s="1">
        <v>2</v>
      </c>
      <c r="AC100" s="1">
        <v>0</v>
      </c>
      <c r="AD100" s="1">
        <v>2</v>
      </c>
      <c r="AE100" s="1">
        <v>6</v>
      </c>
    </row>
    <row r="101" spans="1:31" x14ac:dyDescent="0.25">
      <c r="A101" t="s">
        <v>106</v>
      </c>
      <c r="B101" s="1">
        <f t="shared" si="1"/>
        <v>111</v>
      </c>
      <c r="C101" s="1">
        <v>8</v>
      </c>
      <c r="D101" s="1">
        <v>6</v>
      </c>
      <c r="E101" s="1">
        <v>8</v>
      </c>
      <c r="F101" s="1">
        <v>6</v>
      </c>
      <c r="G101" s="1">
        <v>0</v>
      </c>
      <c r="H101" s="1">
        <v>0</v>
      </c>
      <c r="I101" s="1">
        <v>6</v>
      </c>
      <c r="J101" s="1">
        <v>6</v>
      </c>
      <c r="K101" s="1">
        <v>2</v>
      </c>
      <c r="L101" s="1">
        <v>0</v>
      </c>
      <c r="M101" s="1">
        <v>6</v>
      </c>
      <c r="N101" s="1">
        <v>6</v>
      </c>
      <c r="O101" s="1">
        <v>6</v>
      </c>
      <c r="P101" s="1">
        <v>0</v>
      </c>
      <c r="Q101" s="1">
        <v>6</v>
      </c>
      <c r="R101" s="1">
        <v>6</v>
      </c>
      <c r="S101" s="1">
        <v>7</v>
      </c>
      <c r="T101" s="1">
        <v>0</v>
      </c>
      <c r="U101" s="1">
        <v>6</v>
      </c>
      <c r="V101" s="1">
        <v>2</v>
      </c>
      <c r="W101" s="1">
        <v>0</v>
      </c>
      <c r="X101" s="1">
        <v>0</v>
      </c>
      <c r="Y101" s="1">
        <v>8</v>
      </c>
      <c r="Z101" s="1">
        <v>2</v>
      </c>
      <c r="AA101" s="1">
        <v>6</v>
      </c>
      <c r="AB101" s="1">
        <v>0</v>
      </c>
      <c r="AC101" s="1">
        <v>0</v>
      </c>
      <c r="AD101" s="1">
        <v>8</v>
      </c>
      <c r="AE101" s="1">
        <v>0</v>
      </c>
    </row>
    <row r="102" spans="1:31" x14ac:dyDescent="0.25">
      <c r="A102" t="s">
        <v>48</v>
      </c>
      <c r="B102" s="1">
        <f t="shared" si="1"/>
        <v>110</v>
      </c>
      <c r="C102" s="1">
        <v>0</v>
      </c>
      <c r="D102" s="1">
        <v>6</v>
      </c>
      <c r="E102" s="1">
        <v>13</v>
      </c>
      <c r="F102" s="1">
        <v>6</v>
      </c>
      <c r="G102" s="1">
        <v>0</v>
      </c>
      <c r="H102" s="1">
        <v>0</v>
      </c>
      <c r="I102" s="1">
        <v>0</v>
      </c>
      <c r="J102" s="1">
        <v>8</v>
      </c>
      <c r="K102" s="1">
        <v>0</v>
      </c>
      <c r="L102" s="1">
        <v>0</v>
      </c>
      <c r="M102" s="1">
        <v>6</v>
      </c>
      <c r="N102" s="1">
        <v>6</v>
      </c>
      <c r="O102" s="1">
        <v>13</v>
      </c>
      <c r="P102" s="1">
        <v>2</v>
      </c>
      <c r="Q102" s="1">
        <v>6</v>
      </c>
      <c r="R102" s="1">
        <v>6</v>
      </c>
      <c r="S102" s="1">
        <v>0</v>
      </c>
      <c r="T102" s="1">
        <v>0</v>
      </c>
      <c r="U102" s="1">
        <v>0</v>
      </c>
      <c r="V102" s="1">
        <v>2</v>
      </c>
      <c r="W102" s="1">
        <v>0</v>
      </c>
      <c r="X102" s="1">
        <v>13</v>
      </c>
      <c r="Y102" s="1">
        <v>2</v>
      </c>
      <c r="Z102" s="1">
        <v>13</v>
      </c>
      <c r="AA102" s="1">
        <v>0</v>
      </c>
      <c r="AB102" s="1">
        <v>0</v>
      </c>
      <c r="AC102" s="1">
        <v>0</v>
      </c>
      <c r="AD102" s="1">
        <v>6</v>
      </c>
      <c r="AE102" s="1">
        <v>2</v>
      </c>
    </row>
    <row r="103" spans="1:31" x14ac:dyDescent="0.25">
      <c r="A103" t="s">
        <v>70</v>
      </c>
      <c r="B103" s="1">
        <f t="shared" si="1"/>
        <v>110</v>
      </c>
      <c r="C103" s="1">
        <v>8</v>
      </c>
      <c r="D103" s="1">
        <v>6</v>
      </c>
      <c r="E103" s="1">
        <v>0</v>
      </c>
      <c r="F103" s="1">
        <v>13</v>
      </c>
      <c r="G103" s="1">
        <v>0</v>
      </c>
      <c r="H103" s="1">
        <v>2</v>
      </c>
      <c r="I103" s="1">
        <v>0</v>
      </c>
      <c r="J103" s="1">
        <v>8</v>
      </c>
      <c r="K103" s="1">
        <v>2</v>
      </c>
      <c r="L103" s="1">
        <v>0</v>
      </c>
      <c r="M103" s="1">
        <v>8</v>
      </c>
      <c r="N103" s="1">
        <v>6</v>
      </c>
      <c r="O103" s="1">
        <v>6</v>
      </c>
      <c r="P103" s="1">
        <v>2</v>
      </c>
      <c r="Q103" s="1">
        <v>0</v>
      </c>
      <c r="R103" s="1">
        <v>8</v>
      </c>
      <c r="S103" s="1">
        <v>0</v>
      </c>
      <c r="T103" s="1">
        <v>0</v>
      </c>
      <c r="U103" s="1">
        <v>6</v>
      </c>
      <c r="V103" s="1">
        <v>2</v>
      </c>
      <c r="W103" s="1">
        <v>0</v>
      </c>
      <c r="X103" s="1">
        <v>2</v>
      </c>
      <c r="Y103" s="1">
        <v>13</v>
      </c>
      <c r="Z103" s="1">
        <v>2</v>
      </c>
      <c r="AA103" s="1">
        <v>8</v>
      </c>
      <c r="AB103" s="1">
        <v>0</v>
      </c>
      <c r="AC103" s="1">
        <v>0</v>
      </c>
      <c r="AD103" s="1">
        <v>6</v>
      </c>
      <c r="AE103" s="1">
        <v>2</v>
      </c>
    </row>
    <row r="104" spans="1:31" x14ac:dyDescent="0.25">
      <c r="A104" t="s">
        <v>103</v>
      </c>
      <c r="B104" s="1">
        <f t="shared" si="1"/>
        <v>110</v>
      </c>
      <c r="C104" s="1">
        <v>0</v>
      </c>
      <c r="D104" s="1">
        <v>6</v>
      </c>
      <c r="E104" s="1">
        <v>2</v>
      </c>
      <c r="F104" s="1">
        <v>2</v>
      </c>
      <c r="G104" s="1">
        <v>0</v>
      </c>
      <c r="H104" s="1">
        <v>2</v>
      </c>
      <c r="I104" s="1">
        <v>6</v>
      </c>
      <c r="J104" s="1">
        <v>8</v>
      </c>
      <c r="K104" s="1">
        <v>2</v>
      </c>
      <c r="L104" s="1">
        <v>0</v>
      </c>
      <c r="M104" s="1">
        <v>8</v>
      </c>
      <c r="N104" s="1">
        <v>6</v>
      </c>
      <c r="O104" s="1">
        <v>2</v>
      </c>
      <c r="P104" s="1">
        <v>2</v>
      </c>
      <c r="Q104" s="1">
        <v>6</v>
      </c>
      <c r="R104" s="1">
        <v>8</v>
      </c>
      <c r="S104" s="1">
        <v>7</v>
      </c>
      <c r="T104" s="1">
        <v>2</v>
      </c>
      <c r="U104" s="1">
        <v>6</v>
      </c>
      <c r="V104" s="1">
        <v>2</v>
      </c>
      <c r="W104" s="1">
        <v>6</v>
      </c>
      <c r="X104" s="1">
        <v>2</v>
      </c>
      <c r="Y104" s="1">
        <v>13</v>
      </c>
      <c r="Z104" s="1">
        <v>2</v>
      </c>
      <c r="AA104" s="1">
        <v>0</v>
      </c>
      <c r="AB104" s="1">
        <v>2</v>
      </c>
      <c r="AC104" s="1">
        <v>0</v>
      </c>
      <c r="AD104" s="1">
        <v>2</v>
      </c>
      <c r="AE104" s="1">
        <v>6</v>
      </c>
    </row>
    <row r="105" spans="1:31" x14ac:dyDescent="0.25">
      <c r="A105" t="s">
        <v>81</v>
      </c>
      <c r="B105" s="1">
        <f t="shared" si="1"/>
        <v>108</v>
      </c>
      <c r="C105" s="1">
        <v>2</v>
      </c>
      <c r="D105" s="1">
        <v>6</v>
      </c>
      <c r="E105" s="1">
        <v>6</v>
      </c>
      <c r="F105" s="1">
        <v>6</v>
      </c>
      <c r="G105" s="1">
        <v>0</v>
      </c>
      <c r="H105" s="1">
        <v>0</v>
      </c>
      <c r="I105" s="1">
        <v>6</v>
      </c>
      <c r="J105" s="1">
        <v>6</v>
      </c>
      <c r="K105" s="1">
        <v>2</v>
      </c>
      <c r="L105" s="1">
        <v>0</v>
      </c>
      <c r="M105" s="1">
        <v>6</v>
      </c>
      <c r="N105" s="1">
        <v>8</v>
      </c>
      <c r="O105" s="1">
        <v>6</v>
      </c>
      <c r="P105" s="1">
        <v>0</v>
      </c>
      <c r="Q105" s="1">
        <v>6</v>
      </c>
      <c r="R105" s="1">
        <v>8</v>
      </c>
      <c r="S105" s="1">
        <v>0</v>
      </c>
      <c r="T105" s="1">
        <v>0</v>
      </c>
      <c r="U105" s="1">
        <v>0</v>
      </c>
      <c r="V105" s="1">
        <v>2</v>
      </c>
      <c r="W105" s="1">
        <v>2</v>
      </c>
      <c r="X105" s="1">
        <v>2</v>
      </c>
      <c r="Y105" s="1">
        <v>13</v>
      </c>
      <c r="Z105" s="1">
        <v>0</v>
      </c>
      <c r="AA105" s="1">
        <v>13</v>
      </c>
      <c r="AB105" s="1">
        <v>0</v>
      </c>
      <c r="AC105" s="1">
        <v>0</v>
      </c>
      <c r="AD105" s="1">
        <v>8</v>
      </c>
      <c r="AE105" s="1">
        <v>0</v>
      </c>
    </row>
    <row r="106" spans="1:31" x14ac:dyDescent="0.25">
      <c r="A106" t="s">
        <v>101</v>
      </c>
      <c r="B106" s="1">
        <f t="shared" si="1"/>
        <v>108</v>
      </c>
      <c r="C106" s="1">
        <v>8</v>
      </c>
      <c r="D106" s="1">
        <v>6</v>
      </c>
      <c r="E106" s="1">
        <v>8</v>
      </c>
      <c r="F106" s="1">
        <v>13</v>
      </c>
      <c r="G106" s="1">
        <v>0</v>
      </c>
      <c r="H106" s="1">
        <v>0</v>
      </c>
      <c r="I106" s="1">
        <v>6</v>
      </c>
      <c r="J106" s="1">
        <v>6</v>
      </c>
      <c r="K106" s="1">
        <v>2</v>
      </c>
      <c r="L106" s="1">
        <v>0</v>
      </c>
      <c r="M106" s="1">
        <v>6</v>
      </c>
      <c r="N106" s="1">
        <v>6</v>
      </c>
      <c r="O106" s="1">
        <v>2</v>
      </c>
      <c r="P106" s="1">
        <v>0</v>
      </c>
      <c r="Q106" s="1">
        <v>0</v>
      </c>
      <c r="R106" s="1">
        <v>8</v>
      </c>
      <c r="S106" s="1">
        <v>7</v>
      </c>
      <c r="T106" s="1">
        <v>0</v>
      </c>
      <c r="U106" s="1">
        <v>0</v>
      </c>
      <c r="V106" s="1">
        <v>0</v>
      </c>
      <c r="W106" s="1">
        <v>2</v>
      </c>
      <c r="X106" s="1">
        <v>0</v>
      </c>
      <c r="Y106" s="1">
        <v>8</v>
      </c>
      <c r="Z106" s="1">
        <v>2</v>
      </c>
      <c r="AA106" s="1">
        <v>8</v>
      </c>
      <c r="AB106" s="1">
        <v>2</v>
      </c>
      <c r="AC106" s="1">
        <v>0</v>
      </c>
      <c r="AD106" s="1">
        <v>6</v>
      </c>
      <c r="AE106" s="1">
        <v>2</v>
      </c>
    </row>
    <row r="107" spans="1:31" x14ac:dyDescent="0.25">
      <c r="A107" t="s">
        <v>113</v>
      </c>
      <c r="B107" s="1">
        <f t="shared" si="1"/>
        <v>108</v>
      </c>
      <c r="C107" s="1">
        <v>0</v>
      </c>
      <c r="D107" s="1">
        <v>6</v>
      </c>
      <c r="E107" s="1">
        <v>8</v>
      </c>
      <c r="F107" s="1">
        <v>13</v>
      </c>
      <c r="G107" s="1">
        <v>0</v>
      </c>
      <c r="H107" s="1">
        <v>2</v>
      </c>
      <c r="I107" s="1">
        <v>0</v>
      </c>
      <c r="J107" s="1">
        <v>8</v>
      </c>
      <c r="K107" s="1">
        <v>0</v>
      </c>
      <c r="L107" s="1">
        <v>0</v>
      </c>
      <c r="M107" s="1">
        <v>8</v>
      </c>
      <c r="N107" s="1">
        <v>6</v>
      </c>
      <c r="O107" s="1">
        <v>2</v>
      </c>
      <c r="P107" s="1">
        <v>0</v>
      </c>
      <c r="Q107" s="1">
        <v>6</v>
      </c>
      <c r="R107" s="1">
        <v>13</v>
      </c>
      <c r="S107" s="1">
        <v>0</v>
      </c>
      <c r="T107" s="1">
        <v>0</v>
      </c>
      <c r="U107" s="1">
        <v>0</v>
      </c>
      <c r="V107" s="1">
        <v>2</v>
      </c>
      <c r="W107" s="1">
        <v>0</v>
      </c>
      <c r="X107" s="1">
        <v>2</v>
      </c>
      <c r="Y107" s="1">
        <v>6</v>
      </c>
      <c r="Z107" s="1">
        <v>8</v>
      </c>
      <c r="AA107" s="1">
        <v>6</v>
      </c>
      <c r="AB107" s="1">
        <v>0</v>
      </c>
      <c r="AC107" s="1">
        <v>0</v>
      </c>
      <c r="AD107" s="1">
        <v>6</v>
      </c>
      <c r="AE107" s="1">
        <v>6</v>
      </c>
    </row>
    <row r="108" spans="1:31" x14ac:dyDescent="0.25">
      <c r="A108" t="s">
        <v>72</v>
      </c>
      <c r="B108" s="1">
        <f t="shared" si="1"/>
        <v>105</v>
      </c>
      <c r="C108" s="1">
        <v>0</v>
      </c>
      <c r="D108" s="1">
        <v>6</v>
      </c>
      <c r="E108" s="1">
        <v>6</v>
      </c>
      <c r="F108" s="1">
        <v>0</v>
      </c>
      <c r="G108" s="1">
        <v>0</v>
      </c>
      <c r="H108" s="1">
        <v>0</v>
      </c>
      <c r="I108" s="1">
        <v>0</v>
      </c>
      <c r="J108" s="1">
        <v>6</v>
      </c>
      <c r="K108" s="1">
        <v>0</v>
      </c>
      <c r="L108" s="1">
        <v>2</v>
      </c>
      <c r="M108" s="1">
        <v>6</v>
      </c>
      <c r="N108" s="1">
        <v>6</v>
      </c>
      <c r="O108" s="1">
        <v>6</v>
      </c>
      <c r="P108" s="1">
        <v>6</v>
      </c>
      <c r="Q108" s="1">
        <v>8</v>
      </c>
      <c r="R108" s="1">
        <v>13</v>
      </c>
      <c r="S108" s="1">
        <v>0</v>
      </c>
      <c r="T108" s="1">
        <v>0</v>
      </c>
      <c r="U108" s="1">
        <v>2</v>
      </c>
      <c r="V108" s="1">
        <v>2</v>
      </c>
      <c r="W108" s="1">
        <v>0</v>
      </c>
      <c r="X108" s="1">
        <v>2</v>
      </c>
      <c r="Y108" s="1">
        <v>6</v>
      </c>
      <c r="Z108" s="1">
        <v>8</v>
      </c>
      <c r="AA108" s="1">
        <v>8</v>
      </c>
      <c r="AB108" s="1">
        <v>2</v>
      </c>
      <c r="AC108" s="1">
        <v>0</v>
      </c>
      <c r="AD108" s="1">
        <v>8</v>
      </c>
      <c r="AE108" s="1">
        <v>2</v>
      </c>
    </row>
    <row r="109" spans="1:31" x14ac:dyDescent="0.25">
      <c r="A109" t="s">
        <v>105</v>
      </c>
      <c r="B109" s="1">
        <f t="shared" si="1"/>
        <v>104</v>
      </c>
      <c r="C109" s="1">
        <v>13</v>
      </c>
      <c r="D109" s="1">
        <v>6</v>
      </c>
      <c r="E109" s="1">
        <v>8</v>
      </c>
      <c r="F109" s="1">
        <v>2</v>
      </c>
      <c r="G109" s="1">
        <v>0</v>
      </c>
      <c r="H109" s="1">
        <v>2</v>
      </c>
      <c r="I109" s="1">
        <v>2</v>
      </c>
      <c r="J109" s="1">
        <v>6</v>
      </c>
      <c r="K109" s="1">
        <v>0</v>
      </c>
      <c r="L109" s="1">
        <v>0</v>
      </c>
      <c r="M109" s="1">
        <v>8</v>
      </c>
      <c r="N109" s="1">
        <v>8</v>
      </c>
      <c r="O109" s="1">
        <v>6</v>
      </c>
      <c r="P109" s="1">
        <v>2</v>
      </c>
      <c r="Q109" s="1">
        <v>6</v>
      </c>
      <c r="R109" s="1">
        <v>13</v>
      </c>
      <c r="S109" s="1">
        <v>0</v>
      </c>
      <c r="T109" s="1">
        <v>2</v>
      </c>
      <c r="U109" s="1">
        <v>2</v>
      </c>
      <c r="V109" s="1">
        <v>2</v>
      </c>
      <c r="W109" s="1">
        <v>0</v>
      </c>
      <c r="X109" s="1">
        <v>2</v>
      </c>
      <c r="Y109" s="1">
        <v>0</v>
      </c>
      <c r="Z109" s="1">
        <v>6</v>
      </c>
      <c r="AA109" s="1">
        <v>6</v>
      </c>
      <c r="AB109" s="1">
        <v>2</v>
      </c>
      <c r="AC109" s="1">
        <v>0</v>
      </c>
      <c r="AD109" s="1">
        <v>0</v>
      </c>
      <c r="AE109" s="1">
        <v>0</v>
      </c>
    </row>
    <row r="110" spans="1:31" x14ac:dyDescent="0.25">
      <c r="A110" t="s">
        <v>111</v>
      </c>
      <c r="B110" s="1">
        <f t="shared" si="1"/>
        <v>103</v>
      </c>
      <c r="C110" s="1">
        <v>8</v>
      </c>
      <c r="D110" s="1">
        <v>6</v>
      </c>
      <c r="E110" s="1">
        <v>8</v>
      </c>
      <c r="F110" s="1">
        <v>2</v>
      </c>
      <c r="G110" s="1">
        <v>0</v>
      </c>
      <c r="H110" s="1">
        <v>0</v>
      </c>
      <c r="I110" s="1">
        <v>6</v>
      </c>
      <c r="J110" s="1">
        <v>6</v>
      </c>
      <c r="K110" s="1">
        <v>2</v>
      </c>
      <c r="L110" s="1">
        <v>0</v>
      </c>
      <c r="M110" s="1">
        <v>0</v>
      </c>
      <c r="N110" s="1">
        <v>8</v>
      </c>
      <c r="O110" s="1">
        <v>2</v>
      </c>
      <c r="P110" s="1">
        <v>6</v>
      </c>
      <c r="Q110" s="1">
        <v>0</v>
      </c>
      <c r="R110" s="1">
        <v>8</v>
      </c>
      <c r="S110" s="1">
        <v>0</v>
      </c>
      <c r="T110" s="1">
        <v>2</v>
      </c>
      <c r="U110" s="1">
        <v>0</v>
      </c>
      <c r="V110" s="1">
        <v>2</v>
      </c>
      <c r="W110" s="1">
        <v>2</v>
      </c>
      <c r="X110" s="1">
        <v>2</v>
      </c>
      <c r="Y110" s="1">
        <v>2</v>
      </c>
      <c r="Z110" s="1">
        <v>6</v>
      </c>
      <c r="AA110" s="1">
        <v>13</v>
      </c>
      <c r="AB110" s="1">
        <v>0</v>
      </c>
      <c r="AC110" s="1">
        <v>0</v>
      </c>
      <c r="AD110" s="1">
        <v>6</v>
      </c>
      <c r="AE110" s="1">
        <v>6</v>
      </c>
    </row>
    <row r="111" spans="1:31" x14ac:dyDescent="0.25">
      <c r="A111" t="s">
        <v>23</v>
      </c>
      <c r="B111" s="1">
        <f t="shared" si="1"/>
        <v>99</v>
      </c>
      <c r="C111" s="1">
        <v>0</v>
      </c>
      <c r="D111" s="1">
        <v>6</v>
      </c>
      <c r="E111" s="1">
        <v>8</v>
      </c>
      <c r="F111" s="1">
        <v>13</v>
      </c>
      <c r="G111" s="1">
        <v>0</v>
      </c>
      <c r="H111" s="1">
        <v>2</v>
      </c>
      <c r="I111" s="1">
        <v>2</v>
      </c>
      <c r="J111" s="1">
        <v>8</v>
      </c>
      <c r="K111" s="1">
        <v>2</v>
      </c>
      <c r="L111" s="1">
        <v>0</v>
      </c>
      <c r="M111" s="1">
        <v>8</v>
      </c>
      <c r="N111" s="1">
        <v>6</v>
      </c>
      <c r="O111" s="1">
        <v>2</v>
      </c>
      <c r="P111" s="1">
        <v>2</v>
      </c>
      <c r="Q111" s="1">
        <v>2</v>
      </c>
      <c r="R111" s="1">
        <v>8</v>
      </c>
      <c r="S111" s="1">
        <v>0</v>
      </c>
      <c r="T111" s="1">
        <v>0</v>
      </c>
      <c r="U111" s="1">
        <v>2</v>
      </c>
      <c r="V111" s="1">
        <v>0</v>
      </c>
      <c r="W111" s="1">
        <v>6</v>
      </c>
      <c r="X111" s="1">
        <v>2</v>
      </c>
      <c r="Y111" s="1">
        <v>0</v>
      </c>
      <c r="Z111" s="1">
        <v>8</v>
      </c>
      <c r="AA111" s="1">
        <v>2</v>
      </c>
      <c r="AB111" s="1">
        <v>2</v>
      </c>
      <c r="AC111" s="1">
        <v>0</v>
      </c>
      <c r="AD111" s="1">
        <v>2</v>
      </c>
      <c r="AE111" s="1">
        <v>6</v>
      </c>
    </row>
    <row r="112" spans="1:31" x14ac:dyDescent="0.25">
      <c r="A112" t="s">
        <v>69</v>
      </c>
      <c r="B112" s="1">
        <f t="shared" si="1"/>
        <v>97</v>
      </c>
      <c r="C112" s="1">
        <v>2</v>
      </c>
      <c r="D112" s="1">
        <v>6</v>
      </c>
      <c r="E112" s="1">
        <v>6</v>
      </c>
      <c r="F112" s="1">
        <v>2</v>
      </c>
      <c r="G112" s="1">
        <v>0</v>
      </c>
      <c r="H112" s="1">
        <v>0</v>
      </c>
      <c r="I112" s="1">
        <v>0</v>
      </c>
      <c r="J112" s="1">
        <v>6</v>
      </c>
      <c r="K112" s="1">
        <v>0</v>
      </c>
      <c r="L112" s="1">
        <v>0</v>
      </c>
      <c r="M112" s="1">
        <v>6</v>
      </c>
      <c r="N112" s="1">
        <v>6</v>
      </c>
      <c r="O112" s="1">
        <v>6</v>
      </c>
      <c r="P112" s="1">
        <v>0</v>
      </c>
      <c r="Q112" s="1">
        <v>6</v>
      </c>
      <c r="R112" s="1">
        <v>6</v>
      </c>
      <c r="S112" s="1">
        <v>0</v>
      </c>
      <c r="T112" s="1">
        <v>0</v>
      </c>
      <c r="U112" s="1">
        <v>0</v>
      </c>
      <c r="V112" s="1">
        <v>2</v>
      </c>
      <c r="W112" s="1">
        <v>0</v>
      </c>
      <c r="X112" s="1">
        <v>0</v>
      </c>
      <c r="Y112" s="1">
        <v>6</v>
      </c>
      <c r="Z112" s="1">
        <v>8</v>
      </c>
      <c r="AA112" s="1">
        <v>13</v>
      </c>
      <c r="AB112" s="1">
        <v>2</v>
      </c>
      <c r="AC112" s="1">
        <v>0</v>
      </c>
      <c r="AD112" s="1">
        <v>8</v>
      </c>
      <c r="AE112" s="1">
        <v>6</v>
      </c>
    </row>
    <row r="113" spans="1:31" x14ac:dyDescent="0.25">
      <c r="A113" t="s">
        <v>96</v>
      </c>
      <c r="B113" s="1">
        <f t="shared" si="1"/>
        <v>97</v>
      </c>
      <c r="C113" s="1">
        <v>0</v>
      </c>
      <c r="D113" s="1">
        <v>6</v>
      </c>
      <c r="E113" s="1">
        <v>8</v>
      </c>
      <c r="F113" s="1">
        <v>2</v>
      </c>
      <c r="G113" s="1">
        <v>0</v>
      </c>
      <c r="H113" s="1">
        <v>0</v>
      </c>
      <c r="I113" s="1">
        <v>0</v>
      </c>
      <c r="J113" s="1">
        <v>6</v>
      </c>
      <c r="K113" s="1">
        <v>0</v>
      </c>
      <c r="L113" s="1">
        <v>0</v>
      </c>
      <c r="M113" s="1">
        <v>6</v>
      </c>
      <c r="N113" s="1">
        <v>13</v>
      </c>
      <c r="O113" s="1">
        <v>6</v>
      </c>
      <c r="P113" s="1">
        <v>0</v>
      </c>
      <c r="Q113" s="1">
        <v>0</v>
      </c>
      <c r="R113" s="1">
        <v>8</v>
      </c>
      <c r="S113" s="1">
        <v>0</v>
      </c>
      <c r="T113" s="1">
        <v>0</v>
      </c>
      <c r="U113" s="1">
        <v>2</v>
      </c>
      <c r="V113" s="1">
        <v>6</v>
      </c>
      <c r="W113" s="1">
        <v>6</v>
      </c>
      <c r="X113" s="1">
        <v>2</v>
      </c>
      <c r="Y113" s="1">
        <v>8</v>
      </c>
      <c r="Z113" s="1">
        <v>2</v>
      </c>
      <c r="AA113" s="1">
        <v>8</v>
      </c>
      <c r="AB113" s="1">
        <v>2</v>
      </c>
      <c r="AC113" s="1">
        <v>0</v>
      </c>
      <c r="AD113" s="1">
        <v>6</v>
      </c>
      <c r="AE113" s="1">
        <v>0</v>
      </c>
    </row>
    <row r="114" spans="1:31" x14ac:dyDescent="0.25">
      <c r="A114" t="s">
        <v>28</v>
      </c>
      <c r="B114" s="1">
        <f t="shared" si="1"/>
        <v>96</v>
      </c>
      <c r="C114" s="1">
        <v>2</v>
      </c>
      <c r="D114" s="1">
        <v>0</v>
      </c>
      <c r="E114" s="1">
        <v>8</v>
      </c>
      <c r="F114" s="1">
        <v>0</v>
      </c>
      <c r="G114" s="1">
        <v>0</v>
      </c>
      <c r="H114" s="1">
        <v>13</v>
      </c>
      <c r="I114" s="1">
        <v>0</v>
      </c>
      <c r="J114" s="1">
        <v>8</v>
      </c>
      <c r="K114" s="1">
        <v>2</v>
      </c>
      <c r="L114" s="1">
        <v>0</v>
      </c>
      <c r="M114" s="1">
        <v>8</v>
      </c>
      <c r="N114" s="1">
        <v>8</v>
      </c>
      <c r="O114" s="1">
        <v>2</v>
      </c>
      <c r="P114" s="1">
        <v>2</v>
      </c>
      <c r="Q114" s="1">
        <v>13</v>
      </c>
      <c r="R114" s="1">
        <v>8</v>
      </c>
      <c r="S114" s="1">
        <v>0</v>
      </c>
      <c r="T114" s="1">
        <v>0</v>
      </c>
      <c r="U114" s="1">
        <v>0</v>
      </c>
      <c r="V114" s="1">
        <v>2</v>
      </c>
      <c r="W114" s="1">
        <v>0</v>
      </c>
      <c r="X114" s="1">
        <v>2</v>
      </c>
      <c r="Y114" s="1">
        <v>6</v>
      </c>
      <c r="Z114" s="1">
        <v>6</v>
      </c>
      <c r="AA114" s="1">
        <v>6</v>
      </c>
      <c r="AB114" s="1">
        <v>0</v>
      </c>
      <c r="AC114" s="1">
        <v>0</v>
      </c>
      <c r="AD114" s="1">
        <v>0</v>
      </c>
      <c r="AE114" s="1">
        <v>0</v>
      </c>
    </row>
    <row r="115" spans="1:31" x14ac:dyDescent="0.25">
      <c r="A115" t="s">
        <v>104</v>
      </c>
      <c r="B115" s="1">
        <f t="shared" si="1"/>
        <v>77</v>
      </c>
      <c r="C115" s="1">
        <v>0</v>
      </c>
      <c r="D115" s="1">
        <v>6</v>
      </c>
      <c r="E115" s="1">
        <v>0</v>
      </c>
      <c r="F115" s="1">
        <v>2</v>
      </c>
      <c r="G115" s="1">
        <v>0</v>
      </c>
      <c r="H115" s="1">
        <v>6</v>
      </c>
      <c r="I115" s="1">
        <v>0</v>
      </c>
      <c r="J115" s="1">
        <v>6</v>
      </c>
      <c r="K115" s="1">
        <v>2</v>
      </c>
      <c r="L115" s="1">
        <v>2</v>
      </c>
      <c r="M115" s="1">
        <v>8</v>
      </c>
      <c r="N115" s="1">
        <v>8</v>
      </c>
      <c r="O115" s="1">
        <v>6</v>
      </c>
      <c r="P115" s="1">
        <v>2</v>
      </c>
      <c r="Q115" s="1">
        <v>0</v>
      </c>
      <c r="R115" s="1">
        <v>0</v>
      </c>
      <c r="S115" s="1">
        <v>7</v>
      </c>
      <c r="T115" s="1">
        <v>0</v>
      </c>
      <c r="U115" s="1">
        <v>2</v>
      </c>
      <c r="V115" s="1">
        <v>0</v>
      </c>
      <c r="W115" s="1">
        <v>0</v>
      </c>
      <c r="X115" s="1">
        <v>0</v>
      </c>
      <c r="Y115" s="1">
        <v>8</v>
      </c>
      <c r="Z115" s="1">
        <v>2</v>
      </c>
      <c r="AA115" s="1">
        <v>0</v>
      </c>
      <c r="AB115" s="1">
        <v>0</v>
      </c>
      <c r="AC115" s="1">
        <v>0</v>
      </c>
      <c r="AD115" s="1">
        <v>8</v>
      </c>
      <c r="AE115" s="1">
        <v>2</v>
      </c>
    </row>
  </sheetData>
  <sortState xmlns:xlrd2="http://schemas.microsoft.com/office/spreadsheetml/2017/richdata2" ref="A2:BW116">
    <sortCondition descending="1" ref="B2:B116"/>
    <sortCondition ref="A2:A116"/>
  </sortState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6E93-FDDB-469B-9506-F89264AFB723}">
  <dimension ref="A1:BW115"/>
  <sheetViews>
    <sheetView workbookViewId="0">
      <selection activeCell="B9" sqref="B9"/>
    </sheetView>
  </sheetViews>
  <sheetFormatPr defaultRowHeight="15.75" x14ac:dyDescent="0.25"/>
  <cols>
    <col min="1" max="1" width="26.25" bestFit="1" customWidth="1"/>
  </cols>
  <sheetData>
    <row r="1" spans="1:75" x14ac:dyDescent="0.25">
      <c r="A1" t="s">
        <v>115</v>
      </c>
      <c r="B1" t="s">
        <v>114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159</v>
      </c>
      <c r="BD1" t="s">
        <v>160</v>
      </c>
      <c r="BE1" t="s">
        <v>161</v>
      </c>
      <c r="BF1" t="s">
        <v>162</v>
      </c>
      <c r="BG1" t="s">
        <v>163</v>
      </c>
      <c r="BH1" t="s">
        <v>164</v>
      </c>
      <c r="BI1" t="s">
        <v>165</v>
      </c>
      <c r="BJ1" t="s">
        <v>166</v>
      </c>
      <c r="BK1" t="s">
        <v>167</v>
      </c>
      <c r="BL1" t="s">
        <v>168</v>
      </c>
      <c r="BM1" t="s">
        <v>169</v>
      </c>
      <c r="BN1" t="s">
        <v>170</v>
      </c>
      <c r="BO1" t="s">
        <v>171</v>
      </c>
      <c r="BP1" t="s">
        <v>172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</row>
    <row r="2" spans="1:75" x14ac:dyDescent="0.25">
      <c r="A2" t="str">
        <f>Original!A2</f>
        <v>Marina Carvalho</v>
      </c>
      <c r="B2">
        <f>Original!B2</f>
        <v>168</v>
      </c>
      <c r="C2">
        <f>Original!C2</f>
        <v>8</v>
      </c>
      <c r="D2">
        <f>C2+Original!D2</f>
        <v>14</v>
      </c>
      <c r="E2">
        <f>D2+Original!E2</f>
        <v>20</v>
      </c>
      <c r="F2">
        <f>E2+Original!F2</f>
        <v>33</v>
      </c>
      <c r="G2">
        <f>F2+Original!G2</f>
        <v>33</v>
      </c>
      <c r="H2">
        <f>G2+Original!H2</f>
        <v>35</v>
      </c>
      <c r="I2">
        <f>H2+Original!I2</f>
        <v>41</v>
      </c>
      <c r="J2">
        <f>I2+Original!J2</f>
        <v>49</v>
      </c>
      <c r="K2">
        <f>J2+Original!K2</f>
        <v>51</v>
      </c>
      <c r="L2">
        <f>K2+Original!L2</f>
        <v>51</v>
      </c>
      <c r="M2">
        <f>L2+Original!M2</f>
        <v>57</v>
      </c>
      <c r="N2">
        <f>M2+Original!N2</f>
        <v>63</v>
      </c>
      <c r="O2">
        <f>N2+Original!O2</f>
        <v>69</v>
      </c>
      <c r="P2">
        <f>O2+Original!P2</f>
        <v>71</v>
      </c>
      <c r="Q2">
        <f>P2+Original!Q2</f>
        <v>79</v>
      </c>
      <c r="R2">
        <f>Q2+Original!R2</f>
        <v>92</v>
      </c>
      <c r="S2">
        <f>R2+Original!S2</f>
        <v>92</v>
      </c>
      <c r="T2">
        <f>S2+Original!T2</f>
        <v>92</v>
      </c>
      <c r="U2">
        <f>T2+Original!U2</f>
        <v>98</v>
      </c>
      <c r="V2">
        <f>U2+Original!V2</f>
        <v>111</v>
      </c>
      <c r="W2">
        <f>V2+Original!W2</f>
        <v>111</v>
      </c>
      <c r="X2">
        <f>W2+Original!X2</f>
        <v>124</v>
      </c>
      <c r="Y2">
        <f>X2+Original!Y2</f>
        <v>137</v>
      </c>
      <c r="Z2">
        <f>Y2+Original!Z2</f>
        <v>145</v>
      </c>
      <c r="AA2">
        <f>Z2+Original!AA2</f>
        <v>158</v>
      </c>
      <c r="AB2">
        <f>AA2+Original!AB2</f>
        <v>160</v>
      </c>
      <c r="AC2">
        <f>AB2+Original!AC2</f>
        <v>160</v>
      </c>
      <c r="AD2">
        <f>AC2+Original!AD2</f>
        <v>166</v>
      </c>
      <c r="AE2">
        <f>AD2+Original!AE2</f>
        <v>168</v>
      </c>
      <c r="AF2">
        <f>AE2+Original!AF2</f>
        <v>168</v>
      </c>
      <c r="AG2">
        <f>AF2+Original!AG2</f>
        <v>168</v>
      </c>
      <c r="AH2">
        <f>AG2+Original!AH2</f>
        <v>168</v>
      </c>
      <c r="AI2">
        <f>AH2+Original!AI2</f>
        <v>168</v>
      </c>
      <c r="AJ2">
        <f>AI2+Original!AJ2</f>
        <v>168</v>
      </c>
      <c r="AK2">
        <f>AJ2+Original!AK2</f>
        <v>168</v>
      </c>
      <c r="AL2">
        <f>AK2+Original!AL2</f>
        <v>168</v>
      </c>
      <c r="AM2">
        <f>AL2+Original!AM2</f>
        <v>168</v>
      </c>
      <c r="AN2">
        <f>AM2+Original!AN2</f>
        <v>168</v>
      </c>
      <c r="AO2">
        <f>AN2+Original!AO2</f>
        <v>168</v>
      </c>
      <c r="AP2">
        <f>AO2+Original!AP2</f>
        <v>168</v>
      </c>
      <c r="AQ2">
        <f>AP2+Original!AQ2</f>
        <v>168</v>
      </c>
      <c r="AR2">
        <f>AQ2+Original!AR2</f>
        <v>168</v>
      </c>
      <c r="AS2">
        <f>AR2+Original!AS2</f>
        <v>168</v>
      </c>
      <c r="AT2">
        <f>AS2+Original!AT2</f>
        <v>168</v>
      </c>
      <c r="AU2">
        <f>AT2+Original!AU2</f>
        <v>168</v>
      </c>
      <c r="AV2">
        <f>AU2+Original!AV2</f>
        <v>168</v>
      </c>
      <c r="AW2">
        <f>AV2+Original!AW2</f>
        <v>168</v>
      </c>
      <c r="AX2">
        <f>AW2+Original!AX2</f>
        <v>168</v>
      </c>
      <c r="AY2">
        <f>AX2+Original!AY2</f>
        <v>168</v>
      </c>
      <c r="AZ2">
        <f>AY2+Original!AZ2</f>
        <v>168</v>
      </c>
      <c r="BA2">
        <f>AZ2+Original!BA2</f>
        <v>168</v>
      </c>
      <c r="BB2">
        <f>BA2+Original!BB2</f>
        <v>168</v>
      </c>
      <c r="BC2">
        <f>BB2+Original!BC2</f>
        <v>168</v>
      </c>
      <c r="BD2">
        <f>BC2+Original!BD2</f>
        <v>168</v>
      </c>
      <c r="BE2">
        <f>BD2+Original!BE2</f>
        <v>168</v>
      </c>
      <c r="BF2">
        <f>BE2+Original!BF2</f>
        <v>168</v>
      </c>
      <c r="BG2">
        <f>BF2+Original!BG2</f>
        <v>168</v>
      </c>
      <c r="BH2">
        <f>BG2+Original!BH2</f>
        <v>168</v>
      </c>
      <c r="BI2">
        <f>BH2+Original!BI2</f>
        <v>168</v>
      </c>
      <c r="BJ2">
        <f>BI2+Original!BJ2</f>
        <v>168</v>
      </c>
      <c r="BK2">
        <f>BJ2+Original!BK2</f>
        <v>168</v>
      </c>
      <c r="BL2">
        <f>BK2+Original!BL2</f>
        <v>168</v>
      </c>
      <c r="BM2">
        <f>BL2+Original!BM2</f>
        <v>168</v>
      </c>
      <c r="BN2">
        <f>BM2+Original!BN2</f>
        <v>168</v>
      </c>
      <c r="BO2">
        <f>BN2+Original!BO2</f>
        <v>168</v>
      </c>
      <c r="BP2">
        <f>BO2+Original!BP2</f>
        <v>168</v>
      </c>
      <c r="BQ2">
        <f>BP2+Original!BQ2</f>
        <v>168</v>
      </c>
      <c r="BR2">
        <f>BQ2+Original!BR2</f>
        <v>168</v>
      </c>
      <c r="BS2">
        <f>BR2+Original!BS2</f>
        <v>168</v>
      </c>
      <c r="BT2">
        <f>BS2+Original!BT2</f>
        <v>168</v>
      </c>
      <c r="BU2">
        <f>BT2+Original!BU2</f>
        <v>168</v>
      </c>
      <c r="BV2">
        <f>BU2+Original!BV2</f>
        <v>168</v>
      </c>
      <c r="BW2">
        <f>BV2+Original!BW2</f>
        <v>168</v>
      </c>
    </row>
    <row r="3" spans="1:75" x14ac:dyDescent="0.25">
      <c r="A3" t="str">
        <f>Original!A3</f>
        <v>Marcos Rogerio Magalhaes</v>
      </c>
      <c r="B3">
        <f>Original!B3</f>
        <v>167</v>
      </c>
      <c r="C3">
        <f>Original!C3</f>
        <v>8</v>
      </c>
      <c r="D3">
        <f>C3+Original!D3</f>
        <v>14</v>
      </c>
      <c r="E3">
        <f>D3+Original!E3</f>
        <v>22</v>
      </c>
      <c r="F3">
        <f>E3+Original!F3</f>
        <v>35</v>
      </c>
      <c r="G3">
        <f>F3+Original!G3</f>
        <v>35</v>
      </c>
      <c r="H3">
        <f>G3+Original!H3</f>
        <v>37</v>
      </c>
      <c r="I3">
        <f>H3+Original!I3</f>
        <v>43</v>
      </c>
      <c r="J3">
        <f>I3+Original!J3</f>
        <v>49</v>
      </c>
      <c r="K3">
        <f>J3+Original!K3</f>
        <v>51</v>
      </c>
      <c r="L3">
        <f>K3+Original!L3</f>
        <v>53</v>
      </c>
      <c r="M3">
        <f>L3+Original!M3</f>
        <v>61</v>
      </c>
      <c r="N3">
        <f>M3+Original!N3</f>
        <v>69</v>
      </c>
      <c r="O3">
        <f>N3+Original!O3</f>
        <v>82</v>
      </c>
      <c r="P3">
        <f>O3+Original!P3</f>
        <v>88</v>
      </c>
      <c r="Q3">
        <f>P3+Original!Q3</f>
        <v>94</v>
      </c>
      <c r="R3">
        <f>Q3+Original!R3</f>
        <v>107</v>
      </c>
      <c r="S3">
        <f>R3+Original!S3</f>
        <v>114</v>
      </c>
      <c r="T3">
        <f>S3+Original!T3</f>
        <v>114</v>
      </c>
      <c r="U3">
        <f>T3+Original!U3</f>
        <v>122</v>
      </c>
      <c r="V3">
        <f>U3+Original!V3</f>
        <v>128</v>
      </c>
      <c r="W3">
        <f>V3+Original!W3</f>
        <v>128</v>
      </c>
      <c r="X3">
        <f>W3+Original!X3</f>
        <v>130</v>
      </c>
      <c r="Y3">
        <f>X3+Original!Y3</f>
        <v>138</v>
      </c>
      <c r="Z3">
        <f>Y3+Original!Z3</f>
        <v>151</v>
      </c>
      <c r="AA3">
        <f>Z3+Original!AA3</f>
        <v>159</v>
      </c>
      <c r="AB3">
        <f>AA3+Original!AB3</f>
        <v>159</v>
      </c>
      <c r="AC3">
        <f>AB3+Original!AC3</f>
        <v>159</v>
      </c>
      <c r="AD3">
        <f>AC3+Original!AD3</f>
        <v>161</v>
      </c>
      <c r="AE3">
        <f>AD3+Original!AE3</f>
        <v>167</v>
      </c>
      <c r="AF3">
        <f>AE3+Original!AF3</f>
        <v>167</v>
      </c>
      <c r="AG3">
        <f>AF3+Original!AG3</f>
        <v>167</v>
      </c>
      <c r="AH3">
        <f>AG3+Original!AH3</f>
        <v>167</v>
      </c>
      <c r="AI3">
        <f>AH3+Original!AI3</f>
        <v>167</v>
      </c>
      <c r="AJ3">
        <f>AI3+Original!AJ3</f>
        <v>167</v>
      </c>
      <c r="AK3">
        <f>AJ3+Original!AK3</f>
        <v>167</v>
      </c>
      <c r="AL3">
        <f>AK3+Original!AL3</f>
        <v>167</v>
      </c>
      <c r="AM3">
        <f>AL3+Original!AM3</f>
        <v>167</v>
      </c>
      <c r="AN3">
        <f>AM3+Original!AN3</f>
        <v>167</v>
      </c>
      <c r="AO3">
        <f>AN3+Original!AO3</f>
        <v>167</v>
      </c>
      <c r="AP3">
        <f>AO3+Original!AP3</f>
        <v>167</v>
      </c>
      <c r="AQ3">
        <f>AP3+Original!AQ3</f>
        <v>167</v>
      </c>
      <c r="AR3">
        <f>AQ3+Original!AR3</f>
        <v>167</v>
      </c>
      <c r="AS3">
        <f>AR3+Original!AS3</f>
        <v>167</v>
      </c>
      <c r="AT3">
        <f>AS3+Original!AT3</f>
        <v>167</v>
      </c>
      <c r="AU3">
        <f>AT3+Original!AU3</f>
        <v>167</v>
      </c>
      <c r="AV3">
        <f>AU3+Original!AV3</f>
        <v>167</v>
      </c>
      <c r="AW3">
        <f>AV3+Original!AW3</f>
        <v>167</v>
      </c>
      <c r="AX3">
        <f>AW3+Original!AX3</f>
        <v>167</v>
      </c>
      <c r="AY3">
        <f>AX3+Original!AY3</f>
        <v>167</v>
      </c>
      <c r="AZ3">
        <f>AY3+Original!AZ3</f>
        <v>167</v>
      </c>
      <c r="BA3">
        <f>AZ3+Original!BA3</f>
        <v>167</v>
      </c>
      <c r="BB3">
        <f>BA3+Original!BB3</f>
        <v>167</v>
      </c>
      <c r="BC3">
        <f>BB3+Original!BC3</f>
        <v>167</v>
      </c>
      <c r="BD3">
        <f>BC3+Original!BD3</f>
        <v>167</v>
      </c>
      <c r="BE3">
        <f>BD3+Original!BE3</f>
        <v>167</v>
      </c>
      <c r="BF3">
        <f>BE3+Original!BF3</f>
        <v>167</v>
      </c>
      <c r="BG3">
        <f>BF3+Original!BG3</f>
        <v>167</v>
      </c>
      <c r="BH3">
        <f>BG3+Original!BH3</f>
        <v>167</v>
      </c>
      <c r="BI3">
        <f>BH3+Original!BI3</f>
        <v>167</v>
      </c>
      <c r="BJ3">
        <f>BI3+Original!BJ3</f>
        <v>167</v>
      </c>
      <c r="BK3">
        <f>BJ3+Original!BK3</f>
        <v>167</v>
      </c>
      <c r="BL3">
        <f>BK3+Original!BL3</f>
        <v>167</v>
      </c>
      <c r="BM3">
        <f>BL3+Original!BM3</f>
        <v>167</v>
      </c>
      <c r="BN3">
        <f>BM3+Original!BN3</f>
        <v>167</v>
      </c>
      <c r="BO3">
        <f>BN3+Original!BO3</f>
        <v>167</v>
      </c>
      <c r="BP3">
        <f>BO3+Original!BP3</f>
        <v>167</v>
      </c>
      <c r="BQ3">
        <f>BP3+Original!BQ3</f>
        <v>167</v>
      </c>
      <c r="BR3">
        <f>BQ3+Original!BR3</f>
        <v>167</v>
      </c>
      <c r="BS3">
        <f>BR3+Original!BS3</f>
        <v>167</v>
      </c>
      <c r="BT3">
        <f>BS3+Original!BT3</f>
        <v>167</v>
      </c>
      <c r="BU3">
        <f>BT3+Original!BU3</f>
        <v>167</v>
      </c>
      <c r="BV3">
        <f>BU3+Original!BV3</f>
        <v>167</v>
      </c>
      <c r="BW3">
        <f>BV3+Original!BW3</f>
        <v>167</v>
      </c>
    </row>
    <row r="4" spans="1:75" x14ac:dyDescent="0.25">
      <c r="A4" t="str">
        <f>Original!A4</f>
        <v>Cristina Paradella Mottin</v>
      </c>
      <c r="B4">
        <f>Original!B4</f>
        <v>166</v>
      </c>
      <c r="C4">
        <f>Original!C4</f>
        <v>8</v>
      </c>
      <c r="D4">
        <f>C4+Original!D4</f>
        <v>14</v>
      </c>
      <c r="E4">
        <f>D4+Original!E4</f>
        <v>27</v>
      </c>
      <c r="F4">
        <f>E4+Original!F4</f>
        <v>40</v>
      </c>
      <c r="G4">
        <f>F4+Original!G4</f>
        <v>40</v>
      </c>
      <c r="H4">
        <f>G4+Original!H4</f>
        <v>42</v>
      </c>
      <c r="I4">
        <f>H4+Original!I4</f>
        <v>42</v>
      </c>
      <c r="J4">
        <f>I4+Original!J4</f>
        <v>48</v>
      </c>
      <c r="K4">
        <f>J4+Original!K4</f>
        <v>50</v>
      </c>
      <c r="L4">
        <f>K4+Original!L4</f>
        <v>50</v>
      </c>
      <c r="M4">
        <f>L4+Original!M4</f>
        <v>58</v>
      </c>
      <c r="N4">
        <f>M4+Original!N4</f>
        <v>66</v>
      </c>
      <c r="O4">
        <f>N4+Original!O4</f>
        <v>79</v>
      </c>
      <c r="P4">
        <f>O4+Original!P4</f>
        <v>81</v>
      </c>
      <c r="Q4">
        <f>P4+Original!Q4</f>
        <v>87</v>
      </c>
      <c r="R4">
        <f>Q4+Original!R4</f>
        <v>95</v>
      </c>
      <c r="S4">
        <f>R4+Original!S4</f>
        <v>102</v>
      </c>
      <c r="T4">
        <f>S4+Original!T4</f>
        <v>102</v>
      </c>
      <c r="U4">
        <f>T4+Original!U4</f>
        <v>108</v>
      </c>
      <c r="V4">
        <f>U4+Original!V4</f>
        <v>110</v>
      </c>
      <c r="W4">
        <f>V4+Original!W4</f>
        <v>112</v>
      </c>
      <c r="X4">
        <f>W4+Original!X4</f>
        <v>118</v>
      </c>
      <c r="Y4">
        <f>X4+Original!Y4</f>
        <v>131</v>
      </c>
      <c r="Z4">
        <f>Y4+Original!Z4</f>
        <v>144</v>
      </c>
      <c r="AA4">
        <f>Z4+Original!AA4</f>
        <v>150</v>
      </c>
      <c r="AB4">
        <f>AA4+Original!AB4</f>
        <v>152</v>
      </c>
      <c r="AC4">
        <f>AB4+Original!AC4</f>
        <v>152</v>
      </c>
      <c r="AD4">
        <f>AC4+Original!AD4</f>
        <v>160</v>
      </c>
      <c r="AE4">
        <f>AD4+Original!AE4</f>
        <v>166</v>
      </c>
      <c r="AF4">
        <f>AE4+Original!AF4</f>
        <v>166</v>
      </c>
      <c r="AG4">
        <f>AF4+Original!AG4</f>
        <v>166</v>
      </c>
      <c r="AH4">
        <f>AG4+Original!AH4</f>
        <v>166</v>
      </c>
      <c r="AI4">
        <f>AH4+Original!AI4</f>
        <v>166</v>
      </c>
      <c r="AJ4">
        <f>AI4+Original!AJ4</f>
        <v>166</v>
      </c>
      <c r="AK4">
        <f>AJ4+Original!AK4</f>
        <v>166</v>
      </c>
      <c r="AL4">
        <f>AK4+Original!AL4</f>
        <v>166</v>
      </c>
      <c r="AM4">
        <f>AL4+Original!AM4</f>
        <v>166</v>
      </c>
      <c r="AN4">
        <f>AM4+Original!AN4</f>
        <v>166</v>
      </c>
      <c r="AO4">
        <f>AN4+Original!AO4</f>
        <v>166</v>
      </c>
      <c r="AP4">
        <f>AO4+Original!AP4</f>
        <v>166</v>
      </c>
      <c r="AQ4">
        <f>AP4+Original!AQ4</f>
        <v>166</v>
      </c>
      <c r="AR4">
        <f>AQ4+Original!AR4</f>
        <v>166</v>
      </c>
      <c r="AS4">
        <f>AR4+Original!AS4</f>
        <v>166</v>
      </c>
      <c r="AT4">
        <f>AS4+Original!AT4</f>
        <v>166</v>
      </c>
      <c r="AU4">
        <f>AT4+Original!AU4</f>
        <v>166</v>
      </c>
      <c r="AV4">
        <f>AU4+Original!AV4</f>
        <v>166</v>
      </c>
      <c r="AW4">
        <f>AV4+Original!AW4</f>
        <v>166</v>
      </c>
      <c r="AX4">
        <f>AW4+Original!AX4</f>
        <v>166</v>
      </c>
      <c r="AY4">
        <f>AX4+Original!AY4</f>
        <v>166</v>
      </c>
      <c r="AZ4">
        <f>AY4+Original!AZ4</f>
        <v>166</v>
      </c>
      <c r="BA4">
        <f>AZ4+Original!BA4</f>
        <v>166</v>
      </c>
      <c r="BB4">
        <f>BA4+Original!BB4</f>
        <v>166</v>
      </c>
      <c r="BC4">
        <f>BB4+Original!BC4</f>
        <v>166</v>
      </c>
      <c r="BD4">
        <f>BC4+Original!BD4</f>
        <v>166</v>
      </c>
      <c r="BE4">
        <f>BD4+Original!BE4</f>
        <v>166</v>
      </c>
      <c r="BF4">
        <f>BE4+Original!BF4</f>
        <v>166</v>
      </c>
      <c r="BG4">
        <f>BF4+Original!BG4</f>
        <v>166</v>
      </c>
      <c r="BH4">
        <f>BG4+Original!BH4</f>
        <v>166</v>
      </c>
      <c r="BI4">
        <f>BH4+Original!BI4</f>
        <v>166</v>
      </c>
      <c r="BJ4">
        <f>BI4+Original!BJ4</f>
        <v>166</v>
      </c>
      <c r="BK4">
        <f>BJ4+Original!BK4</f>
        <v>166</v>
      </c>
      <c r="BL4">
        <f>BK4+Original!BL4</f>
        <v>166</v>
      </c>
      <c r="BM4">
        <f>BL4+Original!BM4</f>
        <v>166</v>
      </c>
      <c r="BN4">
        <f>BM4+Original!BN4</f>
        <v>166</v>
      </c>
      <c r="BO4">
        <f>BN4+Original!BO4</f>
        <v>166</v>
      </c>
      <c r="BP4">
        <f>BO4+Original!BP4</f>
        <v>166</v>
      </c>
      <c r="BQ4">
        <f>BP4+Original!BQ4</f>
        <v>166</v>
      </c>
      <c r="BR4">
        <f>BQ4+Original!BR4</f>
        <v>166</v>
      </c>
      <c r="BS4">
        <f>BR4+Original!BS4</f>
        <v>166</v>
      </c>
      <c r="BT4">
        <f>BS4+Original!BT4</f>
        <v>166</v>
      </c>
      <c r="BU4">
        <f>BT4+Original!BU4</f>
        <v>166</v>
      </c>
      <c r="BV4">
        <f>BU4+Original!BV4</f>
        <v>166</v>
      </c>
      <c r="BW4">
        <f>BV4+Original!BW4</f>
        <v>166</v>
      </c>
    </row>
    <row r="5" spans="1:75" x14ac:dyDescent="0.25">
      <c r="A5" t="str">
        <f>Original!A5</f>
        <v>Fábio Luis Dos Santo Aleluia</v>
      </c>
      <c r="B5">
        <f>Original!B5</f>
        <v>166</v>
      </c>
      <c r="C5">
        <f>Original!C5</f>
        <v>13</v>
      </c>
      <c r="D5">
        <f>C5+Original!D5</f>
        <v>19</v>
      </c>
      <c r="E5">
        <f>D5+Original!E5</f>
        <v>27</v>
      </c>
      <c r="F5">
        <f>E5+Original!F5</f>
        <v>29</v>
      </c>
      <c r="G5">
        <f>F5+Original!G5</f>
        <v>29</v>
      </c>
      <c r="H5">
        <f>G5+Original!H5</f>
        <v>31</v>
      </c>
      <c r="I5">
        <f>H5+Original!I5</f>
        <v>33</v>
      </c>
      <c r="J5">
        <f>I5+Original!J5</f>
        <v>39</v>
      </c>
      <c r="K5">
        <f>J5+Original!K5</f>
        <v>41</v>
      </c>
      <c r="L5">
        <f>K5+Original!L5</f>
        <v>41</v>
      </c>
      <c r="M5">
        <f>L5+Original!M5</f>
        <v>49</v>
      </c>
      <c r="N5">
        <f>M5+Original!N5</f>
        <v>55</v>
      </c>
      <c r="O5">
        <f>N5+Original!O5</f>
        <v>68</v>
      </c>
      <c r="P5">
        <f>O5+Original!P5</f>
        <v>70</v>
      </c>
      <c r="Q5">
        <f>P5+Original!Q5</f>
        <v>76</v>
      </c>
      <c r="R5">
        <f>Q5+Original!R5</f>
        <v>89</v>
      </c>
      <c r="S5">
        <f>R5+Original!S5</f>
        <v>89</v>
      </c>
      <c r="T5">
        <f>S5+Original!T5</f>
        <v>89</v>
      </c>
      <c r="U5">
        <f>T5+Original!U5</f>
        <v>102</v>
      </c>
      <c r="V5">
        <f>U5+Original!V5</f>
        <v>102</v>
      </c>
      <c r="W5">
        <f>V5+Original!W5</f>
        <v>115</v>
      </c>
      <c r="X5">
        <f>W5+Original!X5</f>
        <v>123</v>
      </c>
      <c r="Y5">
        <f>X5+Original!Y5</f>
        <v>131</v>
      </c>
      <c r="Z5">
        <f>Y5+Original!Z5</f>
        <v>137</v>
      </c>
      <c r="AA5">
        <f>Z5+Original!AA5</f>
        <v>145</v>
      </c>
      <c r="AB5">
        <f>AA5+Original!AB5</f>
        <v>158</v>
      </c>
      <c r="AC5">
        <f>AB5+Original!AC5</f>
        <v>158</v>
      </c>
      <c r="AD5">
        <f>AC5+Original!AD5</f>
        <v>164</v>
      </c>
      <c r="AE5">
        <f>AD5+Original!AE5</f>
        <v>166</v>
      </c>
      <c r="AF5">
        <f>AE5+Original!AF5</f>
        <v>166</v>
      </c>
      <c r="AG5">
        <f>AF5+Original!AG5</f>
        <v>166</v>
      </c>
      <c r="AH5">
        <f>AG5+Original!AH5</f>
        <v>166</v>
      </c>
      <c r="AI5">
        <f>AH5+Original!AI5</f>
        <v>166</v>
      </c>
      <c r="AJ5">
        <f>AI5+Original!AJ5</f>
        <v>166</v>
      </c>
      <c r="AK5">
        <f>AJ5+Original!AK5</f>
        <v>166</v>
      </c>
      <c r="AL5">
        <f>AK5+Original!AL5</f>
        <v>166</v>
      </c>
      <c r="AM5">
        <f>AL5+Original!AM5</f>
        <v>166</v>
      </c>
      <c r="AN5">
        <f>AM5+Original!AN5</f>
        <v>166</v>
      </c>
      <c r="AO5">
        <f>AN5+Original!AO5</f>
        <v>166</v>
      </c>
      <c r="AP5">
        <f>AO5+Original!AP5</f>
        <v>166</v>
      </c>
      <c r="AQ5">
        <f>AP5+Original!AQ5</f>
        <v>166</v>
      </c>
      <c r="AR5">
        <f>AQ5+Original!AR5</f>
        <v>166</v>
      </c>
      <c r="AS5">
        <f>AR5+Original!AS5</f>
        <v>166</v>
      </c>
      <c r="AT5">
        <f>AS5+Original!AT5</f>
        <v>166</v>
      </c>
      <c r="AU5">
        <f>AT5+Original!AU5</f>
        <v>166</v>
      </c>
      <c r="AV5">
        <f>AU5+Original!AV5</f>
        <v>166</v>
      </c>
      <c r="AW5">
        <f>AV5+Original!AW5</f>
        <v>166</v>
      </c>
      <c r="AX5">
        <f>AW5+Original!AX5</f>
        <v>166</v>
      </c>
      <c r="AY5">
        <f>AX5+Original!AY5</f>
        <v>166</v>
      </c>
      <c r="AZ5">
        <f>AY5+Original!AZ5</f>
        <v>166</v>
      </c>
      <c r="BA5">
        <f>AZ5+Original!BA5</f>
        <v>166</v>
      </c>
      <c r="BB5">
        <f>BA5+Original!BB5</f>
        <v>166</v>
      </c>
      <c r="BC5">
        <f>BB5+Original!BC5</f>
        <v>166</v>
      </c>
      <c r="BD5">
        <f>BC5+Original!BD5</f>
        <v>166</v>
      </c>
      <c r="BE5">
        <f>BD5+Original!BE5</f>
        <v>166</v>
      </c>
      <c r="BF5">
        <f>BE5+Original!BF5</f>
        <v>166</v>
      </c>
      <c r="BG5">
        <f>BF5+Original!BG5</f>
        <v>166</v>
      </c>
      <c r="BH5">
        <f>BG5+Original!BH5</f>
        <v>166</v>
      </c>
      <c r="BI5">
        <f>BH5+Original!BI5</f>
        <v>166</v>
      </c>
      <c r="BJ5">
        <f>BI5+Original!BJ5</f>
        <v>166</v>
      </c>
      <c r="BK5">
        <f>BJ5+Original!BK5</f>
        <v>166</v>
      </c>
      <c r="BL5">
        <f>BK5+Original!BL5</f>
        <v>166</v>
      </c>
      <c r="BM5">
        <f>BL5+Original!BM5</f>
        <v>166</v>
      </c>
      <c r="BN5">
        <f>BM5+Original!BN5</f>
        <v>166</v>
      </c>
      <c r="BO5">
        <f>BN5+Original!BO5</f>
        <v>166</v>
      </c>
      <c r="BP5">
        <f>BO5+Original!BP5</f>
        <v>166</v>
      </c>
      <c r="BQ5">
        <f>BP5+Original!BQ5</f>
        <v>166</v>
      </c>
      <c r="BR5">
        <f>BQ5+Original!BR5</f>
        <v>166</v>
      </c>
      <c r="BS5">
        <f>BR5+Original!BS5</f>
        <v>166</v>
      </c>
      <c r="BT5">
        <f>BS5+Original!BT5</f>
        <v>166</v>
      </c>
      <c r="BU5">
        <f>BT5+Original!BU5</f>
        <v>166</v>
      </c>
      <c r="BV5">
        <f>BU5+Original!BV5</f>
        <v>166</v>
      </c>
      <c r="BW5">
        <f>BV5+Original!BW5</f>
        <v>166</v>
      </c>
    </row>
    <row r="6" spans="1:75" x14ac:dyDescent="0.25">
      <c r="A6" t="str">
        <f>Original!A6</f>
        <v>Gabriel Coni</v>
      </c>
      <c r="B6">
        <f>Original!B6</f>
        <v>163</v>
      </c>
      <c r="C6">
        <f>Original!C6</f>
        <v>8</v>
      </c>
      <c r="D6">
        <f>C6+Original!D6</f>
        <v>14</v>
      </c>
      <c r="E6">
        <f>D6+Original!E6</f>
        <v>22</v>
      </c>
      <c r="F6">
        <f>E6+Original!F6</f>
        <v>35</v>
      </c>
      <c r="G6">
        <f>F6+Original!G6</f>
        <v>35</v>
      </c>
      <c r="H6">
        <f>G6+Original!H6</f>
        <v>37</v>
      </c>
      <c r="I6">
        <f>H6+Original!I6</f>
        <v>43</v>
      </c>
      <c r="J6">
        <f>I6+Original!J6</f>
        <v>51</v>
      </c>
      <c r="K6">
        <f>J6+Original!K6</f>
        <v>53</v>
      </c>
      <c r="L6">
        <f>K6+Original!L6</f>
        <v>53</v>
      </c>
      <c r="M6">
        <f>L6+Original!M6</f>
        <v>61</v>
      </c>
      <c r="N6">
        <f>M6+Original!N6</f>
        <v>69</v>
      </c>
      <c r="O6">
        <f>N6+Original!O6</f>
        <v>82</v>
      </c>
      <c r="P6">
        <f>O6+Original!P6</f>
        <v>88</v>
      </c>
      <c r="Q6">
        <f>P6+Original!Q6</f>
        <v>94</v>
      </c>
      <c r="R6">
        <f>Q6+Original!R6</f>
        <v>107</v>
      </c>
      <c r="S6">
        <f>R6+Original!S6</f>
        <v>114</v>
      </c>
      <c r="T6">
        <f>S6+Original!T6</f>
        <v>114</v>
      </c>
      <c r="U6">
        <f>T6+Original!U6</f>
        <v>114</v>
      </c>
      <c r="V6">
        <f>U6+Original!V6</f>
        <v>116</v>
      </c>
      <c r="W6">
        <f>V6+Original!W6</f>
        <v>118</v>
      </c>
      <c r="X6">
        <f>W6+Original!X6</f>
        <v>131</v>
      </c>
      <c r="Y6">
        <f>X6+Original!Y6</f>
        <v>139</v>
      </c>
      <c r="Z6">
        <f>Y6+Original!Z6</f>
        <v>141</v>
      </c>
      <c r="AA6">
        <f>Z6+Original!AA6</f>
        <v>149</v>
      </c>
      <c r="AB6">
        <f>AA6+Original!AB6</f>
        <v>149</v>
      </c>
      <c r="AC6">
        <f>AB6+Original!AC6</f>
        <v>149</v>
      </c>
      <c r="AD6">
        <f>AC6+Original!AD6</f>
        <v>157</v>
      </c>
      <c r="AE6">
        <f>AD6+Original!AE6</f>
        <v>163</v>
      </c>
      <c r="AF6">
        <f>AE6+Original!AF6</f>
        <v>163</v>
      </c>
      <c r="AG6">
        <f>AF6+Original!AG6</f>
        <v>163</v>
      </c>
      <c r="AH6">
        <f>AG6+Original!AH6</f>
        <v>163</v>
      </c>
      <c r="AI6">
        <f>AH6+Original!AI6</f>
        <v>163</v>
      </c>
      <c r="AJ6">
        <f>AI6+Original!AJ6</f>
        <v>163</v>
      </c>
      <c r="AK6">
        <f>AJ6+Original!AK6</f>
        <v>163</v>
      </c>
      <c r="AL6">
        <f>AK6+Original!AL6</f>
        <v>163</v>
      </c>
      <c r="AM6">
        <f>AL6+Original!AM6</f>
        <v>163</v>
      </c>
      <c r="AN6">
        <f>AM6+Original!AN6</f>
        <v>163</v>
      </c>
      <c r="AO6">
        <f>AN6+Original!AO6</f>
        <v>163</v>
      </c>
      <c r="AP6">
        <f>AO6+Original!AP6</f>
        <v>163</v>
      </c>
      <c r="AQ6">
        <f>AP6+Original!AQ6</f>
        <v>163</v>
      </c>
      <c r="AR6">
        <f>AQ6+Original!AR6</f>
        <v>163</v>
      </c>
      <c r="AS6">
        <f>AR6+Original!AS6</f>
        <v>163</v>
      </c>
      <c r="AT6">
        <f>AS6+Original!AT6</f>
        <v>163</v>
      </c>
      <c r="AU6">
        <f>AT6+Original!AU6</f>
        <v>163</v>
      </c>
      <c r="AV6">
        <f>AU6+Original!AV6</f>
        <v>163</v>
      </c>
      <c r="AW6">
        <f>AV6+Original!AW6</f>
        <v>163</v>
      </c>
      <c r="AX6">
        <f>AW6+Original!AX6</f>
        <v>163</v>
      </c>
      <c r="AY6">
        <f>AX6+Original!AY6</f>
        <v>163</v>
      </c>
      <c r="AZ6">
        <f>AY6+Original!AZ6</f>
        <v>163</v>
      </c>
      <c r="BA6">
        <f>AZ6+Original!BA6</f>
        <v>163</v>
      </c>
      <c r="BB6">
        <f>BA6+Original!BB6</f>
        <v>163</v>
      </c>
      <c r="BC6">
        <f>BB6+Original!BC6</f>
        <v>163</v>
      </c>
      <c r="BD6">
        <f>BC6+Original!BD6</f>
        <v>163</v>
      </c>
      <c r="BE6">
        <f>BD6+Original!BE6</f>
        <v>163</v>
      </c>
      <c r="BF6">
        <f>BE6+Original!BF6</f>
        <v>163</v>
      </c>
      <c r="BG6">
        <f>BF6+Original!BG6</f>
        <v>163</v>
      </c>
      <c r="BH6">
        <f>BG6+Original!BH6</f>
        <v>163</v>
      </c>
      <c r="BI6">
        <f>BH6+Original!BI6</f>
        <v>163</v>
      </c>
      <c r="BJ6">
        <f>BI6+Original!BJ6</f>
        <v>163</v>
      </c>
      <c r="BK6">
        <f>BJ6+Original!BK6</f>
        <v>163</v>
      </c>
      <c r="BL6">
        <f>BK6+Original!BL6</f>
        <v>163</v>
      </c>
      <c r="BM6">
        <f>BL6+Original!BM6</f>
        <v>163</v>
      </c>
      <c r="BN6">
        <f>BM6+Original!BN6</f>
        <v>163</v>
      </c>
      <c r="BO6">
        <f>BN6+Original!BO6</f>
        <v>163</v>
      </c>
      <c r="BP6">
        <f>BO6+Original!BP6</f>
        <v>163</v>
      </c>
      <c r="BQ6">
        <f>BP6+Original!BQ6</f>
        <v>163</v>
      </c>
      <c r="BR6">
        <f>BQ6+Original!BR6</f>
        <v>163</v>
      </c>
      <c r="BS6">
        <f>BR6+Original!BS6</f>
        <v>163</v>
      </c>
      <c r="BT6">
        <f>BS6+Original!BT6</f>
        <v>163</v>
      </c>
      <c r="BU6">
        <f>BT6+Original!BU6</f>
        <v>163</v>
      </c>
      <c r="BV6">
        <f>BU6+Original!BV6</f>
        <v>163</v>
      </c>
      <c r="BW6">
        <f>BV6+Original!BW6</f>
        <v>163</v>
      </c>
    </row>
    <row r="7" spans="1:75" x14ac:dyDescent="0.25">
      <c r="A7" t="str">
        <f>Original!A7</f>
        <v>Paulo Machado</v>
      </c>
      <c r="B7">
        <f>Original!B7</f>
        <v>163</v>
      </c>
      <c r="C7">
        <f>Original!C7</f>
        <v>6</v>
      </c>
      <c r="D7">
        <f>C7+Original!D7</f>
        <v>12</v>
      </c>
      <c r="E7">
        <f>D7+Original!E7</f>
        <v>20</v>
      </c>
      <c r="F7">
        <f>E7+Original!F7</f>
        <v>33</v>
      </c>
      <c r="G7">
        <f>F7+Original!G7</f>
        <v>33</v>
      </c>
      <c r="H7">
        <f>G7+Original!H7</f>
        <v>35</v>
      </c>
      <c r="I7">
        <f>H7+Original!I7</f>
        <v>41</v>
      </c>
      <c r="J7">
        <f>I7+Original!J7</f>
        <v>49</v>
      </c>
      <c r="K7">
        <f>J7+Original!K7</f>
        <v>55</v>
      </c>
      <c r="L7">
        <f>K7+Original!L7</f>
        <v>55</v>
      </c>
      <c r="M7">
        <f>L7+Original!M7</f>
        <v>55</v>
      </c>
      <c r="N7">
        <f>M7+Original!N7</f>
        <v>63</v>
      </c>
      <c r="O7">
        <f>N7+Original!O7</f>
        <v>65</v>
      </c>
      <c r="P7">
        <f>O7+Original!P7</f>
        <v>78</v>
      </c>
      <c r="Q7">
        <f>P7+Original!Q7</f>
        <v>84</v>
      </c>
      <c r="R7">
        <f>Q7+Original!R7</f>
        <v>92</v>
      </c>
      <c r="S7">
        <f>R7+Original!S7</f>
        <v>92</v>
      </c>
      <c r="T7">
        <f>S7+Original!T7</f>
        <v>94</v>
      </c>
      <c r="U7">
        <f>T7+Original!U7</f>
        <v>96</v>
      </c>
      <c r="V7">
        <f>U7+Original!V7</f>
        <v>109</v>
      </c>
      <c r="W7">
        <f>V7+Original!W7</f>
        <v>111</v>
      </c>
      <c r="X7">
        <f>W7+Original!X7</f>
        <v>124</v>
      </c>
      <c r="Y7">
        <f>X7+Original!Y7</f>
        <v>132</v>
      </c>
      <c r="Z7">
        <f>Y7+Original!Z7</f>
        <v>138</v>
      </c>
      <c r="AA7">
        <f>Z7+Original!AA7</f>
        <v>151</v>
      </c>
      <c r="AB7">
        <f>AA7+Original!AB7</f>
        <v>151</v>
      </c>
      <c r="AC7">
        <f>AB7+Original!AC7</f>
        <v>151</v>
      </c>
      <c r="AD7">
        <f>AC7+Original!AD7</f>
        <v>157</v>
      </c>
      <c r="AE7">
        <f>AD7+Original!AE7</f>
        <v>163</v>
      </c>
      <c r="AF7">
        <f>AE7+Original!AF7</f>
        <v>163</v>
      </c>
      <c r="AG7">
        <f>AF7+Original!AG7</f>
        <v>163</v>
      </c>
      <c r="AH7">
        <f>AG7+Original!AH7</f>
        <v>163</v>
      </c>
      <c r="AI7">
        <f>AH7+Original!AI7</f>
        <v>163</v>
      </c>
      <c r="AJ7">
        <f>AI7+Original!AJ7</f>
        <v>163</v>
      </c>
      <c r="AK7">
        <f>AJ7+Original!AK7</f>
        <v>163</v>
      </c>
      <c r="AL7">
        <f>AK7+Original!AL7</f>
        <v>163</v>
      </c>
      <c r="AM7">
        <f>AL7+Original!AM7</f>
        <v>163</v>
      </c>
      <c r="AN7">
        <f>AM7+Original!AN7</f>
        <v>163</v>
      </c>
      <c r="AO7">
        <f>AN7+Original!AO7</f>
        <v>163</v>
      </c>
      <c r="AP7">
        <f>AO7+Original!AP7</f>
        <v>163</v>
      </c>
      <c r="AQ7">
        <f>AP7+Original!AQ7</f>
        <v>163</v>
      </c>
      <c r="AR7">
        <f>AQ7+Original!AR7</f>
        <v>163</v>
      </c>
      <c r="AS7">
        <f>AR7+Original!AS7</f>
        <v>163</v>
      </c>
      <c r="AT7">
        <f>AS7+Original!AT7</f>
        <v>163</v>
      </c>
      <c r="AU7">
        <f>AT7+Original!AU7</f>
        <v>163</v>
      </c>
      <c r="AV7">
        <f>AU7+Original!AV7</f>
        <v>163</v>
      </c>
      <c r="AW7">
        <f>AV7+Original!AW7</f>
        <v>163</v>
      </c>
      <c r="AX7">
        <f>AW7+Original!AX7</f>
        <v>163</v>
      </c>
      <c r="AY7">
        <f>AX7+Original!AY7</f>
        <v>163</v>
      </c>
      <c r="AZ7">
        <f>AY7+Original!AZ7</f>
        <v>163</v>
      </c>
      <c r="BA7">
        <f>AZ7+Original!BA7</f>
        <v>163</v>
      </c>
      <c r="BB7">
        <f>BA7+Original!BB7</f>
        <v>163</v>
      </c>
      <c r="BC7">
        <f>BB7+Original!BC7</f>
        <v>163</v>
      </c>
      <c r="BD7">
        <f>BC7+Original!BD7</f>
        <v>163</v>
      </c>
      <c r="BE7">
        <f>BD7+Original!BE7</f>
        <v>163</v>
      </c>
      <c r="BF7">
        <f>BE7+Original!BF7</f>
        <v>163</v>
      </c>
      <c r="BG7">
        <f>BF7+Original!BG7</f>
        <v>163</v>
      </c>
      <c r="BH7">
        <f>BG7+Original!BH7</f>
        <v>163</v>
      </c>
      <c r="BI7">
        <f>BH7+Original!BI7</f>
        <v>163</v>
      </c>
      <c r="BJ7">
        <f>BI7+Original!BJ7</f>
        <v>163</v>
      </c>
      <c r="BK7">
        <f>BJ7+Original!BK7</f>
        <v>163</v>
      </c>
      <c r="BL7">
        <f>BK7+Original!BL7</f>
        <v>163</v>
      </c>
      <c r="BM7">
        <f>BL7+Original!BM7</f>
        <v>163</v>
      </c>
      <c r="BN7">
        <f>BM7+Original!BN7</f>
        <v>163</v>
      </c>
      <c r="BO7">
        <f>BN7+Original!BO7</f>
        <v>163</v>
      </c>
      <c r="BP7">
        <f>BO7+Original!BP7</f>
        <v>163</v>
      </c>
      <c r="BQ7">
        <f>BP7+Original!BQ7</f>
        <v>163</v>
      </c>
      <c r="BR7">
        <f>BQ7+Original!BR7</f>
        <v>163</v>
      </c>
      <c r="BS7">
        <f>BR7+Original!BS7</f>
        <v>163</v>
      </c>
      <c r="BT7">
        <f>BS7+Original!BT7</f>
        <v>163</v>
      </c>
      <c r="BU7">
        <f>BT7+Original!BU7</f>
        <v>163</v>
      </c>
      <c r="BV7">
        <f>BU7+Original!BV7</f>
        <v>163</v>
      </c>
      <c r="BW7">
        <f>BV7+Original!BW7</f>
        <v>163</v>
      </c>
    </row>
    <row r="8" spans="1:75" x14ac:dyDescent="0.25">
      <c r="A8" t="str">
        <f>Original!A8</f>
        <v>Ivã das Neves Reis</v>
      </c>
      <c r="B8">
        <f>Original!B8</f>
        <v>161</v>
      </c>
      <c r="C8">
        <f>Original!C8</f>
        <v>8</v>
      </c>
      <c r="D8">
        <f>C8+Original!D8</f>
        <v>14</v>
      </c>
      <c r="E8">
        <f>D8+Original!E8</f>
        <v>27</v>
      </c>
      <c r="F8">
        <f>E8+Original!F8</f>
        <v>40</v>
      </c>
      <c r="G8">
        <f>F8+Original!G8</f>
        <v>40</v>
      </c>
      <c r="H8">
        <f>G8+Original!H8</f>
        <v>42</v>
      </c>
      <c r="I8">
        <f>H8+Original!I8</f>
        <v>48</v>
      </c>
      <c r="J8">
        <f>I8+Original!J8</f>
        <v>56</v>
      </c>
      <c r="K8">
        <f>J8+Original!K8</f>
        <v>58</v>
      </c>
      <c r="L8">
        <f>K8+Original!L8</f>
        <v>60</v>
      </c>
      <c r="M8">
        <f>L8+Original!M8</f>
        <v>66</v>
      </c>
      <c r="N8">
        <f>M8+Original!N8</f>
        <v>72</v>
      </c>
      <c r="O8">
        <f>N8+Original!O8</f>
        <v>72</v>
      </c>
      <c r="P8">
        <f>O8+Original!P8</f>
        <v>74</v>
      </c>
      <c r="Q8">
        <f>P8+Original!Q8</f>
        <v>80</v>
      </c>
      <c r="R8">
        <f>Q8+Original!R8</f>
        <v>88</v>
      </c>
      <c r="S8">
        <f>R8+Original!S8</f>
        <v>88</v>
      </c>
      <c r="T8">
        <f>S8+Original!T8</f>
        <v>96</v>
      </c>
      <c r="U8">
        <f>T8+Original!U8</f>
        <v>109</v>
      </c>
      <c r="V8">
        <f>U8+Original!V8</f>
        <v>111</v>
      </c>
      <c r="W8">
        <f>V8+Original!W8</f>
        <v>111</v>
      </c>
      <c r="X8">
        <f>W8+Original!X8</f>
        <v>124</v>
      </c>
      <c r="Y8">
        <f>X8+Original!Y8</f>
        <v>132</v>
      </c>
      <c r="Z8">
        <f>Y8+Original!Z8</f>
        <v>145</v>
      </c>
      <c r="AA8">
        <f>Z8+Original!AA8</f>
        <v>147</v>
      </c>
      <c r="AB8">
        <f>AA8+Original!AB8</f>
        <v>149</v>
      </c>
      <c r="AC8">
        <f>AB8+Original!AC8</f>
        <v>149</v>
      </c>
      <c r="AD8">
        <f>AC8+Original!AD8</f>
        <v>155</v>
      </c>
      <c r="AE8">
        <f>AD8+Original!AE8</f>
        <v>161</v>
      </c>
      <c r="AF8">
        <f>AE8+Original!AF8</f>
        <v>161</v>
      </c>
      <c r="AG8">
        <f>AF8+Original!AG8</f>
        <v>161</v>
      </c>
      <c r="AH8">
        <f>AG8+Original!AH8</f>
        <v>161</v>
      </c>
      <c r="AI8">
        <f>AH8+Original!AI8</f>
        <v>161</v>
      </c>
      <c r="AJ8">
        <f>AI8+Original!AJ8</f>
        <v>161</v>
      </c>
      <c r="AK8">
        <f>AJ8+Original!AK8</f>
        <v>161</v>
      </c>
      <c r="AL8">
        <f>AK8+Original!AL8</f>
        <v>161</v>
      </c>
      <c r="AM8">
        <f>AL8+Original!AM8</f>
        <v>161</v>
      </c>
      <c r="AN8">
        <f>AM8+Original!AN8</f>
        <v>161</v>
      </c>
      <c r="AO8">
        <f>AN8+Original!AO8</f>
        <v>161</v>
      </c>
      <c r="AP8">
        <f>AO8+Original!AP8</f>
        <v>161</v>
      </c>
      <c r="AQ8">
        <f>AP8+Original!AQ8</f>
        <v>161</v>
      </c>
      <c r="AR8">
        <f>AQ8+Original!AR8</f>
        <v>161</v>
      </c>
      <c r="AS8">
        <f>AR8+Original!AS8</f>
        <v>161</v>
      </c>
      <c r="AT8">
        <f>AS8+Original!AT8</f>
        <v>161</v>
      </c>
      <c r="AU8">
        <f>AT8+Original!AU8</f>
        <v>161</v>
      </c>
      <c r="AV8">
        <f>AU8+Original!AV8</f>
        <v>161</v>
      </c>
      <c r="AW8">
        <f>AV8+Original!AW8</f>
        <v>161</v>
      </c>
      <c r="AX8">
        <f>AW8+Original!AX8</f>
        <v>161</v>
      </c>
      <c r="AY8">
        <f>AX8+Original!AY8</f>
        <v>161</v>
      </c>
      <c r="AZ8">
        <f>AY8+Original!AZ8</f>
        <v>161</v>
      </c>
      <c r="BA8">
        <f>AZ8+Original!BA8</f>
        <v>161</v>
      </c>
      <c r="BB8">
        <f>BA8+Original!BB8</f>
        <v>161</v>
      </c>
      <c r="BC8">
        <f>BB8+Original!BC8</f>
        <v>161</v>
      </c>
      <c r="BD8">
        <f>BC8+Original!BD8</f>
        <v>161</v>
      </c>
      <c r="BE8">
        <f>BD8+Original!BE8</f>
        <v>161</v>
      </c>
      <c r="BF8">
        <f>BE8+Original!BF8</f>
        <v>161</v>
      </c>
      <c r="BG8">
        <f>BF8+Original!BG8</f>
        <v>161</v>
      </c>
      <c r="BH8">
        <f>BG8+Original!BH8</f>
        <v>161</v>
      </c>
      <c r="BI8">
        <f>BH8+Original!BI8</f>
        <v>161</v>
      </c>
      <c r="BJ8">
        <f>BI8+Original!BJ8</f>
        <v>161</v>
      </c>
      <c r="BK8">
        <f>BJ8+Original!BK8</f>
        <v>161</v>
      </c>
      <c r="BL8">
        <f>BK8+Original!BL8</f>
        <v>161</v>
      </c>
      <c r="BM8">
        <f>BL8+Original!BM8</f>
        <v>161</v>
      </c>
      <c r="BN8">
        <f>BM8+Original!BN8</f>
        <v>161</v>
      </c>
      <c r="BO8">
        <f>BN8+Original!BO8</f>
        <v>161</v>
      </c>
      <c r="BP8">
        <f>BO8+Original!BP8</f>
        <v>161</v>
      </c>
      <c r="BQ8">
        <f>BP8+Original!BQ8</f>
        <v>161</v>
      </c>
      <c r="BR8">
        <f>BQ8+Original!BR8</f>
        <v>161</v>
      </c>
      <c r="BS8">
        <f>BR8+Original!BS8</f>
        <v>161</v>
      </c>
      <c r="BT8">
        <f>BS8+Original!BT8</f>
        <v>161</v>
      </c>
      <c r="BU8">
        <f>BT8+Original!BU8</f>
        <v>161</v>
      </c>
      <c r="BV8">
        <f>BU8+Original!BV8</f>
        <v>161</v>
      </c>
      <c r="BW8">
        <f>BV8+Original!BW8</f>
        <v>161</v>
      </c>
    </row>
    <row r="9" spans="1:75" x14ac:dyDescent="0.25">
      <c r="A9" t="str">
        <f>Original!A9</f>
        <v>Rafael Vieira Valente</v>
      </c>
      <c r="B9">
        <f>Original!B9</f>
        <v>159</v>
      </c>
      <c r="C9">
        <f>Original!C9</f>
        <v>8</v>
      </c>
      <c r="D9">
        <f>C9+Original!D9</f>
        <v>14</v>
      </c>
      <c r="E9">
        <f>D9+Original!E9</f>
        <v>22</v>
      </c>
      <c r="F9">
        <f>E9+Original!F9</f>
        <v>35</v>
      </c>
      <c r="G9">
        <f>F9+Original!G9</f>
        <v>35</v>
      </c>
      <c r="H9">
        <f>G9+Original!H9</f>
        <v>35</v>
      </c>
      <c r="I9">
        <f>H9+Original!I9</f>
        <v>41</v>
      </c>
      <c r="J9">
        <f>I9+Original!J9</f>
        <v>47</v>
      </c>
      <c r="K9">
        <f>J9+Original!K9</f>
        <v>49</v>
      </c>
      <c r="L9">
        <f>K9+Original!L9</f>
        <v>49</v>
      </c>
      <c r="M9">
        <f>L9+Original!M9</f>
        <v>57</v>
      </c>
      <c r="N9">
        <f>M9+Original!N9</f>
        <v>70</v>
      </c>
      <c r="O9">
        <f>N9+Original!O9</f>
        <v>83</v>
      </c>
      <c r="P9">
        <f>O9+Original!P9</f>
        <v>85</v>
      </c>
      <c r="Q9">
        <f>P9+Original!Q9</f>
        <v>85</v>
      </c>
      <c r="R9">
        <f>Q9+Original!R9</f>
        <v>91</v>
      </c>
      <c r="S9">
        <f>R9+Original!S9</f>
        <v>91</v>
      </c>
      <c r="T9">
        <f>S9+Original!T9</f>
        <v>99</v>
      </c>
      <c r="U9">
        <f>T9+Original!U9</f>
        <v>105</v>
      </c>
      <c r="V9">
        <f>U9+Original!V9</f>
        <v>107</v>
      </c>
      <c r="W9">
        <f>V9+Original!W9</f>
        <v>109</v>
      </c>
      <c r="X9">
        <f>W9+Original!X9</f>
        <v>111</v>
      </c>
      <c r="Y9">
        <f>X9+Original!Y9</f>
        <v>124</v>
      </c>
      <c r="Z9">
        <f>Y9+Original!Z9</f>
        <v>124</v>
      </c>
      <c r="AA9">
        <f>Z9+Original!AA9</f>
        <v>132</v>
      </c>
      <c r="AB9">
        <f>AA9+Original!AB9</f>
        <v>145</v>
      </c>
      <c r="AC9">
        <f>AB9+Original!AC9</f>
        <v>145</v>
      </c>
      <c r="AD9">
        <f>AC9+Original!AD9</f>
        <v>153</v>
      </c>
      <c r="AE9">
        <f>AD9+Original!AE9</f>
        <v>159</v>
      </c>
      <c r="AF9">
        <f>AE9+Original!AF9</f>
        <v>159</v>
      </c>
      <c r="AG9">
        <f>AF9+Original!AG9</f>
        <v>159</v>
      </c>
      <c r="AH9">
        <f>AG9+Original!AH9</f>
        <v>159</v>
      </c>
      <c r="AI9">
        <f>AH9+Original!AI9</f>
        <v>159</v>
      </c>
      <c r="AJ9">
        <f>AI9+Original!AJ9</f>
        <v>159</v>
      </c>
      <c r="AK9">
        <f>AJ9+Original!AK9</f>
        <v>159</v>
      </c>
      <c r="AL9">
        <f>AK9+Original!AL9</f>
        <v>159</v>
      </c>
      <c r="AM9">
        <f>AL9+Original!AM9</f>
        <v>159</v>
      </c>
      <c r="AN9">
        <f>AM9+Original!AN9</f>
        <v>159</v>
      </c>
      <c r="AO9">
        <f>AN9+Original!AO9</f>
        <v>159</v>
      </c>
      <c r="AP9">
        <f>AO9+Original!AP9</f>
        <v>159</v>
      </c>
      <c r="AQ9">
        <f>AP9+Original!AQ9</f>
        <v>159</v>
      </c>
      <c r="AR9">
        <f>AQ9+Original!AR9</f>
        <v>159</v>
      </c>
      <c r="AS9">
        <f>AR9+Original!AS9</f>
        <v>159</v>
      </c>
      <c r="AT9">
        <f>AS9+Original!AT9</f>
        <v>159</v>
      </c>
      <c r="AU9">
        <f>AT9+Original!AU9</f>
        <v>159</v>
      </c>
      <c r="AV9">
        <f>AU9+Original!AV9</f>
        <v>159</v>
      </c>
      <c r="AW9">
        <f>AV9+Original!AW9</f>
        <v>159</v>
      </c>
      <c r="AX9">
        <f>AW9+Original!AX9</f>
        <v>159</v>
      </c>
      <c r="AY9">
        <f>AX9+Original!AY9</f>
        <v>159</v>
      </c>
      <c r="AZ9">
        <f>AY9+Original!AZ9</f>
        <v>159</v>
      </c>
      <c r="BA9">
        <f>AZ9+Original!BA9</f>
        <v>159</v>
      </c>
      <c r="BB9">
        <f>BA9+Original!BB9</f>
        <v>159</v>
      </c>
      <c r="BC9">
        <f>BB9+Original!BC9</f>
        <v>159</v>
      </c>
      <c r="BD9">
        <f>BC9+Original!BD9</f>
        <v>159</v>
      </c>
      <c r="BE9">
        <f>BD9+Original!BE9</f>
        <v>159</v>
      </c>
      <c r="BF9">
        <f>BE9+Original!BF9</f>
        <v>159</v>
      </c>
      <c r="BG9">
        <f>BF9+Original!BG9</f>
        <v>159</v>
      </c>
      <c r="BH9">
        <f>BG9+Original!BH9</f>
        <v>159</v>
      </c>
      <c r="BI9">
        <f>BH9+Original!BI9</f>
        <v>159</v>
      </c>
      <c r="BJ9">
        <f>BI9+Original!BJ9</f>
        <v>159</v>
      </c>
      <c r="BK9">
        <f>BJ9+Original!BK9</f>
        <v>159</v>
      </c>
      <c r="BL9">
        <f>BK9+Original!BL9</f>
        <v>159</v>
      </c>
      <c r="BM9">
        <f>BL9+Original!BM9</f>
        <v>159</v>
      </c>
      <c r="BN9">
        <f>BM9+Original!BN9</f>
        <v>159</v>
      </c>
      <c r="BO9">
        <f>BN9+Original!BO9</f>
        <v>159</v>
      </c>
      <c r="BP9">
        <f>BO9+Original!BP9</f>
        <v>159</v>
      </c>
      <c r="BQ9">
        <f>BP9+Original!BQ9</f>
        <v>159</v>
      </c>
      <c r="BR9">
        <f>BQ9+Original!BR9</f>
        <v>159</v>
      </c>
      <c r="BS9">
        <f>BR9+Original!BS9</f>
        <v>159</v>
      </c>
      <c r="BT9">
        <f>BS9+Original!BT9</f>
        <v>159</v>
      </c>
      <c r="BU9">
        <f>BT9+Original!BU9</f>
        <v>159</v>
      </c>
      <c r="BV9">
        <f>BU9+Original!BV9</f>
        <v>159</v>
      </c>
      <c r="BW9">
        <f>BV9+Original!BW9</f>
        <v>159</v>
      </c>
    </row>
    <row r="10" spans="1:75" x14ac:dyDescent="0.25">
      <c r="A10" t="str">
        <f>Original!A10</f>
        <v>Brunner Victor de Almeida</v>
      </c>
      <c r="B10">
        <f>Original!B10</f>
        <v>158</v>
      </c>
      <c r="C10">
        <f>Original!C10</f>
        <v>8</v>
      </c>
      <c r="D10">
        <f>C10+Original!D10</f>
        <v>14</v>
      </c>
      <c r="E10">
        <f>D10+Original!E10</f>
        <v>27</v>
      </c>
      <c r="F10">
        <f>E10+Original!F10</f>
        <v>40</v>
      </c>
      <c r="G10">
        <f>F10+Original!G10</f>
        <v>40</v>
      </c>
      <c r="H10">
        <f>G10+Original!H10</f>
        <v>42</v>
      </c>
      <c r="I10">
        <f>H10+Original!I10</f>
        <v>48</v>
      </c>
      <c r="J10">
        <f>I10+Original!J10</f>
        <v>54</v>
      </c>
      <c r="K10">
        <f>J10+Original!K10</f>
        <v>56</v>
      </c>
      <c r="L10">
        <f>K10+Original!L10</f>
        <v>56</v>
      </c>
      <c r="M10">
        <f>L10+Original!M10</f>
        <v>64</v>
      </c>
      <c r="N10">
        <f>M10+Original!N10</f>
        <v>77</v>
      </c>
      <c r="O10">
        <f>N10+Original!O10</f>
        <v>83</v>
      </c>
      <c r="P10">
        <f>O10+Original!P10</f>
        <v>85</v>
      </c>
      <c r="Q10">
        <f>P10+Original!Q10</f>
        <v>91</v>
      </c>
      <c r="R10">
        <f>Q10+Original!R10</f>
        <v>99</v>
      </c>
      <c r="S10">
        <f>R10+Original!S10</f>
        <v>106</v>
      </c>
      <c r="T10">
        <f>S10+Original!T10</f>
        <v>106</v>
      </c>
      <c r="U10">
        <f>T10+Original!U10</f>
        <v>114</v>
      </c>
      <c r="V10">
        <f>U10+Original!V10</f>
        <v>116</v>
      </c>
      <c r="W10">
        <f>V10+Original!W10</f>
        <v>116</v>
      </c>
      <c r="X10">
        <f>W10+Original!X10</f>
        <v>118</v>
      </c>
      <c r="Y10">
        <f>X10+Original!Y10</f>
        <v>131</v>
      </c>
      <c r="Z10">
        <f>Y10+Original!Z10</f>
        <v>144</v>
      </c>
      <c r="AA10">
        <f>Z10+Original!AA10</f>
        <v>152</v>
      </c>
      <c r="AB10">
        <f>AA10+Original!AB10</f>
        <v>154</v>
      </c>
      <c r="AC10">
        <f>AB10+Original!AC10</f>
        <v>154</v>
      </c>
      <c r="AD10">
        <f>AC10+Original!AD10</f>
        <v>156</v>
      </c>
      <c r="AE10">
        <f>AD10+Original!AE10</f>
        <v>158</v>
      </c>
      <c r="AF10">
        <f>AE10+Original!AF10</f>
        <v>158</v>
      </c>
      <c r="AG10">
        <f>AF10+Original!AG10</f>
        <v>158</v>
      </c>
      <c r="AH10">
        <f>AG10+Original!AH10</f>
        <v>158</v>
      </c>
      <c r="AI10">
        <f>AH10+Original!AI10</f>
        <v>158</v>
      </c>
      <c r="AJ10">
        <f>AI10+Original!AJ10</f>
        <v>158</v>
      </c>
      <c r="AK10">
        <f>AJ10+Original!AK10</f>
        <v>158</v>
      </c>
      <c r="AL10">
        <f>AK10+Original!AL10</f>
        <v>158</v>
      </c>
      <c r="AM10">
        <f>AL10+Original!AM10</f>
        <v>158</v>
      </c>
      <c r="AN10">
        <f>AM10+Original!AN10</f>
        <v>158</v>
      </c>
      <c r="AO10">
        <f>AN10+Original!AO10</f>
        <v>158</v>
      </c>
      <c r="AP10">
        <f>AO10+Original!AP10</f>
        <v>158</v>
      </c>
      <c r="AQ10">
        <f>AP10+Original!AQ10</f>
        <v>158</v>
      </c>
      <c r="AR10">
        <f>AQ10+Original!AR10</f>
        <v>158</v>
      </c>
      <c r="AS10">
        <f>AR10+Original!AS10</f>
        <v>158</v>
      </c>
      <c r="AT10">
        <f>AS10+Original!AT10</f>
        <v>158</v>
      </c>
      <c r="AU10">
        <f>AT10+Original!AU10</f>
        <v>158</v>
      </c>
      <c r="AV10">
        <f>AU10+Original!AV10</f>
        <v>158</v>
      </c>
      <c r="AW10">
        <f>AV10+Original!AW10</f>
        <v>158</v>
      </c>
      <c r="AX10">
        <f>AW10+Original!AX10</f>
        <v>158</v>
      </c>
      <c r="AY10">
        <f>AX10+Original!AY10</f>
        <v>158</v>
      </c>
      <c r="AZ10">
        <f>AY10+Original!AZ10</f>
        <v>158</v>
      </c>
      <c r="BA10">
        <f>AZ10+Original!BA10</f>
        <v>158</v>
      </c>
      <c r="BB10">
        <f>BA10+Original!BB10</f>
        <v>158</v>
      </c>
      <c r="BC10">
        <f>BB10+Original!BC10</f>
        <v>158</v>
      </c>
      <c r="BD10">
        <f>BC10+Original!BD10</f>
        <v>158</v>
      </c>
      <c r="BE10">
        <f>BD10+Original!BE10</f>
        <v>158</v>
      </c>
      <c r="BF10">
        <f>BE10+Original!BF10</f>
        <v>158</v>
      </c>
      <c r="BG10">
        <f>BF10+Original!BG10</f>
        <v>158</v>
      </c>
      <c r="BH10">
        <f>BG10+Original!BH10</f>
        <v>158</v>
      </c>
      <c r="BI10">
        <f>BH10+Original!BI10</f>
        <v>158</v>
      </c>
      <c r="BJ10">
        <f>BI10+Original!BJ10</f>
        <v>158</v>
      </c>
      <c r="BK10">
        <f>BJ10+Original!BK10</f>
        <v>158</v>
      </c>
      <c r="BL10">
        <f>BK10+Original!BL10</f>
        <v>158</v>
      </c>
      <c r="BM10">
        <f>BL10+Original!BM10</f>
        <v>158</v>
      </c>
      <c r="BN10">
        <f>BM10+Original!BN10</f>
        <v>158</v>
      </c>
      <c r="BO10">
        <f>BN10+Original!BO10</f>
        <v>158</v>
      </c>
      <c r="BP10">
        <f>BO10+Original!BP10</f>
        <v>158</v>
      </c>
      <c r="BQ10">
        <f>BP10+Original!BQ10</f>
        <v>158</v>
      </c>
      <c r="BR10">
        <f>BQ10+Original!BR10</f>
        <v>158</v>
      </c>
      <c r="BS10">
        <f>BR10+Original!BS10</f>
        <v>158</v>
      </c>
      <c r="BT10">
        <f>BS10+Original!BT10</f>
        <v>158</v>
      </c>
      <c r="BU10">
        <f>BT10+Original!BU10</f>
        <v>158</v>
      </c>
      <c r="BV10">
        <f>BU10+Original!BV10</f>
        <v>158</v>
      </c>
      <c r="BW10">
        <f>BV10+Original!BW10</f>
        <v>158</v>
      </c>
    </row>
    <row r="11" spans="1:75" x14ac:dyDescent="0.25">
      <c r="A11" t="str">
        <f>Original!A11</f>
        <v>Risia Gouveia</v>
      </c>
      <c r="B11">
        <f>Original!B11</f>
        <v>155</v>
      </c>
      <c r="C11">
        <f>Original!C11</f>
        <v>0</v>
      </c>
      <c r="D11">
        <f>C11+Original!D11</f>
        <v>6</v>
      </c>
      <c r="E11">
        <f>D11+Original!E11</f>
        <v>19</v>
      </c>
      <c r="F11">
        <f>E11+Original!F11</f>
        <v>32</v>
      </c>
      <c r="G11">
        <f>F11+Original!G11</f>
        <v>32</v>
      </c>
      <c r="H11">
        <f>G11+Original!H11</f>
        <v>34</v>
      </c>
      <c r="I11">
        <f>H11+Original!I11</f>
        <v>34</v>
      </c>
      <c r="J11">
        <f>I11+Original!J11</f>
        <v>40</v>
      </c>
      <c r="K11">
        <f>J11+Original!K11</f>
        <v>42</v>
      </c>
      <c r="L11">
        <f>K11+Original!L11</f>
        <v>42</v>
      </c>
      <c r="M11">
        <f>L11+Original!M11</f>
        <v>48</v>
      </c>
      <c r="N11">
        <f>M11+Original!N11</f>
        <v>54</v>
      </c>
      <c r="O11">
        <f>N11+Original!O11</f>
        <v>60</v>
      </c>
      <c r="P11">
        <f>O11+Original!P11</f>
        <v>62</v>
      </c>
      <c r="Q11">
        <f>P11+Original!Q11</f>
        <v>68</v>
      </c>
      <c r="R11">
        <f>Q11+Original!R11</f>
        <v>81</v>
      </c>
      <c r="S11">
        <f>R11+Original!S11</f>
        <v>81</v>
      </c>
      <c r="T11">
        <f>S11+Original!T11</f>
        <v>81</v>
      </c>
      <c r="U11">
        <f>T11+Original!U11</f>
        <v>89</v>
      </c>
      <c r="V11">
        <f>U11+Original!V11</f>
        <v>91</v>
      </c>
      <c r="W11">
        <f>V11+Original!W11</f>
        <v>93</v>
      </c>
      <c r="X11">
        <f>W11+Original!X11</f>
        <v>106</v>
      </c>
      <c r="Y11">
        <f>X11+Original!Y11</f>
        <v>119</v>
      </c>
      <c r="Z11">
        <f>Y11+Original!Z11</f>
        <v>132</v>
      </c>
      <c r="AA11">
        <f>Z11+Original!AA11</f>
        <v>145</v>
      </c>
      <c r="AB11">
        <f>AA11+Original!AB11</f>
        <v>147</v>
      </c>
      <c r="AC11">
        <f>AB11+Original!AC11</f>
        <v>147</v>
      </c>
      <c r="AD11">
        <f>AC11+Original!AD11</f>
        <v>153</v>
      </c>
      <c r="AE11">
        <f>AD11+Original!AE11</f>
        <v>155</v>
      </c>
      <c r="AF11">
        <f>AE11+Original!AF11</f>
        <v>155</v>
      </c>
      <c r="AG11">
        <f>AF11+Original!AG11</f>
        <v>155</v>
      </c>
      <c r="AH11">
        <f>AG11+Original!AH11</f>
        <v>155</v>
      </c>
      <c r="AI11">
        <f>AH11+Original!AI11</f>
        <v>155</v>
      </c>
      <c r="AJ11">
        <f>AI11+Original!AJ11</f>
        <v>155</v>
      </c>
      <c r="AK11">
        <f>AJ11+Original!AK11</f>
        <v>155</v>
      </c>
      <c r="AL11">
        <f>AK11+Original!AL11</f>
        <v>155</v>
      </c>
      <c r="AM11">
        <f>AL11+Original!AM11</f>
        <v>155</v>
      </c>
      <c r="AN11">
        <f>AM11+Original!AN11</f>
        <v>155</v>
      </c>
      <c r="AO11">
        <f>AN11+Original!AO11</f>
        <v>155</v>
      </c>
      <c r="AP11">
        <f>AO11+Original!AP11</f>
        <v>155</v>
      </c>
      <c r="AQ11">
        <f>AP11+Original!AQ11</f>
        <v>155</v>
      </c>
      <c r="AR11">
        <f>AQ11+Original!AR11</f>
        <v>155</v>
      </c>
      <c r="AS11">
        <f>AR11+Original!AS11</f>
        <v>155</v>
      </c>
      <c r="AT11">
        <f>AS11+Original!AT11</f>
        <v>155</v>
      </c>
      <c r="AU11">
        <f>AT11+Original!AU11</f>
        <v>155</v>
      </c>
      <c r="AV11">
        <f>AU11+Original!AV11</f>
        <v>155</v>
      </c>
      <c r="AW11">
        <f>AV11+Original!AW11</f>
        <v>155</v>
      </c>
      <c r="AX11">
        <f>AW11+Original!AX11</f>
        <v>155</v>
      </c>
      <c r="AY11">
        <f>AX11+Original!AY11</f>
        <v>155</v>
      </c>
      <c r="AZ11">
        <f>AY11+Original!AZ11</f>
        <v>155</v>
      </c>
      <c r="BA11">
        <f>AZ11+Original!BA11</f>
        <v>155</v>
      </c>
      <c r="BB11">
        <f>BA11+Original!BB11</f>
        <v>155</v>
      </c>
      <c r="BC11">
        <f>BB11+Original!BC11</f>
        <v>155</v>
      </c>
      <c r="BD11">
        <f>BC11+Original!BD11</f>
        <v>155</v>
      </c>
      <c r="BE11">
        <f>BD11+Original!BE11</f>
        <v>155</v>
      </c>
      <c r="BF11">
        <f>BE11+Original!BF11</f>
        <v>155</v>
      </c>
      <c r="BG11">
        <f>BF11+Original!BG11</f>
        <v>155</v>
      </c>
      <c r="BH11">
        <f>BG11+Original!BH11</f>
        <v>155</v>
      </c>
      <c r="BI11">
        <f>BH11+Original!BI11</f>
        <v>155</v>
      </c>
      <c r="BJ11">
        <f>BI11+Original!BJ11</f>
        <v>155</v>
      </c>
      <c r="BK11">
        <f>BJ11+Original!BK11</f>
        <v>155</v>
      </c>
      <c r="BL11">
        <f>BK11+Original!BL11</f>
        <v>155</v>
      </c>
      <c r="BM11">
        <f>BL11+Original!BM11</f>
        <v>155</v>
      </c>
      <c r="BN11">
        <f>BM11+Original!BN11</f>
        <v>155</v>
      </c>
      <c r="BO11">
        <f>BN11+Original!BO11</f>
        <v>155</v>
      </c>
      <c r="BP11">
        <f>BO11+Original!BP11</f>
        <v>155</v>
      </c>
      <c r="BQ11">
        <f>BP11+Original!BQ11</f>
        <v>155</v>
      </c>
      <c r="BR11">
        <f>BQ11+Original!BR11</f>
        <v>155</v>
      </c>
      <c r="BS11">
        <f>BR11+Original!BS11</f>
        <v>155</v>
      </c>
      <c r="BT11">
        <f>BS11+Original!BT11</f>
        <v>155</v>
      </c>
      <c r="BU11">
        <f>BT11+Original!BU11</f>
        <v>155</v>
      </c>
      <c r="BV11">
        <f>BU11+Original!BV11</f>
        <v>155</v>
      </c>
      <c r="BW11">
        <f>BV11+Original!BW11</f>
        <v>155</v>
      </c>
    </row>
    <row r="12" spans="1:75" x14ac:dyDescent="0.25">
      <c r="A12" t="str">
        <f>Original!A12</f>
        <v>Simara Magalhães</v>
      </c>
      <c r="B12">
        <f>Original!B12</f>
        <v>155</v>
      </c>
      <c r="C12">
        <f>Original!C12</f>
        <v>2</v>
      </c>
      <c r="D12">
        <f>C12+Original!D12</f>
        <v>8</v>
      </c>
      <c r="E12">
        <f>D12+Original!E12</f>
        <v>16</v>
      </c>
      <c r="F12">
        <f>E12+Original!F12</f>
        <v>18</v>
      </c>
      <c r="G12">
        <f>F12+Original!G12</f>
        <v>18</v>
      </c>
      <c r="H12">
        <f>G12+Original!H12</f>
        <v>20</v>
      </c>
      <c r="I12">
        <f>H12+Original!I12</f>
        <v>26</v>
      </c>
      <c r="J12">
        <f>I12+Original!J12</f>
        <v>34</v>
      </c>
      <c r="K12">
        <f>J12+Original!K12</f>
        <v>34</v>
      </c>
      <c r="L12">
        <f>K12+Original!L12</f>
        <v>34</v>
      </c>
      <c r="M12">
        <f>L12+Original!M12</f>
        <v>40</v>
      </c>
      <c r="N12">
        <f>M12+Original!N12</f>
        <v>48</v>
      </c>
      <c r="O12">
        <f>N12+Original!O12</f>
        <v>54</v>
      </c>
      <c r="P12">
        <f>O12+Original!P12</f>
        <v>56</v>
      </c>
      <c r="Q12">
        <f>P12+Original!Q12</f>
        <v>62</v>
      </c>
      <c r="R12">
        <f>Q12+Original!R12</f>
        <v>75</v>
      </c>
      <c r="S12">
        <f>R12+Original!S12</f>
        <v>82</v>
      </c>
      <c r="T12">
        <f>S12+Original!T12</f>
        <v>82</v>
      </c>
      <c r="U12">
        <f>T12+Original!U12</f>
        <v>88</v>
      </c>
      <c r="V12">
        <f>U12+Original!V12</f>
        <v>90</v>
      </c>
      <c r="W12">
        <f>V12+Original!W12</f>
        <v>96</v>
      </c>
      <c r="X12">
        <f>W12+Original!X12</f>
        <v>109</v>
      </c>
      <c r="Y12">
        <f>X12+Original!Y12</f>
        <v>117</v>
      </c>
      <c r="Z12">
        <f>Y12+Original!Z12</f>
        <v>130</v>
      </c>
      <c r="AA12">
        <f>Z12+Original!AA12</f>
        <v>143</v>
      </c>
      <c r="AB12">
        <f>AA12+Original!AB12</f>
        <v>145</v>
      </c>
      <c r="AC12">
        <f>AB12+Original!AC12</f>
        <v>145</v>
      </c>
      <c r="AD12">
        <f>AC12+Original!AD12</f>
        <v>153</v>
      </c>
      <c r="AE12">
        <f>AD12+Original!AE12</f>
        <v>155</v>
      </c>
      <c r="AF12">
        <f>AE12+Original!AF12</f>
        <v>155</v>
      </c>
      <c r="AG12">
        <f>AF12+Original!AG12</f>
        <v>155</v>
      </c>
      <c r="AH12">
        <f>AG12+Original!AH12</f>
        <v>155</v>
      </c>
      <c r="AI12">
        <f>AH12+Original!AI12</f>
        <v>155</v>
      </c>
      <c r="AJ12">
        <f>AI12+Original!AJ12</f>
        <v>155</v>
      </c>
      <c r="AK12">
        <f>AJ12+Original!AK12</f>
        <v>155</v>
      </c>
      <c r="AL12">
        <f>AK12+Original!AL12</f>
        <v>155</v>
      </c>
      <c r="AM12">
        <f>AL12+Original!AM12</f>
        <v>155</v>
      </c>
      <c r="AN12">
        <f>AM12+Original!AN12</f>
        <v>155</v>
      </c>
      <c r="AO12">
        <f>AN12+Original!AO12</f>
        <v>155</v>
      </c>
      <c r="AP12">
        <f>AO12+Original!AP12</f>
        <v>155</v>
      </c>
      <c r="AQ12">
        <f>AP12+Original!AQ12</f>
        <v>155</v>
      </c>
      <c r="AR12">
        <f>AQ12+Original!AR12</f>
        <v>155</v>
      </c>
      <c r="AS12">
        <f>AR12+Original!AS12</f>
        <v>155</v>
      </c>
      <c r="AT12">
        <f>AS12+Original!AT12</f>
        <v>155</v>
      </c>
      <c r="AU12">
        <f>AT12+Original!AU12</f>
        <v>155</v>
      </c>
      <c r="AV12">
        <f>AU12+Original!AV12</f>
        <v>155</v>
      </c>
      <c r="AW12">
        <f>AV12+Original!AW12</f>
        <v>155</v>
      </c>
      <c r="AX12">
        <f>AW12+Original!AX12</f>
        <v>155</v>
      </c>
      <c r="AY12">
        <f>AX12+Original!AY12</f>
        <v>155</v>
      </c>
      <c r="AZ12">
        <f>AY12+Original!AZ12</f>
        <v>155</v>
      </c>
      <c r="BA12">
        <f>AZ12+Original!BA12</f>
        <v>155</v>
      </c>
      <c r="BB12">
        <f>BA12+Original!BB12</f>
        <v>155</v>
      </c>
      <c r="BC12">
        <f>BB12+Original!BC12</f>
        <v>155</v>
      </c>
      <c r="BD12">
        <f>BC12+Original!BD12</f>
        <v>155</v>
      </c>
      <c r="BE12">
        <f>BD12+Original!BE12</f>
        <v>155</v>
      </c>
      <c r="BF12">
        <f>BE12+Original!BF12</f>
        <v>155</v>
      </c>
      <c r="BG12">
        <f>BF12+Original!BG12</f>
        <v>155</v>
      </c>
      <c r="BH12">
        <f>BG12+Original!BH12</f>
        <v>155</v>
      </c>
      <c r="BI12">
        <f>BH12+Original!BI12</f>
        <v>155</v>
      </c>
      <c r="BJ12">
        <f>BI12+Original!BJ12</f>
        <v>155</v>
      </c>
      <c r="BK12">
        <f>BJ12+Original!BK12</f>
        <v>155</v>
      </c>
      <c r="BL12">
        <f>BK12+Original!BL12</f>
        <v>155</v>
      </c>
      <c r="BM12">
        <f>BL12+Original!BM12</f>
        <v>155</v>
      </c>
      <c r="BN12">
        <f>BM12+Original!BN12</f>
        <v>155</v>
      </c>
      <c r="BO12">
        <f>BN12+Original!BO12</f>
        <v>155</v>
      </c>
      <c r="BP12">
        <f>BO12+Original!BP12</f>
        <v>155</v>
      </c>
      <c r="BQ12">
        <f>BP12+Original!BQ12</f>
        <v>155</v>
      </c>
      <c r="BR12">
        <f>BQ12+Original!BR12</f>
        <v>155</v>
      </c>
      <c r="BS12">
        <f>BR12+Original!BS12</f>
        <v>155</v>
      </c>
      <c r="BT12">
        <f>BS12+Original!BT12</f>
        <v>155</v>
      </c>
      <c r="BU12">
        <f>BT12+Original!BU12</f>
        <v>155</v>
      </c>
      <c r="BV12">
        <f>BU12+Original!BV12</f>
        <v>155</v>
      </c>
      <c r="BW12">
        <f>BV12+Original!BW12</f>
        <v>155</v>
      </c>
    </row>
    <row r="13" spans="1:75" x14ac:dyDescent="0.25">
      <c r="A13" t="str">
        <f>Original!A13</f>
        <v>Luciano Santana Barros 1</v>
      </c>
      <c r="B13">
        <f>Original!B13</f>
        <v>154</v>
      </c>
      <c r="C13">
        <f>Original!C13</f>
        <v>13</v>
      </c>
      <c r="D13">
        <f>C13+Original!D13</f>
        <v>19</v>
      </c>
      <c r="E13">
        <f>D13+Original!E13</f>
        <v>27</v>
      </c>
      <c r="F13">
        <f>E13+Original!F13</f>
        <v>27</v>
      </c>
      <c r="G13">
        <f>F13+Original!G13</f>
        <v>27</v>
      </c>
      <c r="H13">
        <f>G13+Original!H13</f>
        <v>29</v>
      </c>
      <c r="I13">
        <f>H13+Original!I13</f>
        <v>29</v>
      </c>
      <c r="J13">
        <f>I13+Original!J13</f>
        <v>37</v>
      </c>
      <c r="K13">
        <f>J13+Original!K13</f>
        <v>50</v>
      </c>
      <c r="L13">
        <f>K13+Original!L13</f>
        <v>52</v>
      </c>
      <c r="M13">
        <f>L13+Original!M13</f>
        <v>60</v>
      </c>
      <c r="N13">
        <f>M13+Original!N13</f>
        <v>73</v>
      </c>
      <c r="O13">
        <f>N13+Original!O13</f>
        <v>79</v>
      </c>
      <c r="P13">
        <f>O13+Original!P13</f>
        <v>81</v>
      </c>
      <c r="Q13">
        <f>P13+Original!Q13</f>
        <v>87</v>
      </c>
      <c r="R13">
        <f>Q13+Original!R13</f>
        <v>95</v>
      </c>
      <c r="S13">
        <f>R13+Original!S13</f>
        <v>95</v>
      </c>
      <c r="T13">
        <f>S13+Original!T13</f>
        <v>97</v>
      </c>
      <c r="U13">
        <f>T13+Original!U13</f>
        <v>105</v>
      </c>
      <c r="V13">
        <f>U13+Original!V13</f>
        <v>105</v>
      </c>
      <c r="W13">
        <f>V13+Original!W13</f>
        <v>105</v>
      </c>
      <c r="X13">
        <f>W13+Original!X13</f>
        <v>113</v>
      </c>
      <c r="Y13">
        <f>X13+Original!Y13</f>
        <v>121</v>
      </c>
      <c r="Z13">
        <f>Y13+Original!Z13</f>
        <v>134</v>
      </c>
      <c r="AA13">
        <f>Z13+Original!AA13</f>
        <v>142</v>
      </c>
      <c r="AB13">
        <f>AA13+Original!AB13</f>
        <v>144</v>
      </c>
      <c r="AC13">
        <f>AB13+Original!AC13</f>
        <v>144</v>
      </c>
      <c r="AD13">
        <f>AC13+Original!AD13</f>
        <v>152</v>
      </c>
      <c r="AE13">
        <f>AD13+Original!AE13</f>
        <v>154</v>
      </c>
      <c r="AF13">
        <f>AE13+Original!AF13</f>
        <v>154</v>
      </c>
      <c r="AG13">
        <f>AF13+Original!AG13</f>
        <v>154</v>
      </c>
      <c r="AH13">
        <f>AG13+Original!AH13</f>
        <v>154</v>
      </c>
      <c r="AI13">
        <f>AH13+Original!AI13</f>
        <v>154</v>
      </c>
      <c r="AJ13">
        <f>AI13+Original!AJ13</f>
        <v>154</v>
      </c>
      <c r="AK13">
        <f>AJ13+Original!AK13</f>
        <v>154</v>
      </c>
      <c r="AL13">
        <f>AK13+Original!AL13</f>
        <v>154</v>
      </c>
      <c r="AM13">
        <f>AL13+Original!AM13</f>
        <v>154</v>
      </c>
      <c r="AN13">
        <f>AM13+Original!AN13</f>
        <v>154</v>
      </c>
      <c r="AO13">
        <f>AN13+Original!AO13</f>
        <v>154</v>
      </c>
      <c r="AP13">
        <f>AO13+Original!AP13</f>
        <v>154</v>
      </c>
      <c r="AQ13">
        <f>AP13+Original!AQ13</f>
        <v>154</v>
      </c>
      <c r="AR13">
        <f>AQ13+Original!AR13</f>
        <v>154</v>
      </c>
      <c r="AS13">
        <f>AR13+Original!AS13</f>
        <v>154</v>
      </c>
      <c r="AT13">
        <f>AS13+Original!AT13</f>
        <v>154</v>
      </c>
      <c r="AU13">
        <f>AT13+Original!AU13</f>
        <v>154</v>
      </c>
      <c r="AV13">
        <f>AU13+Original!AV13</f>
        <v>154</v>
      </c>
      <c r="AW13">
        <f>AV13+Original!AW13</f>
        <v>154</v>
      </c>
      <c r="AX13">
        <f>AW13+Original!AX13</f>
        <v>154</v>
      </c>
      <c r="AY13">
        <f>AX13+Original!AY13</f>
        <v>154</v>
      </c>
      <c r="AZ13">
        <f>AY13+Original!AZ13</f>
        <v>154</v>
      </c>
      <c r="BA13">
        <f>AZ13+Original!BA13</f>
        <v>154</v>
      </c>
      <c r="BB13">
        <f>BA13+Original!BB13</f>
        <v>154</v>
      </c>
      <c r="BC13">
        <f>BB13+Original!BC13</f>
        <v>154</v>
      </c>
      <c r="BD13">
        <f>BC13+Original!BD13</f>
        <v>154</v>
      </c>
      <c r="BE13">
        <f>BD13+Original!BE13</f>
        <v>154</v>
      </c>
      <c r="BF13">
        <f>BE13+Original!BF13</f>
        <v>154</v>
      </c>
      <c r="BG13">
        <f>BF13+Original!BG13</f>
        <v>154</v>
      </c>
      <c r="BH13">
        <f>BG13+Original!BH13</f>
        <v>154</v>
      </c>
      <c r="BI13">
        <f>BH13+Original!BI13</f>
        <v>154</v>
      </c>
      <c r="BJ13">
        <f>BI13+Original!BJ13</f>
        <v>154</v>
      </c>
      <c r="BK13">
        <f>BJ13+Original!BK13</f>
        <v>154</v>
      </c>
      <c r="BL13">
        <f>BK13+Original!BL13</f>
        <v>154</v>
      </c>
      <c r="BM13">
        <f>BL13+Original!BM13</f>
        <v>154</v>
      </c>
      <c r="BN13">
        <f>BM13+Original!BN13</f>
        <v>154</v>
      </c>
      <c r="BO13">
        <f>BN13+Original!BO13</f>
        <v>154</v>
      </c>
      <c r="BP13">
        <f>BO13+Original!BP13</f>
        <v>154</v>
      </c>
      <c r="BQ13">
        <f>BP13+Original!BQ13</f>
        <v>154</v>
      </c>
      <c r="BR13">
        <f>BQ13+Original!BR13</f>
        <v>154</v>
      </c>
      <c r="BS13">
        <f>BR13+Original!BS13</f>
        <v>154</v>
      </c>
      <c r="BT13">
        <f>BS13+Original!BT13</f>
        <v>154</v>
      </c>
      <c r="BU13">
        <f>BT13+Original!BU13</f>
        <v>154</v>
      </c>
      <c r="BV13">
        <f>BU13+Original!BV13</f>
        <v>154</v>
      </c>
      <c r="BW13">
        <f>BV13+Original!BW13</f>
        <v>154</v>
      </c>
    </row>
    <row r="14" spans="1:75" x14ac:dyDescent="0.25">
      <c r="A14" t="str">
        <f>Original!A14</f>
        <v>Luciano Santana Barros 2</v>
      </c>
      <c r="B14">
        <f>Original!B14</f>
        <v>154</v>
      </c>
      <c r="C14">
        <f>Original!C14</f>
        <v>13</v>
      </c>
      <c r="D14">
        <f>C14+Original!D14</f>
        <v>19</v>
      </c>
      <c r="E14">
        <f>D14+Original!E14</f>
        <v>27</v>
      </c>
      <c r="F14">
        <f>E14+Original!F14</f>
        <v>27</v>
      </c>
      <c r="G14">
        <f>F14+Original!G14</f>
        <v>27</v>
      </c>
      <c r="H14">
        <f>G14+Original!H14</f>
        <v>29</v>
      </c>
      <c r="I14">
        <f>H14+Original!I14</f>
        <v>29</v>
      </c>
      <c r="J14">
        <f>I14+Original!J14</f>
        <v>37</v>
      </c>
      <c r="K14">
        <f>J14+Original!K14</f>
        <v>50</v>
      </c>
      <c r="L14">
        <f>K14+Original!L14</f>
        <v>52</v>
      </c>
      <c r="M14">
        <f>L14+Original!M14</f>
        <v>60</v>
      </c>
      <c r="N14">
        <f>M14+Original!N14</f>
        <v>73</v>
      </c>
      <c r="O14">
        <f>N14+Original!O14</f>
        <v>79</v>
      </c>
      <c r="P14">
        <f>O14+Original!P14</f>
        <v>81</v>
      </c>
      <c r="Q14">
        <f>P14+Original!Q14</f>
        <v>87</v>
      </c>
      <c r="R14">
        <f>Q14+Original!R14</f>
        <v>95</v>
      </c>
      <c r="S14">
        <f>R14+Original!S14</f>
        <v>95</v>
      </c>
      <c r="T14">
        <f>S14+Original!T14</f>
        <v>97</v>
      </c>
      <c r="U14">
        <f>T14+Original!U14</f>
        <v>105</v>
      </c>
      <c r="V14">
        <f>U14+Original!V14</f>
        <v>105</v>
      </c>
      <c r="W14">
        <f>V14+Original!W14</f>
        <v>105</v>
      </c>
      <c r="X14">
        <f>W14+Original!X14</f>
        <v>113</v>
      </c>
      <c r="Y14">
        <f>X14+Original!Y14</f>
        <v>121</v>
      </c>
      <c r="Z14">
        <f>Y14+Original!Z14</f>
        <v>134</v>
      </c>
      <c r="AA14">
        <f>Z14+Original!AA14</f>
        <v>142</v>
      </c>
      <c r="AB14">
        <f>AA14+Original!AB14</f>
        <v>144</v>
      </c>
      <c r="AC14">
        <f>AB14+Original!AC14</f>
        <v>144</v>
      </c>
      <c r="AD14">
        <f>AC14+Original!AD14</f>
        <v>152</v>
      </c>
      <c r="AE14">
        <f>AD14+Original!AE14</f>
        <v>154</v>
      </c>
      <c r="AF14">
        <f>AE14+Original!AF14</f>
        <v>154</v>
      </c>
      <c r="AG14">
        <f>AF14+Original!AG14</f>
        <v>154</v>
      </c>
      <c r="AH14">
        <f>AG14+Original!AH14</f>
        <v>154</v>
      </c>
      <c r="AI14">
        <f>AH14+Original!AI14</f>
        <v>154</v>
      </c>
      <c r="AJ14">
        <f>AI14+Original!AJ14</f>
        <v>154</v>
      </c>
      <c r="AK14">
        <f>AJ14+Original!AK14</f>
        <v>154</v>
      </c>
      <c r="AL14">
        <f>AK14+Original!AL14</f>
        <v>154</v>
      </c>
      <c r="AM14">
        <f>AL14+Original!AM14</f>
        <v>154</v>
      </c>
      <c r="AN14">
        <f>AM14+Original!AN14</f>
        <v>154</v>
      </c>
      <c r="AO14">
        <f>AN14+Original!AO14</f>
        <v>154</v>
      </c>
      <c r="AP14">
        <f>AO14+Original!AP14</f>
        <v>154</v>
      </c>
      <c r="AQ14">
        <f>AP14+Original!AQ14</f>
        <v>154</v>
      </c>
      <c r="AR14">
        <f>AQ14+Original!AR14</f>
        <v>154</v>
      </c>
      <c r="AS14">
        <f>AR14+Original!AS14</f>
        <v>154</v>
      </c>
      <c r="AT14">
        <f>AS14+Original!AT14</f>
        <v>154</v>
      </c>
      <c r="AU14">
        <f>AT14+Original!AU14</f>
        <v>154</v>
      </c>
      <c r="AV14">
        <f>AU14+Original!AV14</f>
        <v>154</v>
      </c>
      <c r="AW14">
        <f>AV14+Original!AW14</f>
        <v>154</v>
      </c>
      <c r="AX14">
        <f>AW14+Original!AX14</f>
        <v>154</v>
      </c>
      <c r="AY14">
        <f>AX14+Original!AY14</f>
        <v>154</v>
      </c>
      <c r="AZ14">
        <f>AY14+Original!AZ14</f>
        <v>154</v>
      </c>
      <c r="BA14">
        <f>AZ14+Original!BA14</f>
        <v>154</v>
      </c>
      <c r="BB14">
        <f>BA14+Original!BB14</f>
        <v>154</v>
      </c>
      <c r="BC14">
        <f>BB14+Original!BC14</f>
        <v>154</v>
      </c>
      <c r="BD14">
        <f>BC14+Original!BD14</f>
        <v>154</v>
      </c>
      <c r="BE14">
        <f>BD14+Original!BE14</f>
        <v>154</v>
      </c>
      <c r="BF14">
        <f>BE14+Original!BF14</f>
        <v>154</v>
      </c>
      <c r="BG14">
        <f>BF14+Original!BG14</f>
        <v>154</v>
      </c>
      <c r="BH14">
        <f>BG14+Original!BH14</f>
        <v>154</v>
      </c>
      <c r="BI14">
        <f>BH14+Original!BI14</f>
        <v>154</v>
      </c>
      <c r="BJ14">
        <f>BI14+Original!BJ14</f>
        <v>154</v>
      </c>
      <c r="BK14">
        <f>BJ14+Original!BK14</f>
        <v>154</v>
      </c>
      <c r="BL14">
        <f>BK14+Original!BL14</f>
        <v>154</v>
      </c>
      <c r="BM14">
        <f>BL14+Original!BM14</f>
        <v>154</v>
      </c>
      <c r="BN14">
        <f>BM14+Original!BN14</f>
        <v>154</v>
      </c>
      <c r="BO14">
        <f>BN14+Original!BO14</f>
        <v>154</v>
      </c>
      <c r="BP14">
        <f>BO14+Original!BP14</f>
        <v>154</v>
      </c>
      <c r="BQ14">
        <f>BP14+Original!BQ14</f>
        <v>154</v>
      </c>
      <c r="BR14">
        <f>BQ14+Original!BR14</f>
        <v>154</v>
      </c>
      <c r="BS14">
        <f>BR14+Original!BS14</f>
        <v>154</v>
      </c>
      <c r="BT14">
        <f>BS14+Original!BT14</f>
        <v>154</v>
      </c>
      <c r="BU14">
        <f>BT14+Original!BU14</f>
        <v>154</v>
      </c>
      <c r="BV14">
        <f>BU14+Original!BV14</f>
        <v>154</v>
      </c>
      <c r="BW14">
        <f>BV14+Original!BW14</f>
        <v>154</v>
      </c>
    </row>
    <row r="15" spans="1:75" x14ac:dyDescent="0.25">
      <c r="A15" t="str">
        <f>Original!A15</f>
        <v>Ney Boa Sorte</v>
      </c>
      <c r="B15">
        <f>Original!B15</f>
        <v>154</v>
      </c>
      <c r="C15">
        <f>Original!C15</f>
        <v>8</v>
      </c>
      <c r="D15">
        <f>C15+Original!D15</f>
        <v>14</v>
      </c>
      <c r="E15">
        <f>D15+Original!E15</f>
        <v>27</v>
      </c>
      <c r="F15">
        <f>E15+Original!F15</f>
        <v>40</v>
      </c>
      <c r="G15">
        <f>F15+Original!G15</f>
        <v>40</v>
      </c>
      <c r="H15">
        <f>G15+Original!H15</f>
        <v>42</v>
      </c>
      <c r="I15">
        <f>H15+Original!I15</f>
        <v>42</v>
      </c>
      <c r="J15">
        <f>I15+Original!J15</f>
        <v>48</v>
      </c>
      <c r="K15">
        <f>J15+Original!K15</f>
        <v>48</v>
      </c>
      <c r="L15">
        <f>K15+Original!L15</f>
        <v>48</v>
      </c>
      <c r="M15">
        <f>L15+Original!M15</f>
        <v>56</v>
      </c>
      <c r="N15">
        <f>M15+Original!N15</f>
        <v>64</v>
      </c>
      <c r="O15">
        <f>N15+Original!O15</f>
        <v>77</v>
      </c>
      <c r="P15">
        <f>O15+Original!P15</f>
        <v>77</v>
      </c>
      <c r="Q15">
        <f>P15+Original!Q15</f>
        <v>85</v>
      </c>
      <c r="R15">
        <f>Q15+Original!R15</f>
        <v>93</v>
      </c>
      <c r="S15">
        <f>R15+Original!S15</f>
        <v>100</v>
      </c>
      <c r="T15">
        <f>S15+Original!T15</f>
        <v>102</v>
      </c>
      <c r="U15">
        <f>T15+Original!U15</f>
        <v>110</v>
      </c>
      <c r="V15">
        <f>U15+Original!V15</f>
        <v>112</v>
      </c>
      <c r="W15">
        <f>V15+Original!W15</f>
        <v>112</v>
      </c>
      <c r="X15">
        <f>W15+Original!X15</f>
        <v>114</v>
      </c>
      <c r="Y15">
        <f>X15+Original!Y15</f>
        <v>127</v>
      </c>
      <c r="Z15">
        <f>Y15+Original!Z15</f>
        <v>129</v>
      </c>
      <c r="AA15">
        <f>Z15+Original!AA15</f>
        <v>135</v>
      </c>
      <c r="AB15">
        <f>AA15+Original!AB15</f>
        <v>135</v>
      </c>
      <c r="AC15">
        <f>AB15+Original!AC15</f>
        <v>135</v>
      </c>
      <c r="AD15">
        <f>AC15+Original!AD15</f>
        <v>141</v>
      </c>
      <c r="AE15">
        <f>AD15+Original!AE15</f>
        <v>154</v>
      </c>
      <c r="AF15">
        <f>AE15+Original!AF15</f>
        <v>154</v>
      </c>
      <c r="AG15">
        <f>AF15+Original!AG15</f>
        <v>154</v>
      </c>
      <c r="AH15">
        <f>AG15+Original!AH15</f>
        <v>154</v>
      </c>
      <c r="AI15">
        <f>AH15+Original!AI15</f>
        <v>154</v>
      </c>
      <c r="AJ15">
        <f>AI15+Original!AJ15</f>
        <v>154</v>
      </c>
      <c r="AK15">
        <f>AJ15+Original!AK15</f>
        <v>154</v>
      </c>
      <c r="AL15">
        <f>AK15+Original!AL15</f>
        <v>154</v>
      </c>
      <c r="AM15">
        <f>AL15+Original!AM15</f>
        <v>154</v>
      </c>
      <c r="AN15">
        <f>AM15+Original!AN15</f>
        <v>154</v>
      </c>
      <c r="AO15">
        <f>AN15+Original!AO15</f>
        <v>154</v>
      </c>
      <c r="AP15">
        <f>AO15+Original!AP15</f>
        <v>154</v>
      </c>
      <c r="AQ15">
        <f>AP15+Original!AQ15</f>
        <v>154</v>
      </c>
      <c r="AR15">
        <f>AQ15+Original!AR15</f>
        <v>154</v>
      </c>
      <c r="AS15">
        <f>AR15+Original!AS15</f>
        <v>154</v>
      </c>
      <c r="AT15">
        <f>AS15+Original!AT15</f>
        <v>154</v>
      </c>
      <c r="AU15">
        <f>AT15+Original!AU15</f>
        <v>154</v>
      </c>
      <c r="AV15">
        <f>AU15+Original!AV15</f>
        <v>154</v>
      </c>
      <c r="AW15">
        <f>AV15+Original!AW15</f>
        <v>154</v>
      </c>
      <c r="AX15">
        <f>AW15+Original!AX15</f>
        <v>154</v>
      </c>
      <c r="AY15">
        <f>AX15+Original!AY15</f>
        <v>154</v>
      </c>
      <c r="AZ15">
        <f>AY15+Original!AZ15</f>
        <v>154</v>
      </c>
      <c r="BA15">
        <f>AZ15+Original!BA15</f>
        <v>154</v>
      </c>
      <c r="BB15">
        <f>BA15+Original!BB15</f>
        <v>154</v>
      </c>
      <c r="BC15">
        <f>BB15+Original!BC15</f>
        <v>154</v>
      </c>
      <c r="BD15">
        <f>BC15+Original!BD15</f>
        <v>154</v>
      </c>
      <c r="BE15">
        <f>BD15+Original!BE15</f>
        <v>154</v>
      </c>
      <c r="BF15">
        <f>BE15+Original!BF15</f>
        <v>154</v>
      </c>
      <c r="BG15">
        <f>BF15+Original!BG15</f>
        <v>154</v>
      </c>
      <c r="BH15">
        <f>BG15+Original!BH15</f>
        <v>154</v>
      </c>
      <c r="BI15">
        <f>BH15+Original!BI15</f>
        <v>154</v>
      </c>
      <c r="BJ15">
        <f>BI15+Original!BJ15</f>
        <v>154</v>
      </c>
      <c r="BK15">
        <f>BJ15+Original!BK15</f>
        <v>154</v>
      </c>
      <c r="BL15">
        <f>BK15+Original!BL15</f>
        <v>154</v>
      </c>
      <c r="BM15">
        <f>BL15+Original!BM15</f>
        <v>154</v>
      </c>
      <c r="BN15">
        <f>BM15+Original!BN15</f>
        <v>154</v>
      </c>
      <c r="BO15">
        <f>BN15+Original!BO15</f>
        <v>154</v>
      </c>
      <c r="BP15">
        <f>BO15+Original!BP15</f>
        <v>154</v>
      </c>
      <c r="BQ15">
        <f>BP15+Original!BQ15</f>
        <v>154</v>
      </c>
      <c r="BR15">
        <f>BQ15+Original!BR15</f>
        <v>154</v>
      </c>
      <c r="BS15">
        <f>BR15+Original!BS15</f>
        <v>154</v>
      </c>
      <c r="BT15">
        <f>BS15+Original!BT15</f>
        <v>154</v>
      </c>
      <c r="BU15">
        <f>BT15+Original!BU15</f>
        <v>154</v>
      </c>
      <c r="BV15">
        <f>BU15+Original!BV15</f>
        <v>154</v>
      </c>
      <c r="BW15">
        <f>BV15+Original!BW15</f>
        <v>154</v>
      </c>
    </row>
    <row r="16" spans="1:75" x14ac:dyDescent="0.25">
      <c r="A16" t="str">
        <f>Original!A16</f>
        <v>Alexandre Saback 2</v>
      </c>
      <c r="B16">
        <f>Original!B16</f>
        <v>153</v>
      </c>
      <c r="C16">
        <f>Original!C16</f>
        <v>13</v>
      </c>
      <c r="D16">
        <f>C16+Original!D16</f>
        <v>19</v>
      </c>
      <c r="E16">
        <f>D16+Original!E16</f>
        <v>32</v>
      </c>
      <c r="F16">
        <f>E16+Original!F16</f>
        <v>34</v>
      </c>
      <c r="G16">
        <f>F16+Original!G16</f>
        <v>34</v>
      </c>
      <c r="H16">
        <f>G16+Original!H16</f>
        <v>36</v>
      </c>
      <c r="I16">
        <f>H16+Original!I16</f>
        <v>42</v>
      </c>
      <c r="J16">
        <f>I16+Original!J16</f>
        <v>48</v>
      </c>
      <c r="K16">
        <f>J16+Original!K16</f>
        <v>50</v>
      </c>
      <c r="L16">
        <f>K16+Original!L16</f>
        <v>50</v>
      </c>
      <c r="M16">
        <f>L16+Original!M16</f>
        <v>56</v>
      </c>
      <c r="N16">
        <f>M16+Original!N16</f>
        <v>64</v>
      </c>
      <c r="O16">
        <f>N16+Original!O16</f>
        <v>77</v>
      </c>
      <c r="P16">
        <f>O16+Original!P16</f>
        <v>79</v>
      </c>
      <c r="Q16">
        <f>P16+Original!Q16</f>
        <v>85</v>
      </c>
      <c r="R16">
        <f>Q16+Original!R16</f>
        <v>93</v>
      </c>
      <c r="S16">
        <f>R16+Original!S16</f>
        <v>93</v>
      </c>
      <c r="T16">
        <f>S16+Original!T16</f>
        <v>95</v>
      </c>
      <c r="U16">
        <f>T16+Original!U16</f>
        <v>101</v>
      </c>
      <c r="V16">
        <f>U16+Original!V16</f>
        <v>101</v>
      </c>
      <c r="W16">
        <f>V16+Original!W16</f>
        <v>103</v>
      </c>
      <c r="X16">
        <f>W16+Original!X16</f>
        <v>105</v>
      </c>
      <c r="Y16">
        <f>X16+Original!Y16</f>
        <v>118</v>
      </c>
      <c r="Z16">
        <f>Y16+Original!Z16</f>
        <v>126</v>
      </c>
      <c r="AA16">
        <f>Z16+Original!AA16</f>
        <v>132</v>
      </c>
      <c r="AB16">
        <f>AA16+Original!AB16</f>
        <v>145</v>
      </c>
      <c r="AC16">
        <f>AB16+Original!AC16</f>
        <v>145</v>
      </c>
      <c r="AD16">
        <f>AC16+Original!AD16</f>
        <v>153</v>
      </c>
      <c r="AE16">
        <f>AD16+Original!AE16</f>
        <v>153</v>
      </c>
      <c r="AF16">
        <f>AE16+Original!AF16</f>
        <v>153</v>
      </c>
      <c r="AG16">
        <f>AF16+Original!AG16</f>
        <v>153</v>
      </c>
      <c r="AH16">
        <f>AG16+Original!AH16</f>
        <v>153</v>
      </c>
      <c r="AI16">
        <f>AH16+Original!AI16</f>
        <v>153</v>
      </c>
      <c r="AJ16">
        <f>AI16+Original!AJ16</f>
        <v>153</v>
      </c>
      <c r="AK16">
        <f>AJ16+Original!AK16</f>
        <v>153</v>
      </c>
      <c r="AL16">
        <f>AK16+Original!AL16</f>
        <v>153</v>
      </c>
      <c r="AM16">
        <f>AL16+Original!AM16</f>
        <v>153</v>
      </c>
      <c r="AN16">
        <f>AM16+Original!AN16</f>
        <v>153</v>
      </c>
      <c r="AO16">
        <f>AN16+Original!AO16</f>
        <v>153</v>
      </c>
      <c r="AP16">
        <f>AO16+Original!AP16</f>
        <v>153</v>
      </c>
      <c r="AQ16">
        <f>AP16+Original!AQ16</f>
        <v>153</v>
      </c>
      <c r="AR16">
        <f>AQ16+Original!AR16</f>
        <v>153</v>
      </c>
      <c r="AS16">
        <f>AR16+Original!AS16</f>
        <v>153</v>
      </c>
      <c r="AT16">
        <f>AS16+Original!AT16</f>
        <v>153</v>
      </c>
      <c r="AU16">
        <f>AT16+Original!AU16</f>
        <v>153</v>
      </c>
      <c r="AV16">
        <f>AU16+Original!AV16</f>
        <v>153</v>
      </c>
      <c r="AW16">
        <f>AV16+Original!AW16</f>
        <v>153</v>
      </c>
      <c r="AX16">
        <f>AW16+Original!AX16</f>
        <v>153</v>
      </c>
      <c r="AY16">
        <f>AX16+Original!AY16</f>
        <v>153</v>
      </c>
      <c r="AZ16">
        <f>AY16+Original!AZ16</f>
        <v>153</v>
      </c>
      <c r="BA16">
        <f>AZ16+Original!BA16</f>
        <v>153</v>
      </c>
      <c r="BB16">
        <f>BA16+Original!BB16</f>
        <v>153</v>
      </c>
      <c r="BC16">
        <f>BB16+Original!BC16</f>
        <v>153</v>
      </c>
      <c r="BD16">
        <f>BC16+Original!BD16</f>
        <v>153</v>
      </c>
      <c r="BE16">
        <f>BD16+Original!BE16</f>
        <v>153</v>
      </c>
      <c r="BF16">
        <f>BE16+Original!BF16</f>
        <v>153</v>
      </c>
      <c r="BG16">
        <f>BF16+Original!BG16</f>
        <v>153</v>
      </c>
      <c r="BH16">
        <f>BG16+Original!BH16</f>
        <v>153</v>
      </c>
      <c r="BI16">
        <f>BH16+Original!BI16</f>
        <v>153</v>
      </c>
      <c r="BJ16">
        <f>BI16+Original!BJ16</f>
        <v>153</v>
      </c>
      <c r="BK16">
        <f>BJ16+Original!BK16</f>
        <v>153</v>
      </c>
      <c r="BL16">
        <f>BK16+Original!BL16</f>
        <v>153</v>
      </c>
      <c r="BM16">
        <f>BL16+Original!BM16</f>
        <v>153</v>
      </c>
      <c r="BN16">
        <f>BM16+Original!BN16</f>
        <v>153</v>
      </c>
      <c r="BO16">
        <f>BN16+Original!BO16</f>
        <v>153</v>
      </c>
      <c r="BP16">
        <f>BO16+Original!BP16</f>
        <v>153</v>
      </c>
      <c r="BQ16">
        <f>BP16+Original!BQ16</f>
        <v>153</v>
      </c>
      <c r="BR16">
        <f>BQ16+Original!BR16</f>
        <v>153</v>
      </c>
      <c r="BS16">
        <f>BR16+Original!BS16</f>
        <v>153</v>
      </c>
      <c r="BT16">
        <f>BS16+Original!BT16</f>
        <v>153</v>
      </c>
      <c r="BU16">
        <f>BT16+Original!BU16</f>
        <v>153</v>
      </c>
      <c r="BV16">
        <f>BU16+Original!BV16</f>
        <v>153</v>
      </c>
      <c r="BW16">
        <f>BV16+Original!BW16</f>
        <v>153</v>
      </c>
    </row>
    <row r="17" spans="1:75" x14ac:dyDescent="0.25">
      <c r="A17" t="str">
        <f>Original!A17</f>
        <v>Heraldo Gouvêa</v>
      </c>
      <c r="B17">
        <f>Original!B17</f>
        <v>152</v>
      </c>
      <c r="C17">
        <f>Original!C17</f>
        <v>8</v>
      </c>
      <c r="D17">
        <f>C17+Original!D17</f>
        <v>14</v>
      </c>
      <c r="E17">
        <f>D17+Original!E17</f>
        <v>27</v>
      </c>
      <c r="F17">
        <f>E17+Original!F17</f>
        <v>29</v>
      </c>
      <c r="G17">
        <f>F17+Original!G17</f>
        <v>29</v>
      </c>
      <c r="H17">
        <f>G17+Original!H17</f>
        <v>31</v>
      </c>
      <c r="I17">
        <f>H17+Original!I17</f>
        <v>37</v>
      </c>
      <c r="J17">
        <f>I17+Original!J17</f>
        <v>43</v>
      </c>
      <c r="K17">
        <f>J17+Original!K17</f>
        <v>45</v>
      </c>
      <c r="L17">
        <f>K17+Original!L17</f>
        <v>47</v>
      </c>
      <c r="M17">
        <f>L17+Original!M17</f>
        <v>55</v>
      </c>
      <c r="N17">
        <f>M17+Original!N17</f>
        <v>63</v>
      </c>
      <c r="O17">
        <f>N17+Original!O17</f>
        <v>76</v>
      </c>
      <c r="P17">
        <f>O17+Original!P17</f>
        <v>78</v>
      </c>
      <c r="Q17">
        <f>P17+Original!Q17</f>
        <v>84</v>
      </c>
      <c r="R17">
        <f>Q17+Original!R17</f>
        <v>97</v>
      </c>
      <c r="S17">
        <f>R17+Original!S17</f>
        <v>97</v>
      </c>
      <c r="T17">
        <f>S17+Original!T17</f>
        <v>97</v>
      </c>
      <c r="U17">
        <f>T17+Original!U17</f>
        <v>103</v>
      </c>
      <c r="V17">
        <f>U17+Original!V17</f>
        <v>105</v>
      </c>
      <c r="W17">
        <f>V17+Original!W17</f>
        <v>107</v>
      </c>
      <c r="X17">
        <f>W17+Original!X17</f>
        <v>109</v>
      </c>
      <c r="Y17">
        <f>X17+Original!Y17</f>
        <v>117</v>
      </c>
      <c r="Z17">
        <f>Y17+Original!Z17</f>
        <v>130</v>
      </c>
      <c r="AA17">
        <f>Z17+Original!AA17</f>
        <v>138</v>
      </c>
      <c r="AB17">
        <f>AA17+Original!AB17</f>
        <v>140</v>
      </c>
      <c r="AC17">
        <f>AB17+Original!AC17</f>
        <v>140</v>
      </c>
      <c r="AD17">
        <f>AC17+Original!AD17</f>
        <v>146</v>
      </c>
      <c r="AE17">
        <f>AD17+Original!AE17</f>
        <v>152</v>
      </c>
      <c r="AF17">
        <f>AE17+Original!AF17</f>
        <v>152</v>
      </c>
      <c r="AG17">
        <f>AF17+Original!AG17</f>
        <v>152</v>
      </c>
      <c r="AH17">
        <f>AG17+Original!AH17</f>
        <v>152</v>
      </c>
      <c r="AI17">
        <f>AH17+Original!AI17</f>
        <v>152</v>
      </c>
      <c r="AJ17">
        <f>AI17+Original!AJ17</f>
        <v>152</v>
      </c>
      <c r="AK17">
        <f>AJ17+Original!AK17</f>
        <v>152</v>
      </c>
      <c r="AL17">
        <f>AK17+Original!AL17</f>
        <v>152</v>
      </c>
      <c r="AM17">
        <f>AL17+Original!AM17</f>
        <v>152</v>
      </c>
      <c r="AN17">
        <f>AM17+Original!AN17</f>
        <v>152</v>
      </c>
      <c r="AO17">
        <f>AN17+Original!AO17</f>
        <v>152</v>
      </c>
      <c r="AP17">
        <f>AO17+Original!AP17</f>
        <v>152</v>
      </c>
      <c r="AQ17">
        <f>AP17+Original!AQ17</f>
        <v>152</v>
      </c>
      <c r="AR17">
        <f>AQ17+Original!AR17</f>
        <v>152</v>
      </c>
      <c r="AS17">
        <f>AR17+Original!AS17</f>
        <v>152</v>
      </c>
      <c r="AT17">
        <f>AS17+Original!AT17</f>
        <v>152</v>
      </c>
      <c r="AU17">
        <f>AT17+Original!AU17</f>
        <v>152</v>
      </c>
      <c r="AV17">
        <f>AU17+Original!AV17</f>
        <v>152</v>
      </c>
      <c r="AW17">
        <f>AV17+Original!AW17</f>
        <v>152</v>
      </c>
      <c r="AX17">
        <f>AW17+Original!AX17</f>
        <v>152</v>
      </c>
      <c r="AY17">
        <f>AX17+Original!AY17</f>
        <v>152</v>
      </c>
      <c r="AZ17">
        <f>AY17+Original!AZ17</f>
        <v>152</v>
      </c>
      <c r="BA17">
        <f>AZ17+Original!BA17</f>
        <v>152</v>
      </c>
      <c r="BB17">
        <f>BA17+Original!BB17</f>
        <v>152</v>
      </c>
      <c r="BC17">
        <f>BB17+Original!BC17</f>
        <v>152</v>
      </c>
      <c r="BD17">
        <f>BC17+Original!BD17</f>
        <v>152</v>
      </c>
      <c r="BE17">
        <f>BD17+Original!BE17</f>
        <v>152</v>
      </c>
      <c r="BF17">
        <f>BE17+Original!BF17</f>
        <v>152</v>
      </c>
      <c r="BG17">
        <f>BF17+Original!BG17</f>
        <v>152</v>
      </c>
      <c r="BH17">
        <f>BG17+Original!BH17</f>
        <v>152</v>
      </c>
      <c r="BI17">
        <f>BH17+Original!BI17</f>
        <v>152</v>
      </c>
      <c r="BJ17">
        <f>BI17+Original!BJ17</f>
        <v>152</v>
      </c>
      <c r="BK17">
        <f>BJ17+Original!BK17</f>
        <v>152</v>
      </c>
      <c r="BL17">
        <f>BK17+Original!BL17</f>
        <v>152</v>
      </c>
      <c r="BM17">
        <f>BL17+Original!BM17</f>
        <v>152</v>
      </c>
      <c r="BN17">
        <f>BM17+Original!BN17</f>
        <v>152</v>
      </c>
      <c r="BO17">
        <f>BN17+Original!BO17</f>
        <v>152</v>
      </c>
      <c r="BP17">
        <f>BO17+Original!BP17</f>
        <v>152</v>
      </c>
      <c r="BQ17">
        <f>BP17+Original!BQ17</f>
        <v>152</v>
      </c>
      <c r="BR17">
        <f>BQ17+Original!BR17</f>
        <v>152</v>
      </c>
      <c r="BS17">
        <f>BR17+Original!BS17</f>
        <v>152</v>
      </c>
      <c r="BT17">
        <f>BS17+Original!BT17</f>
        <v>152</v>
      </c>
      <c r="BU17">
        <f>BT17+Original!BU17</f>
        <v>152</v>
      </c>
      <c r="BV17">
        <f>BU17+Original!BV17</f>
        <v>152</v>
      </c>
      <c r="BW17">
        <f>BV17+Original!BW17</f>
        <v>152</v>
      </c>
    </row>
    <row r="18" spans="1:75" x14ac:dyDescent="0.25">
      <c r="A18" t="str">
        <f>Original!A18</f>
        <v>Fabiano Fonseca</v>
      </c>
      <c r="B18">
        <f>Original!B18</f>
        <v>151</v>
      </c>
      <c r="C18">
        <f>Original!C18</f>
        <v>8</v>
      </c>
      <c r="D18">
        <f>C18+Original!D18</f>
        <v>14</v>
      </c>
      <c r="E18">
        <f>D18+Original!E18</f>
        <v>22</v>
      </c>
      <c r="F18">
        <f>E18+Original!F18</f>
        <v>35</v>
      </c>
      <c r="G18">
        <f>F18+Original!G18</f>
        <v>35</v>
      </c>
      <c r="H18">
        <f>G18+Original!H18</f>
        <v>37</v>
      </c>
      <c r="I18">
        <f>H18+Original!I18</f>
        <v>37</v>
      </c>
      <c r="J18">
        <f>I18+Original!J18</f>
        <v>43</v>
      </c>
      <c r="K18">
        <f>J18+Original!K18</f>
        <v>43</v>
      </c>
      <c r="L18">
        <f>K18+Original!L18</f>
        <v>43</v>
      </c>
      <c r="M18">
        <f>L18+Original!M18</f>
        <v>51</v>
      </c>
      <c r="N18">
        <f>M18+Original!N18</f>
        <v>59</v>
      </c>
      <c r="O18">
        <f>N18+Original!O18</f>
        <v>67</v>
      </c>
      <c r="P18">
        <f>O18+Original!P18</f>
        <v>67</v>
      </c>
      <c r="Q18">
        <f>P18+Original!Q18</f>
        <v>73</v>
      </c>
      <c r="R18">
        <f>Q18+Original!R18</f>
        <v>86</v>
      </c>
      <c r="S18">
        <f>R18+Original!S18</f>
        <v>93</v>
      </c>
      <c r="T18">
        <f>S18+Original!T18</f>
        <v>93</v>
      </c>
      <c r="U18">
        <f>T18+Original!U18</f>
        <v>99</v>
      </c>
      <c r="V18">
        <f>U18+Original!V18</f>
        <v>101</v>
      </c>
      <c r="W18">
        <f>V18+Original!W18</f>
        <v>103</v>
      </c>
      <c r="X18">
        <f>W18+Original!X18</f>
        <v>105</v>
      </c>
      <c r="Y18">
        <f>X18+Original!Y18</f>
        <v>118</v>
      </c>
      <c r="Z18">
        <f>Y18+Original!Z18</f>
        <v>131</v>
      </c>
      <c r="AA18">
        <f>Z18+Original!AA18</f>
        <v>139</v>
      </c>
      <c r="AB18">
        <f>AA18+Original!AB18</f>
        <v>141</v>
      </c>
      <c r="AC18">
        <f>AB18+Original!AC18</f>
        <v>141</v>
      </c>
      <c r="AD18">
        <f>AC18+Original!AD18</f>
        <v>149</v>
      </c>
      <c r="AE18">
        <f>AD18+Original!AE18</f>
        <v>151</v>
      </c>
      <c r="AF18">
        <f>AE18+Original!AF18</f>
        <v>151</v>
      </c>
      <c r="AG18">
        <f>AF18+Original!AG18</f>
        <v>151</v>
      </c>
      <c r="AH18">
        <f>AG18+Original!AH18</f>
        <v>151</v>
      </c>
      <c r="AI18">
        <f>AH18+Original!AI18</f>
        <v>151</v>
      </c>
      <c r="AJ18">
        <f>AI18+Original!AJ18</f>
        <v>151</v>
      </c>
      <c r="AK18">
        <f>AJ18+Original!AK18</f>
        <v>151</v>
      </c>
      <c r="AL18">
        <f>AK18+Original!AL18</f>
        <v>151</v>
      </c>
      <c r="AM18">
        <f>AL18+Original!AM18</f>
        <v>151</v>
      </c>
      <c r="AN18">
        <f>AM18+Original!AN18</f>
        <v>151</v>
      </c>
      <c r="AO18">
        <f>AN18+Original!AO18</f>
        <v>151</v>
      </c>
      <c r="AP18">
        <f>AO18+Original!AP18</f>
        <v>151</v>
      </c>
      <c r="AQ18">
        <f>AP18+Original!AQ18</f>
        <v>151</v>
      </c>
      <c r="AR18">
        <f>AQ18+Original!AR18</f>
        <v>151</v>
      </c>
      <c r="AS18">
        <f>AR18+Original!AS18</f>
        <v>151</v>
      </c>
      <c r="AT18">
        <f>AS18+Original!AT18</f>
        <v>151</v>
      </c>
      <c r="AU18">
        <f>AT18+Original!AU18</f>
        <v>151</v>
      </c>
      <c r="AV18">
        <f>AU18+Original!AV18</f>
        <v>151</v>
      </c>
      <c r="AW18">
        <f>AV18+Original!AW18</f>
        <v>151</v>
      </c>
      <c r="AX18">
        <f>AW18+Original!AX18</f>
        <v>151</v>
      </c>
      <c r="AY18">
        <f>AX18+Original!AY18</f>
        <v>151</v>
      </c>
      <c r="AZ18">
        <f>AY18+Original!AZ18</f>
        <v>151</v>
      </c>
      <c r="BA18">
        <f>AZ18+Original!BA18</f>
        <v>151</v>
      </c>
      <c r="BB18">
        <f>BA18+Original!BB18</f>
        <v>151</v>
      </c>
      <c r="BC18">
        <f>BB18+Original!BC18</f>
        <v>151</v>
      </c>
      <c r="BD18">
        <f>BC18+Original!BD18</f>
        <v>151</v>
      </c>
      <c r="BE18">
        <f>BD18+Original!BE18</f>
        <v>151</v>
      </c>
      <c r="BF18">
        <f>BE18+Original!BF18</f>
        <v>151</v>
      </c>
      <c r="BG18">
        <f>BF18+Original!BG18</f>
        <v>151</v>
      </c>
      <c r="BH18">
        <f>BG18+Original!BH18</f>
        <v>151</v>
      </c>
      <c r="BI18">
        <f>BH18+Original!BI18</f>
        <v>151</v>
      </c>
      <c r="BJ18">
        <f>BI18+Original!BJ18</f>
        <v>151</v>
      </c>
      <c r="BK18">
        <f>BJ18+Original!BK18</f>
        <v>151</v>
      </c>
      <c r="BL18">
        <f>BK18+Original!BL18</f>
        <v>151</v>
      </c>
      <c r="BM18">
        <f>BL18+Original!BM18</f>
        <v>151</v>
      </c>
      <c r="BN18">
        <f>BM18+Original!BN18</f>
        <v>151</v>
      </c>
      <c r="BO18">
        <f>BN18+Original!BO18</f>
        <v>151</v>
      </c>
      <c r="BP18">
        <f>BO18+Original!BP18</f>
        <v>151</v>
      </c>
      <c r="BQ18">
        <f>BP18+Original!BQ18</f>
        <v>151</v>
      </c>
      <c r="BR18">
        <f>BQ18+Original!BR18</f>
        <v>151</v>
      </c>
      <c r="BS18">
        <f>BR18+Original!BS18</f>
        <v>151</v>
      </c>
      <c r="BT18">
        <f>BS18+Original!BT18</f>
        <v>151</v>
      </c>
      <c r="BU18">
        <f>BT18+Original!BU18</f>
        <v>151</v>
      </c>
      <c r="BV18">
        <f>BU18+Original!BV18</f>
        <v>151</v>
      </c>
      <c r="BW18">
        <f>BV18+Original!BW18</f>
        <v>151</v>
      </c>
    </row>
    <row r="19" spans="1:75" x14ac:dyDescent="0.25">
      <c r="A19" t="str">
        <f>Original!A19</f>
        <v>Juliana Fiuza</v>
      </c>
      <c r="B19">
        <f>Original!B19</f>
        <v>151</v>
      </c>
      <c r="C19">
        <f>Original!C19</f>
        <v>13</v>
      </c>
      <c r="D19">
        <f>C19+Original!D19</f>
        <v>19</v>
      </c>
      <c r="E19">
        <f>D19+Original!E19</f>
        <v>27</v>
      </c>
      <c r="F19">
        <f>E19+Original!F19</f>
        <v>29</v>
      </c>
      <c r="G19">
        <f>F19+Original!G19</f>
        <v>29</v>
      </c>
      <c r="H19">
        <f>G19+Original!H19</f>
        <v>31</v>
      </c>
      <c r="I19">
        <f>H19+Original!I19</f>
        <v>33</v>
      </c>
      <c r="J19">
        <f>I19+Original!J19</f>
        <v>39</v>
      </c>
      <c r="K19">
        <f>J19+Original!K19</f>
        <v>41</v>
      </c>
      <c r="L19">
        <f>K19+Original!L19</f>
        <v>41</v>
      </c>
      <c r="M19">
        <f>L19+Original!M19</f>
        <v>49</v>
      </c>
      <c r="N19">
        <f>M19+Original!N19</f>
        <v>55</v>
      </c>
      <c r="O19">
        <f>N19+Original!O19</f>
        <v>68</v>
      </c>
      <c r="P19">
        <f>O19+Original!P19</f>
        <v>70</v>
      </c>
      <c r="Q19">
        <f>P19+Original!Q19</f>
        <v>76</v>
      </c>
      <c r="R19">
        <f>Q19+Original!R19</f>
        <v>84</v>
      </c>
      <c r="S19">
        <f>R19+Original!S19</f>
        <v>84</v>
      </c>
      <c r="T19">
        <f>S19+Original!T19</f>
        <v>92</v>
      </c>
      <c r="U19">
        <f>T19+Original!U19</f>
        <v>98</v>
      </c>
      <c r="V19">
        <f>U19+Original!V19</f>
        <v>111</v>
      </c>
      <c r="W19">
        <f>V19+Original!W19</f>
        <v>113</v>
      </c>
      <c r="X19">
        <f>W19+Original!X19</f>
        <v>115</v>
      </c>
      <c r="Y19">
        <f>X19+Original!Y19</f>
        <v>123</v>
      </c>
      <c r="Z19">
        <f>Y19+Original!Z19</f>
        <v>129</v>
      </c>
      <c r="AA19">
        <f>Z19+Original!AA19</f>
        <v>137</v>
      </c>
      <c r="AB19">
        <f>AA19+Original!AB19</f>
        <v>139</v>
      </c>
      <c r="AC19">
        <f>AB19+Original!AC19</f>
        <v>139</v>
      </c>
      <c r="AD19">
        <f>AC19+Original!AD19</f>
        <v>145</v>
      </c>
      <c r="AE19">
        <f>AD19+Original!AE19</f>
        <v>151</v>
      </c>
      <c r="AF19">
        <f>AE19+Original!AF19</f>
        <v>151</v>
      </c>
      <c r="AG19">
        <f>AF19+Original!AG19</f>
        <v>151</v>
      </c>
      <c r="AH19">
        <f>AG19+Original!AH19</f>
        <v>151</v>
      </c>
      <c r="AI19">
        <f>AH19+Original!AI19</f>
        <v>151</v>
      </c>
      <c r="AJ19">
        <f>AI19+Original!AJ19</f>
        <v>151</v>
      </c>
      <c r="AK19">
        <f>AJ19+Original!AK19</f>
        <v>151</v>
      </c>
      <c r="AL19">
        <f>AK19+Original!AL19</f>
        <v>151</v>
      </c>
      <c r="AM19">
        <f>AL19+Original!AM19</f>
        <v>151</v>
      </c>
      <c r="AN19">
        <f>AM19+Original!AN19</f>
        <v>151</v>
      </c>
      <c r="AO19">
        <f>AN19+Original!AO19</f>
        <v>151</v>
      </c>
      <c r="AP19">
        <f>AO19+Original!AP19</f>
        <v>151</v>
      </c>
      <c r="AQ19">
        <f>AP19+Original!AQ19</f>
        <v>151</v>
      </c>
      <c r="AR19">
        <f>AQ19+Original!AR19</f>
        <v>151</v>
      </c>
      <c r="AS19">
        <f>AR19+Original!AS19</f>
        <v>151</v>
      </c>
      <c r="AT19">
        <f>AS19+Original!AT19</f>
        <v>151</v>
      </c>
      <c r="AU19">
        <f>AT19+Original!AU19</f>
        <v>151</v>
      </c>
      <c r="AV19">
        <f>AU19+Original!AV19</f>
        <v>151</v>
      </c>
      <c r="AW19">
        <f>AV19+Original!AW19</f>
        <v>151</v>
      </c>
      <c r="AX19">
        <f>AW19+Original!AX19</f>
        <v>151</v>
      </c>
      <c r="AY19">
        <f>AX19+Original!AY19</f>
        <v>151</v>
      </c>
      <c r="AZ19">
        <f>AY19+Original!AZ19</f>
        <v>151</v>
      </c>
      <c r="BA19">
        <f>AZ19+Original!BA19</f>
        <v>151</v>
      </c>
      <c r="BB19">
        <f>BA19+Original!BB19</f>
        <v>151</v>
      </c>
      <c r="BC19">
        <f>BB19+Original!BC19</f>
        <v>151</v>
      </c>
      <c r="BD19">
        <f>BC19+Original!BD19</f>
        <v>151</v>
      </c>
      <c r="BE19">
        <f>BD19+Original!BE19</f>
        <v>151</v>
      </c>
      <c r="BF19">
        <f>BE19+Original!BF19</f>
        <v>151</v>
      </c>
      <c r="BG19">
        <f>BF19+Original!BG19</f>
        <v>151</v>
      </c>
      <c r="BH19">
        <f>BG19+Original!BH19</f>
        <v>151</v>
      </c>
      <c r="BI19">
        <f>BH19+Original!BI19</f>
        <v>151</v>
      </c>
      <c r="BJ19">
        <f>BI19+Original!BJ19</f>
        <v>151</v>
      </c>
      <c r="BK19">
        <f>BJ19+Original!BK19</f>
        <v>151</v>
      </c>
      <c r="BL19">
        <f>BK19+Original!BL19</f>
        <v>151</v>
      </c>
      <c r="BM19">
        <f>BL19+Original!BM19</f>
        <v>151</v>
      </c>
      <c r="BN19">
        <f>BM19+Original!BN19</f>
        <v>151</v>
      </c>
      <c r="BO19">
        <f>BN19+Original!BO19</f>
        <v>151</v>
      </c>
      <c r="BP19">
        <f>BO19+Original!BP19</f>
        <v>151</v>
      </c>
      <c r="BQ19">
        <f>BP19+Original!BQ19</f>
        <v>151</v>
      </c>
      <c r="BR19">
        <f>BQ19+Original!BR19</f>
        <v>151</v>
      </c>
      <c r="BS19">
        <f>BR19+Original!BS19</f>
        <v>151</v>
      </c>
      <c r="BT19">
        <f>BS19+Original!BT19</f>
        <v>151</v>
      </c>
      <c r="BU19">
        <f>BT19+Original!BU19</f>
        <v>151</v>
      </c>
      <c r="BV19">
        <f>BU19+Original!BV19</f>
        <v>151</v>
      </c>
      <c r="BW19">
        <f>BV19+Original!BW19</f>
        <v>151</v>
      </c>
    </row>
    <row r="20" spans="1:75" x14ac:dyDescent="0.25">
      <c r="A20" t="str">
        <f>Original!A20</f>
        <v>Luis Moreno Munoz</v>
      </c>
      <c r="B20">
        <f>Original!B20</f>
        <v>151</v>
      </c>
      <c r="C20">
        <f>Original!C20</f>
        <v>8</v>
      </c>
      <c r="D20">
        <f>C20+Original!D20</f>
        <v>14</v>
      </c>
      <c r="E20">
        <f>D20+Original!E20</f>
        <v>22</v>
      </c>
      <c r="F20">
        <f>E20+Original!F20</f>
        <v>35</v>
      </c>
      <c r="G20">
        <f>F20+Original!G20</f>
        <v>35</v>
      </c>
      <c r="H20">
        <f>G20+Original!H20</f>
        <v>37</v>
      </c>
      <c r="I20">
        <f>H20+Original!I20</f>
        <v>43</v>
      </c>
      <c r="J20">
        <f>I20+Original!J20</f>
        <v>51</v>
      </c>
      <c r="K20">
        <f>J20+Original!K20</f>
        <v>53</v>
      </c>
      <c r="L20">
        <f>K20+Original!L20</f>
        <v>53</v>
      </c>
      <c r="M20">
        <f>L20+Original!M20</f>
        <v>61</v>
      </c>
      <c r="N20">
        <f>M20+Original!N20</f>
        <v>69</v>
      </c>
      <c r="O20">
        <f>N20+Original!O20</f>
        <v>71</v>
      </c>
      <c r="P20">
        <f>O20+Original!P20</f>
        <v>77</v>
      </c>
      <c r="Q20">
        <f>P20+Original!Q20</f>
        <v>83</v>
      </c>
      <c r="R20">
        <f>Q20+Original!R20</f>
        <v>91</v>
      </c>
      <c r="S20">
        <f>R20+Original!S20</f>
        <v>91</v>
      </c>
      <c r="T20">
        <f>S20+Original!T20</f>
        <v>91</v>
      </c>
      <c r="U20">
        <f>T20+Original!U20</f>
        <v>97</v>
      </c>
      <c r="V20">
        <f>U20+Original!V20</f>
        <v>110</v>
      </c>
      <c r="W20">
        <f>V20+Original!W20</f>
        <v>110</v>
      </c>
      <c r="X20">
        <f>W20+Original!X20</f>
        <v>123</v>
      </c>
      <c r="Y20">
        <f>X20+Original!Y20</f>
        <v>131</v>
      </c>
      <c r="Z20">
        <f>Y20+Original!Z20</f>
        <v>133</v>
      </c>
      <c r="AA20">
        <f>Z20+Original!AA20</f>
        <v>141</v>
      </c>
      <c r="AB20">
        <f>AA20+Original!AB20</f>
        <v>143</v>
      </c>
      <c r="AC20">
        <f>AB20+Original!AC20</f>
        <v>143</v>
      </c>
      <c r="AD20">
        <f>AC20+Original!AD20</f>
        <v>149</v>
      </c>
      <c r="AE20">
        <f>AD20+Original!AE20</f>
        <v>151</v>
      </c>
      <c r="AF20">
        <f>AE20+Original!AF20</f>
        <v>151</v>
      </c>
      <c r="AG20">
        <f>AF20+Original!AG20</f>
        <v>151</v>
      </c>
      <c r="AH20">
        <f>AG20+Original!AH20</f>
        <v>151</v>
      </c>
      <c r="AI20">
        <f>AH20+Original!AI20</f>
        <v>151</v>
      </c>
      <c r="AJ20">
        <f>AI20+Original!AJ20</f>
        <v>151</v>
      </c>
      <c r="AK20">
        <f>AJ20+Original!AK20</f>
        <v>151</v>
      </c>
      <c r="AL20">
        <f>AK20+Original!AL20</f>
        <v>151</v>
      </c>
      <c r="AM20">
        <f>AL20+Original!AM20</f>
        <v>151</v>
      </c>
      <c r="AN20">
        <f>AM20+Original!AN20</f>
        <v>151</v>
      </c>
      <c r="AO20">
        <f>AN20+Original!AO20</f>
        <v>151</v>
      </c>
      <c r="AP20">
        <f>AO20+Original!AP20</f>
        <v>151</v>
      </c>
      <c r="AQ20">
        <f>AP20+Original!AQ20</f>
        <v>151</v>
      </c>
      <c r="AR20">
        <f>AQ20+Original!AR20</f>
        <v>151</v>
      </c>
      <c r="AS20">
        <f>AR20+Original!AS20</f>
        <v>151</v>
      </c>
      <c r="AT20">
        <f>AS20+Original!AT20</f>
        <v>151</v>
      </c>
      <c r="AU20">
        <f>AT20+Original!AU20</f>
        <v>151</v>
      </c>
      <c r="AV20">
        <f>AU20+Original!AV20</f>
        <v>151</v>
      </c>
      <c r="AW20">
        <f>AV20+Original!AW20</f>
        <v>151</v>
      </c>
      <c r="AX20">
        <f>AW20+Original!AX20</f>
        <v>151</v>
      </c>
      <c r="AY20">
        <f>AX20+Original!AY20</f>
        <v>151</v>
      </c>
      <c r="AZ20">
        <f>AY20+Original!AZ20</f>
        <v>151</v>
      </c>
      <c r="BA20">
        <f>AZ20+Original!BA20</f>
        <v>151</v>
      </c>
      <c r="BB20">
        <f>BA20+Original!BB20</f>
        <v>151</v>
      </c>
      <c r="BC20">
        <f>BB20+Original!BC20</f>
        <v>151</v>
      </c>
      <c r="BD20">
        <f>BC20+Original!BD20</f>
        <v>151</v>
      </c>
      <c r="BE20">
        <f>BD20+Original!BE20</f>
        <v>151</v>
      </c>
      <c r="BF20">
        <f>BE20+Original!BF20</f>
        <v>151</v>
      </c>
      <c r="BG20">
        <f>BF20+Original!BG20</f>
        <v>151</v>
      </c>
      <c r="BH20">
        <f>BG20+Original!BH20</f>
        <v>151</v>
      </c>
      <c r="BI20">
        <f>BH20+Original!BI20</f>
        <v>151</v>
      </c>
      <c r="BJ20">
        <f>BI20+Original!BJ20</f>
        <v>151</v>
      </c>
      <c r="BK20">
        <f>BJ20+Original!BK20</f>
        <v>151</v>
      </c>
      <c r="BL20">
        <f>BK20+Original!BL20</f>
        <v>151</v>
      </c>
      <c r="BM20">
        <f>BL20+Original!BM20</f>
        <v>151</v>
      </c>
      <c r="BN20">
        <f>BM20+Original!BN20</f>
        <v>151</v>
      </c>
      <c r="BO20">
        <f>BN20+Original!BO20</f>
        <v>151</v>
      </c>
      <c r="BP20">
        <f>BO20+Original!BP20</f>
        <v>151</v>
      </c>
      <c r="BQ20">
        <f>BP20+Original!BQ20</f>
        <v>151</v>
      </c>
      <c r="BR20">
        <f>BQ20+Original!BR20</f>
        <v>151</v>
      </c>
      <c r="BS20">
        <f>BR20+Original!BS20</f>
        <v>151</v>
      </c>
      <c r="BT20">
        <f>BS20+Original!BT20</f>
        <v>151</v>
      </c>
      <c r="BU20">
        <f>BT20+Original!BU20</f>
        <v>151</v>
      </c>
      <c r="BV20">
        <f>BU20+Original!BV20</f>
        <v>151</v>
      </c>
      <c r="BW20">
        <f>BV20+Original!BW20</f>
        <v>151</v>
      </c>
    </row>
    <row r="21" spans="1:75" x14ac:dyDescent="0.25">
      <c r="A21" t="str">
        <f>Original!A21</f>
        <v>Admar</v>
      </c>
      <c r="B21">
        <f>Original!B21</f>
        <v>149</v>
      </c>
      <c r="C21">
        <f>Original!C21</f>
        <v>13</v>
      </c>
      <c r="D21">
        <f>C21+Original!D21</f>
        <v>19</v>
      </c>
      <c r="E21">
        <f>D21+Original!E21</f>
        <v>27</v>
      </c>
      <c r="F21">
        <f>E21+Original!F21</f>
        <v>29</v>
      </c>
      <c r="G21">
        <f>F21+Original!G21</f>
        <v>29</v>
      </c>
      <c r="H21">
        <f>G21+Original!H21</f>
        <v>31</v>
      </c>
      <c r="I21">
        <f>H21+Original!I21</f>
        <v>33</v>
      </c>
      <c r="J21">
        <f>I21+Original!J21</f>
        <v>41</v>
      </c>
      <c r="K21">
        <f>J21+Original!K21</f>
        <v>43</v>
      </c>
      <c r="L21">
        <f>K21+Original!L21</f>
        <v>43</v>
      </c>
      <c r="M21">
        <f>L21+Original!M21</f>
        <v>51</v>
      </c>
      <c r="N21">
        <f>M21+Original!N21</f>
        <v>59</v>
      </c>
      <c r="O21">
        <f>N21+Original!O21</f>
        <v>67</v>
      </c>
      <c r="P21">
        <f>O21+Original!P21</f>
        <v>69</v>
      </c>
      <c r="Q21">
        <f>P21+Original!Q21</f>
        <v>75</v>
      </c>
      <c r="R21">
        <f>Q21+Original!R21</f>
        <v>88</v>
      </c>
      <c r="S21">
        <f>R21+Original!S21</f>
        <v>88</v>
      </c>
      <c r="T21">
        <f>S21+Original!T21</f>
        <v>88</v>
      </c>
      <c r="U21">
        <f>T21+Original!U21</f>
        <v>90</v>
      </c>
      <c r="V21">
        <f>U21+Original!V21</f>
        <v>92</v>
      </c>
      <c r="W21">
        <f>V21+Original!W21</f>
        <v>94</v>
      </c>
      <c r="X21">
        <f>W21+Original!X21</f>
        <v>107</v>
      </c>
      <c r="Y21">
        <f>X21+Original!Y21</f>
        <v>120</v>
      </c>
      <c r="Z21">
        <f>Y21+Original!Z21</f>
        <v>126</v>
      </c>
      <c r="AA21">
        <f>Z21+Original!AA21</f>
        <v>134</v>
      </c>
      <c r="AB21">
        <f>AA21+Original!AB21</f>
        <v>134</v>
      </c>
      <c r="AC21">
        <f>AB21+Original!AC21</f>
        <v>134</v>
      </c>
      <c r="AD21">
        <f>AC21+Original!AD21</f>
        <v>136</v>
      </c>
      <c r="AE21">
        <f>AD21+Original!AE21</f>
        <v>149</v>
      </c>
      <c r="AF21">
        <f>AE21+Original!AF21</f>
        <v>149</v>
      </c>
      <c r="AG21">
        <f>AF21+Original!AG21</f>
        <v>149</v>
      </c>
      <c r="AH21">
        <f>AG21+Original!AH21</f>
        <v>149</v>
      </c>
      <c r="AI21">
        <f>AH21+Original!AI21</f>
        <v>149</v>
      </c>
      <c r="AJ21">
        <f>AI21+Original!AJ21</f>
        <v>149</v>
      </c>
      <c r="AK21">
        <f>AJ21+Original!AK21</f>
        <v>149</v>
      </c>
      <c r="AL21">
        <f>AK21+Original!AL21</f>
        <v>149</v>
      </c>
      <c r="AM21">
        <f>AL21+Original!AM21</f>
        <v>149</v>
      </c>
      <c r="AN21">
        <f>AM21+Original!AN21</f>
        <v>149</v>
      </c>
      <c r="AO21">
        <f>AN21+Original!AO21</f>
        <v>149</v>
      </c>
      <c r="AP21">
        <f>AO21+Original!AP21</f>
        <v>149</v>
      </c>
      <c r="AQ21">
        <f>AP21+Original!AQ21</f>
        <v>149</v>
      </c>
      <c r="AR21">
        <f>AQ21+Original!AR21</f>
        <v>149</v>
      </c>
      <c r="AS21">
        <f>AR21+Original!AS21</f>
        <v>149</v>
      </c>
      <c r="AT21">
        <f>AS21+Original!AT21</f>
        <v>149</v>
      </c>
      <c r="AU21">
        <f>AT21+Original!AU21</f>
        <v>149</v>
      </c>
      <c r="AV21">
        <f>AU21+Original!AV21</f>
        <v>149</v>
      </c>
      <c r="AW21">
        <f>AV21+Original!AW21</f>
        <v>149</v>
      </c>
      <c r="AX21">
        <f>AW21+Original!AX21</f>
        <v>149</v>
      </c>
      <c r="AY21">
        <f>AX21+Original!AY21</f>
        <v>149</v>
      </c>
      <c r="AZ21">
        <f>AY21+Original!AZ21</f>
        <v>149</v>
      </c>
      <c r="BA21">
        <f>AZ21+Original!BA21</f>
        <v>149</v>
      </c>
      <c r="BB21">
        <f>BA21+Original!BB21</f>
        <v>149</v>
      </c>
      <c r="BC21">
        <f>BB21+Original!BC21</f>
        <v>149</v>
      </c>
      <c r="BD21">
        <f>BC21+Original!BD21</f>
        <v>149</v>
      </c>
      <c r="BE21">
        <f>BD21+Original!BE21</f>
        <v>149</v>
      </c>
      <c r="BF21">
        <f>BE21+Original!BF21</f>
        <v>149</v>
      </c>
      <c r="BG21">
        <f>BF21+Original!BG21</f>
        <v>149</v>
      </c>
      <c r="BH21">
        <f>BG21+Original!BH21</f>
        <v>149</v>
      </c>
      <c r="BI21">
        <f>BH21+Original!BI21</f>
        <v>149</v>
      </c>
      <c r="BJ21">
        <f>BI21+Original!BJ21</f>
        <v>149</v>
      </c>
      <c r="BK21">
        <f>BJ21+Original!BK21</f>
        <v>149</v>
      </c>
      <c r="BL21">
        <f>BK21+Original!BL21</f>
        <v>149</v>
      </c>
      <c r="BM21">
        <f>BL21+Original!BM21</f>
        <v>149</v>
      </c>
      <c r="BN21">
        <f>BM21+Original!BN21</f>
        <v>149</v>
      </c>
      <c r="BO21">
        <f>BN21+Original!BO21</f>
        <v>149</v>
      </c>
      <c r="BP21">
        <f>BO21+Original!BP21</f>
        <v>149</v>
      </c>
      <c r="BQ21">
        <f>BP21+Original!BQ21</f>
        <v>149</v>
      </c>
      <c r="BR21">
        <f>BQ21+Original!BR21</f>
        <v>149</v>
      </c>
      <c r="BS21">
        <f>BR21+Original!BS21</f>
        <v>149</v>
      </c>
      <c r="BT21">
        <f>BS21+Original!BT21</f>
        <v>149</v>
      </c>
      <c r="BU21">
        <f>BT21+Original!BU21</f>
        <v>149</v>
      </c>
      <c r="BV21">
        <f>BU21+Original!BV21</f>
        <v>149</v>
      </c>
      <c r="BW21">
        <f>BV21+Original!BW21</f>
        <v>149</v>
      </c>
    </row>
    <row r="22" spans="1:75" x14ac:dyDescent="0.25">
      <c r="A22" t="str">
        <f>Original!A22</f>
        <v>Ana Julia</v>
      </c>
      <c r="B22">
        <f>Original!B22</f>
        <v>149</v>
      </c>
      <c r="C22">
        <f>Original!C22</f>
        <v>8</v>
      </c>
      <c r="D22">
        <f>C22+Original!D22</f>
        <v>14</v>
      </c>
      <c r="E22">
        <f>D22+Original!E22</f>
        <v>22</v>
      </c>
      <c r="F22">
        <f>E22+Original!F22</f>
        <v>35</v>
      </c>
      <c r="G22">
        <f>F22+Original!G22</f>
        <v>35</v>
      </c>
      <c r="H22">
        <f>G22+Original!H22</f>
        <v>37</v>
      </c>
      <c r="I22">
        <f>H22+Original!I22</f>
        <v>39</v>
      </c>
      <c r="J22">
        <f>I22+Original!J22</f>
        <v>45</v>
      </c>
      <c r="K22">
        <f>J22+Original!K22</f>
        <v>45</v>
      </c>
      <c r="L22">
        <f>K22+Original!L22</f>
        <v>45</v>
      </c>
      <c r="M22">
        <f>L22+Original!M22</f>
        <v>53</v>
      </c>
      <c r="N22">
        <f>M22+Original!N22</f>
        <v>61</v>
      </c>
      <c r="O22">
        <f>N22+Original!O22</f>
        <v>74</v>
      </c>
      <c r="P22">
        <f>O22+Original!P22</f>
        <v>74</v>
      </c>
      <c r="Q22">
        <f>P22+Original!Q22</f>
        <v>80</v>
      </c>
      <c r="R22">
        <f>Q22+Original!R22</f>
        <v>88</v>
      </c>
      <c r="S22">
        <f>R22+Original!S22</f>
        <v>95</v>
      </c>
      <c r="T22">
        <f>S22+Original!T22</f>
        <v>95</v>
      </c>
      <c r="U22">
        <f>T22+Original!U22</f>
        <v>101</v>
      </c>
      <c r="V22">
        <f>U22+Original!V22</f>
        <v>103</v>
      </c>
      <c r="W22">
        <f>V22+Original!W22</f>
        <v>105</v>
      </c>
      <c r="X22">
        <f>W22+Original!X22</f>
        <v>118</v>
      </c>
      <c r="Y22">
        <f>X22+Original!Y22</f>
        <v>131</v>
      </c>
      <c r="Z22">
        <f>Y22+Original!Z22</f>
        <v>133</v>
      </c>
      <c r="AA22">
        <f>Z22+Original!AA22</f>
        <v>133</v>
      </c>
      <c r="AB22">
        <f>AA22+Original!AB22</f>
        <v>135</v>
      </c>
      <c r="AC22">
        <f>AB22+Original!AC22</f>
        <v>135</v>
      </c>
      <c r="AD22">
        <f>AC22+Original!AD22</f>
        <v>143</v>
      </c>
      <c r="AE22">
        <f>AD22+Original!AE22</f>
        <v>149</v>
      </c>
      <c r="AF22">
        <f>AE22+Original!AF22</f>
        <v>149</v>
      </c>
      <c r="AG22">
        <f>AF22+Original!AG22</f>
        <v>149</v>
      </c>
      <c r="AH22">
        <f>AG22+Original!AH22</f>
        <v>149</v>
      </c>
      <c r="AI22">
        <f>AH22+Original!AI22</f>
        <v>149</v>
      </c>
      <c r="AJ22">
        <f>AI22+Original!AJ22</f>
        <v>149</v>
      </c>
      <c r="AK22">
        <f>AJ22+Original!AK22</f>
        <v>149</v>
      </c>
      <c r="AL22">
        <f>AK22+Original!AL22</f>
        <v>149</v>
      </c>
      <c r="AM22">
        <f>AL22+Original!AM22</f>
        <v>149</v>
      </c>
      <c r="AN22">
        <f>AM22+Original!AN22</f>
        <v>149</v>
      </c>
      <c r="AO22">
        <f>AN22+Original!AO22</f>
        <v>149</v>
      </c>
      <c r="AP22">
        <f>AO22+Original!AP22</f>
        <v>149</v>
      </c>
      <c r="AQ22">
        <f>AP22+Original!AQ22</f>
        <v>149</v>
      </c>
      <c r="AR22">
        <f>AQ22+Original!AR22</f>
        <v>149</v>
      </c>
      <c r="AS22">
        <f>AR22+Original!AS22</f>
        <v>149</v>
      </c>
      <c r="AT22">
        <f>AS22+Original!AT22</f>
        <v>149</v>
      </c>
      <c r="AU22">
        <f>AT22+Original!AU22</f>
        <v>149</v>
      </c>
      <c r="AV22">
        <f>AU22+Original!AV22</f>
        <v>149</v>
      </c>
      <c r="AW22">
        <f>AV22+Original!AW22</f>
        <v>149</v>
      </c>
      <c r="AX22">
        <f>AW22+Original!AX22</f>
        <v>149</v>
      </c>
      <c r="AY22">
        <f>AX22+Original!AY22</f>
        <v>149</v>
      </c>
      <c r="AZ22">
        <f>AY22+Original!AZ22</f>
        <v>149</v>
      </c>
      <c r="BA22">
        <f>AZ22+Original!BA22</f>
        <v>149</v>
      </c>
      <c r="BB22">
        <f>BA22+Original!BB22</f>
        <v>149</v>
      </c>
      <c r="BC22">
        <f>BB22+Original!BC22</f>
        <v>149</v>
      </c>
      <c r="BD22">
        <f>BC22+Original!BD22</f>
        <v>149</v>
      </c>
      <c r="BE22">
        <f>BD22+Original!BE22</f>
        <v>149</v>
      </c>
      <c r="BF22">
        <f>BE22+Original!BF22</f>
        <v>149</v>
      </c>
      <c r="BG22">
        <f>BF22+Original!BG22</f>
        <v>149</v>
      </c>
      <c r="BH22">
        <f>BG22+Original!BH22</f>
        <v>149</v>
      </c>
      <c r="BI22">
        <f>BH22+Original!BI22</f>
        <v>149</v>
      </c>
      <c r="BJ22">
        <f>BI22+Original!BJ22</f>
        <v>149</v>
      </c>
      <c r="BK22">
        <f>BJ22+Original!BK22</f>
        <v>149</v>
      </c>
      <c r="BL22">
        <f>BK22+Original!BL22</f>
        <v>149</v>
      </c>
      <c r="BM22">
        <f>BL22+Original!BM22</f>
        <v>149</v>
      </c>
      <c r="BN22">
        <f>BM22+Original!BN22</f>
        <v>149</v>
      </c>
      <c r="BO22">
        <f>BN22+Original!BO22</f>
        <v>149</v>
      </c>
      <c r="BP22">
        <f>BO22+Original!BP22</f>
        <v>149</v>
      </c>
      <c r="BQ22">
        <f>BP22+Original!BQ22</f>
        <v>149</v>
      </c>
      <c r="BR22">
        <f>BQ22+Original!BR22</f>
        <v>149</v>
      </c>
      <c r="BS22">
        <f>BR22+Original!BS22</f>
        <v>149</v>
      </c>
      <c r="BT22">
        <f>BS22+Original!BT22</f>
        <v>149</v>
      </c>
      <c r="BU22">
        <f>BT22+Original!BU22</f>
        <v>149</v>
      </c>
      <c r="BV22">
        <f>BU22+Original!BV22</f>
        <v>149</v>
      </c>
      <c r="BW22">
        <f>BV22+Original!BW22</f>
        <v>149</v>
      </c>
    </row>
    <row r="23" spans="1:75" x14ac:dyDescent="0.25">
      <c r="A23" t="str">
        <f>Original!A23</f>
        <v>Antonio Neves</v>
      </c>
      <c r="B23">
        <f>Original!B23</f>
        <v>148</v>
      </c>
      <c r="C23">
        <f>Original!C23</f>
        <v>13</v>
      </c>
      <c r="D23">
        <f>C23+Original!D23</f>
        <v>19</v>
      </c>
      <c r="E23">
        <f>D23+Original!E23</f>
        <v>27</v>
      </c>
      <c r="F23">
        <f>E23+Original!F23</f>
        <v>33</v>
      </c>
      <c r="G23">
        <f>F23+Original!G23</f>
        <v>33</v>
      </c>
      <c r="H23">
        <f>G23+Original!H23</f>
        <v>33</v>
      </c>
      <c r="I23">
        <f>H23+Original!I23</f>
        <v>33</v>
      </c>
      <c r="J23">
        <f>I23+Original!J23</f>
        <v>39</v>
      </c>
      <c r="K23">
        <f>J23+Original!K23</f>
        <v>39</v>
      </c>
      <c r="L23">
        <f>K23+Original!L23</f>
        <v>39</v>
      </c>
      <c r="M23">
        <f>L23+Original!M23</f>
        <v>47</v>
      </c>
      <c r="N23">
        <f>M23+Original!N23</f>
        <v>55</v>
      </c>
      <c r="O23">
        <f>N23+Original!O23</f>
        <v>61</v>
      </c>
      <c r="P23">
        <f>O23+Original!P23</f>
        <v>63</v>
      </c>
      <c r="Q23">
        <f>P23+Original!Q23</f>
        <v>71</v>
      </c>
      <c r="R23">
        <f>Q23+Original!R23</f>
        <v>84</v>
      </c>
      <c r="S23">
        <f>R23+Original!S23</f>
        <v>84</v>
      </c>
      <c r="T23">
        <f>S23+Original!T23</f>
        <v>84</v>
      </c>
      <c r="U23">
        <f>T23+Original!U23</f>
        <v>92</v>
      </c>
      <c r="V23">
        <f>U23+Original!V23</f>
        <v>94</v>
      </c>
      <c r="W23">
        <f>V23+Original!W23</f>
        <v>94</v>
      </c>
      <c r="X23">
        <f>W23+Original!X23</f>
        <v>96</v>
      </c>
      <c r="Y23">
        <f>X23+Original!Y23</f>
        <v>104</v>
      </c>
      <c r="Z23">
        <f>Y23+Original!Z23</f>
        <v>117</v>
      </c>
      <c r="AA23">
        <f>Z23+Original!AA23</f>
        <v>125</v>
      </c>
      <c r="AB23">
        <f>AA23+Original!AB23</f>
        <v>127</v>
      </c>
      <c r="AC23">
        <f>AB23+Original!AC23</f>
        <v>127</v>
      </c>
      <c r="AD23">
        <f>AC23+Original!AD23</f>
        <v>135</v>
      </c>
      <c r="AE23">
        <f>AD23+Original!AE23</f>
        <v>148</v>
      </c>
      <c r="AF23">
        <f>AE23+Original!AF23</f>
        <v>148</v>
      </c>
      <c r="AG23">
        <f>AF23+Original!AG23</f>
        <v>148</v>
      </c>
      <c r="AH23">
        <f>AG23+Original!AH23</f>
        <v>148</v>
      </c>
      <c r="AI23">
        <f>AH23+Original!AI23</f>
        <v>148</v>
      </c>
      <c r="AJ23">
        <f>AI23+Original!AJ23</f>
        <v>148</v>
      </c>
      <c r="AK23">
        <f>AJ23+Original!AK23</f>
        <v>148</v>
      </c>
      <c r="AL23">
        <f>AK23+Original!AL23</f>
        <v>148</v>
      </c>
      <c r="AM23">
        <f>AL23+Original!AM23</f>
        <v>148</v>
      </c>
      <c r="AN23">
        <f>AM23+Original!AN23</f>
        <v>148</v>
      </c>
      <c r="AO23">
        <f>AN23+Original!AO23</f>
        <v>148</v>
      </c>
      <c r="AP23">
        <f>AO23+Original!AP23</f>
        <v>148</v>
      </c>
      <c r="AQ23">
        <f>AP23+Original!AQ23</f>
        <v>148</v>
      </c>
      <c r="AR23">
        <f>AQ23+Original!AR23</f>
        <v>148</v>
      </c>
      <c r="AS23">
        <f>AR23+Original!AS23</f>
        <v>148</v>
      </c>
      <c r="AT23">
        <f>AS23+Original!AT23</f>
        <v>148</v>
      </c>
      <c r="AU23">
        <f>AT23+Original!AU23</f>
        <v>148</v>
      </c>
      <c r="AV23">
        <f>AU23+Original!AV23</f>
        <v>148</v>
      </c>
      <c r="AW23">
        <f>AV23+Original!AW23</f>
        <v>148</v>
      </c>
      <c r="AX23">
        <f>AW23+Original!AX23</f>
        <v>148</v>
      </c>
      <c r="AY23">
        <f>AX23+Original!AY23</f>
        <v>148</v>
      </c>
      <c r="AZ23">
        <f>AY23+Original!AZ23</f>
        <v>148</v>
      </c>
      <c r="BA23">
        <f>AZ23+Original!BA23</f>
        <v>148</v>
      </c>
      <c r="BB23">
        <f>BA23+Original!BB23</f>
        <v>148</v>
      </c>
      <c r="BC23">
        <f>BB23+Original!BC23</f>
        <v>148</v>
      </c>
      <c r="BD23">
        <f>BC23+Original!BD23</f>
        <v>148</v>
      </c>
      <c r="BE23">
        <f>BD23+Original!BE23</f>
        <v>148</v>
      </c>
      <c r="BF23">
        <f>BE23+Original!BF23</f>
        <v>148</v>
      </c>
      <c r="BG23">
        <f>BF23+Original!BG23</f>
        <v>148</v>
      </c>
      <c r="BH23">
        <f>BG23+Original!BH23</f>
        <v>148</v>
      </c>
      <c r="BI23">
        <f>BH23+Original!BI23</f>
        <v>148</v>
      </c>
      <c r="BJ23">
        <f>BI23+Original!BJ23</f>
        <v>148</v>
      </c>
      <c r="BK23">
        <f>BJ23+Original!BK23</f>
        <v>148</v>
      </c>
      <c r="BL23">
        <f>BK23+Original!BL23</f>
        <v>148</v>
      </c>
      <c r="BM23">
        <f>BL23+Original!BM23</f>
        <v>148</v>
      </c>
      <c r="BN23">
        <f>BM23+Original!BN23</f>
        <v>148</v>
      </c>
      <c r="BO23">
        <f>BN23+Original!BO23</f>
        <v>148</v>
      </c>
      <c r="BP23">
        <f>BO23+Original!BP23</f>
        <v>148</v>
      </c>
      <c r="BQ23">
        <f>BP23+Original!BQ23</f>
        <v>148</v>
      </c>
      <c r="BR23">
        <f>BQ23+Original!BR23</f>
        <v>148</v>
      </c>
      <c r="BS23">
        <f>BR23+Original!BS23</f>
        <v>148</v>
      </c>
      <c r="BT23">
        <f>BS23+Original!BT23</f>
        <v>148</v>
      </c>
      <c r="BU23">
        <f>BT23+Original!BU23</f>
        <v>148</v>
      </c>
      <c r="BV23">
        <f>BU23+Original!BV23</f>
        <v>148</v>
      </c>
      <c r="BW23">
        <f>BV23+Original!BW23</f>
        <v>148</v>
      </c>
    </row>
    <row r="24" spans="1:75" x14ac:dyDescent="0.25">
      <c r="A24" t="str">
        <f>Original!A24</f>
        <v>Douglas Cordeiro Parente</v>
      </c>
      <c r="B24">
        <f>Original!B24</f>
        <v>148</v>
      </c>
      <c r="C24">
        <f>Original!C24</f>
        <v>8</v>
      </c>
      <c r="D24">
        <f>C24+Original!D24</f>
        <v>14</v>
      </c>
      <c r="E24">
        <f>D24+Original!E24</f>
        <v>27</v>
      </c>
      <c r="F24">
        <f>E24+Original!F24</f>
        <v>29</v>
      </c>
      <c r="G24">
        <f>F24+Original!G24</f>
        <v>29</v>
      </c>
      <c r="H24">
        <f>G24+Original!H24</f>
        <v>35</v>
      </c>
      <c r="I24">
        <f>H24+Original!I24</f>
        <v>37</v>
      </c>
      <c r="J24">
        <f>I24+Original!J24</f>
        <v>43</v>
      </c>
      <c r="K24">
        <f>J24+Original!K24</f>
        <v>45</v>
      </c>
      <c r="L24">
        <f>K24+Original!L24</f>
        <v>47</v>
      </c>
      <c r="M24">
        <f>L24+Original!M24</f>
        <v>55</v>
      </c>
      <c r="N24">
        <f>M24+Original!N24</f>
        <v>63</v>
      </c>
      <c r="O24">
        <f>N24+Original!O24</f>
        <v>76</v>
      </c>
      <c r="P24">
        <f>O24+Original!P24</f>
        <v>78</v>
      </c>
      <c r="Q24">
        <f>P24+Original!Q24</f>
        <v>84</v>
      </c>
      <c r="R24">
        <f>Q24+Original!R24</f>
        <v>92</v>
      </c>
      <c r="S24">
        <f>R24+Original!S24</f>
        <v>92</v>
      </c>
      <c r="T24">
        <f>S24+Original!T24</f>
        <v>92</v>
      </c>
      <c r="U24">
        <f>T24+Original!U24</f>
        <v>98</v>
      </c>
      <c r="V24">
        <f>U24+Original!V24</f>
        <v>100</v>
      </c>
      <c r="W24">
        <f>V24+Original!W24</f>
        <v>100</v>
      </c>
      <c r="X24">
        <f>W24+Original!X24</f>
        <v>113</v>
      </c>
      <c r="Y24">
        <f>X24+Original!Y24</f>
        <v>121</v>
      </c>
      <c r="Z24">
        <f>Y24+Original!Z24</f>
        <v>129</v>
      </c>
      <c r="AA24">
        <f>Z24+Original!AA24</f>
        <v>142</v>
      </c>
      <c r="AB24">
        <f>AA24+Original!AB24</f>
        <v>142</v>
      </c>
      <c r="AC24">
        <f>AB24+Original!AC24</f>
        <v>142</v>
      </c>
      <c r="AD24">
        <f>AC24+Original!AD24</f>
        <v>142</v>
      </c>
      <c r="AE24">
        <f>AD24+Original!AE24</f>
        <v>148</v>
      </c>
      <c r="AF24">
        <f>AE24+Original!AF24</f>
        <v>148</v>
      </c>
      <c r="AG24">
        <f>AF24+Original!AG24</f>
        <v>148</v>
      </c>
      <c r="AH24">
        <f>AG24+Original!AH24</f>
        <v>148</v>
      </c>
      <c r="AI24">
        <f>AH24+Original!AI24</f>
        <v>148</v>
      </c>
      <c r="AJ24">
        <f>AI24+Original!AJ24</f>
        <v>148</v>
      </c>
      <c r="AK24">
        <f>AJ24+Original!AK24</f>
        <v>148</v>
      </c>
      <c r="AL24">
        <f>AK24+Original!AL24</f>
        <v>148</v>
      </c>
      <c r="AM24">
        <f>AL24+Original!AM24</f>
        <v>148</v>
      </c>
      <c r="AN24">
        <f>AM24+Original!AN24</f>
        <v>148</v>
      </c>
      <c r="AO24">
        <f>AN24+Original!AO24</f>
        <v>148</v>
      </c>
      <c r="AP24">
        <f>AO24+Original!AP24</f>
        <v>148</v>
      </c>
      <c r="AQ24">
        <f>AP24+Original!AQ24</f>
        <v>148</v>
      </c>
      <c r="AR24">
        <f>AQ24+Original!AR24</f>
        <v>148</v>
      </c>
      <c r="AS24">
        <f>AR24+Original!AS24</f>
        <v>148</v>
      </c>
      <c r="AT24">
        <f>AS24+Original!AT24</f>
        <v>148</v>
      </c>
      <c r="AU24">
        <f>AT24+Original!AU24</f>
        <v>148</v>
      </c>
      <c r="AV24">
        <f>AU24+Original!AV24</f>
        <v>148</v>
      </c>
      <c r="AW24">
        <f>AV24+Original!AW24</f>
        <v>148</v>
      </c>
      <c r="AX24">
        <f>AW24+Original!AX24</f>
        <v>148</v>
      </c>
      <c r="AY24">
        <f>AX24+Original!AY24</f>
        <v>148</v>
      </c>
      <c r="AZ24">
        <f>AY24+Original!AZ24</f>
        <v>148</v>
      </c>
      <c r="BA24">
        <f>AZ24+Original!BA24</f>
        <v>148</v>
      </c>
      <c r="BB24">
        <f>BA24+Original!BB24</f>
        <v>148</v>
      </c>
      <c r="BC24">
        <f>BB24+Original!BC24</f>
        <v>148</v>
      </c>
      <c r="BD24">
        <f>BC24+Original!BD24</f>
        <v>148</v>
      </c>
      <c r="BE24">
        <f>BD24+Original!BE24</f>
        <v>148</v>
      </c>
      <c r="BF24">
        <f>BE24+Original!BF24</f>
        <v>148</v>
      </c>
      <c r="BG24">
        <f>BF24+Original!BG24</f>
        <v>148</v>
      </c>
      <c r="BH24">
        <f>BG24+Original!BH24</f>
        <v>148</v>
      </c>
      <c r="BI24">
        <f>BH24+Original!BI24</f>
        <v>148</v>
      </c>
      <c r="BJ24">
        <f>BI24+Original!BJ24</f>
        <v>148</v>
      </c>
      <c r="BK24">
        <f>BJ24+Original!BK24</f>
        <v>148</v>
      </c>
      <c r="BL24">
        <f>BK24+Original!BL24</f>
        <v>148</v>
      </c>
      <c r="BM24">
        <f>BL24+Original!BM24</f>
        <v>148</v>
      </c>
      <c r="BN24">
        <f>BM24+Original!BN24</f>
        <v>148</v>
      </c>
      <c r="BO24">
        <f>BN24+Original!BO24</f>
        <v>148</v>
      </c>
      <c r="BP24">
        <f>BO24+Original!BP24</f>
        <v>148</v>
      </c>
      <c r="BQ24">
        <f>BP24+Original!BQ24</f>
        <v>148</v>
      </c>
      <c r="BR24">
        <f>BQ24+Original!BR24</f>
        <v>148</v>
      </c>
      <c r="BS24">
        <f>BR24+Original!BS24</f>
        <v>148</v>
      </c>
      <c r="BT24">
        <f>BS24+Original!BT24</f>
        <v>148</v>
      </c>
      <c r="BU24">
        <f>BT24+Original!BU24</f>
        <v>148</v>
      </c>
      <c r="BV24">
        <f>BU24+Original!BV24</f>
        <v>148</v>
      </c>
      <c r="BW24">
        <f>BV24+Original!BW24</f>
        <v>148</v>
      </c>
    </row>
    <row r="25" spans="1:75" x14ac:dyDescent="0.25">
      <c r="A25" t="str">
        <f>Original!A25</f>
        <v>Moises Augusto</v>
      </c>
      <c r="B25">
        <f>Original!B25</f>
        <v>148</v>
      </c>
      <c r="C25">
        <f>Original!C25</f>
        <v>8</v>
      </c>
      <c r="D25">
        <f>C25+Original!D25</f>
        <v>14</v>
      </c>
      <c r="E25">
        <f>D25+Original!E25</f>
        <v>27</v>
      </c>
      <c r="F25">
        <f>E25+Original!F25</f>
        <v>29</v>
      </c>
      <c r="G25">
        <f>F25+Original!G25</f>
        <v>29</v>
      </c>
      <c r="H25">
        <f>G25+Original!H25</f>
        <v>31</v>
      </c>
      <c r="I25">
        <f>H25+Original!I25</f>
        <v>31</v>
      </c>
      <c r="J25">
        <f>I25+Original!J25</f>
        <v>37</v>
      </c>
      <c r="K25">
        <f>J25+Original!K25</f>
        <v>39</v>
      </c>
      <c r="L25">
        <f>K25+Original!L25</f>
        <v>39</v>
      </c>
      <c r="M25">
        <f>L25+Original!M25</f>
        <v>47</v>
      </c>
      <c r="N25">
        <f>M25+Original!N25</f>
        <v>55</v>
      </c>
      <c r="O25">
        <f>N25+Original!O25</f>
        <v>61</v>
      </c>
      <c r="P25">
        <f>O25+Original!P25</f>
        <v>61</v>
      </c>
      <c r="Q25">
        <f>P25+Original!Q25</f>
        <v>67</v>
      </c>
      <c r="R25">
        <f>Q25+Original!R25</f>
        <v>80</v>
      </c>
      <c r="S25">
        <f>R25+Original!S25</f>
        <v>87</v>
      </c>
      <c r="T25">
        <f>S25+Original!T25</f>
        <v>87</v>
      </c>
      <c r="U25">
        <f>T25+Original!U25</f>
        <v>93</v>
      </c>
      <c r="V25">
        <f>U25+Original!V25</f>
        <v>95</v>
      </c>
      <c r="W25">
        <f>V25+Original!W25</f>
        <v>97</v>
      </c>
      <c r="X25">
        <f>W25+Original!X25</f>
        <v>99</v>
      </c>
      <c r="Y25">
        <f>X25+Original!Y25</f>
        <v>112</v>
      </c>
      <c r="Z25">
        <f>Y25+Original!Z25</f>
        <v>125</v>
      </c>
      <c r="AA25">
        <f>Z25+Original!AA25</f>
        <v>138</v>
      </c>
      <c r="AB25">
        <f>AA25+Original!AB25</f>
        <v>140</v>
      </c>
      <c r="AC25">
        <f>AB25+Original!AC25</f>
        <v>140</v>
      </c>
      <c r="AD25">
        <f>AC25+Original!AD25</f>
        <v>146</v>
      </c>
      <c r="AE25">
        <f>AD25+Original!AE25</f>
        <v>148</v>
      </c>
      <c r="AF25">
        <f>AE25+Original!AF25</f>
        <v>148</v>
      </c>
      <c r="AG25">
        <f>AF25+Original!AG25</f>
        <v>148</v>
      </c>
      <c r="AH25">
        <f>AG25+Original!AH25</f>
        <v>148</v>
      </c>
      <c r="AI25">
        <f>AH25+Original!AI25</f>
        <v>148</v>
      </c>
      <c r="AJ25">
        <f>AI25+Original!AJ25</f>
        <v>148</v>
      </c>
      <c r="AK25">
        <f>AJ25+Original!AK25</f>
        <v>148</v>
      </c>
      <c r="AL25">
        <f>AK25+Original!AL25</f>
        <v>148</v>
      </c>
      <c r="AM25">
        <f>AL25+Original!AM25</f>
        <v>148</v>
      </c>
      <c r="AN25">
        <f>AM25+Original!AN25</f>
        <v>148</v>
      </c>
      <c r="AO25">
        <f>AN25+Original!AO25</f>
        <v>148</v>
      </c>
      <c r="AP25">
        <f>AO25+Original!AP25</f>
        <v>148</v>
      </c>
      <c r="AQ25">
        <f>AP25+Original!AQ25</f>
        <v>148</v>
      </c>
      <c r="AR25">
        <f>AQ25+Original!AR25</f>
        <v>148</v>
      </c>
      <c r="AS25">
        <f>AR25+Original!AS25</f>
        <v>148</v>
      </c>
      <c r="AT25">
        <f>AS25+Original!AT25</f>
        <v>148</v>
      </c>
      <c r="AU25">
        <f>AT25+Original!AU25</f>
        <v>148</v>
      </c>
      <c r="AV25">
        <f>AU25+Original!AV25</f>
        <v>148</v>
      </c>
      <c r="AW25">
        <f>AV25+Original!AW25</f>
        <v>148</v>
      </c>
      <c r="AX25">
        <f>AW25+Original!AX25</f>
        <v>148</v>
      </c>
      <c r="AY25">
        <f>AX25+Original!AY25</f>
        <v>148</v>
      </c>
      <c r="AZ25">
        <f>AY25+Original!AZ25</f>
        <v>148</v>
      </c>
      <c r="BA25">
        <f>AZ25+Original!BA25</f>
        <v>148</v>
      </c>
      <c r="BB25">
        <f>BA25+Original!BB25</f>
        <v>148</v>
      </c>
      <c r="BC25">
        <f>BB25+Original!BC25</f>
        <v>148</v>
      </c>
      <c r="BD25">
        <f>BC25+Original!BD25</f>
        <v>148</v>
      </c>
      <c r="BE25">
        <f>BD25+Original!BE25</f>
        <v>148</v>
      </c>
      <c r="BF25">
        <f>BE25+Original!BF25</f>
        <v>148</v>
      </c>
      <c r="BG25">
        <f>BF25+Original!BG25</f>
        <v>148</v>
      </c>
      <c r="BH25">
        <f>BG25+Original!BH25</f>
        <v>148</v>
      </c>
      <c r="BI25">
        <f>BH25+Original!BI25</f>
        <v>148</v>
      </c>
      <c r="BJ25">
        <f>BI25+Original!BJ25</f>
        <v>148</v>
      </c>
      <c r="BK25">
        <f>BJ25+Original!BK25</f>
        <v>148</v>
      </c>
      <c r="BL25">
        <f>BK25+Original!BL25</f>
        <v>148</v>
      </c>
      <c r="BM25">
        <f>BL25+Original!BM25</f>
        <v>148</v>
      </c>
      <c r="BN25">
        <f>BM25+Original!BN25</f>
        <v>148</v>
      </c>
      <c r="BO25">
        <f>BN25+Original!BO25</f>
        <v>148</v>
      </c>
      <c r="BP25">
        <f>BO25+Original!BP25</f>
        <v>148</v>
      </c>
      <c r="BQ25">
        <f>BP25+Original!BQ25</f>
        <v>148</v>
      </c>
      <c r="BR25">
        <f>BQ25+Original!BR25</f>
        <v>148</v>
      </c>
      <c r="BS25">
        <f>BR25+Original!BS25</f>
        <v>148</v>
      </c>
      <c r="BT25">
        <f>BS25+Original!BT25</f>
        <v>148</v>
      </c>
      <c r="BU25">
        <f>BT25+Original!BU25</f>
        <v>148</v>
      </c>
      <c r="BV25">
        <f>BU25+Original!BV25</f>
        <v>148</v>
      </c>
      <c r="BW25">
        <f>BV25+Original!BW25</f>
        <v>148</v>
      </c>
    </row>
    <row r="26" spans="1:75" x14ac:dyDescent="0.25">
      <c r="A26" t="str">
        <f>Original!A26</f>
        <v>William Soares da Silva</v>
      </c>
      <c r="B26">
        <f>Original!B26</f>
        <v>147</v>
      </c>
      <c r="C26">
        <f>Original!C26</f>
        <v>8</v>
      </c>
      <c r="D26">
        <f>C26+Original!D26</f>
        <v>8</v>
      </c>
      <c r="E26">
        <f>D26+Original!E26</f>
        <v>14</v>
      </c>
      <c r="F26">
        <f>E26+Original!F26</f>
        <v>27</v>
      </c>
      <c r="G26">
        <f>F26+Original!G26</f>
        <v>27</v>
      </c>
      <c r="H26">
        <f>G26+Original!H26</f>
        <v>29</v>
      </c>
      <c r="I26">
        <f>H26+Original!I26</f>
        <v>29</v>
      </c>
      <c r="J26">
        <f>I26+Original!J26</f>
        <v>35</v>
      </c>
      <c r="K26">
        <f>J26+Original!K26</f>
        <v>41</v>
      </c>
      <c r="L26">
        <f>K26+Original!L26</f>
        <v>43</v>
      </c>
      <c r="M26">
        <f>L26+Original!M26</f>
        <v>51</v>
      </c>
      <c r="N26">
        <f>M26+Original!N26</f>
        <v>59</v>
      </c>
      <c r="O26">
        <f>N26+Original!O26</f>
        <v>72</v>
      </c>
      <c r="P26">
        <f>O26+Original!P26</f>
        <v>74</v>
      </c>
      <c r="Q26">
        <f>P26+Original!Q26</f>
        <v>82</v>
      </c>
      <c r="R26">
        <f>Q26+Original!R26</f>
        <v>90</v>
      </c>
      <c r="S26">
        <f>R26+Original!S26</f>
        <v>97</v>
      </c>
      <c r="T26">
        <f>S26+Original!T26</f>
        <v>105</v>
      </c>
      <c r="U26">
        <f>T26+Original!U26</f>
        <v>105</v>
      </c>
      <c r="V26">
        <f>U26+Original!V26</f>
        <v>105</v>
      </c>
      <c r="W26">
        <f>V26+Original!W26</f>
        <v>107</v>
      </c>
      <c r="X26">
        <f>W26+Original!X26</f>
        <v>120</v>
      </c>
      <c r="Y26">
        <f>X26+Original!Y26</f>
        <v>120</v>
      </c>
      <c r="Z26">
        <f>Y26+Original!Z26</f>
        <v>122</v>
      </c>
      <c r="AA26">
        <f>Z26+Original!AA26</f>
        <v>135</v>
      </c>
      <c r="AB26">
        <f>AA26+Original!AB26</f>
        <v>135</v>
      </c>
      <c r="AC26">
        <f>AB26+Original!AC26</f>
        <v>135</v>
      </c>
      <c r="AD26">
        <f>AC26+Original!AD26</f>
        <v>141</v>
      </c>
      <c r="AE26">
        <f>AD26+Original!AE26</f>
        <v>147</v>
      </c>
      <c r="AF26">
        <f>AE26+Original!AF26</f>
        <v>147</v>
      </c>
      <c r="AG26">
        <f>AF26+Original!AG26</f>
        <v>147</v>
      </c>
      <c r="AH26">
        <f>AG26+Original!AH26</f>
        <v>147</v>
      </c>
      <c r="AI26">
        <f>AH26+Original!AI26</f>
        <v>147</v>
      </c>
      <c r="AJ26">
        <f>AI26+Original!AJ26</f>
        <v>147</v>
      </c>
      <c r="AK26">
        <f>AJ26+Original!AK26</f>
        <v>147</v>
      </c>
      <c r="AL26">
        <f>AK26+Original!AL26</f>
        <v>147</v>
      </c>
      <c r="AM26">
        <f>AL26+Original!AM26</f>
        <v>147</v>
      </c>
      <c r="AN26">
        <f>AM26+Original!AN26</f>
        <v>147</v>
      </c>
      <c r="AO26">
        <f>AN26+Original!AO26</f>
        <v>147</v>
      </c>
      <c r="AP26">
        <f>AO26+Original!AP26</f>
        <v>147</v>
      </c>
      <c r="AQ26">
        <f>AP26+Original!AQ26</f>
        <v>147</v>
      </c>
      <c r="AR26">
        <f>AQ26+Original!AR26</f>
        <v>147</v>
      </c>
      <c r="AS26">
        <f>AR26+Original!AS26</f>
        <v>147</v>
      </c>
      <c r="AT26">
        <f>AS26+Original!AT26</f>
        <v>147</v>
      </c>
      <c r="AU26">
        <f>AT26+Original!AU26</f>
        <v>147</v>
      </c>
      <c r="AV26">
        <f>AU26+Original!AV26</f>
        <v>147</v>
      </c>
      <c r="AW26">
        <f>AV26+Original!AW26</f>
        <v>147</v>
      </c>
      <c r="AX26">
        <f>AW26+Original!AX26</f>
        <v>147</v>
      </c>
      <c r="AY26">
        <f>AX26+Original!AY26</f>
        <v>147</v>
      </c>
      <c r="AZ26">
        <f>AY26+Original!AZ26</f>
        <v>147</v>
      </c>
      <c r="BA26">
        <f>AZ26+Original!BA26</f>
        <v>147</v>
      </c>
      <c r="BB26">
        <f>BA26+Original!BB26</f>
        <v>147</v>
      </c>
      <c r="BC26">
        <f>BB26+Original!BC26</f>
        <v>147</v>
      </c>
      <c r="BD26">
        <f>BC26+Original!BD26</f>
        <v>147</v>
      </c>
      <c r="BE26">
        <f>BD26+Original!BE26</f>
        <v>147</v>
      </c>
      <c r="BF26">
        <f>BE26+Original!BF26</f>
        <v>147</v>
      </c>
      <c r="BG26">
        <f>BF26+Original!BG26</f>
        <v>147</v>
      </c>
      <c r="BH26">
        <f>BG26+Original!BH26</f>
        <v>147</v>
      </c>
      <c r="BI26">
        <f>BH26+Original!BI26</f>
        <v>147</v>
      </c>
      <c r="BJ26">
        <f>BI26+Original!BJ26</f>
        <v>147</v>
      </c>
      <c r="BK26">
        <f>BJ26+Original!BK26</f>
        <v>147</v>
      </c>
      <c r="BL26">
        <f>BK26+Original!BL26</f>
        <v>147</v>
      </c>
      <c r="BM26">
        <f>BL26+Original!BM26</f>
        <v>147</v>
      </c>
      <c r="BN26">
        <f>BM26+Original!BN26</f>
        <v>147</v>
      </c>
      <c r="BO26">
        <f>BN26+Original!BO26</f>
        <v>147</v>
      </c>
      <c r="BP26">
        <f>BO26+Original!BP26</f>
        <v>147</v>
      </c>
      <c r="BQ26">
        <f>BP26+Original!BQ26</f>
        <v>147</v>
      </c>
      <c r="BR26">
        <f>BQ26+Original!BR26</f>
        <v>147</v>
      </c>
      <c r="BS26">
        <f>BR26+Original!BS26</f>
        <v>147</v>
      </c>
      <c r="BT26">
        <f>BS26+Original!BT26</f>
        <v>147</v>
      </c>
      <c r="BU26">
        <f>BT26+Original!BU26</f>
        <v>147</v>
      </c>
      <c r="BV26">
        <f>BU26+Original!BV26</f>
        <v>147</v>
      </c>
      <c r="BW26">
        <f>BV26+Original!BW26</f>
        <v>147</v>
      </c>
    </row>
    <row r="27" spans="1:75" x14ac:dyDescent="0.25">
      <c r="A27" t="str">
        <f>Original!A27</f>
        <v>Álvaro Neto</v>
      </c>
      <c r="B27">
        <f>Original!B27</f>
        <v>146</v>
      </c>
      <c r="C27">
        <f>Original!C27</f>
        <v>8</v>
      </c>
      <c r="D27">
        <f>C27+Original!D27</f>
        <v>14</v>
      </c>
      <c r="E27">
        <f>D27+Original!E27</f>
        <v>22</v>
      </c>
      <c r="F27">
        <f>E27+Original!F27</f>
        <v>35</v>
      </c>
      <c r="G27">
        <f>F27+Original!G27</f>
        <v>35</v>
      </c>
      <c r="H27">
        <f>G27+Original!H27</f>
        <v>37</v>
      </c>
      <c r="I27">
        <f>H27+Original!I27</f>
        <v>37</v>
      </c>
      <c r="J27">
        <f>I27+Original!J27</f>
        <v>43</v>
      </c>
      <c r="K27">
        <f>J27+Original!K27</f>
        <v>45</v>
      </c>
      <c r="L27">
        <f>K27+Original!L27</f>
        <v>45</v>
      </c>
      <c r="M27">
        <f>L27+Original!M27</f>
        <v>53</v>
      </c>
      <c r="N27">
        <f>M27+Original!N27</f>
        <v>61</v>
      </c>
      <c r="O27">
        <f>N27+Original!O27</f>
        <v>67</v>
      </c>
      <c r="P27">
        <f>O27+Original!P27</f>
        <v>69</v>
      </c>
      <c r="Q27">
        <f>P27+Original!Q27</f>
        <v>75</v>
      </c>
      <c r="R27">
        <f>Q27+Original!R27</f>
        <v>83</v>
      </c>
      <c r="S27">
        <f>R27+Original!S27</f>
        <v>83</v>
      </c>
      <c r="T27">
        <f>S27+Original!T27</f>
        <v>83</v>
      </c>
      <c r="U27">
        <f>T27+Original!U27</f>
        <v>89</v>
      </c>
      <c r="V27">
        <f>U27+Original!V27</f>
        <v>89</v>
      </c>
      <c r="W27">
        <f>V27+Original!W27</f>
        <v>91</v>
      </c>
      <c r="X27">
        <f>W27+Original!X27</f>
        <v>93</v>
      </c>
      <c r="Y27">
        <f>X27+Original!Y27</f>
        <v>106</v>
      </c>
      <c r="Z27">
        <f>Y27+Original!Z27</f>
        <v>119</v>
      </c>
      <c r="AA27">
        <f>Z27+Original!AA27</f>
        <v>127</v>
      </c>
      <c r="AB27">
        <f>AA27+Original!AB27</f>
        <v>127</v>
      </c>
      <c r="AC27">
        <f>AB27+Original!AC27</f>
        <v>127</v>
      </c>
      <c r="AD27">
        <f>AC27+Original!AD27</f>
        <v>133</v>
      </c>
      <c r="AE27">
        <f>AD27+Original!AE27</f>
        <v>146</v>
      </c>
      <c r="AF27">
        <f>AE27+Original!AF27</f>
        <v>146</v>
      </c>
      <c r="AG27">
        <f>AF27+Original!AG27</f>
        <v>146</v>
      </c>
      <c r="AH27">
        <f>AG27+Original!AH27</f>
        <v>146</v>
      </c>
      <c r="AI27">
        <f>AH27+Original!AI27</f>
        <v>146</v>
      </c>
      <c r="AJ27">
        <f>AI27+Original!AJ27</f>
        <v>146</v>
      </c>
      <c r="AK27">
        <f>AJ27+Original!AK27</f>
        <v>146</v>
      </c>
      <c r="AL27">
        <f>AK27+Original!AL27</f>
        <v>146</v>
      </c>
      <c r="AM27">
        <f>AL27+Original!AM27</f>
        <v>146</v>
      </c>
      <c r="AN27">
        <f>AM27+Original!AN27</f>
        <v>146</v>
      </c>
      <c r="AO27">
        <f>AN27+Original!AO27</f>
        <v>146</v>
      </c>
      <c r="AP27">
        <f>AO27+Original!AP27</f>
        <v>146</v>
      </c>
      <c r="AQ27">
        <f>AP27+Original!AQ27</f>
        <v>146</v>
      </c>
      <c r="AR27">
        <f>AQ27+Original!AR27</f>
        <v>146</v>
      </c>
      <c r="AS27">
        <f>AR27+Original!AS27</f>
        <v>146</v>
      </c>
      <c r="AT27">
        <f>AS27+Original!AT27</f>
        <v>146</v>
      </c>
      <c r="AU27">
        <f>AT27+Original!AU27</f>
        <v>146</v>
      </c>
      <c r="AV27">
        <f>AU27+Original!AV27</f>
        <v>146</v>
      </c>
      <c r="AW27">
        <f>AV27+Original!AW27</f>
        <v>146</v>
      </c>
      <c r="AX27">
        <f>AW27+Original!AX27</f>
        <v>146</v>
      </c>
      <c r="AY27">
        <f>AX27+Original!AY27</f>
        <v>146</v>
      </c>
      <c r="AZ27">
        <f>AY27+Original!AZ27</f>
        <v>146</v>
      </c>
      <c r="BA27">
        <f>AZ27+Original!BA27</f>
        <v>146</v>
      </c>
      <c r="BB27">
        <f>BA27+Original!BB27</f>
        <v>146</v>
      </c>
      <c r="BC27">
        <f>BB27+Original!BC27</f>
        <v>146</v>
      </c>
      <c r="BD27">
        <f>BC27+Original!BD27</f>
        <v>146</v>
      </c>
      <c r="BE27">
        <f>BD27+Original!BE27</f>
        <v>146</v>
      </c>
      <c r="BF27">
        <f>BE27+Original!BF27</f>
        <v>146</v>
      </c>
      <c r="BG27">
        <f>BF27+Original!BG27</f>
        <v>146</v>
      </c>
      <c r="BH27">
        <f>BG27+Original!BH27</f>
        <v>146</v>
      </c>
      <c r="BI27">
        <f>BH27+Original!BI27</f>
        <v>146</v>
      </c>
      <c r="BJ27">
        <f>BI27+Original!BJ27</f>
        <v>146</v>
      </c>
      <c r="BK27">
        <f>BJ27+Original!BK27</f>
        <v>146</v>
      </c>
      <c r="BL27">
        <f>BK27+Original!BL27</f>
        <v>146</v>
      </c>
      <c r="BM27">
        <f>BL27+Original!BM27</f>
        <v>146</v>
      </c>
      <c r="BN27">
        <f>BM27+Original!BN27</f>
        <v>146</v>
      </c>
      <c r="BO27">
        <f>BN27+Original!BO27</f>
        <v>146</v>
      </c>
      <c r="BP27">
        <f>BO27+Original!BP27</f>
        <v>146</v>
      </c>
      <c r="BQ27">
        <f>BP27+Original!BQ27</f>
        <v>146</v>
      </c>
      <c r="BR27">
        <f>BQ27+Original!BR27</f>
        <v>146</v>
      </c>
      <c r="BS27">
        <f>BR27+Original!BS27</f>
        <v>146</v>
      </c>
      <c r="BT27">
        <f>BS27+Original!BT27</f>
        <v>146</v>
      </c>
      <c r="BU27">
        <f>BT27+Original!BU27</f>
        <v>146</v>
      </c>
      <c r="BV27">
        <f>BU27+Original!BV27</f>
        <v>146</v>
      </c>
      <c r="BW27">
        <f>BV27+Original!BW27</f>
        <v>146</v>
      </c>
    </row>
    <row r="28" spans="1:75" x14ac:dyDescent="0.25">
      <c r="A28" t="str">
        <f>Original!A28</f>
        <v>Cláudio Lima</v>
      </c>
      <c r="B28">
        <f>Original!B28</f>
        <v>146</v>
      </c>
      <c r="C28">
        <f>Original!C28</f>
        <v>8</v>
      </c>
      <c r="D28">
        <f>C28+Original!D28</f>
        <v>14</v>
      </c>
      <c r="E28">
        <f>D28+Original!E28</f>
        <v>22</v>
      </c>
      <c r="F28">
        <f>E28+Original!F28</f>
        <v>24</v>
      </c>
      <c r="G28">
        <f>F28+Original!G28</f>
        <v>24</v>
      </c>
      <c r="H28">
        <f>G28+Original!H28</f>
        <v>26</v>
      </c>
      <c r="I28">
        <f>H28+Original!I28</f>
        <v>26</v>
      </c>
      <c r="J28">
        <f>I28+Original!J28</f>
        <v>32</v>
      </c>
      <c r="K28">
        <f>J28+Original!K28</f>
        <v>34</v>
      </c>
      <c r="L28">
        <f>K28+Original!L28</f>
        <v>36</v>
      </c>
      <c r="M28">
        <f>L28+Original!M28</f>
        <v>44</v>
      </c>
      <c r="N28">
        <f>M28+Original!N28</f>
        <v>52</v>
      </c>
      <c r="O28">
        <f>N28+Original!O28</f>
        <v>65</v>
      </c>
      <c r="P28">
        <f>O28+Original!P28</f>
        <v>67</v>
      </c>
      <c r="Q28">
        <f>P28+Original!Q28</f>
        <v>73</v>
      </c>
      <c r="R28">
        <f>Q28+Original!R28</f>
        <v>81</v>
      </c>
      <c r="S28">
        <f>R28+Original!S28</f>
        <v>81</v>
      </c>
      <c r="T28">
        <f>S28+Original!T28</f>
        <v>81</v>
      </c>
      <c r="U28">
        <f>T28+Original!U28</f>
        <v>87</v>
      </c>
      <c r="V28">
        <f>U28+Original!V28</f>
        <v>89</v>
      </c>
      <c r="W28">
        <f>V28+Original!W28</f>
        <v>91</v>
      </c>
      <c r="X28">
        <f>W28+Original!X28</f>
        <v>93</v>
      </c>
      <c r="Y28">
        <f>X28+Original!Y28</f>
        <v>101</v>
      </c>
      <c r="Z28">
        <f>Y28+Original!Z28</f>
        <v>114</v>
      </c>
      <c r="AA28">
        <f>Z28+Original!AA28</f>
        <v>127</v>
      </c>
      <c r="AB28">
        <f>AA28+Original!AB28</f>
        <v>127</v>
      </c>
      <c r="AC28">
        <f>AB28+Original!AC28</f>
        <v>127</v>
      </c>
      <c r="AD28">
        <f>AC28+Original!AD28</f>
        <v>133</v>
      </c>
      <c r="AE28">
        <f>AD28+Original!AE28</f>
        <v>146</v>
      </c>
      <c r="AF28">
        <f>AE28+Original!AF28</f>
        <v>146</v>
      </c>
      <c r="AG28">
        <f>AF28+Original!AG28</f>
        <v>146</v>
      </c>
      <c r="AH28">
        <f>AG28+Original!AH28</f>
        <v>146</v>
      </c>
      <c r="AI28">
        <f>AH28+Original!AI28</f>
        <v>146</v>
      </c>
      <c r="AJ28">
        <f>AI28+Original!AJ28</f>
        <v>146</v>
      </c>
      <c r="AK28">
        <f>AJ28+Original!AK28</f>
        <v>146</v>
      </c>
      <c r="AL28">
        <f>AK28+Original!AL28</f>
        <v>146</v>
      </c>
      <c r="AM28">
        <f>AL28+Original!AM28</f>
        <v>146</v>
      </c>
      <c r="AN28">
        <f>AM28+Original!AN28</f>
        <v>146</v>
      </c>
      <c r="AO28">
        <f>AN28+Original!AO28</f>
        <v>146</v>
      </c>
      <c r="AP28">
        <f>AO28+Original!AP28</f>
        <v>146</v>
      </c>
      <c r="AQ28">
        <f>AP28+Original!AQ28</f>
        <v>146</v>
      </c>
      <c r="AR28">
        <f>AQ28+Original!AR28</f>
        <v>146</v>
      </c>
      <c r="AS28">
        <f>AR28+Original!AS28</f>
        <v>146</v>
      </c>
      <c r="AT28">
        <f>AS28+Original!AT28</f>
        <v>146</v>
      </c>
      <c r="AU28">
        <f>AT28+Original!AU28</f>
        <v>146</v>
      </c>
      <c r="AV28">
        <f>AU28+Original!AV28</f>
        <v>146</v>
      </c>
      <c r="AW28">
        <f>AV28+Original!AW28</f>
        <v>146</v>
      </c>
      <c r="AX28">
        <f>AW28+Original!AX28</f>
        <v>146</v>
      </c>
      <c r="AY28">
        <f>AX28+Original!AY28</f>
        <v>146</v>
      </c>
      <c r="AZ28">
        <f>AY28+Original!AZ28</f>
        <v>146</v>
      </c>
      <c r="BA28">
        <f>AZ28+Original!BA28</f>
        <v>146</v>
      </c>
      <c r="BB28">
        <f>BA28+Original!BB28</f>
        <v>146</v>
      </c>
      <c r="BC28">
        <f>BB28+Original!BC28</f>
        <v>146</v>
      </c>
      <c r="BD28">
        <f>BC28+Original!BD28</f>
        <v>146</v>
      </c>
      <c r="BE28">
        <f>BD28+Original!BE28</f>
        <v>146</v>
      </c>
      <c r="BF28">
        <f>BE28+Original!BF28</f>
        <v>146</v>
      </c>
      <c r="BG28">
        <f>BF28+Original!BG28</f>
        <v>146</v>
      </c>
      <c r="BH28">
        <f>BG28+Original!BH28</f>
        <v>146</v>
      </c>
      <c r="BI28">
        <f>BH28+Original!BI28</f>
        <v>146</v>
      </c>
      <c r="BJ28">
        <f>BI28+Original!BJ28</f>
        <v>146</v>
      </c>
      <c r="BK28">
        <f>BJ28+Original!BK28</f>
        <v>146</v>
      </c>
      <c r="BL28">
        <f>BK28+Original!BL28</f>
        <v>146</v>
      </c>
      <c r="BM28">
        <f>BL28+Original!BM28</f>
        <v>146</v>
      </c>
      <c r="BN28">
        <f>BM28+Original!BN28</f>
        <v>146</v>
      </c>
      <c r="BO28">
        <f>BN28+Original!BO28</f>
        <v>146</v>
      </c>
      <c r="BP28">
        <f>BO28+Original!BP28</f>
        <v>146</v>
      </c>
      <c r="BQ28">
        <f>BP28+Original!BQ28</f>
        <v>146</v>
      </c>
      <c r="BR28">
        <f>BQ28+Original!BR28</f>
        <v>146</v>
      </c>
      <c r="BS28">
        <f>BR28+Original!BS28</f>
        <v>146</v>
      </c>
      <c r="BT28">
        <f>BS28+Original!BT28</f>
        <v>146</v>
      </c>
      <c r="BU28">
        <f>BT28+Original!BU28</f>
        <v>146</v>
      </c>
      <c r="BV28">
        <f>BU28+Original!BV28</f>
        <v>146</v>
      </c>
      <c r="BW28">
        <f>BV28+Original!BW28</f>
        <v>146</v>
      </c>
    </row>
    <row r="29" spans="1:75" x14ac:dyDescent="0.25">
      <c r="A29" t="str">
        <f>Original!A29</f>
        <v>Rodolfo Schubach</v>
      </c>
      <c r="B29">
        <f>Original!B29</f>
        <v>146</v>
      </c>
      <c r="C29">
        <f>Original!C29</f>
        <v>8</v>
      </c>
      <c r="D29">
        <f>C29+Original!D29</f>
        <v>14</v>
      </c>
      <c r="E29">
        <f>D29+Original!E29</f>
        <v>22</v>
      </c>
      <c r="F29">
        <f>E29+Original!F29</f>
        <v>35</v>
      </c>
      <c r="G29">
        <f>F29+Original!G29</f>
        <v>35</v>
      </c>
      <c r="H29">
        <f>G29+Original!H29</f>
        <v>37</v>
      </c>
      <c r="I29">
        <f>H29+Original!I29</f>
        <v>39</v>
      </c>
      <c r="J29">
        <f>I29+Original!J29</f>
        <v>45</v>
      </c>
      <c r="K29">
        <f>J29+Original!K29</f>
        <v>45</v>
      </c>
      <c r="L29">
        <f>K29+Original!L29</f>
        <v>45</v>
      </c>
      <c r="M29">
        <f>L29+Original!M29</f>
        <v>53</v>
      </c>
      <c r="N29">
        <f>M29+Original!N29</f>
        <v>61</v>
      </c>
      <c r="O29">
        <f>N29+Original!O29</f>
        <v>67</v>
      </c>
      <c r="P29">
        <f>O29+Original!P29</f>
        <v>67</v>
      </c>
      <c r="Q29">
        <f>P29+Original!Q29</f>
        <v>73</v>
      </c>
      <c r="R29">
        <f>Q29+Original!R29</f>
        <v>81</v>
      </c>
      <c r="S29">
        <f>R29+Original!S29</f>
        <v>88</v>
      </c>
      <c r="T29">
        <f>S29+Original!T29</f>
        <v>88</v>
      </c>
      <c r="U29">
        <f>T29+Original!U29</f>
        <v>96</v>
      </c>
      <c r="V29">
        <f>U29+Original!V29</f>
        <v>98</v>
      </c>
      <c r="W29">
        <f>V29+Original!W29</f>
        <v>100</v>
      </c>
      <c r="X29">
        <f>W29+Original!X29</f>
        <v>100</v>
      </c>
      <c r="Y29">
        <f>X29+Original!Y29</f>
        <v>113</v>
      </c>
      <c r="Z29">
        <f>Y29+Original!Z29</f>
        <v>126</v>
      </c>
      <c r="AA29">
        <f>Z29+Original!AA29</f>
        <v>134</v>
      </c>
      <c r="AB29">
        <f>AA29+Original!AB29</f>
        <v>134</v>
      </c>
      <c r="AC29">
        <f>AB29+Original!AC29</f>
        <v>134</v>
      </c>
      <c r="AD29">
        <f>AC29+Original!AD29</f>
        <v>140</v>
      </c>
      <c r="AE29">
        <f>AD29+Original!AE29</f>
        <v>146</v>
      </c>
      <c r="AF29">
        <f>AE29+Original!AF29</f>
        <v>146</v>
      </c>
      <c r="AG29">
        <f>AF29+Original!AG29</f>
        <v>146</v>
      </c>
      <c r="AH29">
        <f>AG29+Original!AH29</f>
        <v>146</v>
      </c>
      <c r="AI29">
        <f>AH29+Original!AI29</f>
        <v>146</v>
      </c>
      <c r="AJ29">
        <f>AI29+Original!AJ29</f>
        <v>146</v>
      </c>
      <c r="AK29">
        <f>AJ29+Original!AK29</f>
        <v>146</v>
      </c>
      <c r="AL29">
        <f>AK29+Original!AL29</f>
        <v>146</v>
      </c>
      <c r="AM29">
        <f>AL29+Original!AM29</f>
        <v>146</v>
      </c>
      <c r="AN29">
        <f>AM29+Original!AN29</f>
        <v>146</v>
      </c>
      <c r="AO29">
        <f>AN29+Original!AO29</f>
        <v>146</v>
      </c>
      <c r="AP29">
        <f>AO29+Original!AP29</f>
        <v>146</v>
      </c>
      <c r="AQ29">
        <f>AP29+Original!AQ29</f>
        <v>146</v>
      </c>
      <c r="AR29">
        <f>AQ29+Original!AR29</f>
        <v>146</v>
      </c>
      <c r="AS29">
        <f>AR29+Original!AS29</f>
        <v>146</v>
      </c>
      <c r="AT29">
        <f>AS29+Original!AT29</f>
        <v>146</v>
      </c>
      <c r="AU29">
        <f>AT29+Original!AU29</f>
        <v>146</v>
      </c>
      <c r="AV29">
        <f>AU29+Original!AV29</f>
        <v>146</v>
      </c>
      <c r="AW29">
        <f>AV29+Original!AW29</f>
        <v>146</v>
      </c>
      <c r="AX29">
        <f>AW29+Original!AX29</f>
        <v>146</v>
      </c>
      <c r="AY29">
        <f>AX29+Original!AY29</f>
        <v>146</v>
      </c>
      <c r="AZ29">
        <f>AY29+Original!AZ29</f>
        <v>146</v>
      </c>
      <c r="BA29">
        <f>AZ29+Original!BA29</f>
        <v>146</v>
      </c>
      <c r="BB29">
        <f>BA29+Original!BB29</f>
        <v>146</v>
      </c>
      <c r="BC29">
        <f>BB29+Original!BC29</f>
        <v>146</v>
      </c>
      <c r="BD29">
        <f>BC29+Original!BD29</f>
        <v>146</v>
      </c>
      <c r="BE29">
        <f>BD29+Original!BE29</f>
        <v>146</v>
      </c>
      <c r="BF29">
        <f>BE29+Original!BF29</f>
        <v>146</v>
      </c>
      <c r="BG29">
        <f>BF29+Original!BG29</f>
        <v>146</v>
      </c>
      <c r="BH29">
        <f>BG29+Original!BH29</f>
        <v>146</v>
      </c>
      <c r="BI29">
        <f>BH29+Original!BI29</f>
        <v>146</v>
      </c>
      <c r="BJ29">
        <f>BI29+Original!BJ29</f>
        <v>146</v>
      </c>
      <c r="BK29">
        <f>BJ29+Original!BK29</f>
        <v>146</v>
      </c>
      <c r="BL29">
        <f>BK29+Original!BL29</f>
        <v>146</v>
      </c>
      <c r="BM29">
        <f>BL29+Original!BM29</f>
        <v>146</v>
      </c>
      <c r="BN29">
        <f>BM29+Original!BN29</f>
        <v>146</v>
      </c>
      <c r="BO29">
        <f>BN29+Original!BO29</f>
        <v>146</v>
      </c>
      <c r="BP29">
        <f>BO29+Original!BP29</f>
        <v>146</v>
      </c>
      <c r="BQ29">
        <f>BP29+Original!BQ29</f>
        <v>146</v>
      </c>
      <c r="BR29">
        <f>BQ29+Original!BR29</f>
        <v>146</v>
      </c>
      <c r="BS29">
        <f>BR29+Original!BS29</f>
        <v>146</v>
      </c>
      <c r="BT29">
        <f>BS29+Original!BT29</f>
        <v>146</v>
      </c>
      <c r="BU29">
        <f>BT29+Original!BU29</f>
        <v>146</v>
      </c>
      <c r="BV29">
        <f>BU29+Original!BV29</f>
        <v>146</v>
      </c>
      <c r="BW29">
        <f>BV29+Original!BW29</f>
        <v>146</v>
      </c>
    </row>
    <row r="30" spans="1:75" x14ac:dyDescent="0.25">
      <c r="A30" t="str">
        <f>Original!A30</f>
        <v>Marina Amorim</v>
      </c>
      <c r="B30">
        <f>Original!B30</f>
        <v>145</v>
      </c>
      <c r="C30">
        <f>Original!C30</f>
        <v>8</v>
      </c>
      <c r="D30">
        <f>C30+Original!D30</f>
        <v>14</v>
      </c>
      <c r="E30">
        <f>D30+Original!E30</f>
        <v>22</v>
      </c>
      <c r="F30">
        <f>E30+Original!F30</f>
        <v>35</v>
      </c>
      <c r="G30">
        <f>F30+Original!G30</f>
        <v>35</v>
      </c>
      <c r="H30">
        <f>G30+Original!H30</f>
        <v>35</v>
      </c>
      <c r="I30">
        <f>H30+Original!I30</f>
        <v>35</v>
      </c>
      <c r="J30">
        <f>I30+Original!J30</f>
        <v>41</v>
      </c>
      <c r="K30">
        <f>J30+Original!K30</f>
        <v>43</v>
      </c>
      <c r="L30">
        <f>K30+Original!L30</f>
        <v>43</v>
      </c>
      <c r="M30">
        <f>L30+Original!M30</f>
        <v>51</v>
      </c>
      <c r="N30">
        <f>M30+Original!N30</f>
        <v>57</v>
      </c>
      <c r="O30">
        <f>N30+Original!O30</f>
        <v>59</v>
      </c>
      <c r="P30">
        <f>O30+Original!P30</f>
        <v>59</v>
      </c>
      <c r="Q30">
        <f>P30+Original!Q30</f>
        <v>65</v>
      </c>
      <c r="R30">
        <f>Q30+Original!R30</f>
        <v>78</v>
      </c>
      <c r="S30">
        <f>R30+Original!S30</f>
        <v>85</v>
      </c>
      <c r="T30">
        <f>S30+Original!T30</f>
        <v>93</v>
      </c>
      <c r="U30">
        <f>T30+Original!U30</f>
        <v>106</v>
      </c>
      <c r="V30">
        <f>U30+Original!V30</f>
        <v>108</v>
      </c>
      <c r="W30">
        <f>V30+Original!W30</f>
        <v>110</v>
      </c>
      <c r="X30">
        <f>W30+Original!X30</f>
        <v>112</v>
      </c>
      <c r="Y30">
        <f>X30+Original!Y30</f>
        <v>125</v>
      </c>
      <c r="Z30">
        <f>Y30+Original!Z30</f>
        <v>127</v>
      </c>
      <c r="AA30">
        <f>Z30+Original!AA30</f>
        <v>133</v>
      </c>
      <c r="AB30">
        <f>AA30+Original!AB30</f>
        <v>135</v>
      </c>
      <c r="AC30">
        <f>AB30+Original!AC30</f>
        <v>135</v>
      </c>
      <c r="AD30">
        <f>AC30+Original!AD30</f>
        <v>143</v>
      </c>
      <c r="AE30">
        <f>AD30+Original!AE30</f>
        <v>145</v>
      </c>
      <c r="AF30">
        <f>AE30+Original!AF30</f>
        <v>145</v>
      </c>
      <c r="AG30">
        <f>AF30+Original!AG30</f>
        <v>145</v>
      </c>
      <c r="AH30">
        <f>AG30+Original!AH30</f>
        <v>145</v>
      </c>
      <c r="AI30">
        <f>AH30+Original!AI30</f>
        <v>145</v>
      </c>
      <c r="AJ30">
        <f>AI30+Original!AJ30</f>
        <v>145</v>
      </c>
      <c r="AK30">
        <f>AJ30+Original!AK30</f>
        <v>145</v>
      </c>
      <c r="AL30">
        <f>AK30+Original!AL30</f>
        <v>145</v>
      </c>
      <c r="AM30">
        <f>AL30+Original!AM30</f>
        <v>145</v>
      </c>
      <c r="AN30">
        <f>AM30+Original!AN30</f>
        <v>145</v>
      </c>
      <c r="AO30">
        <f>AN30+Original!AO30</f>
        <v>145</v>
      </c>
      <c r="AP30">
        <f>AO30+Original!AP30</f>
        <v>145</v>
      </c>
      <c r="AQ30">
        <f>AP30+Original!AQ30</f>
        <v>145</v>
      </c>
      <c r="AR30">
        <f>AQ30+Original!AR30</f>
        <v>145</v>
      </c>
      <c r="AS30">
        <f>AR30+Original!AS30</f>
        <v>145</v>
      </c>
      <c r="AT30">
        <f>AS30+Original!AT30</f>
        <v>145</v>
      </c>
      <c r="AU30">
        <f>AT30+Original!AU30</f>
        <v>145</v>
      </c>
      <c r="AV30">
        <f>AU30+Original!AV30</f>
        <v>145</v>
      </c>
      <c r="AW30">
        <f>AV30+Original!AW30</f>
        <v>145</v>
      </c>
      <c r="AX30">
        <f>AW30+Original!AX30</f>
        <v>145</v>
      </c>
      <c r="AY30">
        <f>AX30+Original!AY30</f>
        <v>145</v>
      </c>
      <c r="AZ30">
        <f>AY30+Original!AZ30</f>
        <v>145</v>
      </c>
      <c r="BA30">
        <f>AZ30+Original!BA30</f>
        <v>145</v>
      </c>
      <c r="BB30">
        <f>BA30+Original!BB30</f>
        <v>145</v>
      </c>
      <c r="BC30">
        <f>BB30+Original!BC30</f>
        <v>145</v>
      </c>
      <c r="BD30">
        <f>BC30+Original!BD30</f>
        <v>145</v>
      </c>
      <c r="BE30">
        <f>BD30+Original!BE30</f>
        <v>145</v>
      </c>
      <c r="BF30">
        <f>BE30+Original!BF30</f>
        <v>145</v>
      </c>
      <c r="BG30">
        <f>BF30+Original!BG30</f>
        <v>145</v>
      </c>
      <c r="BH30">
        <f>BG30+Original!BH30</f>
        <v>145</v>
      </c>
      <c r="BI30">
        <f>BH30+Original!BI30</f>
        <v>145</v>
      </c>
      <c r="BJ30">
        <f>BI30+Original!BJ30</f>
        <v>145</v>
      </c>
      <c r="BK30">
        <f>BJ30+Original!BK30</f>
        <v>145</v>
      </c>
      <c r="BL30">
        <f>BK30+Original!BL30</f>
        <v>145</v>
      </c>
      <c r="BM30">
        <f>BL30+Original!BM30</f>
        <v>145</v>
      </c>
      <c r="BN30">
        <f>BM30+Original!BN30</f>
        <v>145</v>
      </c>
      <c r="BO30">
        <f>BN30+Original!BO30</f>
        <v>145</v>
      </c>
      <c r="BP30">
        <f>BO30+Original!BP30</f>
        <v>145</v>
      </c>
      <c r="BQ30">
        <f>BP30+Original!BQ30</f>
        <v>145</v>
      </c>
      <c r="BR30">
        <f>BQ30+Original!BR30</f>
        <v>145</v>
      </c>
      <c r="BS30">
        <f>BR30+Original!BS30</f>
        <v>145</v>
      </c>
      <c r="BT30">
        <f>BS30+Original!BT30</f>
        <v>145</v>
      </c>
      <c r="BU30">
        <f>BT30+Original!BU30</f>
        <v>145</v>
      </c>
      <c r="BV30">
        <f>BU30+Original!BV30</f>
        <v>145</v>
      </c>
      <c r="BW30">
        <f>BV30+Original!BW30</f>
        <v>145</v>
      </c>
    </row>
    <row r="31" spans="1:75" x14ac:dyDescent="0.25">
      <c r="A31" t="str">
        <f>Original!A31</f>
        <v>Luis Coni</v>
      </c>
      <c r="B31">
        <f>Original!B31</f>
        <v>144</v>
      </c>
      <c r="C31">
        <f>Original!C31</f>
        <v>8</v>
      </c>
      <c r="D31">
        <f>C31+Original!D31</f>
        <v>14</v>
      </c>
      <c r="E31">
        <f>D31+Original!E31</f>
        <v>27</v>
      </c>
      <c r="F31">
        <f>E31+Original!F31</f>
        <v>40</v>
      </c>
      <c r="G31">
        <f>F31+Original!G31</f>
        <v>40</v>
      </c>
      <c r="H31">
        <f>G31+Original!H31</f>
        <v>42</v>
      </c>
      <c r="I31">
        <f>H31+Original!I31</f>
        <v>44</v>
      </c>
      <c r="J31">
        <f>I31+Original!J31</f>
        <v>50</v>
      </c>
      <c r="K31">
        <f>J31+Original!K31</f>
        <v>52</v>
      </c>
      <c r="L31">
        <f>K31+Original!L31</f>
        <v>52</v>
      </c>
      <c r="M31">
        <f>L31+Original!M31</f>
        <v>60</v>
      </c>
      <c r="N31">
        <f>M31+Original!N31</f>
        <v>68</v>
      </c>
      <c r="O31">
        <f>N31+Original!O31</f>
        <v>81</v>
      </c>
      <c r="P31">
        <f>O31+Original!P31</f>
        <v>83</v>
      </c>
      <c r="Q31">
        <f>P31+Original!Q31</f>
        <v>89</v>
      </c>
      <c r="R31">
        <f>Q31+Original!R31</f>
        <v>97</v>
      </c>
      <c r="S31">
        <f>R31+Original!S31</f>
        <v>104</v>
      </c>
      <c r="T31">
        <f>S31+Original!T31</f>
        <v>112</v>
      </c>
      <c r="U31">
        <f>T31+Original!U31</f>
        <v>114</v>
      </c>
      <c r="V31">
        <f>U31+Original!V31</f>
        <v>116</v>
      </c>
      <c r="W31">
        <f>V31+Original!W31</f>
        <v>118</v>
      </c>
      <c r="X31">
        <f>W31+Original!X31</f>
        <v>118</v>
      </c>
      <c r="Y31">
        <f>X31+Original!Y31</f>
        <v>124</v>
      </c>
      <c r="Z31">
        <f>Y31+Original!Z31</f>
        <v>126</v>
      </c>
      <c r="AA31">
        <f>Z31+Original!AA31</f>
        <v>134</v>
      </c>
      <c r="AB31">
        <f>AA31+Original!AB31</f>
        <v>134</v>
      </c>
      <c r="AC31">
        <f>AB31+Original!AC31</f>
        <v>134</v>
      </c>
      <c r="AD31">
        <f>AC31+Original!AD31</f>
        <v>142</v>
      </c>
      <c r="AE31">
        <f>AD31+Original!AE31</f>
        <v>144</v>
      </c>
      <c r="AF31">
        <f>AE31+Original!AF31</f>
        <v>144</v>
      </c>
      <c r="AG31">
        <f>AF31+Original!AG31</f>
        <v>144</v>
      </c>
      <c r="AH31">
        <f>AG31+Original!AH31</f>
        <v>144</v>
      </c>
      <c r="AI31">
        <f>AH31+Original!AI31</f>
        <v>144</v>
      </c>
      <c r="AJ31">
        <f>AI31+Original!AJ31</f>
        <v>144</v>
      </c>
      <c r="AK31">
        <f>AJ31+Original!AK31</f>
        <v>144</v>
      </c>
      <c r="AL31">
        <f>AK31+Original!AL31</f>
        <v>144</v>
      </c>
      <c r="AM31">
        <f>AL31+Original!AM31</f>
        <v>144</v>
      </c>
      <c r="AN31">
        <f>AM31+Original!AN31</f>
        <v>144</v>
      </c>
      <c r="AO31">
        <f>AN31+Original!AO31</f>
        <v>144</v>
      </c>
      <c r="AP31">
        <f>AO31+Original!AP31</f>
        <v>144</v>
      </c>
      <c r="AQ31">
        <f>AP31+Original!AQ31</f>
        <v>144</v>
      </c>
      <c r="AR31">
        <f>AQ31+Original!AR31</f>
        <v>144</v>
      </c>
      <c r="AS31">
        <f>AR31+Original!AS31</f>
        <v>144</v>
      </c>
      <c r="AT31">
        <f>AS31+Original!AT31</f>
        <v>144</v>
      </c>
      <c r="AU31">
        <f>AT31+Original!AU31</f>
        <v>144</v>
      </c>
      <c r="AV31">
        <f>AU31+Original!AV31</f>
        <v>144</v>
      </c>
      <c r="AW31">
        <f>AV31+Original!AW31</f>
        <v>144</v>
      </c>
      <c r="AX31">
        <f>AW31+Original!AX31</f>
        <v>144</v>
      </c>
      <c r="AY31">
        <f>AX31+Original!AY31</f>
        <v>144</v>
      </c>
      <c r="AZ31">
        <f>AY31+Original!AZ31</f>
        <v>144</v>
      </c>
      <c r="BA31">
        <f>AZ31+Original!BA31</f>
        <v>144</v>
      </c>
      <c r="BB31">
        <f>BA31+Original!BB31</f>
        <v>144</v>
      </c>
      <c r="BC31">
        <f>BB31+Original!BC31</f>
        <v>144</v>
      </c>
      <c r="BD31">
        <f>BC31+Original!BD31</f>
        <v>144</v>
      </c>
      <c r="BE31">
        <f>BD31+Original!BE31</f>
        <v>144</v>
      </c>
      <c r="BF31">
        <f>BE31+Original!BF31</f>
        <v>144</v>
      </c>
      <c r="BG31">
        <f>BF31+Original!BG31</f>
        <v>144</v>
      </c>
      <c r="BH31">
        <f>BG31+Original!BH31</f>
        <v>144</v>
      </c>
      <c r="BI31">
        <f>BH31+Original!BI31</f>
        <v>144</v>
      </c>
      <c r="BJ31">
        <f>BI31+Original!BJ31</f>
        <v>144</v>
      </c>
      <c r="BK31">
        <f>BJ31+Original!BK31</f>
        <v>144</v>
      </c>
      <c r="BL31">
        <f>BK31+Original!BL31</f>
        <v>144</v>
      </c>
      <c r="BM31">
        <f>BL31+Original!BM31</f>
        <v>144</v>
      </c>
      <c r="BN31">
        <f>BM31+Original!BN31</f>
        <v>144</v>
      </c>
      <c r="BO31">
        <f>BN31+Original!BO31</f>
        <v>144</v>
      </c>
      <c r="BP31">
        <f>BO31+Original!BP31</f>
        <v>144</v>
      </c>
      <c r="BQ31">
        <f>BP31+Original!BQ31</f>
        <v>144</v>
      </c>
      <c r="BR31">
        <f>BQ31+Original!BR31</f>
        <v>144</v>
      </c>
      <c r="BS31">
        <f>BR31+Original!BS31</f>
        <v>144</v>
      </c>
      <c r="BT31">
        <f>BS31+Original!BT31</f>
        <v>144</v>
      </c>
      <c r="BU31">
        <f>BT31+Original!BU31</f>
        <v>144</v>
      </c>
      <c r="BV31">
        <f>BU31+Original!BV31</f>
        <v>144</v>
      </c>
      <c r="BW31">
        <f>BV31+Original!BW31</f>
        <v>144</v>
      </c>
    </row>
    <row r="32" spans="1:75" x14ac:dyDescent="0.25">
      <c r="A32" t="str">
        <f>Original!A32</f>
        <v>Otávio Guilherme de Medeiros</v>
      </c>
      <c r="B32">
        <f>Original!B32</f>
        <v>144</v>
      </c>
      <c r="C32">
        <f>Original!C32</f>
        <v>8</v>
      </c>
      <c r="D32">
        <f>C32+Original!D32</f>
        <v>8</v>
      </c>
      <c r="E32">
        <f>D32+Original!E32</f>
        <v>21</v>
      </c>
      <c r="F32">
        <f>E32+Original!F32</f>
        <v>27</v>
      </c>
      <c r="G32">
        <f>F32+Original!G32</f>
        <v>27</v>
      </c>
      <c r="H32">
        <f>G32+Original!H32</f>
        <v>29</v>
      </c>
      <c r="I32">
        <f>H32+Original!I32</f>
        <v>31</v>
      </c>
      <c r="J32">
        <f>I32+Original!J32</f>
        <v>37</v>
      </c>
      <c r="K32">
        <f>J32+Original!K32</f>
        <v>39</v>
      </c>
      <c r="L32">
        <f>K32+Original!L32</f>
        <v>39</v>
      </c>
      <c r="M32">
        <f>L32+Original!M32</f>
        <v>45</v>
      </c>
      <c r="N32">
        <f>M32+Original!N32</f>
        <v>51</v>
      </c>
      <c r="O32">
        <f>N32+Original!O32</f>
        <v>64</v>
      </c>
      <c r="P32">
        <f>O32+Original!P32</f>
        <v>70</v>
      </c>
      <c r="Q32">
        <f>P32+Original!Q32</f>
        <v>76</v>
      </c>
      <c r="R32">
        <f>Q32+Original!R32</f>
        <v>89</v>
      </c>
      <c r="S32">
        <f>R32+Original!S32</f>
        <v>89</v>
      </c>
      <c r="T32">
        <f>S32+Original!T32</f>
        <v>89</v>
      </c>
      <c r="U32">
        <f>T32+Original!U32</f>
        <v>95</v>
      </c>
      <c r="V32">
        <f>U32+Original!V32</f>
        <v>97</v>
      </c>
      <c r="W32">
        <f>V32+Original!W32</f>
        <v>99</v>
      </c>
      <c r="X32">
        <f>W32+Original!X32</f>
        <v>101</v>
      </c>
      <c r="Y32">
        <f>X32+Original!Y32</f>
        <v>114</v>
      </c>
      <c r="Z32">
        <f>Y32+Original!Z32</f>
        <v>127</v>
      </c>
      <c r="AA32">
        <f>Z32+Original!AA32</f>
        <v>140</v>
      </c>
      <c r="AB32">
        <f>AA32+Original!AB32</f>
        <v>140</v>
      </c>
      <c r="AC32">
        <f>AB32+Original!AC32</f>
        <v>140</v>
      </c>
      <c r="AD32">
        <f>AC32+Original!AD32</f>
        <v>142</v>
      </c>
      <c r="AE32">
        <f>AD32+Original!AE32</f>
        <v>144</v>
      </c>
      <c r="AF32">
        <f>AE32+Original!AF32</f>
        <v>144</v>
      </c>
      <c r="AG32">
        <f>AF32+Original!AG32</f>
        <v>144</v>
      </c>
      <c r="AH32">
        <f>AG32+Original!AH32</f>
        <v>144</v>
      </c>
      <c r="AI32">
        <f>AH32+Original!AI32</f>
        <v>144</v>
      </c>
      <c r="AJ32">
        <f>AI32+Original!AJ32</f>
        <v>144</v>
      </c>
      <c r="AK32">
        <f>AJ32+Original!AK32</f>
        <v>144</v>
      </c>
      <c r="AL32">
        <f>AK32+Original!AL32</f>
        <v>144</v>
      </c>
      <c r="AM32">
        <f>AL32+Original!AM32</f>
        <v>144</v>
      </c>
      <c r="AN32">
        <f>AM32+Original!AN32</f>
        <v>144</v>
      </c>
      <c r="AO32">
        <f>AN32+Original!AO32</f>
        <v>144</v>
      </c>
      <c r="AP32">
        <f>AO32+Original!AP32</f>
        <v>144</v>
      </c>
      <c r="AQ32">
        <f>AP32+Original!AQ32</f>
        <v>144</v>
      </c>
      <c r="AR32">
        <f>AQ32+Original!AR32</f>
        <v>144</v>
      </c>
      <c r="AS32">
        <f>AR32+Original!AS32</f>
        <v>144</v>
      </c>
      <c r="AT32">
        <f>AS32+Original!AT32</f>
        <v>144</v>
      </c>
      <c r="AU32">
        <f>AT32+Original!AU32</f>
        <v>144</v>
      </c>
      <c r="AV32">
        <f>AU32+Original!AV32</f>
        <v>144</v>
      </c>
      <c r="AW32">
        <f>AV32+Original!AW32</f>
        <v>144</v>
      </c>
      <c r="AX32">
        <f>AW32+Original!AX32</f>
        <v>144</v>
      </c>
      <c r="AY32">
        <f>AX32+Original!AY32</f>
        <v>144</v>
      </c>
      <c r="AZ32">
        <f>AY32+Original!AZ32</f>
        <v>144</v>
      </c>
      <c r="BA32">
        <f>AZ32+Original!BA32</f>
        <v>144</v>
      </c>
      <c r="BB32">
        <f>BA32+Original!BB32</f>
        <v>144</v>
      </c>
      <c r="BC32">
        <f>BB32+Original!BC32</f>
        <v>144</v>
      </c>
      <c r="BD32">
        <f>BC32+Original!BD32</f>
        <v>144</v>
      </c>
      <c r="BE32">
        <f>BD32+Original!BE32</f>
        <v>144</v>
      </c>
      <c r="BF32">
        <f>BE32+Original!BF32</f>
        <v>144</v>
      </c>
      <c r="BG32">
        <f>BF32+Original!BG32</f>
        <v>144</v>
      </c>
      <c r="BH32">
        <f>BG32+Original!BH32</f>
        <v>144</v>
      </c>
      <c r="BI32">
        <f>BH32+Original!BI32</f>
        <v>144</v>
      </c>
      <c r="BJ32">
        <f>BI32+Original!BJ32</f>
        <v>144</v>
      </c>
      <c r="BK32">
        <f>BJ32+Original!BK32</f>
        <v>144</v>
      </c>
      <c r="BL32">
        <f>BK32+Original!BL32</f>
        <v>144</v>
      </c>
      <c r="BM32">
        <f>BL32+Original!BM32</f>
        <v>144</v>
      </c>
      <c r="BN32">
        <f>BM32+Original!BN32</f>
        <v>144</v>
      </c>
      <c r="BO32">
        <f>BN32+Original!BO32</f>
        <v>144</v>
      </c>
      <c r="BP32">
        <f>BO32+Original!BP32</f>
        <v>144</v>
      </c>
      <c r="BQ32">
        <f>BP32+Original!BQ32</f>
        <v>144</v>
      </c>
      <c r="BR32">
        <f>BQ32+Original!BR32</f>
        <v>144</v>
      </c>
      <c r="BS32">
        <f>BR32+Original!BS32</f>
        <v>144</v>
      </c>
      <c r="BT32">
        <f>BS32+Original!BT32</f>
        <v>144</v>
      </c>
      <c r="BU32">
        <f>BT32+Original!BU32</f>
        <v>144</v>
      </c>
      <c r="BV32">
        <f>BU32+Original!BV32</f>
        <v>144</v>
      </c>
      <c r="BW32">
        <f>BV32+Original!BW32</f>
        <v>144</v>
      </c>
    </row>
    <row r="33" spans="1:75" x14ac:dyDescent="0.25">
      <c r="A33" t="str">
        <f>Original!A33</f>
        <v>Afrânio 2</v>
      </c>
      <c r="B33">
        <f>Original!B33</f>
        <v>143</v>
      </c>
      <c r="C33">
        <f>Original!C33</f>
        <v>2</v>
      </c>
      <c r="D33">
        <f>C33+Original!D33</f>
        <v>8</v>
      </c>
      <c r="E33">
        <f>D33+Original!E33</f>
        <v>16</v>
      </c>
      <c r="F33">
        <f>E33+Original!F33</f>
        <v>29</v>
      </c>
      <c r="G33">
        <f>F33+Original!G33</f>
        <v>31</v>
      </c>
      <c r="H33">
        <f>G33+Original!H33</f>
        <v>37</v>
      </c>
      <c r="I33">
        <f>H33+Original!I33</f>
        <v>43</v>
      </c>
      <c r="J33">
        <f>I33+Original!J33</f>
        <v>49</v>
      </c>
      <c r="K33">
        <f>J33+Original!K33</f>
        <v>55</v>
      </c>
      <c r="L33">
        <f>K33+Original!L33</f>
        <v>57</v>
      </c>
      <c r="M33">
        <f>L33+Original!M33</f>
        <v>65</v>
      </c>
      <c r="N33">
        <f>M33+Original!N33</f>
        <v>73</v>
      </c>
      <c r="O33">
        <f>N33+Original!O33</f>
        <v>79</v>
      </c>
      <c r="P33">
        <f>O33+Original!P33</f>
        <v>81</v>
      </c>
      <c r="Q33">
        <f>P33+Original!Q33</f>
        <v>87</v>
      </c>
      <c r="R33">
        <f>Q33+Original!R33</f>
        <v>100</v>
      </c>
      <c r="S33">
        <f>R33+Original!S33</f>
        <v>100</v>
      </c>
      <c r="T33">
        <f>S33+Original!T33</f>
        <v>100</v>
      </c>
      <c r="U33">
        <f>T33+Original!U33</f>
        <v>102</v>
      </c>
      <c r="V33">
        <f>U33+Original!V33</f>
        <v>108</v>
      </c>
      <c r="W33">
        <f>V33+Original!W33</f>
        <v>110</v>
      </c>
      <c r="X33">
        <f>W33+Original!X33</f>
        <v>112</v>
      </c>
      <c r="Y33">
        <f>X33+Original!Y33</f>
        <v>112</v>
      </c>
      <c r="Z33">
        <f>Y33+Original!Z33</f>
        <v>114</v>
      </c>
      <c r="AA33">
        <f>Z33+Original!AA33</f>
        <v>122</v>
      </c>
      <c r="AB33">
        <f>AA33+Original!AB33</f>
        <v>124</v>
      </c>
      <c r="AC33">
        <f>AB33+Original!AC33</f>
        <v>124</v>
      </c>
      <c r="AD33">
        <f>AC33+Original!AD33</f>
        <v>130</v>
      </c>
      <c r="AE33">
        <f>AD33+Original!AE33</f>
        <v>143</v>
      </c>
      <c r="AF33">
        <f>AE33+Original!AF33</f>
        <v>143</v>
      </c>
      <c r="AG33">
        <f>AF33+Original!AG33</f>
        <v>143</v>
      </c>
      <c r="AH33">
        <f>AG33+Original!AH33</f>
        <v>143</v>
      </c>
      <c r="AI33">
        <f>AH33+Original!AI33</f>
        <v>143</v>
      </c>
      <c r="AJ33">
        <f>AI33+Original!AJ33</f>
        <v>143</v>
      </c>
      <c r="AK33">
        <f>AJ33+Original!AK33</f>
        <v>143</v>
      </c>
      <c r="AL33">
        <f>AK33+Original!AL33</f>
        <v>143</v>
      </c>
      <c r="AM33">
        <f>AL33+Original!AM33</f>
        <v>143</v>
      </c>
      <c r="AN33">
        <f>AM33+Original!AN33</f>
        <v>143</v>
      </c>
      <c r="AO33">
        <f>AN33+Original!AO33</f>
        <v>143</v>
      </c>
      <c r="AP33">
        <f>AO33+Original!AP33</f>
        <v>143</v>
      </c>
      <c r="AQ33">
        <f>AP33+Original!AQ33</f>
        <v>143</v>
      </c>
      <c r="AR33">
        <f>AQ33+Original!AR33</f>
        <v>143</v>
      </c>
      <c r="AS33">
        <f>AR33+Original!AS33</f>
        <v>143</v>
      </c>
      <c r="AT33">
        <f>AS33+Original!AT33</f>
        <v>143</v>
      </c>
      <c r="AU33">
        <f>AT33+Original!AU33</f>
        <v>143</v>
      </c>
      <c r="AV33">
        <f>AU33+Original!AV33</f>
        <v>143</v>
      </c>
      <c r="AW33">
        <f>AV33+Original!AW33</f>
        <v>143</v>
      </c>
      <c r="AX33">
        <f>AW33+Original!AX33</f>
        <v>143</v>
      </c>
      <c r="AY33">
        <f>AX33+Original!AY33</f>
        <v>143</v>
      </c>
      <c r="AZ33">
        <f>AY33+Original!AZ33</f>
        <v>143</v>
      </c>
      <c r="BA33">
        <f>AZ33+Original!BA33</f>
        <v>143</v>
      </c>
      <c r="BB33">
        <f>BA33+Original!BB33</f>
        <v>143</v>
      </c>
      <c r="BC33">
        <f>BB33+Original!BC33</f>
        <v>143</v>
      </c>
      <c r="BD33">
        <f>BC33+Original!BD33</f>
        <v>143</v>
      </c>
      <c r="BE33">
        <f>BD33+Original!BE33</f>
        <v>143</v>
      </c>
      <c r="BF33">
        <f>BE33+Original!BF33</f>
        <v>143</v>
      </c>
      <c r="BG33">
        <f>BF33+Original!BG33</f>
        <v>143</v>
      </c>
      <c r="BH33">
        <f>BG33+Original!BH33</f>
        <v>143</v>
      </c>
      <c r="BI33">
        <f>BH33+Original!BI33</f>
        <v>143</v>
      </c>
      <c r="BJ33">
        <f>BI33+Original!BJ33</f>
        <v>143</v>
      </c>
      <c r="BK33">
        <f>BJ33+Original!BK33</f>
        <v>143</v>
      </c>
      <c r="BL33">
        <f>BK33+Original!BL33</f>
        <v>143</v>
      </c>
      <c r="BM33">
        <f>BL33+Original!BM33</f>
        <v>143</v>
      </c>
      <c r="BN33">
        <f>BM33+Original!BN33</f>
        <v>143</v>
      </c>
      <c r="BO33">
        <f>BN33+Original!BO33</f>
        <v>143</v>
      </c>
      <c r="BP33">
        <f>BO33+Original!BP33</f>
        <v>143</v>
      </c>
      <c r="BQ33">
        <f>BP33+Original!BQ33</f>
        <v>143</v>
      </c>
      <c r="BR33">
        <f>BQ33+Original!BR33</f>
        <v>143</v>
      </c>
      <c r="BS33">
        <f>BR33+Original!BS33</f>
        <v>143</v>
      </c>
      <c r="BT33">
        <f>BS33+Original!BT33</f>
        <v>143</v>
      </c>
      <c r="BU33">
        <f>BT33+Original!BU33</f>
        <v>143</v>
      </c>
      <c r="BV33">
        <f>BU33+Original!BV33</f>
        <v>143</v>
      </c>
      <c r="BW33">
        <f>BV33+Original!BW33</f>
        <v>143</v>
      </c>
    </row>
    <row r="34" spans="1:75" x14ac:dyDescent="0.25">
      <c r="A34" t="str">
        <f>Original!A34</f>
        <v>Paulo Gargano</v>
      </c>
      <c r="B34">
        <f>Original!B34</f>
        <v>143</v>
      </c>
      <c r="C34">
        <f>Original!C34</f>
        <v>8</v>
      </c>
      <c r="D34">
        <f>C34+Original!D34</f>
        <v>14</v>
      </c>
      <c r="E34">
        <f>D34+Original!E34</f>
        <v>22</v>
      </c>
      <c r="F34">
        <f>E34+Original!F34</f>
        <v>24</v>
      </c>
      <c r="G34">
        <f>F34+Original!G34</f>
        <v>24</v>
      </c>
      <c r="H34">
        <f>G34+Original!H34</f>
        <v>26</v>
      </c>
      <c r="I34">
        <f>H34+Original!I34</f>
        <v>32</v>
      </c>
      <c r="J34">
        <f>I34+Original!J34</f>
        <v>38</v>
      </c>
      <c r="K34">
        <f>J34+Original!K34</f>
        <v>40</v>
      </c>
      <c r="L34">
        <f>K34+Original!L34</f>
        <v>40</v>
      </c>
      <c r="M34">
        <f>L34+Original!M34</f>
        <v>46</v>
      </c>
      <c r="N34">
        <f>M34+Original!N34</f>
        <v>54</v>
      </c>
      <c r="O34">
        <f>N34+Original!O34</f>
        <v>62</v>
      </c>
      <c r="P34">
        <f>O34+Original!P34</f>
        <v>68</v>
      </c>
      <c r="Q34">
        <f>P34+Original!Q34</f>
        <v>74</v>
      </c>
      <c r="R34">
        <f>Q34+Original!R34</f>
        <v>82</v>
      </c>
      <c r="S34">
        <f>R34+Original!S34</f>
        <v>89</v>
      </c>
      <c r="T34">
        <f>S34+Original!T34</f>
        <v>89</v>
      </c>
      <c r="U34">
        <f>T34+Original!U34</f>
        <v>95</v>
      </c>
      <c r="V34">
        <f>U34+Original!V34</f>
        <v>97</v>
      </c>
      <c r="W34">
        <f>V34+Original!W34</f>
        <v>99</v>
      </c>
      <c r="X34">
        <f>W34+Original!X34</f>
        <v>101</v>
      </c>
      <c r="Y34">
        <f>X34+Original!Y34</f>
        <v>114</v>
      </c>
      <c r="Z34">
        <f>Y34+Original!Z34</f>
        <v>116</v>
      </c>
      <c r="AA34">
        <f>Z34+Original!AA34</f>
        <v>124</v>
      </c>
      <c r="AB34">
        <f>AA34+Original!AB34</f>
        <v>124</v>
      </c>
      <c r="AC34">
        <f>AB34+Original!AC34</f>
        <v>124</v>
      </c>
      <c r="AD34">
        <f>AC34+Original!AD34</f>
        <v>130</v>
      </c>
      <c r="AE34">
        <f>AD34+Original!AE34</f>
        <v>143</v>
      </c>
      <c r="AF34">
        <f>AE34+Original!AF34</f>
        <v>143</v>
      </c>
      <c r="AG34">
        <f>AF34+Original!AG34</f>
        <v>143</v>
      </c>
      <c r="AH34">
        <f>AG34+Original!AH34</f>
        <v>143</v>
      </c>
      <c r="AI34">
        <f>AH34+Original!AI34</f>
        <v>143</v>
      </c>
      <c r="AJ34">
        <f>AI34+Original!AJ34</f>
        <v>143</v>
      </c>
      <c r="AK34">
        <f>AJ34+Original!AK34</f>
        <v>143</v>
      </c>
      <c r="AL34">
        <f>AK34+Original!AL34</f>
        <v>143</v>
      </c>
      <c r="AM34">
        <f>AL34+Original!AM34</f>
        <v>143</v>
      </c>
      <c r="AN34">
        <f>AM34+Original!AN34</f>
        <v>143</v>
      </c>
      <c r="AO34">
        <f>AN34+Original!AO34</f>
        <v>143</v>
      </c>
      <c r="AP34">
        <f>AO34+Original!AP34</f>
        <v>143</v>
      </c>
      <c r="AQ34">
        <f>AP34+Original!AQ34</f>
        <v>143</v>
      </c>
      <c r="AR34">
        <f>AQ34+Original!AR34</f>
        <v>143</v>
      </c>
      <c r="AS34">
        <f>AR34+Original!AS34</f>
        <v>143</v>
      </c>
      <c r="AT34">
        <f>AS34+Original!AT34</f>
        <v>143</v>
      </c>
      <c r="AU34">
        <f>AT34+Original!AU34</f>
        <v>143</v>
      </c>
      <c r="AV34">
        <f>AU34+Original!AV34</f>
        <v>143</v>
      </c>
      <c r="AW34">
        <f>AV34+Original!AW34</f>
        <v>143</v>
      </c>
      <c r="AX34">
        <f>AW34+Original!AX34</f>
        <v>143</v>
      </c>
      <c r="AY34">
        <f>AX34+Original!AY34</f>
        <v>143</v>
      </c>
      <c r="AZ34">
        <f>AY34+Original!AZ34</f>
        <v>143</v>
      </c>
      <c r="BA34">
        <f>AZ34+Original!BA34</f>
        <v>143</v>
      </c>
      <c r="BB34">
        <f>BA34+Original!BB34</f>
        <v>143</v>
      </c>
      <c r="BC34">
        <f>BB34+Original!BC34</f>
        <v>143</v>
      </c>
      <c r="BD34">
        <f>BC34+Original!BD34</f>
        <v>143</v>
      </c>
      <c r="BE34">
        <f>BD34+Original!BE34</f>
        <v>143</v>
      </c>
      <c r="BF34">
        <f>BE34+Original!BF34</f>
        <v>143</v>
      </c>
      <c r="BG34">
        <f>BF34+Original!BG34</f>
        <v>143</v>
      </c>
      <c r="BH34">
        <f>BG34+Original!BH34</f>
        <v>143</v>
      </c>
      <c r="BI34">
        <f>BH34+Original!BI34</f>
        <v>143</v>
      </c>
      <c r="BJ34">
        <f>BI34+Original!BJ34</f>
        <v>143</v>
      </c>
      <c r="BK34">
        <f>BJ34+Original!BK34</f>
        <v>143</v>
      </c>
      <c r="BL34">
        <f>BK34+Original!BL34</f>
        <v>143</v>
      </c>
      <c r="BM34">
        <f>BL34+Original!BM34</f>
        <v>143</v>
      </c>
      <c r="BN34">
        <f>BM34+Original!BN34</f>
        <v>143</v>
      </c>
      <c r="BO34">
        <f>BN34+Original!BO34</f>
        <v>143</v>
      </c>
      <c r="BP34">
        <f>BO34+Original!BP34</f>
        <v>143</v>
      </c>
      <c r="BQ34">
        <f>BP34+Original!BQ34</f>
        <v>143</v>
      </c>
      <c r="BR34">
        <f>BQ34+Original!BR34</f>
        <v>143</v>
      </c>
      <c r="BS34">
        <f>BR34+Original!BS34</f>
        <v>143</v>
      </c>
      <c r="BT34">
        <f>BS34+Original!BT34</f>
        <v>143</v>
      </c>
      <c r="BU34">
        <f>BT34+Original!BU34</f>
        <v>143</v>
      </c>
      <c r="BV34">
        <f>BU34+Original!BV34</f>
        <v>143</v>
      </c>
      <c r="BW34">
        <f>BV34+Original!BW34</f>
        <v>143</v>
      </c>
    </row>
    <row r="35" spans="1:75" x14ac:dyDescent="0.25">
      <c r="A35" t="str">
        <f>Original!A35</f>
        <v>Afrânio 1</v>
      </c>
      <c r="B35">
        <f>Original!B35</f>
        <v>142</v>
      </c>
      <c r="C35">
        <f>Original!C35</f>
        <v>2</v>
      </c>
      <c r="D35">
        <f>C35+Original!D35</f>
        <v>8</v>
      </c>
      <c r="E35">
        <f>D35+Original!E35</f>
        <v>21</v>
      </c>
      <c r="F35">
        <f>E35+Original!F35</f>
        <v>21</v>
      </c>
      <c r="G35">
        <f>F35+Original!G35</f>
        <v>23</v>
      </c>
      <c r="H35">
        <f>G35+Original!H35</f>
        <v>29</v>
      </c>
      <c r="I35">
        <f>H35+Original!I35</f>
        <v>29</v>
      </c>
      <c r="J35">
        <f>I35+Original!J35</f>
        <v>35</v>
      </c>
      <c r="K35">
        <f>J35+Original!K35</f>
        <v>41</v>
      </c>
      <c r="L35">
        <f>K35+Original!L35</f>
        <v>43</v>
      </c>
      <c r="M35">
        <f>L35+Original!M35</f>
        <v>51</v>
      </c>
      <c r="N35">
        <f>M35+Original!N35</f>
        <v>59</v>
      </c>
      <c r="O35">
        <f>N35+Original!O35</f>
        <v>72</v>
      </c>
      <c r="P35">
        <f>O35+Original!P35</f>
        <v>74</v>
      </c>
      <c r="Q35">
        <f>P35+Original!Q35</f>
        <v>80</v>
      </c>
      <c r="R35">
        <f>Q35+Original!R35</f>
        <v>93</v>
      </c>
      <c r="S35">
        <f>R35+Original!S35</f>
        <v>93</v>
      </c>
      <c r="T35">
        <f>S35+Original!T35</f>
        <v>95</v>
      </c>
      <c r="U35">
        <f>T35+Original!U35</f>
        <v>97</v>
      </c>
      <c r="V35">
        <f>U35+Original!V35</f>
        <v>99</v>
      </c>
      <c r="W35">
        <f>V35+Original!W35</f>
        <v>101</v>
      </c>
      <c r="X35">
        <f>W35+Original!X35</f>
        <v>101</v>
      </c>
      <c r="Y35">
        <f>X35+Original!Y35</f>
        <v>109</v>
      </c>
      <c r="Z35">
        <f>Y35+Original!Z35</f>
        <v>115</v>
      </c>
      <c r="AA35">
        <f>Z35+Original!AA35</f>
        <v>123</v>
      </c>
      <c r="AB35">
        <f>AA35+Original!AB35</f>
        <v>123</v>
      </c>
      <c r="AC35">
        <f>AB35+Original!AC35</f>
        <v>123</v>
      </c>
      <c r="AD35">
        <f>AC35+Original!AD35</f>
        <v>129</v>
      </c>
      <c r="AE35">
        <f>AD35+Original!AE35</f>
        <v>142</v>
      </c>
      <c r="AF35">
        <f>AE35+Original!AF35</f>
        <v>142</v>
      </c>
      <c r="AG35">
        <f>AF35+Original!AG35</f>
        <v>142</v>
      </c>
      <c r="AH35">
        <f>AG35+Original!AH35</f>
        <v>142</v>
      </c>
      <c r="AI35">
        <f>AH35+Original!AI35</f>
        <v>142</v>
      </c>
      <c r="AJ35">
        <f>AI35+Original!AJ35</f>
        <v>142</v>
      </c>
      <c r="AK35">
        <f>AJ35+Original!AK35</f>
        <v>142</v>
      </c>
      <c r="AL35">
        <f>AK35+Original!AL35</f>
        <v>142</v>
      </c>
      <c r="AM35">
        <f>AL35+Original!AM35</f>
        <v>142</v>
      </c>
      <c r="AN35">
        <f>AM35+Original!AN35</f>
        <v>142</v>
      </c>
      <c r="AO35">
        <f>AN35+Original!AO35</f>
        <v>142</v>
      </c>
      <c r="AP35">
        <f>AO35+Original!AP35</f>
        <v>142</v>
      </c>
      <c r="AQ35">
        <f>AP35+Original!AQ35</f>
        <v>142</v>
      </c>
      <c r="AR35">
        <f>AQ35+Original!AR35</f>
        <v>142</v>
      </c>
      <c r="AS35">
        <f>AR35+Original!AS35</f>
        <v>142</v>
      </c>
      <c r="AT35">
        <f>AS35+Original!AT35</f>
        <v>142</v>
      </c>
      <c r="AU35">
        <f>AT35+Original!AU35</f>
        <v>142</v>
      </c>
      <c r="AV35">
        <f>AU35+Original!AV35</f>
        <v>142</v>
      </c>
      <c r="AW35">
        <f>AV35+Original!AW35</f>
        <v>142</v>
      </c>
      <c r="AX35">
        <f>AW35+Original!AX35</f>
        <v>142</v>
      </c>
      <c r="AY35">
        <f>AX35+Original!AY35</f>
        <v>142</v>
      </c>
      <c r="AZ35">
        <f>AY35+Original!AZ35</f>
        <v>142</v>
      </c>
      <c r="BA35">
        <f>AZ35+Original!BA35</f>
        <v>142</v>
      </c>
      <c r="BB35">
        <f>BA35+Original!BB35</f>
        <v>142</v>
      </c>
      <c r="BC35">
        <f>BB35+Original!BC35</f>
        <v>142</v>
      </c>
      <c r="BD35">
        <f>BC35+Original!BD35</f>
        <v>142</v>
      </c>
      <c r="BE35">
        <f>BD35+Original!BE35</f>
        <v>142</v>
      </c>
      <c r="BF35">
        <f>BE35+Original!BF35</f>
        <v>142</v>
      </c>
      <c r="BG35">
        <f>BF35+Original!BG35</f>
        <v>142</v>
      </c>
      <c r="BH35">
        <f>BG35+Original!BH35</f>
        <v>142</v>
      </c>
      <c r="BI35">
        <f>BH35+Original!BI35</f>
        <v>142</v>
      </c>
      <c r="BJ35">
        <f>BI35+Original!BJ35</f>
        <v>142</v>
      </c>
      <c r="BK35">
        <f>BJ35+Original!BK35</f>
        <v>142</v>
      </c>
      <c r="BL35">
        <f>BK35+Original!BL35</f>
        <v>142</v>
      </c>
      <c r="BM35">
        <f>BL35+Original!BM35</f>
        <v>142</v>
      </c>
      <c r="BN35">
        <f>BM35+Original!BN35</f>
        <v>142</v>
      </c>
      <c r="BO35">
        <f>BN35+Original!BO35</f>
        <v>142</v>
      </c>
      <c r="BP35">
        <f>BO35+Original!BP35</f>
        <v>142</v>
      </c>
      <c r="BQ35">
        <f>BP35+Original!BQ35</f>
        <v>142</v>
      </c>
      <c r="BR35">
        <f>BQ35+Original!BR35</f>
        <v>142</v>
      </c>
      <c r="BS35">
        <f>BR35+Original!BS35</f>
        <v>142</v>
      </c>
      <c r="BT35">
        <f>BS35+Original!BT35</f>
        <v>142</v>
      </c>
      <c r="BU35">
        <f>BT35+Original!BU35</f>
        <v>142</v>
      </c>
      <c r="BV35">
        <f>BU35+Original!BV35</f>
        <v>142</v>
      </c>
      <c r="BW35">
        <f>BV35+Original!BW35</f>
        <v>142</v>
      </c>
    </row>
    <row r="36" spans="1:75" x14ac:dyDescent="0.25">
      <c r="A36" t="str">
        <f>Original!A36</f>
        <v>Marcio Borges 1</v>
      </c>
      <c r="B36">
        <f>Original!B36</f>
        <v>141</v>
      </c>
      <c r="C36">
        <f>Original!C36</f>
        <v>8</v>
      </c>
      <c r="D36">
        <f>C36+Original!D36</f>
        <v>14</v>
      </c>
      <c r="E36">
        <f>D36+Original!E36</f>
        <v>22</v>
      </c>
      <c r="F36">
        <f>E36+Original!F36</f>
        <v>28</v>
      </c>
      <c r="G36">
        <f>F36+Original!G36</f>
        <v>28</v>
      </c>
      <c r="H36">
        <f>G36+Original!H36</f>
        <v>28</v>
      </c>
      <c r="I36">
        <f>H36+Original!I36</f>
        <v>28</v>
      </c>
      <c r="J36">
        <f>I36+Original!J36</f>
        <v>36</v>
      </c>
      <c r="K36">
        <f>J36+Original!K36</f>
        <v>36</v>
      </c>
      <c r="L36">
        <f>K36+Original!L36</f>
        <v>36</v>
      </c>
      <c r="M36">
        <f>L36+Original!M36</f>
        <v>42</v>
      </c>
      <c r="N36">
        <f>M36+Original!N36</f>
        <v>48</v>
      </c>
      <c r="O36">
        <f>N36+Original!O36</f>
        <v>61</v>
      </c>
      <c r="P36">
        <f>O36+Original!P36</f>
        <v>63</v>
      </c>
      <c r="Q36">
        <f>P36+Original!Q36</f>
        <v>69</v>
      </c>
      <c r="R36">
        <f>Q36+Original!R36</f>
        <v>82</v>
      </c>
      <c r="S36">
        <f>R36+Original!S36</f>
        <v>89</v>
      </c>
      <c r="T36">
        <f>S36+Original!T36</f>
        <v>89</v>
      </c>
      <c r="U36">
        <f>T36+Original!U36</f>
        <v>102</v>
      </c>
      <c r="V36">
        <f>U36+Original!V36</f>
        <v>102</v>
      </c>
      <c r="W36">
        <f>V36+Original!W36</f>
        <v>102</v>
      </c>
      <c r="X36">
        <f>W36+Original!X36</f>
        <v>102</v>
      </c>
      <c r="Y36">
        <f>X36+Original!Y36</f>
        <v>115</v>
      </c>
      <c r="Z36">
        <f>Y36+Original!Z36</f>
        <v>121</v>
      </c>
      <c r="AA36">
        <f>Z36+Original!AA36</f>
        <v>129</v>
      </c>
      <c r="AB36">
        <f>AA36+Original!AB36</f>
        <v>129</v>
      </c>
      <c r="AC36">
        <f>AB36+Original!AC36</f>
        <v>131</v>
      </c>
      <c r="AD36">
        <f>AC36+Original!AD36</f>
        <v>139</v>
      </c>
      <c r="AE36">
        <f>AD36+Original!AE36</f>
        <v>141</v>
      </c>
      <c r="AF36">
        <f>AE36+Original!AF36</f>
        <v>141</v>
      </c>
      <c r="AG36">
        <f>AF36+Original!AG36</f>
        <v>141</v>
      </c>
      <c r="AH36">
        <f>AG36+Original!AH36</f>
        <v>141</v>
      </c>
      <c r="AI36">
        <f>AH36+Original!AI36</f>
        <v>141</v>
      </c>
      <c r="AJ36">
        <f>AI36+Original!AJ36</f>
        <v>141</v>
      </c>
      <c r="AK36">
        <f>AJ36+Original!AK36</f>
        <v>141</v>
      </c>
      <c r="AL36">
        <f>AK36+Original!AL36</f>
        <v>141</v>
      </c>
      <c r="AM36">
        <f>AL36+Original!AM36</f>
        <v>141</v>
      </c>
      <c r="AN36">
        <f>AM36+Original!AN36</f>
        <v>141</v>
      </c>
      <c r="AO36">
        <f>AN36+Original!AO36</f>
        <v>141</v>
      </c>
      <c r="AP36">
        <f>AO36+Original!AP36</f>
        <v>141</v>
      </c>
      <c r="AQ36">
        <f>AP36+Original!AQ36</f>
        <v>141</v>
      </c>
      <c r="AR36">
        <f>AQ36+Original!AR36</f>
        <v>141</v>
      </c>
      <c r="AS36">
        <f>AR36+Original!AS36</f>
        <v>141</v>
      </c>
      <c r="AT36">
        <f>AS36+Original!AT36</f>
        <v>141</v>
      </c>
      <c r="AU36">
        <f>AT36+Original!AU36</f>
        <v>141</v>
      </c>
      <c r="AV36">
        <f>AU36+Original!AV36</f>
        <v>141</v>
      </c>
      <c r="AW36">
        <f>AV36+Original!AW36</f>
        <v>141</v>
      </c>
      <c r="AX36">
        <f>AW36+Original!AX36</f>
        <v>141</v>
      </c>
      <c r="AY36">
        <f>AX36+Original!AY36</f>
        <v>141</v>
      </c>
      <c r="AZ36">
        <f>AY36+Original!AZ36</f>
        <v>141</v>
      </c>
      <c r="BA36">
        <f>AZ36+Original!BA36</f>
        <v>141</v>
      </c>
      <c r="BB36">
        <f>BA36+Original!BB36</f>
        <v>141</v>
      </c>
      <c r="BC36">
        <f>BB36+Original!BC36</f>
        <v>141</v>
      </c>
      <c r="BD36">
        <f>BC36+Original!BD36</f>
        <v>141</v>
      </c>
      <c r="BE36">
        <f>BD36+Original!BE36</f>
        <v>141</v>
      </c>
      <c r="BF36">
        <f>BE36+Original!BF36</f>
        <v>141</v>
      </c>
      <c r="BG36">
        <f>BF36+Original!BG36</f>
        <v>141</v>
      </c>
      <c r="BH36">
        <f>BG36+Original!BH36</f>
        <v>141</v>
      </c>
      <c r="BI36">
        <f>BH36+Original!BI36</f>
        <v>141</v>
      </c>
      <c r="BJ36">
        <f>BI36+Original!BJ36</f>
        <v>141</v>
      </c>
      <c r="BK36">
        <f>BJ36+Original!BK36</f>
        <v>141</v>
      </c>
      <c r="BL36">
        <f>BK36+Original!BL36</f>
        <v>141</v>
      </c>
      <c r="BM36">
        <f>BL36+Original!BM36</f>
        <v>141</v>
      </c>
      <c r="BN36">
        <f>BM36+Original!BN36</f>
        <v>141</v>
      </c>
      <c r="BO36">
        <f>BN36+Original!BO36</f>
        <v>141</v>
      </c>
      <c r="BP36">
        <f>BO36+Original!BP36</f>
        <v>141</v>
      </c>
      <c r="BQ36">
        <f>BP36+Original!BQ36</f>
        <v>141</v>
      </c>
      <c r="BR36">
        <f>BQ36+Original!BR36</f>
        <v>141</v>
      </c>
      <c r="BS36">
        <f>BR36+Original!BS36</f>
        <v>141</v>
      </c>
      <c r="BT36">
        <f>BS36+Original!BT36</f>
        <v>141</v>
      </c>
      <c r="BU36">
        <f>BT36+Original!BU36</f>
        <v>141</v>
      </c>
      <c r="BV36">
        <f>BU36+Original!BV36</f>
        <v>141</v>
      </c>
      <c r="BW36">
        <f>BV36+Original!BW36</f>
        <v>141</v>
      </c>
    </row>
    <row r="37" spans="1:75" x14ac:dyDescent="0.25">
      <c r="A37" t="str">
        <f>Original!A37</f>
        <v>Rafael Rebouças de Araujo</v>
      </c>
      <c r="B37">
        <f>Original!B37</f>
        <v>141</v>
      </c>
      <c r="C37">
        <f>Original!C37</f>
        <v>0</v>
      </c>
      <c r="D37">
        <f>C37+Original!D37</f>
        <v>6</v>
      </c>
      <c r="E37">
        <f>D37+Original!E37</f>
        <v>14</v>
      </c>
      <c r="F37">
        <f>E37+Original!F37</f>
        <v>14</v>
      </c>
      <c r="G37">
        <f>F37+Original!G37</f>
        <v>14</v>
      </c>
      <c r="H37">
        <f>G37+Original!H37</f>
        <v>16</v>
      </c>
      <c r="I37">
        <f>H37+Original!I37</f>
        <v>18</v>
      </c>
      <c r="J37">
        <f>I37+Original!J37</f>
        <v>26</v>
      </c>
      <c r="K37">
        <f>J37+Original!K37</f>
        <v>28</v>
      </c>
      <c r="L37">
        <f>K37+Original!L37</f>
        <v>30</v>
      </c>
      <c r="M37">
        <f>L37+Original!M37</f>
        <v>36</v>
      </c>
      <c r="N37">
        <f>M37+Original!N37</f>
        <v>44</v>
      </c>
      <c r="O37">
        <f>N37+Original!O37</f>
        <v>57</v>
      </c>
      <c r="P37">
        <f>O37+Original!P37</f>
        <v>59</v>
      </c>
      <c r="Q37">
        <f>P37+Original!Q37</f>
        <v>65</v>
      </c>
      <c r="R37">
        <f>Q37+Original!R37</f>
        <v>73</v>
      </c>
      <c r="S37">
        <f>R37+Original!S37</f>
        <v>80</v>
      </c>
      <c r="T37">
        <f>S37+Original!T37</f>
        <v>80</v>
      </c>
      <c r="U37">
        <f>T37+Original!U37</f>
        <v>86</v>
      </c>
      <c r="V37">
        <f>U37+Original!V37</f>
        <v>88</v>
      </c>
      <c r="W37">
        <f>V37+Original!W37</f>
        <v>94</v>
      </c>
      <c r="X37">
        <f>W37+Original!X37</f>
        <v>107</v>
      </c>
      <c r="Y37">
        <f>X37+Original!Y37</f>
        <v>107</v>
      </c>
      <c r="Z37">
        <f>Y37+Original!Z37</f>
        <v>120</v>
      </c>
      <c r="AA37">
        <f>Z37+Original!AA37</f>
        <v>120</v>
      </c>
      <c r="AB37">
        <f>AA37+Original!AB37</f>
        <v>133</v>
      </c>
      <c r="AC37">
        <f>AB37+Original!AC37</f>
        <v>133</v>
      </c>
      <c r="AD37">
        <f>AC37+Original!AD37</f>
        <v>139</v>
      </c>
      <c r="AE37">
        <f>AD37+Original!AE37</f>
        <v>141</v>
      </c>
      <c r="AF37">
        <f>AE37+Original!AF37</f>
        <v>141</v>
      </c>
      <c r="AG37">
        <f>AF37+Original!AG37</f>
        <v>141</v>
      </c>
      <c r="AH37">
        <f>AG37+Original!AH37</f>
        <v>141</v>
      </c>
      <c r="AI37">
        <f>AH37+Original!AI37</f>
        <v>141</v>
      </c>
      <c r="AJ37">
        <f>AI37+Original!AJ37</f>
        <v>141</v>
      </c>
      <c r="AK37">
        <f>AJ37+Original!AK37</f>
        <v>141</v>
      </c>
      <c r="AL37">
        <f>AK37+Original!AL37</f>
        <v>141</v>
      </c>
      <c r="AM37">
        <f>AL37+Original!AM37</f>
        <v>141</v>
      </c>
      <c r="AN37">
        <f>AM37+Original!AN37</f>
        <v>141</v>
      </c>
      <c r="AO37">
        <f>AN37+Original!AO37</f>
        <v>141</v>
      </c>
      <c r="AP37">
        <f>AO37+Original!AP37</f>
        <v>141</v>
      </c>
      <c r="AQ37">
        <f>AP37+Original!AQ37</f>
        <v>141</v>
      </c>
      <c r="AR37">
        <f>AQ37+Original!AR37</f>
        <v>141</v>
      </c>
      <c r="AS37">
        <f>AR37+Original!AS37</f>
        <v>141</v>
      </c>
      <c r="AT37">
        <f>AS37+Original!AT37</f>
        <v>141</v>
      </c>
      <c r="AU37">
        <f>AT37+Original!AU37</f>
        <v>141</v>
      </c>
      <c r="AV37">
        <f>AU37+Original!AV37</f>
        <v>141</v>
      </c>
      <c r="AW37">
        <f>AV37+Original!AW37</f>
        <v>141</v>
      </c>
      <c r="AX37">
        <f>AW37+Original!AX37</f>
        <v>141</v>
      </c>
      <c r="AY37">
        <f>AX37+Original!AY37</f>
        <v>141</v>
      </c>
      <c r="AZ37">
        <f>AY37+Original!AZ37</f>
        <v>141</v>
      </c>
      <c r="BA37">
        <f>AZ37+Original!BA37</f>
        <v>141</v>
      </c>
      <c r="BB37">
        <f>BA37+Original!BB37</f>
        <v>141</v>
      </c>
      <c r="BC37">
        <f>BB37+Original!BC37</f>
        <v>141</v>
      </c>
      <c r="BD37">
        <f>BC37+Original!BD37</f>
        <v>141</v>
      </c>
      <c r="BE37">
        <f>BD37+Original!BE37</f>
        <v>141</v>
      </c>
      <c r="BF37">
        <f>BE37+Original!BF37</f>
        <v>141</v>
      </c>
      <c r="BG37">
        <f>BF37+Original!BG37</f>
        <v>141</v>
      </c>
      <c r="BH37">
        <f>BG37+Original!BH37</f>
        <v>141</v>
      </c>
      <c r="BI37">
        <f>BH37+Original!BI37</f>
        <v>141</v>
      </c>
      <c r="BJ37">
        <f>BI37+Original!BJ37</f>
        <v>141</v>
      </c>
      <c r="BK37">
        <f>BJ37+Original!BK37</f>
        <v>141</v>
      </c>
      <c r="BL37">
        <f>BK37+Original!BL37</f>
        <v>141</v>
      </c>
      <c r="BM37">
        <f>BL37+Original!BM37</f>
        <v>141</v>
      </c>
      <c r="BN37">
        <f>BM37+Original!BN37</f>
        <v>141</v>
      </c>
      <c r="BO37">
        <f>BN37+Original!BO37</f>
        <v>141</v>
      </c>
      <c r="BP37">
        <f>BO37+Original!BP37</f>
        <v>141</v>
      </c>
      <c r="BQ37">
        <f>BP37+Original!BQ37</f>
        <v>141</v>
      </c>
      <c r="BR37">
        <f>BQ37+Original!BR37</f>
        <v>141</v>
      </c>
      <c r="BS37">
        <f>BR37+Original!BS37</f>
        <v>141</v>
      </c>
      <c r="BT37">
        <f>BS37+Original!BT37</f>
        <v>141</v>
      </c>
      <c r="BU37">
        <f>BT37+Original!BU37</f>
        <v>141</v>
      </c>
      <c r="BV37">
        <f>BU37+Original!BV37</f>
        <v>141</v>
      </c>
      <c r="BW37">
        <f>BV37+Original!BW37</f>
        <v>141</v>
      </c>
    </row>
    <row r="38" spans="1:75" x14ac:dyDescent="0.25">
      <c r="A38" t="str">
        <f>Original!A38</f>
        <v>Robson Guimarães</v>
      </c>
      <c r="B38">
        <f>Original!B38</f>
        <v>141</v>
      </c>
      <c r="C38">
        <f>Original!C38</f>
        <v>2</v>
      </c>
      <c r="D38">
        <f>C38+Original!D38</f>
        <v>8</v>
      </c>
      <c r="E38">
        <f>D38+Original!E38</f>
        <v>16</v>
      </c>
      <c r="F38">
        <f>E38+Original!F38</f>
        <v>22</v>
      </c>
      <c r="G38">
        <f>F38+Original!G38</f>
        <v>22</v>
      </c>
      <c r="H38">
        <f>G38+Original!H38</f>
        <v>24</v>
      </c>
      <c r="I38">
        <f>H38+Original!I38</f>
        <v>30</v>
      </c>
      <c r="J38">
        <f>I38+Original!J38</f>
        <v>38</v>
      </c>
      <c r="K38">
        <f>J38+Original!K38</f>
        <v>40</v>
      </c>
      <c r="L38">
        <f>K38+Original!L38</f>
        <v>42</v>
      </c>
      <c r="M38">
        <f>L38+Original!M38</f>
        <v>50</v>
      </c>
      <c r="N38">
        <f>M38+Original!N38</f>
        <v>58</v>
      </c>
      <c r="O38">
        <f>N38+Original!O38</f>
        <v>60</v>
      </c>
      <c r="P38">
        <f>O38+Original!P38</f>
        <v>66</v>
      </c>
      <c r="Q38">
        <f>P38+Original!Q38</f>
        <v>72</v>
      </c>
      <c r="R38">
        <f>Q38+Original!R38</f>
        <v>80</v>
      </c>
      <c r="S38">
        <f>R38+Original!S38</f>
        <v>80</v>
      </c>
      <c r="T38">
        <f>S38+Original!T38</f>
        <v>80</v>
      </c>
      <c r="U38">
        <f>T38+Original!U38</f>
        <v>86</v>
      </c>
      <c r="V38">
        <f>U38+Original!V38</f>
        <v>86</v>
      </c>
      <c r="W38">
        <f>V38+Original!W38</f>
        <v>88</v>
      </c>
      <c r="X38">
        <f>W38+Original!X38</f>
        <v>101</v>
      </c>
      <c r="Y38">
        <f>X38+Original!Y38</f>
        <v>114</v>
      </c>
      <c r="Z38">
        <f>Y38+Original!Z38</f>
        <v>127</v>
      </c>
      <c r="AA38">
        <f>Z38+Original!AA38</f>
        <v>133</v>
      </c>
      <c r="AB38">
        <f>AA38+Original!AB38</f>
        <v>135</v>
      </c>
      <c r="AC38">
        <f>AB38+Original!AC38</f>
        <v>135</v>
      </c>
      <c r="AD38">
        <f>AC38+Original!AD38</f>
        <v>141</v>
      </c>
      <c r="AE38">
        <f>AD38+Original!AE38</f>
        <v>141</v>
      </c>
      <c r="AF38">
        <f>AE38+Original!AF38</f>
        <v>141</v>
      </c>
      <c r="AG38">
        <f>AF38+Original!AG38</f>
        <v>141</v>
      </c>
      <c r="AH38">
        <f>AG38+Original!AH38</f>
        <v>141</v>
      </c>
      <c r="AI38">
        <f>AH38+Original!AI38</f>
        <v>141</v>
      </c>
      <c r="AJ38">
        <f>AI38+Original!AJ38</f>
        <v>141</v>
      </c>
      <c r="AK38">
        <f>AJ38+Original!AK38</f>
        <v>141</v>
      </c>
      <c r="AL38">
        <f>AK38+Original!AL38</f>
        <v>141</v>
      </c>
      <c r="AM38">
        <f>AL38+Original!AM38</f>
        <v>141</v>
      </c>
      <c r="AN38">
        <f>AM38+Original!AN38</f>
        <v>141</v>
      </c>
      <c r="AO38">
        <f>AN38+Original!AO38</f>
        <v>141</v>
      </c>
      <c r="AP38">
        <f>AO38+Original!AP38</f>
        <v>141</v>
      </c>
      <c r="AQ38">
        <f>AP38+Original!AQ38</f>
        <v>141</v>
      </c>
      <c r="AR38">
        <f>AQ38+Original!AR38</f>
        <v>141</v>
      </c>
      <c r="AS38">
        <f>AR38+Original!AS38</f>
        <v>141</v>
      </c>
      <c r="AT38">
        <f>AS38+Original!AT38</f>
        <v>141</v>
      </c>
      <c r="AU38">
        <f>AT38+Original!AU38</f>
        <v>141</v>
      </c>
      <c r="AV38">
        <f>AU38+Original!AV38</f>
        <v>141</v>
      </c>
      <c r="AW38">
        <f>AV38+Original!AW38</f>
        <v>141</v>
      </c>
      <c r="AX38">
        <f>AW38+Original!AX38</f>
        <v>141</v>
      </c>
      <c r="AY38">
        <f>AX38+Original!AY38</f>
        <v>141</v>
      </c>
      <c r="AZ38">
        <f>AY38+Original!AZ38</f>
        <v>141</v>
      </c>
      <c r="BA38">
        <f>AZ38+Original!BA38</f>
        <v>141</v>
      </c>
      <c r="BB38">
        <f>BA38+Original!BB38</f>
        <v>141</v>
      </c>
      <c r="BC38">
        <f>BB38+Original!BC38</f>
        <v>141</v>
      </c>
      <c r="BD38">
        <f>BC38+Original!BD38</f>
        <v>141</v>
      </c>
      <c r="BE38">
        <f>BD38+Original!BE38</f>
        <v>141</v>
      </c>
      <c r="BF38">
        <f>BE38+Original!BF38</f>
        <v>141</v>
      </c>
      <c r="BG38">
        <f>BF38+Original!BG38</f>
        <v>141</v>
      </c>
      <c r="BH38">
        <f>BG38+Original!BH38</f>
        <v>141</v>
      </c>
      <c r="BI38">
        <f>BH38+Original!BI38</f>
        <v>141</v>
      </c>
      <c r="BJ38">
        <f>BI38+Original!BJ38</f>
        <v>141</v>
      </c>
      <c r="BK38">
        <f>BJ38+Original!BK38</f>
        <v>141</v>
      </c>
      <c r="BL38">
        <f>BK38+Original!BL38</f>
        <v>141</v>
      </c>
      <c r="BM38">
        <f>BL38+Original!BM38</f>
        <v>141</v>
      </c>
      <c r="BN38">
        <f>BM38+Original!BN38</f>
        <v>141</v>
      </c>
      <c r="BO38">
        <f>BN38+Original!BO38</f>
        <v>141</v>
      </c>
      <c r="BP38">
        <f>BO38+Original!BP38</f>
        <v>141</v>
      </c>
      <c r="BQ38">
        <f>BP38+Original!BQ38</f>
        <v>141</v>
      </c>
      <c r="BR38">
        <f>BQ38+Original!BR38</f>
        <v>141</v>
      </c>
      <c r="BS38">
        <f>BR38+Original!BS38</f>
        <v>141</v>
      </c>
      <c r="BT38">
        <f>BS38+Original!BT38</f>
        <v>141</v>
      </c>
      <c r="BU38">
        <f>BT38+Original!BU38</f>
        <v>141</v>
      </c>
      <c r="BV38">
        <f>BU38+Original!BV38</f>
        <v>141</v>
      </c>
      <c r="BW38">
        <f>BV38+Original!BW38</f>
        <v>141</v>
      </c>
    </row>
    <row r="39" spans="1:75" x14ac:dyDescent="0.25">
      <c r="A39" t="str">
        <f>Original!A39</f>
        <v>Ronaldo Araújo</v>
      </c>
      <c r="B39">
        <f>Original!B39</f>
        <v>141</v>
      </c>
      <c r="C39">
        <f>Original!C39</f>
        <v>0</v>
      </c>
      <c r="D39">
        <f>C39+Original!D39</f>
        <v>6</v>
      </c>
      <c r="E39">
        <f>D39+Original!E39</f>
        <v>14</v>
      </c>
      <c r="F39">
        <f>E39+Original!F39</f>
        <v>14</v>
      </c>
      <c r="G39">
        <f>F39+Original!G39</f>
        <v>14</v>
      </c>
      <c r="H39">
        <f>G39+Original!H39</f>
        <v>16</v>
      </c>
      <c r="I39">
        <f>H39+Original!I39</f>
        <v>22</v>
      </c>
      <c r="J39">
        <f>I39+Original!J39</f>
        <v>28</v>
      </c>
      <c r="K39">
        <f>J39+Original!K39</f>
        <v>30</v>
      </c>
      <c r="L39">
        <f>K39+Original!L39</f>
        <v>32</v>
      </c>
      <c r="M39">
        <f>L39+Original!M39</f>
        <v>40</v>
      </c>
      <c r="N39">
        <f>M39+Original!N39</f>
        <v>48</v>
      </c>
      <c r="O39">
        <f>N39+Original!O39</f>
        <v>61</v>
      </c>
      <c r="P39">
        <f>O39+Original!P39</f>
        <v>63</v>
      </c>
      <c r="Q39">
        <f>P39+Original!Q39</f>
        <v>69</v>
      </c>
      <c r="R39">
        <f>Q39+Original!R39</f>
        <v>82</v>
      </c>
      <c r="S39">
        <f>R39+Original!S39</f>
        <v>82</v>
      </c>
      <c r="T39">
        <f>S39+Original!T39</f>
        <v>82</v>
      </c>
      <c r="U39">
        <f>T39+Original!U39</f>
        <v>88</v>
      </c>
      <c r="V39">
        <f>U39+Original!V39</f>
        <v>90</v>
      </c>
      <c r="W39">
        <f>V39+Original!W39</f>
        <v>92</v>
      </c>
      <c r="X39">
        <f>W39+Original!X39</f>
        <v>105</v>
      </c>
      <c r="Y39">
        <f>X39+Original!Y39</f>
        <v>113</v>
      </c>
      <c r="Z39">
        <f>Y39+Original!Z39</f>
        <v>121</v>
      </c>
      <c r="AA39">
        <f>Z39+Original!AA39</f>
        <v>129</v>
      </c>
      <c r="AB39">
        <f>AA39+Original!AB39</f>
        <v>129</v>
      </c>
      <c r="AC39">
        <f>AB39+Original!AC39</f>
        <v>129</v>
      </c>
      <c r="AD39">
        <f>AC39+Original!AD39</f>
        <v>135</v>
      </c>
      <c r="AE39">
        <f>AD39+Original!AE39</f>
        <v>141</v>
      </c>
      <c r="AF39">
        <f>AE39+Original!AF39</f>
        <v>141</v>
      </c>
      <c r="AG39">
        <f>AF39+Original!AG39</f>
        <v>141</v>
      </c>
      <c r="AH39">
        <f>AG39+Original!AH39</f>
        <v>141</v>
      </c>
      <c r="AI39">
        <f>AH39+Original!AI39</f>
        <v>141</v>
      </c>
      <c r="AJ39">
        <f>AI39+Original!AJ39</f>
        <v>141</v>
      </c>
      <c r="AK39">
        <f>AJ39+Original!AK39</f>
        <v>141</v>
      </c>
      <c r="AL39">
        <f>AK39+Original!AL39</f>
        <v>141</v>
      </c>
      <c r="AM39">
        <f>AL39+Original!AM39</f>
        <v>141</v>
      </c>
      <c r="AN39">
        <f>AM39+Original!AN39</f>
        <v>141</v>
      </c>
      <c r="AO39">
        <f>AN39+Original!AO39</f>
        <v>141</v>
      </c>
      <c r="AP39">
        <f>AO39+Original!AP39</f>
        <v>141</v>
      </c>
      <c r="AQ39">
        <f>AP39+Original!AQ39</f>
        <v>141</v>
      </c>
      <c r="AR39">
        <f>AQ39+Original!AR39</f>
        <v>141</v>
      </c>
      <c r="AS39">
        <f>AR39+Original!AS39</f>
        <v>141</v>
      </c>
      <c r="AT39">
        <f>AS39+Original!AT39</f>
        <v>141</v>
      </c>
      <c r="AU39">
        <f>AT39+Original!AU39</f>
        <v>141</v>
      </c>
      <c r="AV39">
        <f>AU39+Original!AV39</f>
        <v>141</v>
      </c>
      <c r="AW39">
        <f>AV39+Original!AW39</f>
        <v>141</v>
      </c>
      <c r="AX39">
        <f>AW39+Original!AX39</f>
        <v>141</v>
      </c>
      <c r="AY39">
        <f>AX39+Original!AY39</f>
        <v>141</v>
      </c>
      <c r="AZ39">
        <f>AY39+Original!AZ39</f>
        <v>141</v>
      </c>
      <c r="BA39">
        <f>AZ39+Original!BA39</f>
        <v>141</v>
      </c>
      <c r="BB39">
        <f>BA39+Original!BB39</f>
        <v>141</v>
      </c>
      <c r="BC39">
        <f>BB39+Original!BC39</f>
        <v>141</v>
      </c>
      <c r="BD39">
        <f>BC39+Original!BD39</f>
        <v>141</v>
      </c>
      <c r="BE39">
        <f>BD39+Original!BE39</f>
        <v>141</v>
      </c>
      <c r="BF39">
        <f>BE39+Original!BF39</f>
        <v>141</v>
      </c>
      <c r="BG39">
        <f>BF39+Original!BG39</f>
        <v>141</v>
      </c>
      <c r="BH39">
        <f>BG39+Original!BH39</f>
        <v>141</v>
      </c>
      <c r="BI39">
        <f>BH39+Original!BI39</f>
        <v>141</v>
      </c>
      <c r="BJ39">
        <f>BI39+Original!BJ39</f>
        <v>141</v>
      </c>
      <c r="BK39">
        <f>BJ39+Original!BK39</f>
        <v>141</v>
      </c>
      <c r="BL39">
        <f>BK39+Original!BL39</f>
        <v>141</v>
      </c>
      <c r="BM39">
        <f>BL39+Original!BM39</f>
        <v>141</v>
      </c>
      <c r="BN39">
        <f>BM39+Original!BN39</f>
        <v>141</v>
      </c>
      <c r="BO39">
        <f>BN39+Original!BO39</f>
        <v>141</v>
      </c>
      <c r="BP39">
        <f>BO39+Original!BP39</f>
        <v>141</v>
      </c>
      <c r="BQ39">
        <f>BP39+Original!BQ39</f>
        <v>141</v>
      </c>
      <c r="BR39">
        <f>BQ39+Original!BR39</f>
        <v>141</v>
      </c>
      <c r="BS39">
        <f>BR39+Original!BS39</f>
        <v>141</v>
      </c>
      <c r="BT39">
        <f>BS39+Original!BT39</f>
        <v>141</v>
      </c>
      <c r="BU39">
        <f>BT39+Original!BU39</f>
        <v>141</v>
      </c>
      <c r="BV39">
        <f>BU39+Original!BV39</f>
        <v>141</v>
      </c>
      <c r="BW39">
        <f>BV39+Original!BW39</f>
        <v>141</v>
      </c>
    </row>
    <row r="40" spans="1:75" x14ac:dyDescent="0.25">
      <c r="A40" t="str">
        <f>Original!A40</f>
        <v>Danilo Alves</v>
      </c>
      <c r="B40">
        <f>Original!B40</f>
        <v>140</v>
      </c>
      <c r="C40">
        <f>Original!C40</f>
        <v>8</v>
      </c>
      <c r="D40">
        <f>C40+Original!D40</f>
        <v>14</v>
      </c>
      <c r="E40">
        <f>D40+Original!E40</f>
        <v>27</v>
      </c>
      <c r="F40">
        <f>E40+Original!F40</f>
        <v>40</v>
      </c>
      <c r="G40">
        <f>F40+Original!G40</f>
        <v>40</v>
      </c>
      <c r="H40">
        <f>G40+Original!H40</f>
        <v>42</v>
      </c>
      <c r="I40">
        <f>H40+Original!I40</f>
        <v>48</v>
      </c>
      <c r="J40">
        <f>I40+Original!J40</f>
        <v>54</v>
      </c>
      <c r="K40">
        <f>J40+Original!K40</f>
        <v>54</v>
      </c>
      <c r="L40">
        <f>K40+Original!L40</f>
        <v>54</v>
      </c>
      <c r="M40">
        <f>L40+Original!M40</f>
        <v>62</v>
      </c>
      <c r="N40">
        <f>M40+Original!N40</f>
        <v>70</v>
      </c>
      <c r="O40">
        <f>N40+Original!O40</f>
        <v>83</v>
      </c>
      <c r="P40">
        <f>O40+Original!P40</f>
        <v>83</v>
      </c>
      <c r="Q40">
        <f>P40+Original!Q40</f>
        <v>89</v>
      </c>
      <c r="R40">
        <f>Q40+Original!R40</f>
        <v>97</v>
      </c>
      <c r="S40">
        <f>R40+Original!S40</f>
        <v>97</v>
      </c>
      <c r="T40">
        <f>S40+Original!T40</f>
        <v>97</v>
      </c>
      <c r="U40">
        <f>T40+Original!U40</f>
        <v>99</v>
      </c>
      <c r="V40">
        <f>U40+Original!V40</f>
        <v>101</v>
      </c>
      <c r="W40">
        <f>V40+Original!W40</f>
        <v>101</v>
      </c>
      <c r="X40">
        <f>W40+Original!X40</f>
        <v>103</v>
      </c>
      <c r="Y40">
        <f>X40+Original!Y40</f>
        <v>111</v>
      </c>
      <c r="Z40">
        <f>Y40+Original!Z40</f>
        <v>124</v>
      </c>
      <c r="AA40">
        <f>Z40+Original!AA40</f>
        <v>130</v>
      </c>
      <c r="AB40">
        <f>AA40+Original!AB40</f>
        <v>132</v>
      </c>
      <c r="AC40">
        <f>AB40+Original!AC40</f>
        <v>132</v>
      </c>
      <c r="AD40">
        <f>AC40+Original!AD40</f>
        <v>138</v>
      </c>
      <c r="AE40">
        <f>AD40+Original!AE40</f>
        <v>140</v>
      </c>
      <c r="AF40">
        <f>AE40+Original!AF40</f>
        <v>140</v>
      </c>
      <c r="AG40">
        <f>AF40+Original!AG40</f>
        <v>140</v>
      </c>
      <c r="AH40">
        <f>AG40+Original!AH40</f>
        <v>140</v>
      </c>
      <c r="AI40">
        <f>AH40+Original!AI40</f>
        <v>140</v>
      </c>
      <c r="AJ40">
        <f>AI40+Original!AJ40</f>
        <v>140</v>
      </c>
      <c r="AK40">
        <f>AJ40+Original!AK40</f>
        <v>140</v>
      </c>
      <c r="AL40">
        <f>AK40+Original!AL40</f>
        <v>140</v>
      </c>
      <c r="AM40">
        <f>AL40+Original!AM40</f>
        <v>140</v>
      </c>
      <c r="AN40">
        <f>AM40+Original!AN40</f>
        <v>140</v>
      </c>
      <c r="AO40">
        <f>AN40+Original!AO40</f>
        <v>140</v>
      </c>
      <c r="AP40">
        <f>AO40+Original!AP40</f>
        <v>140</v>
      </c>
      <c r="AQ40">
        <f>AP40+Original!AQ40</f>
        <v>140</v>
      </c>
      <c r="AR40">
        <f>AQ40+Original!AR40</f>
        <v>140</v>
      </c>
      <c r="AS40">
        <f>AR40+Original!AS40</f>
        <v>140</v>
      </c>
      <c r="AT40">
        <f>AS40+Original!AT40</f>
        <v>140</v>
      </c>
      <c r="AU40">
        <f>AT40+Original!AU40</f>
        <v>140</v>
      </c>
      <c r="AV40">
        <f>AU40+Original!AV40</f>
        <v>140</v>
      </c>
      <c r="AW40">
        <f>AV40+Original!AW40</f>
        <v>140</v>
      </c>
      <c r="AX40">
        <f>AW40+Original!AX40</f>
        <v>140</v>
      </c>
      <c r="AY40">
        <f>AX40+Original!AY40</f>
        <v>140</v>
      </c>
      <c r="AZ40">
        <f>AY40+Original!AZ40</f>
        <v>140</v>
      </c>
      <c r="BA40">
        <f>AZ40+Original!BA40</f>
        <v>140</v>
      </c>
      <c r="BB40">
        <f>BA40+Original!BB40</f>
        <v>140</v>
      </c>
      <c r="BC40">
        <f>BB40+Original!BC40</f>
        <v>140</v>
      </c>
      <c r="BD40">
        <f>BC40+Original!BD40</f>
        <v>140</v>
      </c>
      <c r="BE40">
        <f>BD40+Original!BE40</f>
        <v>140</v>
      </c>
      <c r="BF40">
        <f>BE40+Original!BF40</f>
        <v>140</v>
      </c>
      <c r="BG40">
        <f>BF40+Original!BG40</f>
        <v>140</v>
      </c>
      <c r="BH40">
        <f>BG40+Original!BH40</f>
        <v>140</v>
      </c>
      <c r="BI40">
        <f>BH40+Original!BI40</f>
        <v>140</v>
      </c>
      <c r="BJ40">
        <f>BI40+Original!BJ40</f>
        <v>140</v>
      </c>
      <c r="BK40">
        <f>BJ40+Original!BK40</f>
        <v>140</v>
      </c>
      <c r="BL40">
        <f>BK40+Original!BL40</f>
        <v>140</v>
      </c>
      <c r="BM40">
        <f>BL40+Original!BM40</f>
        <v>140</v>
      </c>
      <c r="BN40">
        <f>BM40+Original!BN40</f>
        <v>140</v>
      </c>
      <c r="BO40">
        <f>BN40+Original!BO40</f>
        <v>140</v>
      </c>
      <c r="BP40">
        <f>BO40+Original!BP40</f>
        <v>140</v>
      </c>
      <c r="BQ40">
        <f>BP40+Original!BQ40</f>
        <v>140</v>
      </c>
      <c r="BR40">
        <f>BQ40+Original!BR40</f>
        <v>140</v>
      </c>
      <c r="BS40">
        <f>BR40+Original!BS40</f>
        <v>140</v>
      </c>
      <c r="BT40">
        <f>BS40+Original!BT40</f>
        <v>140</v>
      </c>
      <c r="BU40">
        <f>BT40+Original!BU40</f>
        <v>140</v>
      </c>
      <c r="BV40">
        <f>BU40+Original!BV40</f>
        <v>140</v>
      </c>
      <c r="BW40">
        <f>BV40+Original!BW40</f>
        <v>140</v>
      </c>
    </row>
    <row r="41" spans="1:75" x14ac:dyDescent="0.25">
      <c r="A41" t="str">
        <f>Original!A41</f>
        <v>Eduardo Ivo</v>
      </c>
      <c r="B41">
        <f>Original!B41</f>
        <v>140</v>
      </c>
      <c r="C41">
        <f>Original!C41</f>
        <v>8</v>
      </c>
      <c r="D41">
        <f>C41+Original!D41</f>
        <v>14</v>
      </c>
      <c r="E41">
        <f>D41+Original!E41</f>
        <v>22</v>
      </c>
      <c r="F41">
        <f>E41+Original!F41</f>
        <v>24</v>
      </c>
      <c r="G41">
        <f>F41+Original!G41</f>
        <v>24</v>
      </c>
      <c r="H41">
        <f>G41+Original!H41</f>
        <v>26</v>
      </c>
      <c r="I41">
        <f>H41+Original!I41</f>
        <v>28</v>
      </c>
      <c r="J41">
        <f>I41+Original!J41</f>
        <v>34</v>
      </c>
      <c r="K41">
        <f>J41+Original!K41</f>
        <v>36</v>
      </c>
      <c r="L41">
        <f>K41+Original!L41</f>
        <v>38</v>
      </c>
      <c r="M41">
        <f>L41+Original!M41</f>
        <v>46</v>
      </c>
      <c r="N41">
        <f>M41+Original!N41</f>
        <v>52</v>
      </c>
      <c r="O41">
        <f>N41+Original!O41</f>
        <v>65</v>
      </c>
      <c r="P41">
        <f>O41+Original!P41</f>
        <v>71</v>
      </c>
      <c r="Q41">
        <f>P41+Original!Q41</f>
        <v>79</v>
      </c>
      <c r="R41">
        <f>Q41+Original!R41</f>
        <v>92</v>
      </c>
      <c r="S41">
        <f>R41+Original!S41</f>
        <v>92</v>
      </c>
      <c r="T41">
        <f>S41+Original!T41</f>
        <v>92</v>
      </c>
      <c r="U41">
        <f>T41+Original!U41</f>
        <v>100</v>
      </c>
      <c r="V41">
        <f>U41+Original!V41</f>
        <v>100</v>
      </c>
      <c r="W41">
        <f>V41+Original!W41</f>
        <v>100</v>
      </c>
      <c r="X41">
        <f>W41+Original!X41</f>
        <v>102</v>
      </c>
      <c r="Y41">
        <f>X41+Original!Y41</f>
        <v>115</v>
      </c>
      <c r="Z41">
        <f>Y41+Original!Z41</f>
        <v>117</v>
      </c>
      <c r="AA41">
        <f>Z41+Original!AA41</f>
        <v>130</v>
      </c>
      <c r="AB41">
        <f>AA41+Original!AB41</f>
        <v>132</v>
      </c>
      <c r="AC41">
        <f>AB41+Original!AC41</f>
        <v>132</v>
      </c>
      <c r="AD41">
        <f>AC41+Original!AD41</f>
        <v>138</v>
      </c>
      <c r="AE41">
        <f>AD41+Original!AE41</f>
        <v>140</v>
      </c>
      <c r="AF41">
        <f>AE41+Original!AF41</f>
        <v>140</v>
      </c>
      <c r="AG41">
        <f>AF41+Original!AG41</f>
        <v>140</v>
      </c>
      <c r="AH41">
        <f>AG41+Original!AH41</f>
        <v>140</v>
      </c>
      <c r="AI41">
        <f>AH41+Original!AI41</f>
        <v>140</v>
      </c>
      <c r="AJ41">
        <f>AI41+Original!AJ41</f>
        <v>140</v>
      </c>
      <c r="AK41">
        <f>AJ41+Original!AK41</f>
        <v>140</v>
      </c>
      <c r="AL41">
        <f>AK41+Original!AL41</f>
        <v>140</v>
      </c>
      <c r="AM41">
        <f>AL41+Original!AM41</f>
        <v>140</v>
      </c>
      <c r="AN41">
        <f>AM41+Original!AN41</f>
        <v>140</v>
      </c>
      <c r="AO41">
        <f>AN41+Original!AO41</f>
        <v>140</v>
      </c>
      <c r="AP41">
        <f>AO41+Original!AP41</f>
        <v>140</v>
      </c>
      <c r="AQ41">
        <f>AP41+Original!AQ41</f>
        <v>140</v>
      </c>
      <c r="AR41">
        <f>AQ41+Original!AR41</f>
        <v>140</v>
      </c>
      <c r="AS41">
        <f>AR41+Original!AS41</f>
        <v>140</v>
      </c>
      <c r="AT41">
        <f>AS41+Original!AT41</f>
        <v>140</v>
      </c>
      <c r="AU41">
        <f>AT41+Original!AU41</f>
        <v>140</v>
      </c>
      <c r="AV41">
        <f>AU41+Original!AV41</f>
        <v>140</v>
      </c>
      <c r="AW41">
        <f>AV41+Original!AW41</f>
        <v>140</v>
      </c>
      <c r="AX41">
        <f>AW41+Original!AX41</f>
        <v>140</v>
      </c>
      <c r="AY41">
        <f>AX41+Original!AY41</f>
        <v>140</v>
      </c>
      <c r="AZ41">
        <f>AY41+Original!AZ41</f>
        <v>140</v>
      </c>
      <c r="BA41">
        <f>AZ41+Original!BA41</f>
        <v>140</v>
      </c>
      <c r="BB41">
        <f>BA41+Original!BB41</f>
        <v>140</v>
      </c>
      <c r="BC41">
        <f>BB41+Original!BC41</f>
        <v>140</v>
      </c>
      <c r="BD41">
        <f>BC41+Original!BD41</f>
        <v>140</v>
      </c>
      <c r="BE41">
        <f>BD41+Original!BE41</f>
        <v>140</v>
      </c>
      <c r="BF41">
        <f>BE41+Original!BF41</f>
        <v>140</v>
      </c>
      <c r="BG41">
        <f>BF41+Original!BG41</f>
        <v>140</v>
      </c>
      <c r="BH41">
        <f>BG41+Original!BH41</f>
        <v>140</v>
      </c>
      <c r="BI41">
        <f>BH41+Original!BI41</f>
        <v>140</v>
      </c>
      <c r="BJ41">
        <f>BI41+Original!BJ41</f>
        <v>140</v>
      </c>
      <c r="BK41">
        <f>BJ41+Original!BK41</f>
        <v>140</v>
      </c>
      <c r="BL41">
        <f>BK41+Original!BL41</f>
        <v>140</v>
      </c>
      <c r="BM41">
        <f>BL41+Original!BM41</f>
        <v>140</v>
      </c>
      <c r="BN41">
        <f>BM41+Original!BN41</f>
        <v>140</v>
      </c>
      <c r="BO41">
        <f>BN41+Original!BO41</f>
        <v>140</v>
      </c>
      <c r="BP41">
        <f>BO41+Original!BP41</f>
        <v>140</v>
      </c>
      <c r="BQ41">
        <f>BP41+Original!BQ41</f>
        <v>140</v>
      </c>
      <c r="BR41">
        <f>BQ41+Original!BR41</f>
        <v>140</v>
      </c>
      <c r="BS41">
        <f>BR41+Original!BS41</f>
        <v>140</v>
      </c>
      <c r="BT41">
        <f>BS41+Original!BT41</f>
        <v>140</v>
      </c>
      <c r="BU41">
        <f>BT41+Original!BU41</f>
        <v>140</v>
      </c>
      <c r="BV41">
        <f>BU41+Original!BV41</f>
        <v>140</v>
      </c>
      <c r="BW41">
        <f>BV41+Original!BW41</f>
        <v>140</v>
      </c>
    </row>
    <row r="42" spans="1:75" x14ac:dyDescent="0.25">
      <c r="A42" t="str">
        <f>Original!A42</f>
        <v>Marcelo Menezes</v>
      </c>
      <c r="B42">
        <f>Original!B42</f>
        <v>140</v>
      </c>
      <c r="C42">
        <f>Original!C42</f>
        <v>0</v>
      </c>
      <c r="D42">
        <f>C42+Original!D42</f>
        <v>6</v>
      </c>
      <c r="E42">
        <f>D42+Original!E42</f>
        <v>14</v>
      </c>
      <c r="F42">
        <f>E42+Original!F42</f>
        <v>27</v>
      </c>
      <c r="G42">
        <f>F42+Original!G42</f>
        <v>27</v>
      </c>
      <c r="H42">
        <f>G42+Original!H42</f>
        <v>27</v>
      </c>
      <c r="I42">
        <f>H42+Original!I42</f>
        <v>33</v>
      </c>
      <c r="J42">
        <f>I42+Original!J42</f>
        <v>39</v>
      </c>
      <c r="K42">
        <f>J42+Original!K42</f>
        <v>39</v>
      </c>
      <c r="L42">
        <f>K42+Original!L42</f>
        <v>39</v>
      </c>
      <c r="M42">
        <f>L42+Original!M42</f>
        <v>47</v>
      </c>
      <c r="N42">
        <f>M42+Original!N42</f>
        <v>53</v>
      </c>
      <c r="O42">
        <f>N42+Original!O42</f>
        <v>66</v>
      </c>
      <c r="P42">
        <f>O42+Original!P42</f>
        <v>72</v>
      </c>
      <c r="Q42">
        <f>P42+Original!Q42</f>
        <v>78</v>
      </c>
      <c r="R42">
        <f>Q42+Original!R42</f>
        <v>84</v>
      </c>
      <c r="S42">
        <f>R42+Original!S42</f>
        <v>91</v>
      </c>
      <c r="T42">
        <f>S42+Original!T42</f>
        <v>91</v>
      </c>
      <c r="U42">
        <f>T42+Original!U42</f>
        <v>99</v>
      </c>
      <c r="V42">
        <f>U42+Original!V42</f>
        <v>99</v>
      </c>
      <c r="W42">
        <f>V42+Original!W42</f>
        <v>99</v>
      </c>
      <c r="X42">
        <f>W42+Original!X42</f>
        <v>101</v>
      </c>
      <c r="Y42">
        <f>X42+Original!Y42</f>
        <v>114</v>
      </c>
      <c r="Z42">
        <f>Y42+Original!Z42</f>
        <v>116</v>
      </c>
      <c r="AA42">
        <f>Z42+Original!AA42</f>
        <v>124</v>
      </c>
      <c r="AB42">
        <f>AA42+Original!AB42</f>
        <v>126</v>
      </c>
      <c r="AC42">
        <f>AB42+Original!AC42</f>
        <v>126</v>
      </c>
      <c r="AD42">
        <f>AC42+Original!AD42</f>
        <v>134</v>
      </c>
      <c r="AE42">
        <f>AD42+Original!AE42</f>
        <v>140</v>
      </c>
      <c r="AF42">
        <f>AE42+Original!AF42</f>
        <v>140</v>
      </c>
      <c r="AG42">
        <f>AF42+Original!AG42</f>
        <v>140</v>
      </c>
      <c r="AH42">
        <f>AG42+Original!AH42</f>
        <v>140</v>
      </c>
      <c r="AI42">
        <f>AH42+Original!AI42</f>
        <v>140</v>
      </c>
      <c r="AJ42">
        <f>AI42+Original!AJ42</f>
        <v>140</v>
      </c>
      <c r="AK42">
        <f>AJ42+Original!AK42</f>
        <v>140</v>
      </c>
      <c r="AL42">
        <f>AK42+Original!AL42</f>
        <v>140</v>
      </c>
      <c r="AM42">
        <f>AL42+Original!AM42</f>
        <v>140</v>
      </c>
      <c r="AN42">
        <f>AM42+Original!AN42</f>
        <v>140</v>
      </c>
      <c r="AO42">
        <f>AN42+Original!AO42</f>
        <v>140</v>
      </c>
      <c r="AP42">
        <f>AO42+Original!AP42</f>
        <v>140</v>
      </c>
      <c r="AQ42">
        <f>AP42+Original!AQ42</f>
        <v>140</v>
      </c>
      <c r="AR42">
        <f>AQ42+Original!AR42</f>
        <v>140</v>
      </c>
      <c r="AS42">
        <f>AR42+Original!AS42</f>
        <v>140</v>
      </c>
      <c r="AT42">
        <f>AS42+Original!AT42</f>
        <v>140</v>
      </c>
      <c r="AU42">
        <f>AT42+Original!AU42</f>
        <v>140</v>
      </c>
      <c r="AV42">
        <f>AU42+Original!AV42</f>
        <v>140</v>
      </c>
      <c r="AW42">
        <f>AV42+Original!AW42</f>
        <v>140</v>
      </c>
      <c r="AX42">
        <f>AW42+Original!AX42</f>
        <v>140</v>
      </c>
      <c r="AY42">
        <f>AX42+Original!AY42</f>
        <v>140</v>
      </c>
      <c r="AZ42">
        <f>AY42+Original!AZ42</f>
        <v>140</v>
      </c>
      <c r="BA42">
        <f>AZ42+Original!BA42</f>
        <v>140</v>
      </c>
      <c r="BB42">
        <f>BA42+Original!BB42</f>
        <v>140</v>
      </c>
      <c r="BC42">
        <f>BB42+Original!BC42</f>
        <v>140</v>
      </c>
      <c r="BD42">
        <f>BC42+Original!BD42</f>
        <v>140</v>
      </c>
      <c r="BE42">
        <f>BD42+Original!BE42</f>
        <v>140</v>
      </c>
      <c r="BF42">
        <f>BE42+Original!BF42</f>
        <v>140</v>
      </c>
      <c r="BG42">
        <f>BF42+Original!BG42</f>
        <v>140</v>
      </c>
      <c r="BH42">
        <f>BG42+Original!BH42</f>
        <v>140</v>
      </c>
      <c r="BI42">
        <f>BH42+Original!BI42</f>
        <v>140</v>
      </c>
      <c r="BJ42">
        <f>BI42+Original!BJ42</f>
        <v>140</v>
      </c>
      <c r="BK42">
        <f>BJ42+Original!BK42</f>
        <v>140</v>
      </c>
      <c r="BL42">
        <f>BK42+Original!BL42</f>
        <v>140</v>
      </c>
      <c r="BM42">
        <f>BL42+Original!BM42</f>
        <v>140</v>
      </c>
      <c r="BN42">
        <f>BM42+Original!BN42</f>
        <v>140</v>
      </c>
      <c r="BO42">
        <f>BN42+Original!BO42</f>
        <v>140</v>
      </c>
      <c r="BP42">
        <f>BO42+Original!BP42</f>
        <v>140</v>
      </c>
      <c r="BQ42">
        <f>BP42+Original!BQ42</f>
        <v>140</v>
      </c>
      <c r="BR42">
        <f>BQ42+Original!BR42</f>
        <v>140</v>
      </c>
      <c r="BS42">
        <f>BR42+Original!BS42</f>
        <v>140</v>
      </c>
      <c r="BT42">
        <f>BS42+Original!BT42</f>
        <v>140</v>
      </c>
      <c r="BU42">
        <f>BT42+Original!BU42</f>
        <v>140</v>
      </c>
      <c r="BV42">
        <f>BU42+Original!BV42</f>
        <v>140</v>
      </c>
      <c r="BW42">
        <f>BV42+Original!BW42</f>
        <v>140</v>
      </c>
    </row>
    <row r="43" spans="1:75" x14ac:dyDescent="0.25">
      <c r="A43" t="str">
        <f>Original!A43</f>
        <v>Marcus Machado</v>
      </c>
      <c r="B43">
        <f>Original!B43</f>
        <v>140</v>
      </c>
      <c r="C43">
        <f>Original!C43</f>
        <v>0</v>
      </c>
      <c r="D43">
        <f>C43+Original!D43</f>
        <v>6</v>
      </c>
      <c r="E43">
        <f>D43+Original!E43</f>
        <v>19</v>
      </c>
      <c r="F43">
        <f>E43+Original!F43</f>
        <v>32</v>
      </c>
      <c r="G43">
        <f>F43+Original!G43</f>
        <v>32</v>
      </c>
      <c r="H43">
        <f>G43+Original!H43</f>
        <v>34</v>
      </c>
      <c r="I43">
        <f>H43+Original!I43</f>
        <v>40</v>
      </c>
      <c r="J43">
        <f>I43+Original!J43</f>
        <v>48</v>
      </c>
      <c r="K43">
        <f>J43+Original!K43</f>
        <v>50</v>
      </c>
      <c r="L43">
        <f>K43+Original!L43</f>
        <v>52</v>
      </c>
      <c r="M43">
        <f>L43+Original!M43</f>
        <v>60</v>
      </c>
      <c r="N43">
        <f>M43+Original!N43</f>
        <v>68</v>
      </c>
      <c r="O43">
        <f>N43+Original!O43</f>
        <v>81</v>
      </c>
      <c r="P43">
        <f>O43+Original!P43</f>
        <v>83</v>
      </c>
      <c r="Q43">
        <f>P43+Original!Q43</f>
        <v>89</v>
      </c>
      <c r="R43">
        <f>Q43+Original!R43</f>
        <v>97</v>
      </c>
      <c r="S43">
        <f>R43+Original!S43</f>
        <v>104</v>
      </c>
      <c r="T43">
        <f>S43+Original!T43</f>
        <v>104</v>
      </c>
      <c r="U43">
        <f>T43+Original!U43</f>
        <v>110</v>
      </c>
      <c r="V43">
        <f>U43+Original!V43</f>
        <v>112</v>
      </c>
      <c r="W43">
        <f>V43+Original!W43</f>
        <v>112</v>
      </c>
      <c r="X43">
        <f>W43+Original!X43</f>
        <v>114</v>
      </c>
      <c r="Y43">
        <f>X43+Original!Y43</f>
        <v>122</v>
      </c>
      <c r="Z43">
        <f>Y43+Original!Z43</f>
        <v>124</v>
      </c>
      <c r="AA43">
        <f>Z43+Original!AA43</f>
        <v>132</v>
      </c>
      <c r="AB43">
        <f>AA43+Original!AB43</f>
        <v>132</v>
      </c>
      <c r="AC43">
        <f>AB43+Original!AC43</f>
        <v>132</v>
      </c>
      <c r="AD43">
        <f>AC43+Original!AD43</f>
        <v>134</v>
      </c>
      <c r="AE43">
        <f>AD43+Original!AE43</f>
        <v>140</v>
      </c>
      <c r="AF43">
        <f>AE43+Original!AF43</f>
        <v>140</v>
      </c>
      <c r="AG43">
        <f>AF43+Original!AG43</f>
        <v>140</v>
      </c>
      <c r="AH43">
        <f>AG43+Original!AH43</f>
        <v>140</v>
      </c>
      <c r="AI43">
        <f>AH43+Original!AI43</f>
        <v>140</v>
      </c>
      <c r="AJ43">
        <f>AI43+Original!AJ43</f>
        <v>140</v>
      </c>
      <c r="AK43">
        <f>AJ43+Original!AK43</f>
        <v>140</v>
      </c>
      <c r="AL43">
        <f>AK43+Original!AL43</f>
        <v>140</v>
      </c>
      <c r="AM43">
        <f>AL43+Original!AM43</f>
        <v>140</v>
      </c>
      <c r="AN43">
        <f>AM43+Original!AN43</f>
        <v>140</v>
      </c>
      <c r="AO43">
        <f>AN43+Original!AO43</f>
        <v>140</v>
      </c>
      <c r="AP43">
        <f>AO43+Original!AP43</f>
        <v>140</v>
      </c>
      <c r="AQ43">
        <f>AP43+Original!AQ43</f>
        <v>140</v>
      </c>
      <c r="AR43">
        <f>AQ43+Original!AR43</f>
        <v>140</v>
      </c>
      <c r="AS43">
        <f>AR43+Original!AS43</f>
        <v>140</v>
      </c>
      <c r="AT43">
        <f>AS43+Original!AT43</f>
        <v>140</v>
      </c>
      <c r="AU43">
        <f>AT43+Original!AU43</f>
        <v>140</v>
      </c>
      <c r="AV43">
        <f>AU43+Original!AV43</f>
        <v>140</v>
      </c>
      <c r="AW43">
        <f>AV43+Original!AW43</f>
        <v>140</v>
      </c>
      <c r="AX43">
        <f>AW43+Original!AX43</f>
        <v>140</v>
      </c>
      <c r="AY43">
        <f>AX43+Original!AY43</f>
        <v>140</v>
      </c>
      <c r="AZ43">
        <f>AY43+Original!AZ43</f>
        <v>140</v>
      </c>
      <c r="BA43">
        <f>AZ43+Original!BA43</f>
        <v>140</v>
      </c>
      <c r="BB43">
        <f>BA43+Original!BB43</f>
        <v>140</v>
      </c>
      <c r="BC43">
        <f>BB43+Original!BC43</f>
        <v>140</v>
      </c>
      <c r="BD43">
        <f>BC43+Original!BD43</f>
        <v>140</v>
      </c>
      <c r="BE43">
        <f>BD43+Original!BE43</f>
        <v>140</v>
      </c>
      <c r="BF43">
        <f>BE43+Original!BF43</f>
        <v>140</v>
      </c>
      <c r="BG43">
        <f>BF43+Original!BG43</f>
        <v>140</v>
      </c>
      <c r="BH43">
        <f>BG43+Original!BH43</f>
        <v>140</v>
      </c>
      <c r="BI43">
        <f>BH43+Original!BI43</f>
        <v>140</v>
      </c>
      <c r="BJ43">
        <f>BI43+Original!BJ43</f>
        <v>140</v>
      </c>
      <c r="BK43">
        <f>BJ43+Original!BK43</f>
        <v>140</v>
      </c>
      <c r="BL43">
        <f>BK43+Original!BL43</f>
        <v>140</v>
      </c>
      <c r="BM43">
        <f>BL43+Original!BM43</f>
        <v>140</v>
      </c>
      <c r="BN43">
        <f>BM43+Original!BN43</f>
        <v>140</v>
      </c>
      <c r="BO43">
        <f>BN43+Original!BO43</f>
        <v>140</v>
      </c>
      <c r="BP43">
        <f>BO43+Original!BP43</f>
        <v>140</v>
      </c>
      <c r="BQ43">
        <f>BP43+Original!BQ43</f>
        <v>140</v>
      </c>
      <c r="BR43">
        <f>BQ43+Original!BR43</f>
        <v>140</v>
      </c>
      <c r="BS43">
        <f>BR43+Original!BS43</f>
        <v>140</v>
      </c>
      <c r="BT43">
        <f>BS43+Original!BT43</f>
        <v>140</v>
      </c>
      <c r="BU43">
        <f>BT43+Original!BU43</f>
        <v>140</v>
      </c>
      <c r="BV43">
        <f>BU43+Original!BV43</f>
        <v>140</v>
      </c>
      <c r="BW43">
        <f>BV43+Original!BW43</f>
        <v>140</v>
      </c>
    </row>
    <row r="44" spans="1:75" x14ac:dyDescent="0.25">
      <c r="A44" t="str">
        <f>Original!A44</f>
        <v>Robson Souza</v>
      </c>
      <c r="B44">
        <f>Original!B44</f>
        <v>140</v>
      </c>
      <c r="C44">
        <f>Original!C44</f>
        <v>8</v>
      </c>
      <c r="D44">
        <f>C44+Original!D44</f>
        <v>14</v>
      </c>
      <c r="E44">
        <f>D44+Original!E44</f>
        <v>22</v>
      </c>
      <c r="F44">
        <f>E44+Original!F44</f>
        <v>35</v>
      </c>
      <c r="G44">
        <f>F44+Original!G44</f>
        <v>35</v>
      </c>
      <c r="H44">
        <f>G44+Original!H44</f>
        <v>37</v>
      </c>
      <c r="I44">
        <f>H44+Original!I44</f>
        <v>43</v>
      </c>
      <c r="J44">
        <f>I44+Original!J44</f>
        <v>49</v>
      </c>
      <c r="K44">
        <f>J44+Original!K44</f>
        <v>51</v>
      </c>
      <c r="L44">
        <f>K44+Original!L44</f>
        <v>51</v>
      </c>
      <c r="M44">
        <f>L44+Original!M44</f>
        <v>59</v>
      </c>
      <c r="N44">
        <f>M44+Original!N44</f>
        <v>67</v>
      </c>
      <c r="O44">
        <f>N44+Original!O44</f>
        <v>80</v>
      </c>
      <c r="P44">
        <f>O44+Original!P44</f>
        <v>82</v>
      </c>
      <c r="Q44">
        <f>P44+Original!Q44</f>
        <v>88</v>
      </c>
      <c r="R44">
        <f>Q44+Original!R44</f>
        <v>96</v>
      </c>
      <c r="S44">
        <f>R44+Original!S44</f>
        <v>96</v>
      </c>
      <c r="T44">
        <f>S44+Original!T44</f>
        <v>96</v>
      </c>
      <c r="U44">
        <f>T44+Original!U44</f>
        <v>102</v>
      </c>
      <c r="V44">
        <f>U44+Original!V44</f>
        <v>104</v>
      </c>
      <c r="W44">
        <f>V44+Original!W44</f>
        <v>106</v>
      </c>
      <c r="X44">
        <f>W44+Original!X44</f>
        <v>108</v>
      </c>
      <c r="Y44">
        <f>X44+Original!Y44</f>
        <v>116</v>
      </c>
      <c r="Z44">
        <f>Y44+Original!Z44</f>
        <v>122</v>
      </c>
      <c r="AA44">
        <f>Z44+Original!AA44</f>
        <v>130</v>
      </c>
      <c r="AB44">
        <f>AA44+Original!AB44</f>
        <v>132</v>
      </c>
      <c r="AC44">
        <f>AB44+Original!AC44</f>
        <v>132</v>
      </c>
      <c r="AD44">
        <f>AC44+Original!AD44</f>
        <v>138</v>
      </c>
      <c r="AE44">
        <f>AD44+Original!AE44</f>
        <v>140</v>
      </c>
      <c r="AF44">
        <f>AE44+Original!AF44</f>
        <v>140</v>
      </c>
      <c r="AG44">
        <f>AF44+Original!AG44</f>
        <v>140</v>
      </c>
      <c r="AH44">
        <f>AG44+Original!AH44</f>
        <v>140</v>
      </c>
      <c r="AI44">
        <f>AH44+Original!AI44</f>
        <v>140</v>
      </c>
      <c r="AJ44">
        <f>AI44+Original!AJ44</f>
        <v>140</v>
      </c>
      <c r="AK44">
        <f>AJ44+Original!AK44</f>
        <v>140</v>
      </c>
      <c r="AL44">
        <f>AK44+Original!AL44</f>
        <v>140</v>
      </c>
      <c r="AM44">
        <f>AL44+Original!AM44</f>
        <v>140</v>
      </c>
      <c r="AN44">
        <f>AM44+Original!AN44</f>
        <v>140</v>
      </c>
      <c r="AO44">
        <f>AN44+Original!AO44</f>
        <v>140</v>
      </c>
      <c r="AP44">
        <f>AO44+Original!AP44</f>
        <v>140</v>
      </c>
      <c r="AQ44">
        <f>AP44+Original!AQ44</f>
        <v>140</v>
      </c>
      <c r="AR44">
        <f>AQ44+Original!AR44</f>
        <v>140</v>
      </c>
      <c r="AS44">
        <f>AR44+Original!AS44</f>
        <v>140</v>
      </c>
      <c r="AT44">
        <f>AS44+Original!AT44</f>
        <v>140</v>
      </c>
      <c r="AU44">
        <f>AT44+Original!AU44</f>
        <v>140</v>
      </c>
      <c r="AV44">
        <f>AU44+Original!AV44</f>
        <v>140</v>
      </c>
      <c r="AW44">
        <f>AV44+Original!AW44</f>
        <v>140</v>
      </c>
      <c r="AX44">
        <f>AW44+Original!AX44</f>
        <v>140</v>
      </c>
      <c r="AY44">
        <f>AX44+Original!AY44</f>
        <v>140</v>
      </c>
      <c r="AZ44">
        <f>AY44+Original!AZ44</f>
        <v>140</v>
      </c>
      <c r="BA44">
        <f>AZ44+Original!BA44</f>
        <v>140</v>
      </c>
      <c r="BB44">
        <f>BA44+Original!BB44</f>
        <v>140</v>
      </c>
      <c r="BC44">
        <f>BB44+Original!BC44</f>
        <v>140</v>
      </c>
      <c r="BD44">
        <f>BC44+Original!BD44</f>
        <v>140</v>
      </c>
      <c r="BE44">
        <f>BD44+Original!BE44</f>
        <v>140</v>
      </c>
      <c r="BF44">
        <f>BE44+Original!BF44</f>
        <v>140</v>
      </c>
      <c r="BG44">
        <f>BF44+Original!BG44</f>
        <v>140</v>
      </c>
      <c r="BH44">
        <f>BG44+Original!BH44</f>
        <v>140</v>
      </c>
      <c r="BI44">
        <f>BH44+Original!BI44</f>
        <v>140</v>
      </c>
      <c r="BJ44">
        <f>BI44+Original!BJ44</f>
        <v>140</v>
      </c>
      <c r="BK44">
        <f>BJ44+Original!BK44</f>
        <v>140</v>
      </c>
      <c r="BL44">
        <f>BK44+Original!BL44</f>
        <v>140</v>
      </c>
      <c r="BM44">
        <f>BL44+Original!BM44</f>
        <v>140</v>
      </c>
      <c r="BN44">
        <f>BM44+Original!BN44</f>
        <v>140</v>
      </c>
      <c r="BO44">
        <f>BN44+Original!BO44</f>
        <v>140</v>
      </c>
      <c r="BP44">
        <f>BO44+Original!BP44</f>
        <v>140</v>
      </c>
      <c r="BQ44">
        <f>BP44+Original!BQ44</f>
        <v>140</v>
      </c>
      <c r="BR44">
        <f>BQ44+Original!BR44</f>
        <v>140</v>
      </c>
      <c r="BS44">
        <f>BR44+Original!BS44</f>
        <v>140</v>
      </c>
      <c r="BT44">
        <f>BS44+Original!BT44</f>
        <v>140</v>
      </c>
      <c r="BU44">
        <f>BT44+Original!BU44</f>
        <v>140</v>
      </c>
      <c r="BV44">
        <f>BU44+Original!BV44</f>
        <v>140</v>
      </c>
      <c r="BW44">
        <f>BV44+Original!BW44</f>
        <v>140</v>
      </c>
    </row>
    <row r="45" spans="1:75" x14ac:dyDescent="0.25">
      <c r="A45" t="str">
        <f>Original!A45</f>
        <v>Vicente Antipacheco</v>
      </c>
      <c r="B45">
        <f>Original!B45</f>
        <v>140</v>
      </c>
      <c r="C45">
        <f>Original!C45</f>
        <v>0</v>
      </c>
      <c r="D45">
        <f>C45+Original!D45</f>
        <v>6</v>
      </c>
      <c r="E45">
        <f>D45+Original!E45</f>
        <v>19</v>
      </c>
      <c r="F45">
        <f>E45+Original!F45</f>
        <v>32</v>
      </c>
      <c r="G45">
        <f>F45+Original!G45</f>
        <v>32</v>
      </c>
      <c r="H45">
        <f>G45+Original!H45</f>
        <v>32</v>
      </c>
      <c r="I45">
        <f>H45+Original!I45</f>
        <v>38</v>
      </c>
      <c r="J45">
        <f>I45+Original!J45</f>
        <v>46</v>
      </c>
      <c r="K45">
        <f>J45+Original!K45</f>
        <v>52</v>
      </c>
      <c r="L45">
        <f>K45+Original!L45</f>
        <v>54</v>
      </c>
      <c r="M45">
        <f>L45+Original!M45</f>
        <v>62</v>
      </c>
      <c r="N45">
        <f>M45+Original!N45</f>
        <v>75</v>
      </c>
      <c r="O45">
        <f>N45+Original!O45</f>
        <v>83</v>
      </c>
      <c r="P45">
        <f>O45+Original!P45</f>
        <v>85</v>
      </c>
      <c r="Q45">
        <f>P45+Original!Q45</f>
        <v>93</v>
      </c>
      <c r="R45">
        <f>Q45+Original!R45</f>
        <v>93</v>
      </c>
      <c r="S45">
        <f>R45+Original!S45</f>
        <v>93</v>
      </c>
      <c r="T45">
        <f>S45+Original!T45</f>
        <v>93</v>
      </c>
      <c r="U45">
        <f>T45+Original!U45</f>
        <v>99</v>
      </c>
      <c r="V45">
        <f>U45+Original!V45</f>
        <v>99</v>
      </c>
      <c r="W45">
        <f>V45+Original!W45</f>
        <v>99</v>
      </c>
      <c r="X45">
        <f>W45+Original!X45</f>
        <v>99</v>
      </c>
      <c r="Y45">
        <f>X45+Original!Y45</f>
        <v>105</v>
      </c>
      <c r="Z45">
        <f>Y45+Original!Z45</f>
        <v>105</v>
      </c>
      <c r="AA45">
        <f>Z45+Original!AA45</f>
        <v>113</v>
      </c>
      <c r="AB45">
        <f>AA45+Original!AB45</f>
        <v>126</v>
      </c>
      <c r="AC45">
        <f>AB45+Original!AC45</f>
        <v>126</v>
      </c>
      <c r="AD45">
        <f>AC45+Original!AD45</f>
        <v>134</v>
      </c>
      <c r="AE45">
        <f>AD45+Original!AE45</f>
        <v>140</v>
      </c>
      <c r="AF45">
        <f>AE45+Original!AF45</f>
        <v>140</v>
      </c>
      <c r="AG45">
        <f>AF45+Original!AG45</f>
        <v>140</v>
      </c>
      <c r="AH45">
        <f>AG45+Original!AH45</f>
        <v>140</v>
      </c>
      <c r="AI45">
        <f>AH45+Original!AI45</f>
        <v>140</v>
      </c>
      <c r="AJ45">
        <f>AI45+Original!AJ45</f>
        <v>140</v>
      </c>
      <c r="AK45">
        <f>AJ45+Original!AK45</f>
        <v>140</v>
      </c>
      <c r="AL45">
        <f>AK45+Original!AL45</f>
        <v>140</v>
      </c>
      <c r="AM45">
        <f>AL45+Original!AM45</f>
        <v>140</v>
      </c>
      <c r="AN45">
        <f>AM45+Original!AN45</f>
        <v>140</v>
      </c>
      <c r="AO45">
        <f>AN45+Original!AO45</f>
        <v>140</v>
      </c>
      <c r="AP45">
        <f>AO45+Original!AP45</f>
        <v>140</v>
      </c>
      <c r="AQ45">
        <f>AP45+Original!AQ45</f>
        <v>140</v>
      </c>
      <c r="AR45">
        <f>AQ45+Original!AR45</f>
        <v>140</v>
      </c>
      <c r="AS45">
        <f>AR45+Original!AS45</f>
        <v>140</v>
      </c>
      <c r="AT45">
        <f>AS45+Original!AT45</f>
        <v>140</v>
      </c>
      <c r="AU45">
        <f>AT45+Original!AU45</f>
        <v>140</v>
      </c>
      <c r="AV45">
        <f>AU45+Original!AV45</f>
        <v>140</v>
      </c>
      <c r="AW45">
        <f>AV45+Original!AW45</f>
        <v>140</v>
      </c>
      <c r="AX45">
        <f>AW45+Original!AX45</f>
        <v>140</v>
      </c>
      <c r="AY45">
        <f>AX45+Original!AY45</f>
        <v>140</v>
      </c>
      <c r="AZ45">
        <f>AY45+Original!AZ45</f>
        <v>140</v>
      </c>
      <c r="BA45">
        <f>AZ45+Original!BA45</f>
        <v>140</v>
      </c>
      <c r="BB45">
        <f>BA45+Original!BB45</f>
        <v>140</v>
      </c>
      <c r="BC45">
        <f>BB45+Original!BC45</f>
        <v>140</v>
      </c>
      <c r="BD45">
        <f>BC45+Original!BD45</f>
        <v>140</v>
      </c>
      <c r="BE45">
        <f>BD45+Original!BE45</f>
        <v>140</v>
      </c>
      <c r="BF45">
        <f>BE45+Original!BF45</f>
        <v>140</v>
      </c>
      <c r="BG45">
        <f>BF45+Original!BG45</f>
        <v>140</v>
      </c>
      <c r="BH45">
        <f>BG45+Original!BH45</f>
        <v>140</v>
      </c>
      <c r="BI45">
        <f>BH45+Original!BI45</f>
        <v>140</v>
      </c>
      <c r="BJ45">
        <f>BI45+Original!BJ45</f>
        <v>140</v>
      </c>
      <c r="BK45">
        <f>BJ45+Original!BK45</f>
        <v>140</v>
      </c>
      <c r="BL45">
        <f>BK45+Original!BL45</f>
        <v>140</v>
      </c>
      <c r="BM45">
        <f>BL45+Original!BM45</f>
        <v>140</v>
      </c>
      <c r="BN45">
        <f>BM45+Original!BN45</f>
        <v>140</v>
      </c>
      <c r="BO45">
        <f>BN45+Original!BO45</f>
        <v>140</v>
      </c>
      <c r="BP45">
        <f>BO45+Original!BP45</f>
        <v>140</v>
      </c>
      <c r="BQ45">
        <f>BP45+Original!BQ45</f>
        <v>140</v>
      </c>
      <c r="BR45">
        <f>BQ45+Original!BR45</f>
        <v>140</v>
      </c>
      <c r="BS45">
        <f>BR45+Original!BS45</f>
        <v>140</v>
      </c>
      <c r="BT45">
        <f>BS45+Original!BT45</f>
        <v>140</v>
      </c>
      <c r="BU45">
        <f>BT45+Original!BU45</f>
        <v>140</v>
      </c>
      <c r="BV45">
        <f>BU45+Original!BV45</f>
        <v>140</v>
      </c>
      <c r="BW45">
        <f>BV45+Original!BW45</f>
        <v>140</v>
      </c>
    </row>
    <row r="46" spans="1:75" x14ac:dyDescent="0.25">
      <c r="A46" t="str">
        <f>Original!A46</f>
        <v>Lissandro Will</v>
      </c>
      <c r="B46">
        <f>Original!B46</f>
        <v>138</v>
      </c>
      <c r="C46">
        <f>Original!C46</f>
        <v>8</v>
      </c>
      <c r="D46">
        <f>C46+Original!D46</f>
        <v>14</v>
      </c>
      <c r="E46">
        <f>D46+Original!E46</f>
        <v>22</v>
      </c>
      <c r="F46">
        <f>E46+Original!F46</f>
        <v>35</v>
      </c>
      <c r="G46">
        <f>F46+Original!G46</f>
        <v>35</v>
      </c>
      <c r="H46">
        <f>G46+Original!H46</f>
        <v>37</v>
      </c>
      <c r="I46">
        <f>H46+Original!I46</f>
        <v>43</v>
      </c>
      <c r="J46">
        <f>I46+Original!J46</f>
        <v>49</v>
      </c>
      <c r="K46">
        <f>J46+Original!K46</f>
        <v>51</v>
      </c>
      <c r="L46">
        <f>K46+Original!L46</f>
        <v>51</v>
      </c>
      <c r="M46">
        <f>L46+Original!M46</f>
        <v>57</v>
      </c>
      <c r="N46">
        <f>M46+Original!N46</f>
        <v>65</v>
      </c>
      <c r="O46">
        <f>N46+Original!O46</f>
        <v>71</v>
      </c>
      <c r="P46">
        <f>O46+Original!P46</f>
        <v>73</v>
      </c>
      <c r="Q46">
        <f>P46+Original!Q46</f>
        <v>79</v>
      </c>
      <c r="R46">
        <f>Q46+Original!R46</f>
        <v>85</v>
      </c>
      <c r="S46">
        <f>R46+Original!S46</f>
        <v>85</v>
      </c>
      <c r="T46">
        <f>S46+Original!T46</f>
        <v>85</v>
      </c>
      <c r="U46">
        <f>T46+Original!U46</f>
        <v>91</v>
      </c>
      <c r="V46">
        <f>U46+Original!V46</f>
        <v>93</v>
      </c>
      <c r="W46">
        <f>V46+Original!W46</f>
        <v>93</v>
      </c>
      <c r="X46">
        <f>W46+Original!X46</f>
        <v>95</v>
      </c>
      <c r="Y46">
        <f>X46+Original!Y46</f>
        <v>103</v>
      </c>
      <c r="Z46">
        <f>Y46+Original!Z46</f>
        <v>105</v>
      </c>
      <c r="AA46">
        <f>Z46+Original!AA46</f>
        <v>113</v>
      </c>
      <c r="AB46">
        <f>AA46+Original!AB46</f>
        <v>119</v>
      </c>
      <c r="AC46">
        <f>AB46+Original!AC46</f>
        <v>119</v>
      </c>
      <c r="AD46">
        <f>AC46+Original!AD46</f>
        <v>125</v>
      </c>
      <c r="AE46">
        <f>AD46+Original!AE46</f>
        <v>138</v>
      </c>
      <c r="AF46">
        <f>AE46+Original!AF46</f>
        <v>138</v>
      </c>
      <c r="AG46">
        <f>AF46+Original!AG46</f>
        <v>138</v>
      </c>
      <c r="AH46">
        <f>AG46+Original!AH46</f>
        <v>138</v>
      </c>
      <c r="AI46">
        <f>AH46+Original!AI46</f>
        <v>138</v>
      </c>
      <c r="AJ46">
        <f>AI46+Original!AJ46</f>
        <v>138</v>
      </c>
      <c r="AK46">
        <f>AJ46+Original!AK46</f>
        <v>138</v>
      </c>
      <c r="AL46">
        <f>AK46+Original!AL46</f>
        <v>138</v>
      </c>
      <c r="AM46">
        <f>AL46+Original!AM46</f>
        <v>138</v>
      </c>
      <c r="AN46">
        <f>AM46+Original!AN46</f>
        <v>138</v>
      </c>
      <c r="AO46">
        <f>AN46+Original!AO46</f>
        <v>138</v>
      </c>
      <c r="AP46">
        <f>AO46+Original!AP46</f>
        <v>138</v>
      </c>
      <c r="AQ46">
        <f>AP46+Original!AQ46</f>
        <v>138</v>
      </c>
      <c r="AR46">
        <f>AQ46+Original!AR46</f>
        <v>138</v>
      </c>
      <c r="AS46">
        <f>AR46+Original!AS46</f>
        <v>138</v>
      </c>
      <c r="AT46">
        <f>AS46+Original!AT46</f>
        <v>138</v>
      </c>
      <c r="AU46">
        <f>AT46+Original!AU46</f>
        <v>138</v>
      </c>
      <c r="AV46">
        <f>AU46+Original!AV46</f>
        <v>138</v>
      </c>
      <c r="AW46">
        <f>AV46+Original!AW46</f>
        <v>138</v>
      </c>
      <c r="AX46">
        <f>AW46+Original!AX46</f>
        <v>138</v>
      </c>
      <c r="AY46">
        <f>AX46+Original!AY46</f>
        <v>138</v>
      </c>
      <c r="AZ46">
        <f>AY46+Original!AZ46</f>
        <v>138</v>
      </c>
      <c r="BA46">
        <f>AZ46+Original!BA46</f>
        <v>138</v>
      </c>
      <c r="BB46">
        <f>BA46+Original!BB46</f>
        <v>138</v>
      </c>
      <c r="BC46">
        <f>BB46+Original!BC46</f>
        <v>138</v>
      </c>
      <c r="BD46">
        <f>BC46+Original!BD46</f>
        <v>138</v>
      </c>
      <c r="BE46">
        <f>BD46+Original!BE46</f>
        <v>138</v>
      </c>
      <c r="BF46">
        <f>BE46+Original!BF46</f>
        <v>138</v>
      </c>
      <c r="BG46">
        <f>BF46+Original!BG46</f>
        <v>138</v>
      </c>
      <c r="BH46">
        <f>BG46+Original!BH46</f>
        <v>138</v>
      </c>
      <c r="BI46">
        <f>BH46+Original!BI46</f>
        <v>138</v>
      </c>
      <c r="BJ46">
        <f>BI46+Original!BJ46</f>
        <v>138</v>
      </c>
      <c r="BK46">
        <f>BJ46+Original!BK46</f>
        <v>138</v>
      </c>
      <c r="BL46">
        <f>BK46+Original!BL46</f>
        <v>138</v>
      </c>
      <c r="BM46">
        <f>BL46+Original!BM46</f>
        <v>138</v>
      </c>
      <c r="BN46">
        <f>BM46+Original!BN46</f>
        <v>138</v>
      </c>
      <c r="BO46">
        <f>BN46+Original!BO46</f>
        <v>138</v>
      </c>
      <c r="BP46">
        <f>BO46+Original!BP46</f>
        <v>138</v>
      </c>
      <c r="BQ46">
        <f>BP46+Original!BQ46</f>
        <v>138</v>
      </c>
      <c r="BR46">
        <f>BQ46+Original!BR46</f>
        <v>138</v>
      </c>
      <c r="BS46">
        <f>BR46+Original!BS46</f>
        <v>138</v>
      </c>
      <c r="BT46">
        <f>BS46+Original!BT46</f>
        <v>138</v>
      </c>
      <c r="BU46">
        <f>BT46+Original!BU46</f>
        <v>138</v>
      </c>
      <c r="BV46">
        <f>BU46+Original!BV46</f>
        <v>138</v>
      </c>
      <c r="BW46">
        <f>BV46+Original!BW46</f>
        <v>138</v>
      </c>
    </row>
    <row r="47" spans="1:75" x14ac:dyDescent="0.25">
      <c r="A47" t="str">
        <f>Original!A47</f>
        <v>Bruno Ladvocat</v>
      </c>
      <c r="B47">
        <f>Original!B47</f>
        <v>137</v>
      </c>
      <c r="C47">
        <f>Original!C47</f>
        <v>8</v>
      </c>
      <c r="D47">
        <f>C47+Original!D47</f>
        <v>14</v>
      </c>
      <c r="E47">
        <f>D47+Original!E47</f>
        <v>27</v>
      </c>
      <c r="F47">
        <f>E47+Original!F47</f>
        <v>40</v>
      </c>
      <c r="G47">
        <f>F47+Original!G47</f>
        <v>40</v>
      </c>
      <c r="H47">
        <f>G47+Original!H47</f>
        <v>42</v>
      </c>
      <c r="I47">
        <f>H47+Original!I47</f>
        <v>42</v>
      </c>
      <c r="J47">
        <f>I47+Original!J47</f>
        <v>48</v>
      </c>
      <c r="K47">
        <f>J47+Original!K47</f>
        <v>48</v>
      </c>
      <c r="L47">
        <f>K47+Original!L47</f>
        <v>48</v>
      </c>
      <c r="M47">
        <f>L47+Original!M47</f>
        <v>56</v>
      </c>
      <c r="N47">
        <f>M47+Original!N47</f>
        <v>64</v>
      </c>
      <c r="O47">
        <f>N47+Original!O47</f>
        <v>70</v>
      </c>
      <c r="P47">
        <f>O47+Original!P47</f>
        <v>72</v>
      </c>
      <c r="Q47">
        <f>P47+Original!Q47</f>
        <v>80</v>
      </c>
      <c r="R47">
        <f>Q47+Original!R47</f>
        <v>88</v>
      </c>
      <c r="S47">
        <f>R47+Original!S47</f>
        <v>88</v>
      </c>
      <c r="T47">
        <f>S47+Original!T47</f>
        <v>88</v>
      </c>
      <c r="U47">
        <f>T47+Original!U47</f>
        <v>94</v>
      </c>
      <c r="V47">
        <f>U47+Original!V47</f>
        <v>94</v>
      </c>
      <c r="W47">
        <f>V47+Original!W47</f>
        <v>96</v>
      </c>
      <c r="X47">
        <f>W47+Original!X47</f>
        <v>98</v>
      </c>
      <c r="Y47">
        <f>X47+Original!Y47</f>
        <v>111</v>
      </c>
      <c r="Z47">
        <f>Y47+Original!Z47</f>
        <v>119</v>
      </c>
      <c r="AA47">
        <f>Z47+Original!AA47</f>
        <v>127</v>
      </c>
      <c r="AB47">
        <f>AA47+Original!AB47</f>
        <v>129</v>
      </c>
      <c r="AC47">
        <f>AB47+Original!AC47</f>
        <v>129</v>
      </c>
      <c r="AD47">
        <f>AC47+Original!AD47</f>
        <v>135</v>
      </c>
      <c r="AE47">
        <f>AD47+Original!AE47</f>
        <v>137</v>
      </c>
      <c r="AF47">
        <f>AE47+Original!AF47</f>
        <v>137</v>
      </c>
      <c r="AG47">
        <f>AF47+Original!AG47</f>
        <v>137</v>
      </c>
      <c r="AH47">
        <f>AG47+Original!AH47</f>
        <v>137</v>
      </c>
      <c r="AI47">
        <f>AH47+Original!AI47</f>
        <v>137</v>
      </c>
      <c r="AJ47">
        <f>AI47+Original!AJ47</f>
        <v>137</v>
      </c>
      <c r="AK47">
        <f>AJ47+Original!AK47</f>
        <v>137</v>
      </c>
      <c r="AL47">
        <f>AK47+Original!AL47</f>
        <v>137</v>
      </c>
      <c r="AM47">
        <f>AL47+Original!AM47</f>
        <v>137</v>
      </c>
      <c r="AN47">
        <f>AM47+Original!AN47</f>
        <v>137</v>
      </c>
      <c r="AO47">
        <f>AN47+Original!AO47</f>
        <v>137</v>
      </c>
      <c r="AP47">
        <f>AO47+Original!AP47</f>
        <v>137</v>
      </c>
      <c r="AQ47">
        <f>AP47+Original!AQ47</f>
        <v>137</v>
      </c>
      <c r="AR47">
        <f>AQ47+Original!AR47</f>
        <v>137</v>
      </c>
      <c r="AS47">
        <f>AR47+Original!AS47</f>
        <v>137</v>
      </c>
      <c r="AT47">
        <f>AS47+Original!AT47</f>
        <v>137</v>
      </c>
      <c r="AU47">
        <f>AT47+Original!AU47</f>
        <v>137</v>
      </c>
      <c r="AV47">
        <f>AU47+Original!AV47</f>
        <v>137</v>
      </c>
      <c r="AW47">
        <f>AV47+Original!AW47</f>
        <v>137</v>
      </c>
      <c r="AX47">
        <f>AW47+Original!AX47</f>
        <v>137</v>
      </c>
      <c r="AY47">
        <f>AX47+Original!AY47</f>
        <v>137</v>
      </c>
      <c r="AZ47">
        <f>AY47+Original!AZ47</f>
        <v>137</v>
      </c>
      <c r="BA47">
        <f>AZ47+Original!BA47</f>
        <v>137</v>
      </c>
      <c r="BB47">
        <f>BA47+Original!BB47</f>
        <v>137</v>
      </c>
      <c r="BC47">
        <f>BB47+Original!BC47</f>
        <v>137</v>
      </c>
      <c r="BD47">
        <f>BC47+Original!BD47</f>
        <v>137</v>
      </c>
      <c r="BE47">
        <f>BD47+Original!BE47</f>
        <v>137</v>
      </c>
      <c r="BF47">
        <f>BE47+Original!BF47</f>
        <v>137</v>
      </c>
      <c r="BG47">
        <f>BF47+Original!BG47</f>
        <v>137</v>
      </c>
      <c r="BH47">
        <f>BG47+Original!BH47</f>
        <v>137</v>
      </c>
      <c r="BI47">
        <f>BH47+Original!BI47</f>
        <v>137</v>
      </c>
      <c r="BJ47">
        <f>BI47+Original!BJ47</f>
        <v>137</v>
      </c>
      <c r="BK47">
        <f>BJ47+Original!BK47</f>
        <v>137</v>
      </c>
      <c r="BL47">
        <f>BK47+Original!BL47</f>
        <v>137</v>
      </c>
      <c r="BM47">
        <f>BL47+Original!BM47</f>
        <v>137</v>
      </c>
      <c r="BN47">
        <f>BM47+Original!BN47</f>
        <v>137</v>
      </c>
      <c r="BO47">
        <f>BN47+Original!BO47</f>
        <v>137</v>
      </c>
      <c r="BP47">
        <f>BO47+Original!BP47</f>
        <v>137</v>
      </c>
      <c r="BQ47">
        <f>BP47+Original!BQ47</f>
        <v>137</v>
      </c>
      <c r="BR47">
        <f>BQ47+Original!BR47</f>
        <v>137</v>
      </c>
      <c r="BS47">
        <f>BR47+Original!BS47</f>
        <v>137</v>
      </c>
      <c r="BT47">
        <f>BS47+Original!BT47</f>
        <v>137</v>
      </c>
      <c r="BU47">
        <f>BT47+Original!BU47</f>
        <v>137</v>
      </c>
      <c r="BV47">
        <f>BU47+Original!BV47</f>
        <v>137</v>
      </c>
      <c r="BW47">
        <f>BV47+Original!BW47</f>
        <v>137</v>
      </c>
    </row>
    <row r="48" spans="1:75" x14ac:dyDescent="0.25">
      <c r="A48" t="str">
        <f>Original!A48</f>
        <v>Cláudio Grangeon</v>
      </c>
      <c r="B48">
        <f>Original!B48</f>
        <v>137</v>
      </c>
      <c r="C48">
        <f>Original!C48</f>
        <v>8</v>
      </c>
      <c r="D48">
        <f>C48+Original!D48</f>
        <v>14</v>
      </c>
      <c r="E48">
        <f>D48+Original!E48</f>
        <v>22</v>
      </c>
      <c r="F48">
        <f>E48+Original!F48</f>
        <v>35</v>
      </c>
      <c r="G48">
        <f>F48+Original!G48</f>
        <v>35</v>
      </c>
      <c r="H48">
        <f>G48+Original!H48</f>
        <v>37</v>
      </c>
      <c r="I48">
        <f>H48+Original!I48</f>
        <v>37</v>
      </c>
      <c r="J48">
        <f>I48+Original!J48</f>
        <v>43</v>
      </c>
      <c r="K48">
        <f>J48+Original!K48</f>
        <v>45</v>
      </c>
      <c r="L48">
        <f>K48+Original!L48</f>
        <v>45</v>
      </c>
      <c r="M48">
        <f>L48+Original!M48</f>
        <v>51</v>
      </c>
      <c r="N48">
        <f>M48+Original!N48</f>
        <v>59</v>
      </c>
      <c r="O48">
        <f>N48+Original!O48</f>
        <v>61</v>
      </c>
      <c r="P48">
        <f>O48+Original!P48</f>
        <v>63</v>
      </c>
      <c r="Q48">
        <f>P48+Original!Q48</f>
        <v>69</v>
      </c>
      <c r="R48">
        <f>Q48+Original!R48</f>
        <v>82</v>
      </c>
      <c r="S48">
        <f>R48+Original!S48</f>
        <v>89</v>
      </c>
      <c r="T48">
        <f>S48+Original!T48</f>
        <v>89</v>
      </c>
      <c r="U48">
        <f>T48+Original!U48</f>
        <v>95</v>
      </c>
      <c r="V48">
        <f>U48+Original!V48</f>
        <v>97</v>
      </c>
      <c r="W48">
        <f>V48+Original!W48</f>
        <v>99</v>
      </c>
      <c r="X48">
        <f>W48+Original!X48</f>
        <v>105</v>
      </c>
      <c r="Y48">
        <f>X48+Original!Y48</f>
        <v>113</v>
      </c>
      <c r="Z48">
        <f>Y48+Original!Z48</f>
        <v>115</v>
      </c>
      <c r="AA48">
        <f>Z48+Original!AA48</f>
        <v>123</v>
      </c>
      <c r="AB48">
        <f>AA48+Original!AB48</f>
        <v>125</v>
      </c>
      <c r="AC48">
        <f>AB48+Original!AC48</f>
        <v>125</v>
      </c>
      <c r="AD48">
        <f>AC48+Original!AD48</f>
        <v>131</v>
      </c>
      <c r="AE48">
        <f>AD48+Original!AE48</f>
        <v>137</v>
      </c>
      <c r="AF48">
        <f>AE48+Original!AF48</f>
        <v>137</v>
      </c>
      <c r="AG48">
        <f>AF48+Original!AG48</f>
        <v>137</v>
      </c>
      <c r="AH48">
        <f>AG48+Original!AH48</f>
        <v>137</v>
      </c>
      <c r="AI48">
        <f>AH48+Original!AI48</f>
        <v>137</v>
      </c>
      <c r="AJ48">
        <f>AI48+Original!AJ48</f>
        <v>137</v>
      </c>
      <c r="AK48">
        <f>AJ48+Original!AK48</f>
        <v>137</v>
      </c>
      <c r="AL48">
        <f>AK48+Original!AL48</f>
        <v>137</v>
      </c>
      <c r="AM48">
        <f>AL48+Original!AM48</f>
        <v>137</v>
      </c>
      <c r="AN48">
        <f>AM48+Original!AN48</f>
        <v>137</v>
      </c>
      <c r="AO48">
        <f>AN48+Original!AO48</f>
        <v>137</v>
      </c>
      <c r="AP48">
        <f>AO48+Original!AP48</f>
        <v>137</v>
      </c>
      <c r="AQ48">
        <f>AP48+Original!AQ48</f>
        <v>137</v>
      </c>
      <c r="AR48">
        <f>AQ48+Original!AR48</f>
        <v>137</v>
      </c>
      <c r="AS48">
        <f>AR48+Original!AS48</f>
        <v>137</v>
      </c>
      <c r="AT48">
        <f>AS48+Original!AT48</f>
        <v>137</v>
      </c>
      <c r="AU48">
        <f>AT48+Original!AU48</f>
        <v>137</v>
      </c>
      <c r="AV48">
        <f>AU48+Original!AV48</f>
        <v>137</v>
      </c>
      <c r="AW48">
        <f>AV48+Original!AW48</f>
        <v>137</v>
      </c>
      <c r="AX48">
        <f>AW48+Original!AX48</f>
        <v>137</v>
      </c>
      <c r="AY48">
        <f>AX48+Original!AY48</f>
        <v>137</v>
      </c>
      <c r="AZ48">
        <f>AY48+Original!AZ48</f>
        <v>137</v>
      </c>
      <c r="BA48">
        <f>AZ48+Original!BA48</f>
        <v>137</v>
      </c>
      <c r="BB48">
        <f>BA48+Original!BB48</f>
        <v>137</v>
      </c>
      <c r="BC48">
        <f>BB48+Original!BC48</f>
        <v>137</v>
      </c>
      <c r="BD48">
        <f>BC48+Original!BD48</f>
        <v>137</v>
      </c>
      <c r="BE48">
        <f>BD48+Original!BE48</f>
        <v>137</v>
      </c>
      <c r="BF48">
        <f>BE48+Original!BF48</f>
        <v>137</v>
      </c>
      <c r="BG48">
        <f>BF48+Original!BG48</f>
        <v>137</v>
      </c>
      <c r="BH48">
        <f>BG48+Original!BH48</f>
        <v>137</v>
      </c>
      <c r="BI48">
        <f>BH48+Original!BI48</f>
        <v>137</v>
      </c>
      <c r="BJ48">
        <f>BI48+Original!BJ48</f>
        <v>137</v>
      </c>
      <c r="BK48">
        <f>BJ48+Original!BK48</f>
        <v>137</v>
      </c>
      <c r="BL48">
        <f>BK48+Original!BL48</f>
        <v>137</v>
      </c>
      <c r="BM48">
        <f>BL48+Original!BM48</f>
        <v>137</v>
      </c>
      <c r="BN48">
        <f>BM48+Original!BN48</f>
        <v>137</v>
      </c>
      <c r="BO48">
        <f>BN48+Original!BO48</f>
        <v>137</v>
      </c>
      <c r="BP48">
        <f>BO48+Original!BP48</f>
        <v>137</v>
      </c>
      <c r="BQ48">
        <f>BP48+Original!BQ48</f>
        <v>137</v>
      </c>
      <c r="BR48">
        <f>BQ48+Original!BR48</f>
        <v>137</v>
      </c>
      <c r="BS48">
        <f>BR48+Original!BS48</f>
        <v>137</v>
      </c>
      <c r="BT48">
        <f>BS48+Original!BT48</f>
        <v>137</v>
      </c>
      <c r="BU48">
        <f>BT48+Original!BU48</f>
        <v>137</v>
      </c>
      <c r="BV48">
        <f>BU48+Original!BV48</f>
        <v>137</v>
      </c>
      <c r="BW48">
        <f>BV48+Original!BW48</f>
        <v>137</v>
      </c>
    </row>
    <row r="49" spans="1:75" x14ac:dyDescent="0.25">
      <c r="A49" t="str">
        <f>Original!A49</f>
        <v>Jussara da Rocha Duarte</v>
      </c>
      <c r="B49">
        <f>Original!B49</f>
        <v>137</v>
      </c>
      <c r="C49">
        <f>Original!C49</f>
        <v>8</v>
      </c>
      <c r="D49">
        <f>C49+Original!D49</f>
        <v>14</v>
      </c>
      <c r="E49">
        <f>D49+Original!E49</f>
        <v>22</v>
      </c>
      <c r="F49">
        <f>E49+Original!F49</f>
        <v>35</v>
      </c>
      <c r="G49">
        <f>F49+Original!G49</f>
        <v>35</v>
      </c>
      <c r="H49">
        <f>G49+Original!H49</f>
        <v>37</v>
      </c>
      <c r="I49">
        <f>H49+Original!I49</f>
        <v>37</v>
      </c>
      <c r="J49">
        <f>I49+Original!J49</f>
        <v>43</v>
      </c>
      <c r="K49">
        <f>J49+Original!K49</f>
        <v>45</v>
      </c>
      <c r="L49">
        <f>K49+Original!L49</f>
        <v>45</v>
      </c>
      <c r="M49">
        <f>L49+Original!M49</f>
        <v>53</v>
      </c>
      <c r="N49">
        <f>M49+Original!N49</f>
        <v>61</v>
      </c>
      <c r="O49">
        <f>N49+Original!O49</f>
        <v>74</v>
      </c>
      <c r="P49">
        <f>O49+Original!P49</f>
        <v>76</v>
      </c>
      <c r="Q49">
        <f>P49+Original!Q49</f>
        <v>82</v>
      </c>
      <c r="R49">
        <f>Q49+Original!R49</f>
        <v>95</v>
      </c>
      <c r="S49">
        <f>R49+Original!S49</f>
        <v>95</v>
      </c>
      <c r="T49">
        <f>S49+Original!T49</f>
        <v>97</v>
      </c>
      <c r="U49">
        <f>T49+Original!U49</f>
        <v>105</v>
      </c>
      <c r="V49">
        <f>U49+Original!V49</f>
        <v>105</v>
      </c>
      <c r="W49">
        <f>V49+Original!W49</f>
        <v>105</v>
      </c>
      <c r="X49">
        <f>W49+Original!X49</f>
        <v>107</v>
      </c>
      <c r="Y49">
        <f>X49+Original!Y49</f>
        <v>115</v>
      </c>
      <c r="Z49">
        <f>Y49+Original!Z49</f>
        <v>123</v>
      </c>
      <c r="AA49">
        <f>Z49+Original!AA49</f>
        <v>131</v>
      </c>
      <c r="AB49">
        <f>AA49+Original!AB49</f>
        <v>131</v>
      </c>
      <c r="AC49">
        <f>AB49+Original!AC49</f>
        <v>131</v>
      </c>
      <c r="AD49">
        <f>AC49+Original!AD49</f>
        <v>137</v>
      </c>
      <c r="AE49">
        <f>AD49+Original!AE49</f>
        <v>137</v>
      </c>
      <c r="AF49">
        <f>AE49+Original!AF49</f>
        <v>137</v>
      </c>
      <c r="AG49">
        <f>AF49+Original!AG49</f>
        <v>137</v>
      </c>
      <c r="AH49">
        <f>AG49+Original!AH49</f>
        <v>137</v>
      </c>
      <c r="AI49">
        <f>AH49+Original!AI49</f>
        <v>137</v>
      </c>
      <c r="AJ49">
        <f>AI49+Original!AJ49</f>
        <v>137</v>
      </c>
      <c r="AK49">
        <f>AJ49+Original!AK49</f>
        <v>137</v>
      </c>
      <c r="AL49">
        <f>AK49+Original!AL49</f>
        <v>137</v>
      </c>
      <c r="AM49">
        <f>AL49+Original!AM49</f>
        <v>137</v>
      </c>
      <c r="AN49">
        <f>AM49+Original!AN49</f>
        <v>137</v>
      </c>
      <c r="AO49">
        <f>AN49+Original!AO49</f>
        <v>137</v>
      </c>
      <c r="AP49">
        <f>AO49+Original!AP49</f>
        <v>137</v>
      </c>
      <c r="AQ49">
        <f>AP49+Original!AQ49</f>
        <v>137</v>
      </c>
      <c r="AR49">
        <f>AQ49+Original!AR49</f>
        <v>137</v>
      </c>
      <c r="AS49">
        <f>AR49+Original!AS49</f>
        <v>137</v>
      </c>
      <c r="AT49">
        <f>AS49+Original!AT49</f>
        <v>137</v>
      </c>
      <c r="AU49">
        <f>AT49+Original!AU49</f>
        <v>137</v>
      </c>
      <c r="AV49">
        <f>AU49+Original!AV49</f>
        <v>137</v>
      </c>
      <c r="AW49">
        <f>AV49+Original!AW49</f>
        <v>137</v>
      </c>
      <c r="AX49">
        <f>AW49+Original!AX49</f>
        <v>137</v>
      </c>
      <c r="AY49">
        <f>AX49+Original!AY49</f>
        <v>137</v>
      </c>
      <c r="AZ49">
        <f>AY49+Original!AZ49</f>
        <v>137</v>
      </c>
      <c r="BA49">
        <f>AZ49+Original!BA49</f>
        <v>137</v>
      </c>
      <c r="BB49">
        <f>BA49+Original!BB49</f>
        <v>137</v>
      </c>
      <c r="BC49">
        <f>BB49+Original!BC49</f>
        <v>137</v>
      </c>
      <c r="BD49">
        <f>BC49+Original!BD49</f>
        <v>137</v>
      </c>
      <c r="BE49">
        <f>BD49+Original!BE49</f>
        <v>137</v>
      </c>
      <c r="BF49">
        <f>BE49+Original!BF49</f>
        <v>137</v>
      </c>
      <c r="BG49">
        <f>BF49+Original!BG49</f>
        <v>137</v>
      </c>
      <c r="BH49">
        <f>BG49+Original!BH49</f>
        <v>137</v>
      </c>
      <c r="BI49">
        <f>BH49+Original!BI49</f>
        <v>137</v>
      </c>
      <c r="BJ49">
        <f>BI49+Original!BJ49</f>
        <v>137</v>
      </c>
      <c r="BK49">
        <f>BJ49+Original!BK49</f>
        <v>137</v>
      </c>
      <c r="BL49">
        <f>BK49+Original!BL49</f>
        <v>137</v>
      </c>
      <c r="BM49">
        <f>BL49+Original!BM49</f>
        <v>137</v>
      </c>
      <c r="BN49">
        <f>BM49+Original!BN49</f>
        <v>137</v>
      </c>
      <c r="BO49">
        <f>BN49+Original!BO49</f>
        <v>137</v>
      </c>
      <c r="BP49">
        <f>BO49+Original!BP49</f>
        <v>137</v>
      </c>
      <c r="BQ49">
        <f>BP49+Original!BQ49</f>
        <v>137</v>
      </c>
      <c r="BR49">
        <f>BQ49+Original!BR49</f>
        <v>137</v>
      </c>
      <c r="BS49">
        <f>BR49+Original!BS49</f>
        <v>137</v>
      </c>
      <c r="BT49">
        <f>BS49+Original!BT49</f>
        <v>137</v>
      </c>
      <c r="BU49">
        <f>BT49+Original!BU49</f>
        <v>137</v>
      </c>
      <c r="BV49">
        <f>BU49+Original!BV49</f>
        <v>137</v>
      </c>
      <c r="BW49">
        <f>BV49+Original!BW49</f>
        <v>137</v>
      </c>
    </row>
    <row r="50" spans="1:75" x14ac:dyDescent="0.25">
      <c r="A50" t="str">
        <f>Original!A50</f>
        <v>Ivan Isaac Ferreira Filho</v>
      </c>
      <c r="B50">
        <f>Original!B50</f>
        <v>136</v>
      </c>
      <c r="C50">
        <f>Original!C50</f>
        <v>6</v>
      </c>
      <c r="D50">
        <f>C50+Original!D50</f>
        <v>12</v>
      </c>
      <c r="E50">
        <f>D50+Original!E50</f>
        <v>20</v>
      </c>
      <c r="F50">
        <f>E50+Original!F50</f>
        <v>22</v>
      </c>
      <c r="G50">
        <f>F50+Original!G50</f>
        <v>22</v>
      </c>
      <c r="H50">
        <f>G50+Original!H50</f>
        <v>24</v>
      </c>
      <c r="I50">
        <f>H50+Original!I50</f>
        <v>26</v>
      </c>
      <c r="J50">
        <f>I50+Original!J50</f>
        <v>32</v>
      </c>
      <c r="K50">
        <f>J50+Original!K50</f>
        <v>34</v>
      </c>
      <c r="L50">
        <f>K50+Original!L50</f>
        <v>34</v>
      </c>
      <c r="M50">
        <f>L50+Original!M50</f>
        <v>40</v>
      </c>
      <c r="N50">
        <f>M50+Original!N50</f>
        <v>48</v>
      </c>
      <c r="O50">
        <f>N50+Original!O50</f>
        <v>50</v>
      </c>
      <c r="P50">
        <f>O50+Original!P50</f>
        <v>52</v>
      </c>
      <c r="Q50">
        <f>P50+Original!Q50</f>
        <v>58</v>
      </c>
      <c r="R50">
        <f>Q50+Original!R50</f>
        <v>66</v>
      </c>
      <c r="S50">
        <f>R50+Original!S50</f>
        <v>73</v>
      </c>
      <c r="T50">
        <f>S50+Original!T50</f>
        <v>75</v>
      </c>
      <c r="U50">
        <f>T50+Original!U50</f>
        <v>81</v>
      </c>
      <c r="V50">
        <f>U50+Original!V50</f>
        <v>83</v>
      </c>
      <c r="W50">
        <f>V50+Original!W50</f>
        <v>83</v>
      </c>
      <c r="X50">
        <f>W50+Original!X50</f>
        <v>96</v>
      </c>
      <c r="Y50">
        <f>X50+Original!Y50</f>
        <v>109</v>
      </c>
      <c r="Z50">
        <f>Y50+Original!Z50</f>
        <v>115</v>
      </c>
      <c r="AA50">
        <f>Z50+Original!AA50</f>
        <v>115</v>
      </c>
      <c r="AB50">
        <f>AA50+Original!AB50</f>
        <v>117</v>
      </c>
      <c r="AC50">
        <f>AB50+Original!AC50</f>
        <v>117</v>
      </c>
      <c r="AD50">
        <f>AC50+Original!AD50</f>
        <v>123</v>
      </c>
      <c r="AE50">
        <f>AD50+Original!AE50</f>
        <v>136</v>
      </c>
      <c r="AF50">
        <f>AE50+Original!AF50</f>
        <v>136</v>
      </c>
      <c r="AG50">
        <f>AF50+Original!AG50</f>
        <v>136</v>
      </c>
      <c r="AH50">
        <f>AG50+Original!AH50</f>
        <v>136</v>
      </c>
      <c r="AI50">
        <f>AH50+Original!AI50</f>
        <v>136</v>
      </c>
      <c r="AJ50">
        <f>AI50+Original!AJ50</f>
        <v>136</v>
      </c>
      <c r="AK50">
        <f>AJ50+Original!AK50</f>
        <v>136</v>
      </c>
      <c r="AL50">
        <f>AK50+Original!AL50</f>
        <v>136</v>
      </c>
      <c r="AM50">
        <f>AL50+Original!AM50</f>
        <v>136</v>
      </c>
      <c r="AN50">
        <f>AM50+Original!AN50</f>
        <v>136</v>
      </c>
      <c r="AO50">
        <f>AN50+Original!AO50</f>
        <v>136</v>
      </c>
      <c r="AP50">
        <f>AO50+Original!AP50</f>
        <v>136</v>
      </c>
      <c r="AQ50">
        <f>AP50+Original!AQ50</f>
        <v>136</v>
      </c>
      <c r="AR50">
        <f>AQ50+Original!AR50</f>
        <v>136</v>
      </c>
      <c r="AS50">
        <f>AR50+Original!AS50</f>
        <v>136</v>
      </c>
      <c r="AT50">
        <f>AS50+Original!AT50</f>
        <v>136</v>
      </c>
      <c r="AU50">
        <f>AT50+Original!AU50</f>
        <v>136</v>
      </c>
      <c r="AV50">
        <f>AU50+Original!AV50</f>
        <v>136</v>
      </c>
      <c r="AW50">
        <f>AV50+Original!AW50</f>
        <v>136</v>
      </c>
      <c r="AX50">
        <f>AW50+Original!AX50</f>
        <v>136</v>
      </c>
      <c r="AY50">
        <f>AX50+Original!AY50</f>
        <v>136</v>
      </c>
      <c r="AZ50">
        <f>AY50+Original!AZ50</f>
        <v>136</v>
      </c>
      <c r="BA50">
        <f>AZ50+Original!BA50</f>
        <v>136</v>
      </c>
      <c r="BB50">
        <f>BA50+Original!BB50</f>
        <v>136</v>
      </c>
      <c r="BC50">
        <f>BB50+Original!BC50</f>
        <v>136</v>
      </c>
      <c r="BD50">
        <f>BC50+Original!BD50</f>
        <v>136</v>
      </c>
      <c r="BE50">
        <f>BD50+Original!BE50</f>
        <v>136</v>
      </c>
      <c r="BF50">
        <f>BE50+Original!BF50</f>
        <v>136</v>
      </c>
      <c r="BG50">
        <f>BF50+Original!BG50</f>
        <v>136</v>
      </c>
      <c r="BH50">
        <f>BG50+Original!BH50</f>
        <v>136</v>
      </c>
      <c r="BI50">
        <f>BH50+Original!BI50</f>
        <v>136</v>
      </c>
      <c r="BJ50">
        <f>BI50+Original!BJ50</f>
        <v>136</v>
      </c>
      <c r="BK50">
        <f>BJ50+Original!BK50</f>
        <v>136</v>
      </c>
      <c r="BL50">
        <f>BK50+Original!BL50</f>
        <v>136</v>
      </c>
      <c r="BM50">
        <f>BL50+Original!BM50</f>
        <v>136</v>
      </c>
      <c r="BN50">
        <f>BM50+Original!BN50</f>
        <v>136</v>
      </c>
      <c r="BO50">
        <f>BN50+Original!BO50</f>
        <v>136</v>
      </c>
      <c r="BP50">
        <f>BO50+Original!BP50</f>
        <v>136</v>
      </c>
      <c r="BQ50">
        <f>BP50+Original!BQ50</f>
        <v>136</v>
      </c>
      <c r="BR50">
        <f>BQ50+Original!BR50</f>
        <v>136</v>
      </c>
      <c r="BS50">
        <f>BR50+Original!BS50</f>
        <v>136</v>
      </c>
      <c r="BT50">
        <f>BS50+Original!BT50</f>
        <v>136</v>
      </c>
      <c r="BU50">
        <f>BT50+Original!BU50</f>
        <v>136</v>
      </c>
      <c r="BV50">
        <f>BU50+Original!BV50</f>
        <v>136</v>
      </c>
      <c r="BW50">
        <f>BV50+Original!BW50</f>
        <v>136</v>
      </c>
    </row>
    <row r="51" spans="1:75" x14ac:dyDescent="0.25">
      <c r="A51" t="str">
        <f>Original!A51</f>
        <v>Rodolfo Góes</v>
      </c>
      <c r="B51">
        <f>Original!B51</f>
        <v>136</v>
      </c>
      <c r="C51">
        <f>Original!C51</f>
        <v>8</v>
      </c>
      <c r="D51">
        <f>C51+Original!D51</f>
        <v>14</v>
      </c>
      <c r="E51">
        <f>D51+Original!E51</f>
        <v>22</v>
      </c>
      <c r="F51">
        <f>E51+Original!F51</f>
        <v>35</v>
      </c>
      <c r="G51">
        <f>F51+Original!G51</f>
        <v>35</v>
      </c>
      <c r="H51">
        <f>G51+Original!H51</f>
        <v>35</v>
      </c>
      <c r="I51">
        <f>H51+Original!I51</f>
        <v>41</v>
      </c>
      <c r="J51">
        <f>I51+Original!J51</f>
        <v>49</v>
      </c>
      <c r="K51">
        <f>J51+Original!K51</f>
        <v>51</v>
      </c>
      <c r="L51">
        <f>K51+Original!L51</f>
        <v>51</v>
      </c>
      <c r="M51">
        <f>L51+Original!M51</f>
        <v>59</v>
      </c>
      <c r="N51">
        <f>M51+Original!N51</f>
        <v>65</v>
      </c>
      <c r="O51">
        <f>N51+Original!O51</f>
        <v>67</v>
      </c>
      <c r="P51">
        <f>O51+Original!P51</f>
        <v>69</v>
      </c>
      <c r="Q51">
        <f>P51+Original!Q51</f>
        <v>75</v>
      </c>
      <c r="R51">
        <f>Q51+Original!R51</f>
        <v>83</v>
      </c>
      <c r="S51">
        <f>R51+Original!S51</f>
        <v>83</v>
      </c>
      <c r="T51">
        <f>S51+Original!T51</f>
        <v>83</v>
      </c>
      <c r="U51">
        <f>T51+Original!U51</f>
        <v>96</v>
      </c>
      <c r="V51">
        <f>U51+Original!V51</f>
        <v>96</v>
      </c>
      <c r="W51">
        <f>V51+Original!W51</f>
        <v>96</v>
      </c>
      <c r="X51">
        <f>W51+Original!X51</f>
        <v>102</v>
      </c>
      <c r="Y51">
        <f>X51+Original!Y51</f>
        <v>110</v>
      </c>
      <c r="Z51">
        <f>Y51+Original!Z51</f>
        <v>112</v>
      </c>
      <c r="AA51">
        <f>Z51+Original!AA51</f>
        <v>120</v>
      </c>
      <c r="AB51">
        <f>AA51+Original!AB51</f>
        <v>122</v>
      </c>
      <c r="AC51">
        <f>AB51+Original!AC51</f>
        <v>122</v>
      </c>
      <c r="AD51">
        <f>AC51+Original!AD51</f>
        <v>130</v>
      </c>
      <c r="AE51">
        <f>AD51+Original!AE51</f>
        <v>136</v>
      </c>
      <c r="AF51">
        <f>AE51+Original!AF51</f>
        <v>136</v>
      </c>
      <c r="AG51">
        <f>AF51+Original!AG51</f>
        <v>136</v>
      </c>
      <c r="AH51">
        <f>AG51+Original!AH51</f>
        <v>136</v>
      </c>
      <c r="AI51">
        <f>AH51+Original!AI51</f>
        <v>136</v>
      </c>
      <c r="AJ51">
        <f>AI51+Original!AJ51</f>
        <v>136</v>
      </c>
      <c r="AK51">
        <f>AJ51+Original!AK51</f>
        <v>136</v>
      </c>
      <c r="AL51">
        <f>AK51+Original!AL51</f>
        <v>136</v>
      </c>
      <c r="AM51">
        <f>AL51+Original!AM51</f>
        <v>136</v>
      </c>
      <c r="AN51">
        <f>AM51+Original!AN51</f>
        <v>136</v>
      </c>
      <c r="AO51">
        <f>AN51+Original!AO51</f>
        <v>136</v>
      </c>
      <c r="AP51">
        <f>AO51+Original!AP51</f>
        <v>136</v>
      </c>
      <c r="AQ51">
        <f>AP51+Original!AQ51</f>
        <v>136</v>
      </c>
      <c r="AR51">
        <f>AQ51+Original!AR51</f>
        <v>136</v>
      </c>
      <c r="AS51">
        <f>AR51+Original!AS51</f>
        <v>136</v>
      </c>
      <c r="AT51">
        <f>AS51+Original!AT51</f>
        <v>136</v>
      </c>
      <c r="AU51">
        <f>AT51+Original!AU51</f>
        <v>136</v>
      </c>
      <c r="AV51">
        <f>AU51+Original!AV51</f>
        <v>136</v>
      </c>
      <c r="AW51">
        <f>AV51+Original!AW51</f>
        <v>136</v>
      </c>
      <c r="AX51">
        <f>AW51+Original!AX51</f>
        <v>136</v>
      </c>
      <c r="AY51">
        <f>AX51+Original!AY51</f>
        <v>136</v>
      </c>
      <c r="AZ51">
        <f>AY51+Original!AZ51</f>
        <v>136</v>
      </c>
      <c r="BA51">
        <f>AZ51+Original!BA51</f>
        <v>136</v>
      </c>
      <c r="BB51">
        <f>BA51+Original!BB51</f>
        <v>136</v>
      </c>
      <c r="BC51">
        <f>BB51+Original!BC51</f>
        <v>136</v>
      </c>
      <c r="BD51">
        <f>BC51+Original!BD51</f>
        <v>136</v>
      </c>
      <c r="BE51">
        <f>BD51+Original!BE51</f>
        <v>136</v>
      </c>
      <c r="BF51">
        <f>BE51+Original!BF51</f>
        <v>136</v>
      </c>
      <c r="BG51">
        <f>BF51+Original!BG51</f>
        <v>136</v>
      </c>
      <c r="BH51">
        <f>BG51+Original!BH51</f>
        <v>136</v>
      </c>
      <c r="BI51">
        <f>BH51+Original!BI51</f>
        <v>136</v>
      </c>
      <c r="BJ51">
        <f>BI51+Original!BJ51</f>
        <v>136</v>
      </c>
      <c r="BK51">
        <f>BJ51+Original!BK51</f>
        <v>136</v>
      </c>
      <c r="BL51">
        <f>BK51+Original!BL51</f>
        <v>136</v>
      </c>
      <c r="BM51">
        <f>BL51+Original!BM51</f>
        <v>136</v>
      </c>
      <c r="BN51">
        <f>BM51+Original!BN51</f>
        <v>136</v>
      </c>
      <c r="BO51">
        <f>BN51+Original!BO51</f>
        <v>136</v>
      </c>
      <c r="BP51">
        <f>BO51+Original!BP51</f>
        <v>136</v>
      </c>
      <c r="BQ51">
        <f>BP51+Original!BQ51</f>
        <v>136</v>
      </c>
      <c r="BR51">
        <f>BQ51+Original!BR51</f>
        <v>136</v>
      </c>
      <c r="BS51">
        <f>BR51+Original!BS51</f>
        <v>136</v>
      </c>
      <c r="BT51">
        <f>BS51+Original!BT51</f>
        <v>136</v>
      </c>
      <c r="BU51">
        <f>BT51+Original!BU51</f>
        <v>136</v>
      </c>
      <c r="BV51">
        <f>BU51+Original!BV51</f>
        <v>136</v>
      </c>
      <c r="BW51">
        <f>BV51+Original!BW51</f>
        <v>136</v>
      </c>
    </row>
    <row r="52" spans="1:75" x14ac:dyDescent="0.25">
      <c r="A52" t="str">
        <f>Original!A52</f>
        <v>Alexandre Saback 1</v>
      </c>
      <c r="B52">
        <f>Original!B52</f>
        <v>135</v>
      </c>
      <c r="C52">
        <f>Original!C52</f>
        <v>8</v>
      </c>
      <c r="D52">
        <f>C52+Original!D52</f>
        <v>14</v>
      </c>
      <c r="E52">
        <f>D52+Original!E52</f>
        <v>27</v>
      </c>
      <c r="F52">
        <f>E52+Original!F52</f>
        <v>29</v>
      </c>
      <c r="G52">
        <f>F52+Original!G52</f>
        <v>29</v>
      </c>
      <c r="H52">
        <f>G52+Original!H52</f>
        <v>31</v>
      </c>
      <c r="I52">
        <f>H52+Original!I52</f>
        <v>37</v>
      </c>
      <c r="J52">
        <f>I52+Original!J52</f>
        <v>43</v>
      </c>
      <c r="K52">
        <f>J52+Original!K52</f>
        <v>45</v>
      </c>
      <c r="L52">
        <f>K52+Original!L52</f>
        <v>45</v>
      </c>
      <c r="M52">
        <f>L52+Original!M52</f>
        <v>53</v>
      </c>
      <c r="N52">
        <f>M52+Original!N52</f>
        <v>61</v>
      </c>
      <c r="O52">
        <f>N52+Original!O52</f>
        <v>69</v>
      </c>
      <c r="P52">
        <f>O52+Original!P52</f>
        <v>71</v>
      </c>
      <c r="Q52">
        <f>P52+Original!Q52</f>
        <v>77</v>
      </c>
      <c r="R52">
        <f>Q52+Original!R52</f>
        <v>85</v>
      </c>
      <c r="S52">
        <f>R52+Original!S52</f>
        <v>85</v>
      </c>
      <c r="T52">
        <f>S52+Original!T52</f>
        <v>85</v>
      </c>
      <c r="U52">
        <f>T52+Original!U52</f>
        <v>91</v>
      </c>
      <c r="V52">
        <f>U52+Original!V52</f>
        <v>91</v>
      </c>
      <c r="W52">
        <f>V52+Original!W52</f>
        <v>93</v>
      </c>
      <c r="X52">
        <f>W52+Original!X52</f>
        <v>95</v>
      </c>
      <c r="Y52">
        <f>X52+Original!Y52</f>
        <v>103</v>
      </c>
      <c r="Z52">
        <f>Y52+Original!Z52</f>
        <v>111</v>
      </c>
      <c r="AA52">
        <f>Z52+Original!AA52</f>
        <v>119</v>
      </c>
      <c r="AB52">
        <f>AA52+Original!AB52</f>
        <v>125</v>
      </c>
      <c r="AC52">
        <f>AB52+Original!AC52</f>
        <v>125</v>
      </c>
      <c r="AD52">
        <f>AC52+Original!AD52</f>
        <v>133</v>
      </c>
      <c r="AE52">
        <f>AD52+Original!AE52</f>
        <v>135</v>
      </c>
      <c r="AF52">
        <f>AE52+Original!AF52</f>
        <v>135</v>
      </c>
      <c r="AG52">
        <f>AF52+Original!AG52</f>
        <v>135</v>
      </c>
      <c r="AH52">
        <f>AG52+Original!AH52</f>
        <v>135</v>
      </c>
      <c r="AI52">
        <f>AH52+Original!AI52</f>
        <v>135</v>
      </c>
      <c r="AJ52">
        <f>AI52+Original!AJ52</f>
        <v>135</v>
      </c>
      <c r="AK52">
        <f>AJ52+Original!AK52</f>
        <v>135</v>
      </c>
      <c r="AL52">
        <f>AK52+Original!AL52</f>
        <v>135</v>
      </c>
      <c r="AM52">
        <f>AL52+Original!AM52</f>
        <v>135</v>
      </c>
      <c r="AN52">
        <f>AM52+Original!AN52</f>
        <v>135</v>
      </c>
      <c r="AO52">
        <f>AN52+Original!AO52</f>
        <v>135</v>
      </c>
      <c r="AP52">
        <f>AO52+Original!AP52</f>
        <v>135</v>
      </c>
      <c r="AQ52">
        <f>AP52+Original!AQ52</f>
        <v>135</v>
      </c>
      <c r="AR52">
        <f>AQ52+Original!AR52</f>
        <v>135</v>
      </c>
      <c r="AS52">
        <f>AR52+Original!AS52</f>
        <v>135</v>
      </c>
      <c r="AT52">
        <f>AS52+Original!AT52</f>
        <v>135</v>
      </c>
      <c r="AU52">
        <f>AT52+Original!AU52</f>
        <v>135</v>
      </c>
      <c r="AV52">
        <f>AU52+Original!AV52</f>
        <v>135</v>
      </c>
      <c r="AW52">
        <f>AV52+Original!AW52</f>
        <v>135</v>
      </c>
      <c r="AX52">
        <f>AW52+Original!AX52</f>
        <v>135</v>
      </c>
      <c r="AY52">
        <f>AX52+Original!AY52</f>
        <v>135</v>
      </c>
      <c r="AZ52">
        <f>AY52+Original!AZ52</f>
        <v>135</v>
      </c>
      <c r="BA52">
        <f>AZ52+Original!BA52</f>
        <v>135</v>
      </c>
      <c r="BB52">
        <f>BA52+Original!BB52</f>
        <v>135</v>
      </c>
      <c r="BC52">
        <f>BB52+Original!BC52</f>
        <v>135</v>
      </c>
      <c r="BD52">
        <f>BC52+Original!BD52</f>
        <v>135</v>
      </c>
      <c r="BE52">
        <f>BD52+Original!BE52</f>
        <v>135</v>
      </c>
      <c r="BF52">
        <f>BE52+Original!BF52</f>
        <v>135</v>
      </c>
      <c r="BG52">
        <f>BF52+Original!BG52</f>
        <v>135</v>
      </c>
      <c r="BH52">
        <f>BG52+Original!BH52</f>
        <v>135</v>
      </c>
      <c r="BI52">
        <f>BH52+Original!BI52</f>
        <v>135</v>
      </c>
      <c r="BJ52">
        <f>BI52+Original!BJ52</f>
        <v>135</v>
      </c>
      <c r="BK52">
        <f>BJ52+Original!BK52</f>
        <v>135</v>
      </c>
      <c r="BL52">
        <f>BK52+Original!BL52</f>
        <v>135</v>
      </c>
      <c r="BM52">
        <f>BL52+Original!BM52</f>
        <v>135</v>
      </c>
      <c r="BN52">
        <f>BM52+Original!BN52</f>
        <v>135</v>
      </c>
      <c r="BO52">
        <f>BN52+Original!BO52</f>
        <v>135</v>
      </c>
      <c r="BP52">
        <f>BO52+Original!BP52</f>
        <v>135</v>
      </c>
      <c r="BQ52">
        <f>BP52+Original!BQ52</f>
        <v>135</v>
      </c>
      <c r="BR52">
        <f>BQ52+Original!BR52</f>
        <v>135</v>
      </c>
      <c r="BS52">
        <f>BR52+Original!BS52</f>
        <v>135</v>
      </c>
      <c r="BT52">
        <f>BS52+Original!BT52</f>
        <v>135</v>
      </c>
      <c r="BU52">
        <f>BT52+Original!BU52</f>
        <v>135</v>
      </c>
      <c r="BV52">
        <f>BU52+Original!BV52</f>
        <v>135</v>
      </c>
      <c r="BW52">
        <f>BV52+Original!BW52</f>
        <v>135</v>
      </c>
    </row>
    <row r="53" spans="1:75" x14ac:dyDescent="0.25">
      <c r="A53" t="str">
        <f>Original!A53</f>
        <v>Marcio Borges 2</v>
      </c>
      <c r="B53">
        <f>Original!B53</f>
        <v>135</v>
      </c>
      <c r="C53">
        <f>Original!C53</f>
        <v>8</v>
      </c>
      <c r="D53">
        <f>C53+Original!D53</f>
        <v>14</v>
      </c>
      <c r="E53">
        <f>D53+Original!E53</f>
        <v>22</v>
      </c>
      <c r="F53">
        <f>E53+Original!F53</f>
        <v>22</v>
      </c>
      <c r="G53">
        <f>F53+Original!G53</f>
        <v>22</v>
      </c>
      <c r="H53">
        <f>G53+Original!H53</f>
        <v>22</v>
      </c>
      <c r="I53">
        <f>H53+Original!I53</f>
        <v>22</v>
      </c>
      <c r="J53">
        <f>I53+Original!J53</f>
        <v>30</v>
      </c>
      <c r="K53">
        <f>J53+Original!K53</f>
        <v>30</v>
      </c>
      <c r="L53">
        <f>K53+Original!L53</f>
        <v>30</v>
      </c>
      <c r="M53">
        <f>L53+Original!M53</f>
        <v>36</v>
      </c>
      <c r="N53">
        <f>M53+Original!N53</f>
        <v>42</v>
      </c>
      <c r="O53">
        <f>N53+Original!O53</f>
        <v>55</v>
      </c>
      <c r="P53">
        <f>O53+Original!P53</f>
        <v>57</v>
      </c>
      <c r="Q53">
        <f>P53+Original!Q53</f>
        <v>63</v>
      </c>
      <c r="R53">
        <f>Q53+Original!R53</f>
        <v>76</v>
      </c>
      <c r="S53">
        <f>R53+Original!S53</f>
        <v>83</v>
      </c>
      <c r="T53">
        <f>S53+Original!T53</f>
        <v>83</v>
      </c>
      <c r="U53">
        <f>T53+Original!U53</f>
        <v>96</v>
      </c>
      <c r="V53">
        <f>U53+Original!V53</f>
        <v>96</v>
      </c>
      <c r="W53">
        <f>V53+Original!W53</f>
        <v>96</v>
      </c>
      <c r="X53">
        <f>W53+Original!X53</f>
        <v>96</v>
      </c>
      <c r="Y53">
        <f>X53+Original!Y53</f>
        <v>109</v>
      </c>
      <c r="Z53">
        <f>Y53+Original!Z53</f>
        <v>115</v>
      </c>
      <c r="AA53">
        <f>Z53+Original!AA53</f>
        <v>123</v>
      </c>
      <c r="AB53">
        <f>AA53+Original!AB53</f>
        <v>123</v>
      </c>
      <c r="AC53">
        <f>AB53+Original!AC53</f>
        <v>125</v>
      </c>
      <c r="AD53">
        <f>AC53+Original!AD53</f>
        <v>133</v>
      </c>
      <c r="AE53">
        <f>AD53+Original!AE53</f>
        <v>135</v>
      </c>
      <c r="AF53">
        <f>AE53+Original!AF53</f>
        <v>135</v>
      </c>
      <c r="AG53">
        <f>AF53+Original!AG53</f>
        <v>135</v>
      </c>
      <c r="AH53">
        <f>AG53+Original!AH53</f>
        <v>135</v>
      </c>
      <c r="AI53">
        <f>AH53+Original!AI53</f>
        <v>135</v>
      </c>
      <c r="AJ53">
        <f>AI53+Original!AJ53</f>
        <v>135</v>
      </c>
      <c r="AK53">
        <f>AJ53+Original!AK53</f>
        <v>135</v>
      </c>
      <c r="AL53">
        <f>AK53+Original!AL53</f>
        <v>135</v>
      </c>
      <c r="AM53">
        <f>AL53+Original!AM53</f>
        <v>135</v>
      </c>
      <c r="AN53">
        <f>AM53+Original!AN53</f>
        <v>135</v>
      </c>
      <c r="AO53">
        <f>AN53+Original!AO53</f>
        <v>135</v>
      </c>
      <c r="AP53">
        <f>AO53+Original!AP53</f>
        <v>135</v>
      </c>
      <c r="AQ53">
        <f>AP53+Original!AQ53</f>
        <v>135</v>
      </c>
      <c r="AR53">
        <f>AQ53+Original!AR53</f>
        <v>135</v>
      </c>
      <c r="AS53">
        <f>AR53+Original!AS53</f>
        <v>135</v>
      </c>
      <c r="AT53">
        <f>AS53+Original!AT53</f>
        <v>135</v>
      </c>
      <c r="AU53">
        <f>AT53+Original!AU53</f>
        <v>135</v>
      </c>
      <c r="AV53">
        <f>AU53+Original!AV53</f>
        <v>135</v>
      </c>
      <c r="AW53">
        <f>AV53+Original!AW53</f>
        <v>135</v>
      </c>
      <c r="AX53">
        <f>AW53+Original!AX53</f>
        <v>135</v>
      </c>
      <c r="AY53">
        <f>AX53+Original!AY53</f>
        <v>135</v>
      </c>
      <c r="AZ53">
        <f>AY53+Original!AZ53</f>
        <v>135</v>
      </c>
      <c r="BA53">
        <f>AZ53+Original!BA53</f>
        <v>135</v>
      </c>
      <c r="BB53">
        <f>BA53+Original!BB53</f>
        <v>135</v>
      </c>
      <c r="BC53">
        <f>BB53+Original!BC53</f>
        <v>135</v>
      </c>
      <c r="BD53">
        <f>BC53+Original!BD53</f>
        <v>135</v>
      </c>
      <c r="BE53">
        <f>BD53+Original!BE53</f>
        <v>135</v>
      </c>
      <c r="BF53">
        <f>BE53+Original!BF53</f>
        <v>135</v>
      </c>
      <c r="BG53">
        <f>BF53+Original!BG53</f>
        <v>135</v>
      </c>
      <c r="BH53">
        <f>BG53+Original!BH53</f>
        <v>135</v>
      </c>
      <c r="BI53">
        <f>BH53+Original!BI53</f>
        <v>135</v>
      </c>
      <c r="BJ53">
        <f>BI53+Original!BJ53</f>
        <v>135</v>
      </c>
      <c r="BK53">
        <f>BJ53+Original!BK53</f>
        <v>135</v>
      </c>
      <c r="BL53">
        <f>BK53+Original!BL53</f>
        <v>135</v>
      </c>
      <c r="BM53">
        <f>BL53+Original!BM53</f>
        <v>135</v>
      </c>
      <c r="BN53">
        <f>BM53+Original!BN53</f>
        <v>135</v>
      </c>
      <c r="BO53">
        <f>BN53+Original!BO53</f>
        <v>135</v>
      </c>
      <c r="BP53">
        <f>BO53+Original!BP53</f>
        <v>135</v>
      </c>
      <c r="BQ53">
        <f>BP53+Original!BQ53</f>
        <v>135</v>
      </c>
      <c r="BR53">
        <f>BQ53+Original!BR53</f>
        <v>135</v>
      </c>
      <c r="BS53">
        <f>BR53+Original!BS53</f>
        <v>135</v>
      </c>
      <c r="BT53">
        <f>BS53+Original!BT53</f>
        <v>135</v>
      </c>
      <c r="BU53">
        <f>BT53+Original!BU53</f>
        <v>135</v>
      </c>
      <c r="BV53">
        <f>BU53+Original!BV53</f>
        <v>135</v>
      </c>
      <c r="BW53">
        <f>BV53+Original!BW53</f>
        <v>135</v>
      </c>
    </row>
    <row r="54" spans="1:75" x14ac:dyDescent="0.25">
      <c r="A54" t="str">
        <f>Original!A54</f>
        <v>Augusto Alves</v>
      </c>
      <c r="B54">
        <f>Original!B54</f>
        <v>134</v>
      </c>
      <c r="C54">
        <f>Original!C54</f>
        <v>0</v>
      </c>
      <c r="D54">
        <f>C54+Original!D54</f>
        <v>6</v>
      </c>
      <c r="E54">
        <f>D54+Original!E54</f>
        <v>19</v>
      </c>
      <c r="F54">
        <f>E54+Original!F54</f>
        <v>25</v>
      </c>
      <c r="G54">
        <f>F54+Original!G54</f>
        <v>25</v>
      </c>
      <c r="H54">
        <f>G54+Original!H54</f>
        <v>27</v>
      </c>
      <c r="I54">
        <f>H54+Original!I54</f>
        <v>33</v>
      </c>
      <c r="J54">
        <f>I54+Original!J54</f>
        <v>39</v>
      </c>
      <c r="K54">
        <f>J54+Original!K54</f>
        <v>45</v>
      </c>
      <c r="L54">
        <f>K54+Original!L54</f>
        <v>45</v>
      </c>
      <c r="M54">
        <f>L54+Original!M54</f>
        <v>53</v>
      </c>
      <c r="N54">
        <f>M54+Original!N54</f>
        <v>61</v>
      </c>
      <c r="O54">
        <f>N54+Original!O54</f>
        <v>74</v>
      </c>
      <c r="P54">
        <f>O54+Original!P54</f>
        <v>76</v>
      </c>
      <c r="Q54">
        <f>P54+Original!Q54</f>
        <v>82</v>
      </c>
      <c r="R54">
        <f>Q54+Original!R54</f>
        <v>95</v>
      </c>
      <c r="S54">
        <f>R54+Original!S54</f>
        <v>95</v>
      </c>
      <c r="T54">
        <f>S54+Original!T54</f>
        <v>95</v>
      </c>
      <c r="U54">
        <f>T54+Original!U54</f>
        <v>101</v>
      </c>
      <c r="V54">
        <f>U54+Original!V54</f>
        <v>101</v>
      </c>
      <c r="W54">
        <f>V54+Original!W54</f>
        <v>103</v>
      </c>
      <c r="X54">
        <f>W54+Original!X54</f>
        <v>103</v>
      </c>
      <c r="Y54">
        <f>X54+Original!Y54</f>
        <v>116</v>
      </c>
      <c r="Z54">
        <f>Y54+Original!Z54</f>
        <v>118</v>
      </c>
      <c r="AA54">
        <f>Z54+Original!AA54</f>
        <v>126</v>
      </c>
      <c r="AB54">
        <f>AA54+Original!AB54</f>
        <v>126</v>
      </c>
      <c r="AC54">
        <f>AB54+Original!AC54</f>
        <v>126</v>
      </c>
      <c r="AD54">
        <f>AC54+Original!AD54</f>
        <v>132</v>
      </c>
      <c r="AE54">
        <f>AD54+Original!AE54</f>
        <v>134</v>
      </c>
      <c r="AF54">
        <f>AE54+Original!AF54</f>
        <v>134</v>
      </c>
      <c r="AG54">
        <f>AF54+Original!AG54</f>
        <v>134</v>
      </c>
      <c r="AH54">
        <f>AG54+Original!AH54</f>
        <v>134</v>
      </c>
      <c r="AI54">
        <f>AH54+Original!AI54</f>
        <v>134</v>
      </c>
      <c r="AJ54">
        <f>AI54+Original!AJ54</f>
        <v>134</v>
      </c>
      <c r="AK54">
        <f>AJ54+Original!AK54</f>
        <v>134</v>
      </c>
      <c r="AL54">
        <f>AK54+Original!AL54</f>
        <v>134</v>
      </c>
      <c r="AM54">
        <f>AL54+Original!AM54</f>
        <v>134</v>
      </c>
      <c r="AN54">
        <f>AM54+Original!AN54</f>
        <v>134</v>
      </c>
      <c r="AO54">
        <f>AN54+Original!AO54</f>
        <v>134</v>
      </c>
      <c r="AP54">
        <f>AO54+Original!AP54</f>
        <v>134</v>
      </c>
      <c r="AQ54">
        <f>AP54+Original!AQ54</f>
        <v>134</v>
      </c>
      <c r="AR54">
        <f>AQ54+Original!AR54</f>
        <v>134</v>
      </c>
      <c r="AS54">
        <f>AR54+Original!AS54</f>
        <v>134</v>
      </c>
      <c r="AT54">
        <f>AS54+Original!AT54</f>
        <v>134</v>
      </c>
      <c r="AU54">
        <f>AT54+Original!AU54</f>
        <v>134</v>
      </c>
      <c r="AV54">
        <f>AU54+Original!AV54</f>
        <v>134</v>
      </c>
      <c r="AW54">
        <f>AV54+Original!AW54</f>
        <v>134</v>
      </c>
      <c r="AX54">
        <f>AW54+Original!AX54</f>
        <v>134</v>
      </c>
      <c r="AY54">
        <f>AX54+Original!AY54</f>
        <v>134</v>
      </c>
      <c r="AZ54">
        <f>AY54+Original!AZ54</f>
        <v>134</v>
      </c>
      <c r="BA54">
        <f>AZ54+Original!BA54</f>
        <v>134</v>
      </c>
      <c r="BB54">
        <f>BA54+Original!BB54</f>
        <v>134</v>
      </c>
      <c r="BC54">
        <f>BB54+Original!BC54</f>
        <v>134</v>
      </c>
      <c r="BD54">
        <f>BC54+Original!BD54</f>
        <v>134</v>
      </c>
      <c r="BE54">
        <f>BD54+Original!BE54</f>
        <v>134</v>
      </c>
      <c r="BF54">
        <f>BE54+Original!BF54</f>
        <v>134</v>
      </c>
      <c r="BG54">
        <f>BF54+Original!BG54</f>
        <v>134</v>
      </c>
      <c r="BH54">
        <f>BG54+Original!BH54</f>
        <v>134</v>
      </c>
      <c r="BI54">
        <f>BH54+Original!BI54</f>
        <v>134</v>
      </c>
      <c r="BJ54">
        <f>BI54+Original!BJ54</f>
        <v>134</v>
      </c>
      <c r="BK54">
        <f>BJ54+Original!BK54</f>
        <v>134</v>
      </c>
      <c r="BL54">
        <f>BK54+Original!BL54</f>
        <v>134</v>
      </c>
      <c r="BM54">
        <f>BL54+Original!BM54</f>
        <v>134</v>
      </c>
      <c r="BN54">
        <f>BM54+Original!BN54</f>
        <v>134</v>
      </c>
      <c r="BO54">
        <f>BN54+Original!BO54</f>
        <v>134</v>
      </c>
      <c r="BP54">
        <f>BO54+Original!BP54</f>
        <v>134</v>
      </c>
      <c r="BQ54">
        <f>BP54+Original!BQ54</f>
        <v>134</v>
      </c>
      <c r="BR54">
        <f>BQ54+Original!BR54</f>
        <v>134</v>
      </c>
      <c r="BS54">
        <f>BR54+Original!BS54</f>
        <v>134</v>
      </c>
      <c r="BT54">
        <f>BS54+Original!BT54</f>
        <v>134</v>
      </c>
      <c r="BU54">
        <f>BT54+Original!BU54</f>
        <v>134</v>
      </c>
      <c r="BV54">
        <f>BU54+Original!BV54</f>
        <v>134</v>
      </c>
      <c r="BW54">
        <f>BV54+Original!BW54</f>
        <v>134</v>
      </c>
    </row>
    <row r="55" spans="1:75" x14ac:dyDescent="0.25">
      <c r="A55" t="str">
        <f>Original!A55</f>
        <v>Luiz Fernando 2</v>
      </c>
      <c r="B55">
        <f>Original!B55</f>
        <v>134</v>
      </c>
      <c r="C55">
        <f>Original!C55</f>
        <v>2</v>
      </c>
      <c r="D55">
        <f>C55+Original!D55</f>
        <v>8</v>
      </c>
      <c r="E55">
        <f>D55+Original!E55</f>
        <v>16</v>
      </c>
      <c r="F55">
        <f>E55+Original!F55</f>
        <v>29</v>
      </c>
      <c r="G55">
        <f>F55+Original!G55</f>
        <v>29</v>
      </c>
      <c r="H55">
        <f>G55+Original!H55</f>
        <v>31</v>
      </c>
      <c r="I55">
        <f>H55+Original!I55</f>
        <v>33</v>
      </c>
      <c r="J55">
        <f>I55+Original!J55</f>
        <v>39</v>
      </c>
      <c r="K55">
        <f>J55+Original!K55</f>
        <v>41</v>
      </c>
      <c r="L55">
        <f>K55+Original!L55</f>
        <v>41</v>
      </c>
      <c r="M55">
        <f>L55+Original!M55</f>
        <v>49</v>
      </c>
      <c r="N55">
        <f>M55+Original!N55</f>
        <v>57</v>
      </c>
      <c r="O55">
        <f>N55+Original!O55</f>
        <v>65</v>
      </c>
      <c r="P55">
        <f>O55+Original!P55</f>
        <v>67</v>
      </c>
      <c r="Q55">
        <f>P55+Original!Q55</f>
        <v>75</v>
      </c>
      <c r="R55">
        <f>Q55+Original!R55</f>
        <v>88</v>
      </c>
      <c r="S55">
        <f>R55+Original!S55</f>
        <v>88</v>
      </c>
      <c r="T55">
        <f>S55+Original!T55</f>
        <v>88</v>
      </c>
      <c r="U55">
        <f>T55+Original!U55</f>
        <v>90</v>
      </c>
      <c r="V55">
        <f>U55+Original!V55</f>
        <v>103</v>
      </c>
      <c r="W55">
        <f>V55+Original!W55</f>
        <v>103</v>
      </c>
      <c r="X55">
        <f>W55+Original!X55</f>
        <v>103</v>
      </c>
      <c r="Y55">
        <f>X55+Original!Y55</f>
        <v>111</v>
      </c>
      <c r="Z55">
        <f>Y55+Original!Z55</f>
        <v>113</v>
      </c>
      <c r="AA55">
        <f>Z55+Original!AA55</f>
        <v>126</v>
      </c>
      <c r="AB55">
        <f>AA55+Original!AB55</f>
        <v>128</v>
      </c>
      <c r="AC55">
        <f>AB55+Original!AC55</f>
        <v>128</v>
      </c>
      <c r="AD55">
        <f>AC55+Original!AD55</f>
        <v>128</v>
      </c>
      <c r="AE55">
        <f>AD55+Original!AE55</f>
        <v>134</v>
      </c>
      <c r="AF55">
        <f>AE55+Original!AF55</f>
        <v>134</v>
      </c>
      <c r="AG55">
        <f>AF55+Original!AG55</f>
        <v>134</v>
      </c>
      <c r="AH55">
        <f>AG55+Original!AH55</f>
        <v>134</v>
      </c>
      <c r="AI55">
        <f>AH55+Original!AI55</f>
        <v>134</v>
      </c>
      <c r="AJ55">
        <f>AI55+Original!AJ55</f>
        <v>134</v>
      </c>
      <c r="AK55">
        <f>AJ55+Original!AK55</f>
        <v>134</v>
      </c>
      <c r="AL55">
        <f>AK55+Original!AL55</f>
        <v>134</v>
      </c>
      <c r="AM55">
        <f>AL55+Original!AM55</f>
        <v>134</v>
      </c>
      <c r="AN55">
        <f>AM55+Original!AN55</f>
        <v>134</v>
      </c>
      <c r="AO55">
        <f>AN55+Original!AO55</f>
        <v>134</v>
      </c>
      <c r="AP55">
        <f>AO55+Original!AP55</f>
        <v>134</v>
      </c>
      <c r="AQ55">
        <f>AP55+Original!AQ55</f>
        <v>134</v>
      </c>
      <c r="AR55">
        <f>AQ55+Original!AR55</f>
        <v>134</v>
      </c>
      <c r="AS55">
        <f>AR55+Original!AS55</f>
        <v>134</v>
      </c>
      <c r="AT55">
        <f>AS55+Original!AT55</f>
        <v>134</v>
      </c>
      <c r="AU55">
        <f>AT55+Original!AU55</f>
        <v>134</v>
      </c>
      <c r="AV55">
        <f>AU55+Original!AV55</f>
        <v>134</v>
      </c>
      <c r="AW55">
        <f>AV55+Original!AW55</f>
        <v>134</v>
      </c>
      <c r="AX55">
        <f>AW55+Original!AX55</f>
        <v>134</v>
      </c>
      <c r="AY55">
        <f>AX55+Original!AY55</f>
        <v>134</v>
      </c>
      <c r="AZ55">
        <f>AY55+Original!AZ55</f>
        <v>134</v>
      </c>
      <c r="BA55">
        <f>AZ55+Original!BA55</f>
        <v>134</v>
      </c>
      <c r="BB55">
        <f>BA55+Original!BB55</f>
        <v>134</v>
      </c>
      <c r="BC55">
        <f>BB55+Original!BC55</f>
        <v>134</v>
      </c>
      <c r="BD55">
        <f>BC55+Original!BD55</f>
        <v>134</v>
      </c>
      <c r="BE55">
        <f>BD55+Original!BE55</f>
        <v>134</v>
      </c>
      <c r="BF55">
        <f>BE55+Original!BF55</f>
        <v>134</v>
      </c>
      <c r="BG55">
        <f>BF55+Original!BG55</f>
        <v>134</v>
      </c>
      <c r="BH55">
        <f>BG55+Original!BH55</f>
        <v>134</v>
      </c>
      <c r="BI55">
        <f>BH55+Original!BI55</f>
        <v>134</v>
      </c>
      <c r="BJ55">
        <f>BI55+Original!BJ55</f>
        <v>134</v>
      </c>
      <c r="BK55">
        <f>BJ55+Original!BK55</f>
        <v>134</v>
      </c>
      <c r="BL55">
        <f>BK55+Original!BL55</f>
        <v>134</v>
      </c>
      <c r="BM55">
        <f>BL55+Original!BM55</f>
        <v>134</v>
      </c>
      <c r="BN55">
        <f>BM55+Original!BN55</f>
        <v>134</v>
      </c>
      <c r="BO55">
        <f>BN55+Original!BO55</f>
        <v>134</v>
      </c>
      <c r="BP55">
        <f>BO55+Original!BP55</f>
        <v>134</v>
      </c>
      <c r="BQ55">
        <f>BP55+Original!BQ55</f>
        <v>134</v>
      </c>
      <c r="BR55">
        <f>BQ55+Original!BR55</f>
        <v>134</v>
      </c>
      <c r="BS55">
        <f>BR55+Original!BS55</f>
        <v>134</v>
      </c>
      <c r="BT55">
        <f>BS55+Original!BT55</f>
        <v>134</v>
      </c>
      <c r="BU55">
        <f>BT55+Original!BU55</f>
        <v>134</v>
      </c>
      <c r="BV55">
        <f>BU55+Original!BV55</f>
        <v>134</v>
      </c>
      <c r="BW55">
        <f>BV55+Original!BW55</f>
        <v>134</v>
      </c>
    </row>
    <row r="56" spans="1:75" x14ac:dyDescent="0.25">
      <c r="A56" t="str">
        <f>Original!A56</f>
        <v>Murilo Bittencourt</v>
      </c>
      <c r="B56">
        <f>Original!B56</f>
        <v>134</v>
      </c>
      <c r="C56">
        <f>Original!C56</f>
        <v>0</v>
      </c>
      <c r="D56">
        <f>C56+Original!D56</f>
        <v>6</v>
      </c>
      <c r="E56">
        <f>D56+Original!E56</f>
        <v>19</v>
      </c>
      <c r="F56">
        <f>E56+Original!F56</f>
        <v>32</v>
      </c>
      <c r="G56">
        <f>F56+Original!G56</f>
        <v>32</v>
      </c>
      <c r="H56">
        <f>G56+Original!H56</f>
        <v>34</v>
      </c>
      <c r="I56">
        <f>H56+Original!I56</f>
        <v>34</v>
      </c>
      <c r="J56">
        <f>I56+Original!J56</f>
        <v>40</v>
      </c>
      <c r="K56">
        <f>J56+Original!K56</f>
        <v>42</v>
      </c>
      <c r="L56">
        <f>K56+Original!L56</f>
        <v>42</v>
      </c>
      <c r="M56">
        <f>L56+Original!M56</f>
        <v>50</v>
      </c>
      <c r="N56">
        <f>M56+Original!N56</f>
        <v>56</v>
      </c>
      <c r="O56">
        <f>N56+Original!O56</f>
        <v>58</v>
      </c>
      <c r="P56">
        <f>O56+Original!P56</f>
        <v>58</v>
      </c>
      <c r="Q56">
        <f>P56+Original!Q56</f>
        <v>64</v>
      </c>
      <c r="R56">
        <f>Q56+Original!R56</f>
        <v>72</v>
      </c>
      <c r="S56">
        <f>R56+Original!S56</f>
        <v>72</v>
      </c>
      <c r="T56">
        <f>S56+Original!T56</f>
        <v>72</v>
      </c>
      <c r="U56">
        <f>T56+Original!U56</f>
        <v>78</v>
      </c>
      <c r="V56">
        <f>U56+Original!V56</f>
        <v>78</v>
      </c>
      <c r="W56">
        <f>V56+Original!W56</f>
        <v>78</v>
      </c>
      <c r="X56">
        <f>W56+Original!X56</f>
        <v>91</v>
      </c>
      <c r="Y56">
        <f>X56+Original!Y56</f>
        <v>99</v>
      </c>
      <c r="Z56">
        <f>Y56+Original!Z56</f>
        <v>105</v>
      </c>
      <c r="AA56">
        <f>Z56+Original!AA56</f>
        <v>113</v>
      </c>
      <c r="AB56">
        <f>AA56+Original!AB56</f>
        <v>115</v>
      </c>
      <c r="AC56">
        <f>AB56+Original!AC56</f>
        <v>115</v>
      </c>
      <c r="AD56">
        <f>AC56+Original!AD56</f>
        <v>121</v>
      </c>
      <c r="AE56">
        <f>AD56+Original!AE56</f>
        <v>134</v>
      </c>
      <c r="AF56">
        <f>AE56+Original!AF56</f>
        <v>134</v>
      </c>
      <c r="AG56">
        <f>AF56+Original!AG56</f>
        <v>134</v>
      </c>
      <c r="AH56">
        <f>AG56+Original!AH56</f>
        <v>134</v>
      </c>
      <c r="AI56">
        <f>AH56+Original!AI56</f>
        <v>134</v>
      </c>
      <c r="AJ56">
        <f>AI56+Original!AJ56</f>
        <v>134</v>
      </c>
      <c r="AK56">
        <f>AJ56+Original!AK56</f>
        <v>134</v>
      </c>
      <c r="AL56">
        <f>AK56+Original!AL56</f>
        <v>134</v>
      </c>
      <c r="AM56">
        <f>AL56+Original!AM56</f>
        <v>134</v>
      </c>
      <c r="AN56">
        <f>AM56+Original!AN56</f>
        <v>134</v>
      </c>
      <c r="AO56">
        <f>AN56+Original!AO56</f>
        <v>134</v>
      </c>
      <c r="AP56">
        <f>AO56+Original!AP56</f>
        <v>134</v>
      </c>
      <c r="AQ56">
        <f>AP56+Original!AQ56</f>
        <v>134</v>
      </c>
      <c r="AR56">
        <f>AQ56+Original!AR56</f>
        <v>134</v>
      </c>
      <c r="AS56">
        <f>AR56+Original!AS56</f>
        <v>134</v>
      </c>
      <c r="AT56">
        <f>AS56+Original!AT56</f>
        <v>134</v>
      </c>
      <c r="AU56">
        <f>AT56+Original!AU56</f>
        <v>134</v>
      </c>
      <c r="AV56">
        <f>AU56+Original!AV56</f>
        <v>134</v>
      </c>
      <c r="AW56">
        <f>AV56+Original!AW56</f>
        <v>134</v>
      </c>
      <c r="AX56">
        <f>AW56+Original!AX56</f>
        <v>134</v>
      </c>
      <c r="AY56">
        <f>AX56+Original!AY56</f>
        <v>134</v>
      </c>
      <c r="AZ56">
        <f>AY56+Original!AZ56</f>
        <v>134</v>
      </c>
      <c r="BA56">
        <f>AZ56+Original!BA56</f>
        <v>134</v>
      </c>
      <c r="BB56">
        <f>BA56+Original!BB56</f>
        <v>134</v>
      </c>
      <c r="BC56">
        <f>BB56+Original!BC56</f>
        <v>134</v>
      </c>
      <c r="BD56">
        <f>BC56+Original!BD56</f>
        <v>134</v>
      </c>
      <c r="BE56">
        <f>BD56+Original!BE56</f>
        <v>134</v>
      </c>
      <c r="BF56">
        <f>BE56+Original!BF56</f>
        <v>134</v>
      </c>
      <c r="BG56">
        <f>BF56+Original!BG56</f>
        <v>134</v>
      </c>
      <c r="BH56">
        <f>BG56+Original!BH56</f>
        <v>134</v>
      </c>
      <c r="BI56">
        <f>BH56+Original!BI56</f>
        <v>134</v>
      </c>
      <c r="BJ56">
        <f>BI56+Original!BJ56</f>
        <v>134</v>
      </c>
      <c r="BK56">
        <f>BJ56+Original!BK56</f>
        <v>134</v>
      </c>
      <c r="BL56">
        <f>BK56+Original!BL56</f>
        <v>134</v>
      </c>
      <c r="BM56">
        <f>BL56+Original!BM56</f>
        <v>134</v>
      </c>
      <c r="BN56">
        <f>BM56+Original!BN56</f>
        <v>134</v>
      </c>
      <c r="BO56">
        <f>BN56+Original!BO56</f>
        <v>134</v>
      </c>
      <c r="BP56">
        <f>BO56+Original!BP56</f>
        <v>134</v>
      </c>
      <c r="BQ56">
        <f>BP56+Original!BQ56</f>
        <v>134</v>
      </c>
      <c r="BR56">
        <f>BQ56+Original!BR56</f>
        <v>134</v>
      </c>
      <c r="BS56">
        <f>BR56+Original!BS56</f>
        <v>134</v>
      </c>
      <c r="BT56">
        <f>BS56+Original!BT56</f>
        <v>134</v>
      </c>
      <c r="BU56">
        <f>BT56+Original!BU56</f>
        <v>134</v>
      </c>
      <c r="BV56">
        <f>BU56+Original!BV56</f>
        <v>134</v>
      </c>
      <c r="BW56">
        <f>BV56+Original!BW56</f>
        <v>134</v>
      </c>
    </row>
    <row r="57" spans="1:75" x14ac:dyDescent="0.25">
      <c r="A57" t="str">
        <f>Original!A57</f>
        <v>Antonio Silvestre</v>
      </c>
      <c r="B57">
        <f>Original!B57</f>
        <v>133</v>
      </c>
      <c r="C57">
        <f>Original!C57</f>
        <v>0</v>
      </c>
      <c r="D57">
        <f>C57+Original!D57</f>
        <v>6</v>
      </c>
      <c r="E57">
        <f>D57+Original!E57</f>
        <v>19</v>
      </c>
      <c r="F57">
        <f>E57+Original!F57</f>
        <v>21</v>
      </c>
      <c r="G57">
        <f>F57+Original!G57</f>
        <v>23</v>
      </c>
      <c r="H57">
        <f>G57+Original!H57</f>
        <v>25</v>
      </c>
      <c r="I57">
        <f>H57+Original!I57</f>
        <v>27</v>
      </c>
      <c r="J57">
        <f>I57+Original!J57</f>
        <v>33</v>
      </c>
      <c r="K57">
        <f>J57+Original!K57</f>
        <v>35</v>
      </c>
      <c r="L57">
        <f>K57+Original!L57</f>
        <v>37</v>
      </c>
      <c r="M57">
        <f>L57+Original!M57</f>
        <v>45</v>
      </c>
      <c r="N57">
        <f>M57+Original!N57</f>
        <v>58</v>
      </c>
      <c r="O57">
        <f>N57+Original!O57</f>
        <v>66</v>
      </c>
      <c r="P57">
        <f>O57+Original!P57</f>
        <v>66</v>
      </c>
      <c r="Q57">
        <f>P57+Original!Q57</f>
        <v>72</v>
      </c>
      <c r="R57">
        <f>Q57+Original!R57</f>
        <v>78</v>
      </c>
      <c r="S57">
        <f>R57+Original!S57</f>
        <v>85</v>
      </c>
      <c r="T57">
        <f>S57+Original!T57</f>
        <v>93</v>
      </c>
      <c r="U57">
        <f>T57+Original!U57</f>
        <v>93</v>
      </c>
      <c r="V57">
        <f>U57+Original!V57</f>
        <v>93</v>
      </c>
      <c r="W57">
        <f>V57+Original!W57</f>
        <v>95</v>
      </c>
      <c r="X57">
        <f>W57+Original!X57</f>
        <v>97</v>
      </c>
      <c r="Y57">
        <f>X57+Original!Y57</f>
        <v>97</v>
      </c>
      <c r="Z57">
        <f>Y57+Original!Z57</f>
        <v>110</v>
      </c>
      <c r="AA57">
        <f>Z57+Original!AA57</f>
        <v>123</v>
      </c>
      <c r="AB57">
        <f>AA57+Original!AB57</f>
        <v>125</v>
      </c>
      <c r="AC57">
        <f>AB57+Original!AC57</f>
        <v>125</v>
      </c>
      <c r="AD57">
        <f>AC57+Original!AD57</f>
        <v>133</v>
      </c>
      <c r="AE57">
        <f>AD57+Original!AE57</f>
        <v>133</v>
      </c>
      <c r="AF57">
        <f>AE57+Original!AF57</f>
        <v>133</v>
      </c>
      <c r="AG57">
        <f>AF57+Original!AG57</f>
        <v>133</v>
      </c>
      <c r="AH57">
        <f>AG57+Original!AH57</f>
        <v>133</v>
      </c>
      <c r="AI57">
        <f>AH57+Original!AI57</f>
        <v>133</v>
      </c>
      <c r="AJ57">
        <f>AI57+Original!AJ57</f>
        <v>133</v>
      </c>
      <c r="AK57">
        <f>AJ57+Original!AK57</f>
        <v>133</v>
      </c>
      <c r="AL57">
        <f>AK57+Original!AL57</f>
        <v>133</v>
      </c>
      <c r="AM57">
        <f>AL57+Original!AM57</f>
        <v>133</v>
      </c>
      <c r="AN57">
        <f>AM57+Original!AN57</f>
        <v>133</v>
      </c>
      <c r="AO57">
        <f>AN57+Original!AO57</f>
        <v>133</v>
      </c>
      <c r="AP57">
        <f>AO57+Original!AP57</f>
        <v>133</v>
      </c>
      <c r="AQ57">
        <f>AP57+Original!AQ57</f>
        <v>133</v>
      </c>
      <c r="AR57">
        <f>AQ57+Original!AR57</f>
        <v>133</v>
      </c>
      <c r="AS57">
        <f>AR57+Original!AS57</f>
        <v>133</v>
      </c>
      <c r="AT57">
        <f>AS57+Original!AT57</f>
        <v>133</v>
      </c>
      <c r="AU57">
        <f>AT57+Original!AU57</f>
        <v>133</v>
      </c>
      <c r="AV57">
        <f>AU57+Original!AV57</f>
        <v>133</v>
      </c>
      <c r="AW57">
        <f>AV57+Original!AW57</f>
        <v>133</v>
      </c>
      <c r="AX57">
        <f>AW57+Original!AX57</f>
        <v>133</v>
      </c>
      <c r="AY57">
        <f>AX57+Original!AY57</f>
        <v>133</v>
      </c>
      <c r="AZ57">
        <f>AY57+Original!AZ57</f>
        <v>133</v>
      </c>
      <c r="BA57">
        <f>AZ57+Original!BA57</f>
        <v>133</v>
      </c>
      <c r="BB57">
        <f>BA57+Original!BB57</f>
        <v>133</v>
      </c>
      <c r="BC57">
        <f>BB57+Original!BC57</f>
        <v>133</v>
      </c>
      <c r="BD57">
        <f>BC57+Original!BD57</f>
        <v>133</v>
      </c>
      <c r="BE57">
        <f>BD57+Original!BE57</f>
        <v>133</v>
      </c>
      <c r="BF57">
        <f>BE57+Original!BF57</f>
        <v>133</v>
      </c>
      <c r="BG57">
        <f>BF57+Original!BG57</f>
        <v>133</v>
      </c>
      <c r="BH57">
        <f>BG57+Original!BH57</f>
        <v>133</v>
      </c>
      <c r="BI57">
        <f>BH57+Original!BI57</f>
        <v>133</v>
      </c>
      <c r="BJ57">
        <f>BI57+Original!BJ57</f>
        <v>133</v>
      </c>
      <c r="BK57">
        <f>BJ57+Original!BK57</f>
        <v>133</v>
      </c>
      <c r="BL57">
        <f>BK57+Original!BL57</f>
        <v>133</v>
      </c>
      <c r="BM57">
        <f>BL57+Original!BM57</f>
        <v>133</v>
      </c>
      <c r="BN57">
        <f>BM57+Original!BN57</f>
        <v>133</v>
      </c>
      <c r="BO57">
        <f>BN57+Original!BO57</f>
        <v>133</v>
      </c>
      <c r="BP57">
        <f>BO57+Original!BP57</f>
        <v>133</v>
      </c>
      <c r="BQ57">
        <f>BP57+Original!BQ57</f>
        <v>133</v>
      </c>
      <c r="BR57">
        <f>BQ57+Original!BR57</f>
        <v>133</v>
      </c>
      <c r="BS57">
        <f>BR57+Original!BS57</f>
        <v>133</v>
      </c>
      <c r="BT57">
        <f>BS57+Original!BT57</f>
        <v>133</v>
      </c>
      <c r="BU57">
        <f>BT57+Original!BU57</f>
        <v>133</v>
      </c>
      <c r="BV57">
        <f>BU57+Original!BV57</f>
        <v>133</v>
      </c>
      <c r="BW57">
        <f>BV57+Original!BW57</f>
        <v>133</v>
      </c>
    </row>
    <row r="58" spans="1:75" x14ac:dyDescent="0.25">
      <c r="A58" t="str">
        <f>Original!A58</f>
        <v>Carlos Alberto Suffredini</v>
      </c>
      <c r="B58">
        <f>Original!B58</f>
        <v>133</v>
      </c>
      <c r="C58">
        <f>Original!C58</f>
        <v>13</v>
      </c>
      <c r="D58">
        <f>C58+Original!D58</f>
        <v>19</v>
      </c>
      <c r="E58">
        <f>D58+Original!E58</f>
        <v>19</v>
      </c>
      <c r="F58">
        <f>E58+Original!F58</f>
        <v>21</v>
      </c>
      <c r="G58">
        <f>F58+Original!G58</f>
        <v>21</v>
      </c>
      <c r="H58">
        <f>G58+Original!H58</f>
        <v>23</v>
      </c>
      <c r="I58">
        <f>H58+Original!I58</f>
        <v>25</v>
      </c>
      <c r="J58">
        <f>I58+Original!J58</f>
        <v>31</v>
      </c>
      <c r="K58">
        <f>J58+Original!K58</f>
        <v>37</v>
      </c>
      <c r="L58">
        <f>K58+Original!L58</f>
        <v>37</v>
      </c>
      <c r="M58">
        <f>L58+Original!M58</f>
        <v>45</v>
      </c>
      <c r="N58">
        <f>M58+Original!N58</f>
        <v>51</v>
      </c>
      <c r="O58">
        <f>N58+Original!O58</f>
        <v>53</v>
      </c>
      <c r="P58">
        <f>O58+Original!P58</f>
        <v>55</v>
      </c>
      <c r="Q58">
        <f>P58+Original!Q58</f>
        <v>61</v>
      </c>
      <c r="R58">
        <f>Q58+Original!R58</f>
        <v>61</v>
      </c>
      <c r="S58">
        <f>R58+Original!S58</f>
        <v>68</v>
      </c>
      <c r="T58">
        <f>S58+Original!T58</f>
        <v>68</v>
      </c>
      <c r="U58">
        <f>T58+Original!U58</f>
        <v>81</v>
      </c>
      <c r="V58">
        <f>U58+Original!V58</f>
        <v>83</v>
      </c>
      <c r="W58">
        <f>V58+Original!W58</f>
        <v>85</v>
      </c>
      <c r="X58">
        <f>W58+Original!X58</f>
        <v>91</v>
      </c>
      <c r="Y58">
        <f>X58+Original!Y58</f>
        <v>104</v>
      </c>
      <c r="Z58">
        <f>Y58+Original!Z58</f>
        <v>117</v>
      </c>
      <c r="AA58">
        <f>Z58+Original!AA58</f>
        <v>117</v>
      </c>
      <c r="AB58">
        <f>AA58+Original!AB58</f>
        <v>119</v>
      </c>
      <c r="AC58">
        <f>AB58+Original!AC58</f>
        <v>119</v>
      </c>
      <c r="AD58">
        <f>AC58+Original!AD58</f>
        <v>127</v>
      </c>
      <c r="AE58">
        <f>AD58+Original!AE58</f>
        <v>133</v>
      </c>
      <c r="AF58">
        <f>AE58+Original!AF58</f>
        <v>133</v>
      </c>
      <c r="AG58">
        <f>AF58+Original!AG58</f>
        <v>133</v>
      </c>
      <c r="AH58">
        <f>AG58+Original!AH58</f>
        <v>133</v>
      </c>
      <c r="AI58">
        <f>AH58+Original!AI58</f>
        <v>133</v>
      </c>
      <c r="AJ58">
        <f>AI58+Original!AJ58</f>
        <v>133</v>
      </c>
      <c r="AK58">
        <f>AJ58+Original!AK58</f>
        <v>133</v>
      </c>
      <c r="AL58">
        <f>AK58+Original!AL58</f>
        <v>133</v>
      </c>
      <c r="AM58">
        <f>AL58+Original!AM58</f>
        <v>133</v>
      </c>
      <c r="AN58">
        <f>AM58+Original!AN58</f>
        <v>133</v>
      </c>
      <c r="AO58">
        <f>AN58+Original!AO58</f>
        <v>133</v>
      </c>
      <c r="AP58">
        <f>AO58+Original!AP58</f>
        <v>133</v>
      </c>
      <c r="AQ58">
        <f>AP58+Original!AQ58</f>
        <v>133</v>
      </c>
      <c r="AR58">
        <f>AQ58+Original!AR58</f>
        <v>133</v>
      </c>
      <c r="AS58">
        <f>AR58+Original!AS58</f>
        <v>133</v>
      </c>
      <c r="AT58">
        <f>AS58+Original!AT58</f>
        <v>133</v>
      </c>
      <c r="AU58">
        <f>AT58+Original!AU58</f>
        <v>133</v>
      </c>
      <c r="AV58">
        <f>AU58+Original!AV58</f>
        <v>133</v>
      </c>
      <c r="AW58">
        <f>AV58+Original!AW58</f>
        <v>133</v>
      </c>
      <c r="AX58">
        <f>AW58+Original!AX58</f>
        <v>133</v>
      </c>
      <c r="AY58">
        <f>AX58+Original!AY58</f>
        <v>133</v>
      </c>
      <c r="AZ58">
        <f>AY58+Original!AZ58</f>
        <v>133</v>
      </c>
      <c r="BA58">
        <f>AZ58+Original!BA58</f>
        <v>133</v>
      </c>
      <c r="BB58">
        <f>BA58+Original!BB58</f>
        <v>133</v>
      </c>
      <c r="BC58">
        <f>BB58+Original!BC58</f>
        <v>133</v>
      </c>
      <c r="BD58">
        <f>BC58+Original!BD58</f>
        <v>133</v>
      </c>
      <c r="BE58">
        <f>BD58+Original!BE58</f>
        <v>133</v>
      </c>
      <c r="BF58">
        <f>BE58+Original!BF58</f>
        <v>133</v>
      </c>
      <c r="BG58">
        <f>BF58+Original!BG58</f>
        <v>133</v>
      </c>
      <c r="BH58">
        <f>BG58+Original!BH58</f>
        <v>133</v>
      </c>
      <c r="BI58">
        <f>BH58+Original!BI58</f>
        <v>133</v>
      </c>
      <c r="BJ58">
        <f>BI58+Original!BJ58</f>
        <v>133</v>
      </c>
      <c r="BK58">
        <f>BJ58+Original!BK58</f>
        <v>133</v>
      </c>
      <c r="BL58">
        <f>BK58+Original!BL58</f>
        <v>133</v>
      </c>
      <c r="BM58">
        <f>BL58+Original!BM58</f>
        <v>133</v>
      </c>
      <c r="BN58">
        <f>BM58+Original!BN58</f>
        <v>133</v>
      </c>
      <c r="BO58">
        <f>BN58+Original!BO58</f>
        <v>133</v>
      </c>
      <c r="BP58">
        <f>BO58+Original!BP58</f>
        <v>133</v>
      </c>
      <c r="BQ58">
        <f>BP58+Original!BQ58</f>
        <v>133</v>
      </c>
      <c r="BR58">
        <f>BQ58+Original!BR58</f>
        <v>133</v>
      </c>
      <c r="BS58">
        <f>BR58+Original!BS58</f>
        <v>133</v>
      </c>
      <c r="BT58">
        <f>BS58+Original!BT58</f>
        <v>133</v>
      </c>
      <c r="BU58">
        <f>BT58+Original!BU58</f>
        <v>133</v>
      </c>
      <c r="BV58">
        <f>BU58+Original!BV58</f>
        <v>133</v>
      </c>
      <c r="BW58">
        <f>BV58+Original!BW58</f>
        <v>133</v>
      </c>
    </row>
    <row r="59" spans="1:75" x14ac:dyDescent="0.25">
      <c r="A59" t="str">
        <f>Original!A59</f>
        <v>Pedro Saback</v>
      </c>
      <c r="B59">
        <f>Original!B59</f>
        <v>132</v>
      </c>
      <c r="C59">
        <f>Original!C59</f>
        <v>0</v>
      </c>
      <c r="D59">
        <f>C59+Original!D59</f>
        <v>6</v>
      </c>
      <c r="E59">
        <f>D59+Original!E59</f>
        <v>14</v>
      </c>
      <c r="F59">
        <f>E59+Original!F59</f>
        <v>20</v>
      </c>
      <c r="G59">
        <f>F59+Original!G59</f>
        <v>20</v>
      </c>
      <c r="H59">
        <f>G59+Original!H59</f>
        <v>22</v>
      </c>
      <c r="I59">
        <f>H59+Original!I59</f>
        <v>24</v>
      </c>
      <c r="J59">
        <f>I59+Original!J59</f>
        <v>32</v>
      </c>
      <c r="K59">
        <f>J59+Original!K59</f>
        <v>34</v>
      </c>
      <c r="L59">
        <f>K59+Original!L59</f>
        <v>34</v>
      </c>
      <c r="M59">
        <f>L59+Original!M59</f>
        <v>42</v>
      </c>
      <c r="N59">
        <f>M59+Original!N59</f>
        <v>48</v>
      </c>
      <c r="O59">
        <f>N59+Original!O59</f>
        <v>61</v>
      </c>
      <c r="P59">
        <f>O59+Original!P59</f>
        <v>67</v>
      </c>
      <c r="Q59">
        <f>P59+Original!Q59</f>
        <v>73</v>
      </c>
      <c r="R59">
        <f>Q59+Original!R59</f>
        <v>86</v>
      </c>
      <c r="S59">
        <f>R59+Original!S59</f>
        <v>93</v>
      </c>
      <c r="T59">
        <f>S59+Original!T59</f>
        <v>93</v>
      </c>
      <c r="U59">
        <f>T59+Original!U59</f>
        <v>99</v>
      </c>
      <c r="V59">
        <f>U59+Original!V59</f>
        <v>99</v>
      </c>
      <c r="W59">
        <f>V59+Original!W59</f>
        <v>99</v>
      </c>
      <c r="X59">
        <f>W59+Original!X59</f>
        <v>99</v>
      </c>
      <c r="Y59">
        <f>X59+Original!Y59</f>
        <v>112</v>
      </c>
      <c r="Z59">
        <f>Y59+Original!Z59</f>
        <v>114</v>
      </c>
      <c r="AA59">
        <f>Z59+Original!AA59</f>
        <v>122</v>
      </c>
      <c r="AB59">
        <f>AA59+Original!AB59</f>
        <v>128</v>
      </c>
      <c r="AC59">
        <f>AB59+Original!AC59</f>
        <v>128</v>
      </c>
      <c r="AD59">
        <f>AC59+Original!AD59</f>
        <v>130</v>
      </c>
      <c r="AE59">
        <f>AD59+Original!AE59</f>
        <v>132</v>
      </c>
      <c r="AF59">
        <f>AE59+Original!AF59</f>
        <v>132</v>
      </c>
      <c r="AG59">
        <f>AF59+Original!AG59</f>
        <v>132</v>
      </c>
      <c r="AH59">
        <f>AG59+Original!AH59</f>
        <v>132</v>
      </c>
      <c r="AI59">
        <f>AH59+Original!AI59</f>
        <v>132</v>
      </c>
      <c r="AJ59">
        <f>AI59+Original!AJ59</f>
        <v>132</v>
      </c>
      <c r="AK59">
        <f>AJ59+Original!AK59</f>
        <v>132</v>
      </c>
      <c r="AL59">
        <f>AK59+Original!AL59</f>
        <v>132</v>
      </c>
      <c r="AM59">
        <f>AL59+Original!AM59</f>
        <v>132</v>
      </c>
      <c r="AN59">
        <f>AM59+Original!AN59</f>
        <v>132</v>
      </c>
      <c r="AO59">
        <f>AN59+Original!AO59</f>
        <v>132</v>
      </c>
      <c r="AP59">
        <f>AO59+Original!AP59</f>
        <v>132</v>
      </c>
      <c r="AQ59">
        <f>AP59+Original!AQ59</f>
        <v>132</v>
      </c>
      <c r="AR59">
        <f>AQ59+Original!AR59</f>
        <v>132</v>
      </c>
      <c r="AS59">
        <f>AR59+Original!AS59</f>
        <v>132</v>
      </c>
      <c r="AT59">
        <f>AS59+Original!AT59</f>
        <v>132</v>
      </c>
      <c r="AU59">
        <f>AT59+Original!AU59</f>
        <v>132</v>
      </c>
      <c r="AV59">
        <f>AU59+Original!AV59</f>
        <v>132</v>
      </c>
      <c r="AW59">
        <f>AV59+Original!AW59</f>
        <v>132</v>
      </c>
      <c r="AX59">
        <f>AW59+Original!AX59</f>
        <v>132</v>
      </c>
      <c r="AY59">
        <f>AX59+Original!AY59</f>
        <v>132</v>
      </c>
      <c r="AZ59">
        <f>AY59+Original!AZ59</f>
        <v>132</v>
      </c>
      <c r="BA59">
        <f>AZ59+Original!BA59</f>
        <v>132</v>
      </c>
      <c r="BB59">
        <f>BA59+Original!BB59</f>
        <v>132</v>
      </c>
      <c r="BC59">
        <f>BB59+Original!BC59</f>
        <v>132</v>
      </c>
      <c r="BD59">
        <f>BC59+Original!BD59</f>
        <v>132</v>
      </c>
      <c r="BE59">
        <f>BD59+Original!BE59</f>
        <v>132</v>
      </c>
      <c r="BF59">
        <f>BE59+Original!BF59</f>
        <v>132</v>
      </c>
      <c r="BG59">
        <f>BF59+Original!BG59</f>
        <v>132</v>
      </c>
      <c r="BH59">
        <f>BG59+Original!BH59</f>
        <v>132</v>
      </c>
      <c r="BI59">
        <f>BH59+Original!BI59</f>
        <v>132</v>
      </c>
      <c r="BJ59">
        <f>BI59+Original!BJ59</f>
        <v>132</v>
      </c>
      <c r="BK59">
        <f>BJ59+Original!BK59</f>
        <v>132</v>
      </c>
      <c r="BL59">
        <f>BK59+Original!BL59</f>
        <v>132</v>
      </c>
      <c r="BM59">
        <f>BL59+Original!BM59</f>
        <v>132</v>
      </c>
      <c r="BN59">
        <f>BM59+Original!BN59</f>
        <v>132</v>
      </c>
      <c r="BO59">
        <f>BN59+Original!BO59</f>
        <v>132</v>
      </c>
      <c r="BP59">
        <f>BO59+Original!BP59</f>
        <v>132</v>
      </c>
      <c r="BQ59">
        <f>BP59+Original!BQ59</f>
        <v>132</v>
      </c>
      <c r="BR59">
        <f>BQ59+Original!BR59</f>
        <v>132</v>
      </c>
      <c r="BS59">
        <f>BR59+Original!BS59</f>
        <v>132</v>
      </c>
      <c r="BT59">
        <f>BS59+Original!BT59</f>
        <v>132</v>
      </c>
      <c r="BU59">
        <f>BT59+Original!BU59</f>
        <v>132</v>
      </c>
      <c r="BV59">
        <f>BU59+Original!BV59</f>
        <v>132</v>
      </c>
      <c r="BW59">
        <f>BV59+Original!BW59</f>
        <v>132</v>
      </c>
    </row>
    <row r="60" spans="1:75" x14ac:dyDescent="0.25">
      <c r="A60" t="str">
        <f>Original!A60</f>
        <v>Ronaldo Kirilauskas</v>
      </c>
      <c r="B60">
        <f>Original!B60</f>
        <v>132</v>
      </c>
      <c r="C60">
        <f>Original!C60</f>
        <v>8</v>
      </c>
      <c r="D60">
        <f>C60+Original!D60</f>
        <v>14</v>
      </c>
      <c r="E60">
        <f>D60+Original!E60</f>
        <v>27</v>
      </c>
      <c r="F60">
        <f>E60+Original!F60</f>
        <v>29</v>
      </c>
      <c r="G60">
        <f>F60+Original!G60</f>
        <v>29</v>
      </c>
      <c r="H60">
        <f>G60+Original!H60</f>
        <v>31</v>
      </c>
      <c r="I60">
        <f>H60+Original!I60</f>
        <v>37</v>
      </c>
      <c r="J60">
        <f>I60+Original!J60</f>
        <v>43</v>
      </c>
      <c r="K60">
        <f>J60+Original!K60</f>
        <v>45</v>
      </c>
      <c r="L60">
        <f>K60+Original!L60</f>
        <v>47</v>
      </c>
      <c r="M60">
        <f>L60+Original!M60</f>
        <v>55</v>
      </c>
      <c r="N60">
        <f>M60+Original!N60</f>
        <v>63</v>
      </c>
      <c r="O60">
        <f>N60+Original!O60</f>
        <v>71</v>
      </c>
      <c r="P60">
        <f>O60+Original!P60</f>
        <v>73</v>
      </c>
      <c r="Q60">
        <f>P60+Original!Q60</f>
        <v>81</v>
      </c>
      <c r="R60">
        <f>Q60+Original!R60</f>
        <v>89</v>
      </c>
      <c r="S60">
        <f>R60+Original!S60</f>
        <v>89</v>
      </c>
      <c r="T60">
        <f>S60+Original!T60</f>
        <v>89</v>
      </c>
      <c r="U60">
        <f>T60+Original!U60</f>
        <v>95</v>
      </c>
      <c r="V60">
        <f>U60+Original!V60</f>
        <v>97</v>
      </c>
      <c r="W60">
        <f>V60+Original!W60</f>
        <v>99</v>
      </c>
      <c r="X60">
        <f>W60+Original!X60</f>
        <v>101</v>
      </c>
      <c r="Y60">
        <f>X60+Original!Y60</f>
        <v>109</v>
      </c>
      <c r="Z60">
        <f>Y60+Original!Z60</f>
        <v>109</v>
      </c>
      <c r="AA60">
        <f>Z60+Original!AA60</f>
        <v>122</v>
      </c>
      <c r="AB60">
        <f>AA60+Original!AB60</f>
        <v>124</v>
      </c>
      <c r="AC60">
        <f>AB60+Original!AC60</f>
        <v>124</v>
      </c>
      <c r="AD60">
        <f>AC60+Original!AD60</f>
        <v>130</v>
      </c>
      <c r="AE60">
        <f>AD60+Original!AE60</f>
        <v>132</v>
      </c>
      <c r="AF60">
        <f>AE60+Original!AF60</f>
        <v>132</v>
      </c>
      <c r="AG60">
        <f>AF60+Original!AG60</f>
        <v>132</v>
      </c>
      <c r="AH60">
        <f>AG60+Original!AH60</f>
        <v>132</v>
      </c>
      <c r="AI60">
        <f>AH60+Original!AI60</f>
        <v>132</v>
      </c>
      <c r="AJ60">
        <f>AI60+Original!AJ60</f>
        <v>132</v>
      </c>
      <c r="AK60">
        <f>AJ60+Original!AK60</f>
        <v>132</v>
      </c>
      <c r="AL60">
        <f>AK60+Original!AL60</f>
        <v>132</v>
      </c>
      <c r="AM60">
        <f>AL60+Original!AM60</f>
        <v>132</v>
      </c>
      <c r="AN60">
        <f>AM60+Original!AN60</f>
        <v>132</v>
      </c>
      <c r="AO60">
        <f>AN60+Original!AO60</f>
        <v>132</v>
      </c>
      <c r="AP60">
        <f>AO60+Original!AP60</f>
        <v>132</v>
      </c>
      <c r="AQ60">
        <f>AP60+Original!AQ60</f>
        <v>132</v>
      </c>
      <c r="AR60">
        <f>AQ60+Original!AR60</f>
        <v>132</v>
      </c>
      <c r="AS60">
        <f>AR60+Original!AS60</f>
        <v>132</v>
      </c>
      <c r="AT60">
        <f>AS60+Original!AT60</f>
        <v>132</v>
      </c>
      <c r="AU60">
        <f>AT60+Original!AU60</f>
        <v>132</v>
      </c>
      <c r="AV60">
        <f>AU60+Original!AV60</f>
        <v>132</v>
      </c>
      <c r="AW60">
        <f>AV60+Original!AW60</f>
        <v>132</v>
      </c>
      <c r="AX60">
        <f>AW60+Original!AX60</f>
        <v>132</v>
      </c>
      <c r="AY60">
        <f>AX60+Original!AY60</f>
        <v>132</v>
      </c>
      <c r="AZ60">
        <f>AY60+Original!AZ60</f>
        <v>132</v>
      </c>
      <c r="BA60">
        <f>AZ60+Original!BA60</f>
        <v>132</v>
      </c>
      <c r="BB60">
        <f>BA60+Original!BB60</f>
        <v>132</v>
      </c>
      <c r="BC60">
        <f>BB60+Original!BC60</f>
        <v>132</v>
      </c>
      <c r="BD60">
        <f>BC60+Original!BD60</f>
        <v>132</v>
      </c>
      <c r="BE60">
        <f>BD60+Original!BE60</f>
        <v>132</v>
      </c>
      <c r="BF60">
        <f>BE60+Original!BF60</f>
        <v>132</v>
      </c>
      <c r="BG60">
        <f>BF60+Original!BG60</f>
        <v>132</v>
      </c>
      <c r="BH60">
        <f>BG60+Original!BH60</f>
        <v>132</v>
      </c>
      <c r="BI60">
        <f>BH60+Original!BI60</f>
        <v>132</v>
      </c>
      <c r="BJ60">
        <f>BI60+Original!BJ60</f>
        <v>132</v>
      </c>
      <c r="BK60">
        <f>BJ60+Original!BK60</f>
        <v>132</v>
      </c>
      <c r="BL60">
        <f>BK60+Original!BL60</f>
        <v>132</v>
      </c>
      <c r="BM60">
        <f>BL60+Original!BM60</f>
        <v>132</v>
      </c>
      <c r="BN60">
        <f>BM60+Original!BN60</f>
        <v>132</v>
      </c>
      <c r="BO60">
        <f>BN60+Original!BO60</f>
        <v>132</v>
      </c>
      <c r="BP60">
        <f>BO60+Original!BP60</f>
        <v>132</v>
      </c>
      <c r="BQ60">
        <f>BP60+Original!BQ60</f>
        <v>132</v>
      </c>
      <c r="BR60">
        <f>BQ60+Original!BR60</f>
        <v>132</v>
      </c>
      <c r="BS60">
        <f>BR60+Original!BS60</f>
        <v>132</v>
      </c>
      <c r="BT60">
        <f>BS60+Original!BT60</f>
        <v>132</v>
      </c>
      <c r="BU60">
        <f>BT60+Original!BU60</f>
        <v>132</v>
      </c>
      <c r="BV60">
        <f>BU60+Original!BV60</f>
        <v>132</v>
      </c>
      <c r="BW60">
        <f>BV60+Original!BW60</f>
        <v>132</v>
      </c>
    </row>
    <row r="61" spans="1:75" x14ac:dyDescent="0.25">
      <c r="A61" t="str">
        <f>Original!A61</f>
        <v>Fabio Vale</v>
      </c>
      <c r="B61">
        <f>Original!B61</f>
        <v>131</v>
      </c>
      <c r="C61">
        <f>Original!C61</f>
        <v>8</v>
      </c>
      <c r="D61">
        <f>C61+Original!D61</f>
        <v>8</v>
      </c>
      <c r="E61">
        <f>D61+Original!E61</f>
        <v>16</v>
      </c>
      <c r="F61">
        <f>E61+Original!F61</f>
        <v>29</v>
      </c>
      <c r="G61">
        <f>F61+Original!G61</f>
        <v>29</v>
      </c>
      <c r="H61">
        <f>G61+Original!H61</f>
        <v>31</v>
      </c>
      <c r="I61">
        <f>H61+Original!I61</f>
        <v>37</v>
      </c>
      <c r="J61">
        <f>I61+Original!J61</f>
        <v>39</v>
      </c>
      <c r="K61">
        <f>J61+Original!K61</f>
        <v>45</v>
      </c>
      <c r="L61">
        <f>K61+Original!L61</f>
        <v>47</v>
      </c>
      <c r="M61">
        <f>L61+Original!M61</f>
        <v>55</v>
      </c>
      <c r="N61">
        <f>M61+Original!N61</f>
        <v>61</v>
      </c>
      <c r="O61">
        <f>N61+Original!O61</f>
        <v>63</v>
      </c>
      <c r="P61">
        <f>O61+Original!P61</f>
        <v>63</v>
      </c>
      <c r="Q61">
        <f>P61+Original!Q61</f>
        <v>71</v>
      </c>
      <c r="R61">
        <f>Q61+Original!R61</f>
        <v>84</v>
      </c>
      <c r="S61">
        <f>R61+Original!S61</f>
        <v>91</v>
      </c>
      <c r="T61">
        <f>S61+Original!T61</f>
        <v>91</v>
      </c>
      <c r="U61">
        <f>T61+Original!U61</f>
        <v>97</v>
      </c>
      <c r="V61">
        <f>U61+Original!V61</f>
        <v>99</v>
      </c>
      <c r="W61">
        <f>V61+Original!W61</f>
        <v>99</v>
      </c>
      <c r="X61">
        <f>W61+Original!X61</f>
        <v>101</v>
      </c>
      <c r="Y61">
        <f>X61+Original!Y61</f>
        <v>109</v>
      </c>
      <c r="Z61">
        <f>Y61+Original!Z61</f>
        <v>111</v>
      </c>
      <c r="AA61">
        <f>Z61+Original!AA61</f>
        <v>119</v>
      </c>
      <c r="AB61">
        <f>AA61+Original!AB61</f>
        <v>121</v>
      </c>
      <c r="AC61">
        <f>AB61+Original!AC61</f>
        <v>121</v>
      </c>
      <c r="AD61">
        <f>AC61+Original!AD61</f>
        <v>129</v>
      </c>
      <c r="AE61">
        <f>AD61+Original!AE61</f>
        <v>131</v>
      </c>
      <c r="AF61">
        <f>AE61+Original!AF61</f>
        <v>131</v>
      </c>
      <c r="AG61">
        <f>AF61+Original!AG61</f>
        <v>131</v>
      </c>
      <c r="AH61">
        <f>AG61+Original!AH61</f>
        <v>131</v>
      </c>
      <c r="AI61">
        <f>AH61+Original!AI61</f>
        <v>131</v>
      </c>
      <c r="AJ61">
        <f>AI61+Original!AJ61</f>
        <v>131</v>
      </c>
      <c r="AK61">
        <f>AJ61+Original!AK61</f>
        <v>131</v>
      </c>
      <c r="AL61">
        <f>AK61+Original!AL61</f>
        <v>131</v>
      </c>
      <c r="AM61">
        <f>AL61+Original!AM61</f>
        <v>131</v>
      </c>
      <c r="AN61">
        <f>AM61+Original!AN61</f>
        <v>131</v>
      </c>
      <c r="AO61">
        <f>AN61+Original!AO61</f>
        <v>131</v>
      </c>
      <c r="AP61">
        <f>AO61+Original!AP61</f>
        <v>131</v>
      </c>
      <c r="AQ61">
        <f>AP61+Original!AQ61</f>
        <v>131</v>
      </c>
      <c r="AR61">
        <f>AQ61+Original!AR61</f>
        <v>131</v>
      </c>
      <c r="AS61">
        <f>AR61+Original!AS61</f>
        <v>131</v>
      </c>
      <c r="AT61">
        <f>AS61+Original!AT61</f>
        <v>131</v>
      </c>
      <c r="AU61">
        <f>AT61+Original!AU61</f>
        <v>131</v>
      </c>
      <c r="AV61">
        <f>AU61+Original!AV61</f>
        <v>131</v>
      </c>
      <c r="AW61">
        <f>AV61+Original!AW61</f>
        <v>131</v>
      </c>
      <c r="AX61">
        <f>AW61+Original!AX61</f>
        <v>131</v>
      </c>
      <c r="AY61">
        <f>AX61+Original!AY61</f>
        <v>131</v>
      </c>
      <c r="AZ61">
        <f>AY61+Original!AZ61</f>
        <v>131</v>
      </c>
      <c r="BA61">
        <f>AZ61+Original!BA61</f>
        <v>131</v>
      </c>
      <c r="BB61">
        <f>BA61+Original!BB61</f>
        <v>131</v>
      </c>
      <c r="BC61">
        <f>BB61+Original!BC61</f>
        <v>131</v>
      </c>
      <c r="BD61">
        <f>BC61+Original!BD61</f>
        <v>131</v>
      </c>
      <c r="BE61">
        <f>BD61+Original!BE61</f>
        <v>131</v>
      </c>
      <c r="BF61">
        <f>BE61+Original!BF61</f>
        <v>131</v>
      </c>
      <c r="BG61">
        <f>BF61+Original!BG61</f>
        <v>131</v>
      </c>
      <c r="BH61">
        <f>BG61+Original!BH61</f>
        <v>131</v>
      </c>
      <c r="BI61">
        <f>BH61+Original!BI61</f>
        <v>131</v>
      </c>
      <c r="BJ61">
        <f>BI61+Original!BJ61</f>
        <v>131</v>
      </c>
      <c r="BK61">
        <f>BJ61+Original!BK61</f>
        <v>131</v>
      </c>
      <c r="BL61">
        <f>BK61+Original!BL61</f>
        <v>131</v>
      </c>
      <c r="BM61">
        <f>BL61+Original!BM61</f>
        <v>131</v>
      </c>
      <c r="BN61">
        <f>BM61+Original!BN61</f>
        <v>131</v>
      </c>
      <c r="BO61">
        <f>BN61+Original!BO61</f>
        <v>131</v>
      </c>
      <c r="BP61">
        <f>BO61+Original!BP61</f>
        <v>131</v>
      </c>
      <c r="BQ61">
        <f>BP61+Original!BQ61</f>
        <v>131</v>
      </c>
      <c r="BR61">
        <f>BQ61+Original!BR61</f>
        <v>131</v>
      </c>
      <c r="BS61">
        <f>BR61+Original!BS61</f>
        <v>131</v>
      </c>
      <c r="BT61">
        <f>BS61+Original!BT61</f>
        <v>131</v>
      </c>
      <c r="BU61">
        <f>BT61+Original!BU61</f>
        <v>131</v>
      </c>
      <c r="BV61">
        <f>BU61+Original!BV61</f>
        <v>131</v>
      </c>
      <c r="BW61">
        <f>BV61+Original!BW61</f>
        <v>131</v>
      </c>
    </row>
    <row r="62" spans="1:75" x14ac:dyDescent="0.25">
      <c r="A62" t="str">
        <f>Original!A62</f>
        <v>Ricardo Rappel</v>
      </c>
      <c r="B62">
        <f>Original!B62</f>
        <v>131</v>
      </c>
      <c r="C62">
        <f>Original!C62</f>
        <v>0</v>
      </c>
      <c r="D62">
        <f>C62+Original!D62</f>
        <v>6</v>
      </c>
      <c r="E62">
        <f>D62+Original!E62</f>
        <v>14</v>
      </c>
      <c r="F62">
        <f>E62+Original!F62</f>
        <v>27</v>
      </c>
      <c r="G62">
        <f>F62+Original!G62</f>
        <v>27</v>
      </c>
      <c r="H62">
        <f>G62+Original!H62</f>
        <v>29</v>
      </c>
      <c r="I62">
        <f>H62+Original!I62</f>
        <v>35</v>
      </c>
      <c r="J62">
        <f>I62+Original!J62</f>
        <v>43</v>
      </c>
      <c r="K62">
        <f>J62+Original!K62</f>
        <v>45</v>
      </c>
      <c r="L62">
        <f>K62+Original!L62</f>
        <v>45</v>
      </c>
      <c r="M62">
        <f>L62+Original!M62</f>
        <v>53</v>
      </c>
      <c r="N62">
        <f>M62+Original!N62</f>
        <v>61</v>
      </c>
      <c r="O62">
        <f>N62+Original!O62</f>
        <v>63</v>
      </c>
      <c r="P62">
        <f>O62+Original!P62</f>
        <v>65</v>
      </c>
      <c r="Q62">
        <f>P62+Original!Q62</f>
        <v>71</v>
      </c>
      <c r="R62">
        <f>Q62+Original!R62</f>
        <v>84</v>
      </c>
      <c r="S62">
        <f>R62+Original!S62</f>
        <v>84</v>
      </c>
      <c r="T62">
        <f>S62+Original!T62</f>
        <v>86</v>
      </c>
      <c r="U62">
        <f>T62+Original!U62</f>
        <v>94</v>
      </c>
      <c r="V62">
        <f>U62+Original!V62</f>
        <v>96</v>
      </c>
      <c r="W62">
        <f>V62+Original!W62</f>
        <v>98</v>
      </c>
      <c r="X62">
        <f>W62+Original!X62</f>
        <v>100</v>
      </c>
      <c r="Y62">
        <f>X62+Original!Y62</f>
        <v>108</v>
      </c>
      <c r="Z62">
        <f>Y62+Original!Z62</f>
        <v>108</v>
      </c>
      <c r="AA62">
        <f>Z62+Original!AA62</f>
        <v>108</v>
      </c>
      <c r="AB62">
        <f>AA62+Original!AB62</f>
        <v>110</v>
      </c>
      <c r="AC62">
        <f>AB62+Original!AC62</f>
        <v>110</v>
      </c>
      <c r="AD62">
        <f>AC62+Original!AD62</f>
        <v>118</v>
      </c>
      <c r="AE62">
        <f>AD62+Original!AE62</f>
        <v>131</v>
      </c>
      <c r="AF62">
        <f>AE62+Original!AF62</f>
        <v>131</v>
      </c>
      <c r="AG62">
        <f>AF62+Original!AG62</f>
        <v>131</v>
      </c>
      <c r="AH62">
        <f>AG62+Original!AH62</f>
        <v>131</v>
      </c>
      <c r="AI62">
        <f>AH62+Original!AI62</f>
        <v>131</v>
      </c>
      <c r="AJ62">
        <f>AI62+Original!AJ62</f>
        <v>131</v>
      </c>
      <c r="AK62">
        <f>AJ62+Original!AK62</f>
        <v>131</v>
      </c>
      <c r="AL62">
        <f>AK62+Original!AL62</f>
        <v>131</v>
      </c>
      <c r="AM62">
        <f>AL62+Original!AM62</f>
        <v>131</v>
      </c>
      <c r="AN62">
        <f>AM62+Original!AN62</f>
        <v>131</v>
      </c>
      <c r="AO62">
        <f>AN62+Original!AO62</f>
        <v>131</v>
      </c>
      <c r="AP62">
        <f>AO62+Original!AP62</f>
        <v>131</v>
      </c>
      <c r="AQ62">
        <f>AP62+Original!AQ62</f>
        <v>131</v>
      </c>
      <c r="AR62">
        <f>AQ62+Original!AR62</f>
        <v>131</v>
      </c>
      <c r="AS62">
        <f>AR62+Original!AS62</f>
        <v>131</v>
      </c>
      <c r="AT62">
        <f>AS62+Original!AT62</f>
        <v>131</v>
      </c>
      <c r="AU62">
        <f>AT62+Original!AU62</f>
        <v>131</v>
      </c>
      <c r="AV62">
        <f>AU62+Original!AV62</f>
        <v>131</v>
      </c>
      <c r="AW62">
        <f>AV62+Original!AW62</f>
        <v>131</v>
      </c>
      <c r="AX62">
        <f>AW62+Original!AX62</f>
        <v>131</v>
      </c>
      <c r="AY62">
        <f>AX62+Original!AY62</f>
        <v>131</v>
      </c>
      <c r="AZ62">
        <f>AY62+Original!AZ62</f>
        <v>131</v>
      </c>
      <c r="BA62">
        <f>AZ62+Original!BA62</f>
        <v>131</v>
      </c>
      <c r="BB62">
        <f>BA62+Original!BB62</f>
        <v>131</v>
      </c>
      <c r="BC62">
        <f>BB62+Original!BC62</f>
        <v>131</v>
      </c>
      <c r="BD62">
        <f>BC62+Original!BD62</f>
        <v>131</v>
      </c>
      <c r="BE62">
        <f>BD62+Original!BE62</f>
        <v>131</v>
      </c>
      <c r="BF62">
        <f>BE62+Original!BF62</f>
        <v>131</v>
      </c>
      <c r="BG62">
        <f>BF62+Original!BG62</f>
        <v>131</v>
      </c>
      <c r="BH62">
        <f>BG62+Original!BH62</f>
        <v>131</v>
      </c>
      <c r="BI62">
        <f>BH62+Original!BI62</f>
        <v>131</v>
      </c>
      <c r="BJ62">
        <f>BI62+Original!BJ62</f>
        <v>131</v>
      </c>
      <c r="BK62">
        <f>BJ62+Original!BK62</f>
        <v>131</v>
      </c>
      <c r="BL62">
        <f>BK62+Original!BL62</f>
        <v>131</v>
      </c>
      <c r="BM62">
        <f>BL62+Original!BM62</f>
        <v>131</v>
      </c>
      <c r="BN62">
        <f>BM62+Original!BN62</f>
        <v>131</v>
      </c>
      <c r="BO62">
        <f>BN62+Original!BO62</f>
        <v>131</v>
      </c>
      <c r="BP62">
        <f>BO62+Original!BP62</f>
        <v>131</v>
      </c>
      <c r="BQ62">
        <f>BP62+Original!BQ62</f>
        <v>131</v>
      </c>
      <c r="BR62">
        <f>BQ62+Original!BR62</f>
        <v>131</v>
      </c>
      <c r="BS62">
        <f>BR62+Original!BS62</f>
        <v>131</v>
      </c>
      <c r="BT62">
        <f>BS62+Original!BT62</f>
        <v>131</v>
      </c>
      <c r="BU62">
        <f>BT62+Original!BU62</f>
        <v>131</v>
      </c>
      <c r="BV62">
        <f>BU62+Original!BV62</f>
        <v>131</v>
      </c>
      <c r="BW62">
        <f>BV62+Original!BW62</f>
        <v>131</v>
      </c>
    </row>
    <row r="63" spans="1:75" x14ac:dyDescent="0.25">
      <c r="A63" t="str">
        <f>Original!A63</f>
        <v>Leandro Neves</v>
      </c>
      <c r="B63">
        <f>Original!B63</f>
        <v>130</v>
      </c>
      <c r="C63">
        <f>Original!C63</f>
        <v>8</v>
      </c>
      <c r="D63">
        <f>C63+Original!D63</f>
        <v>14</v>
      </c>
      <c r="E63">
        <f>D63+Original!E63</f>
        <v>22</v>
      </c>
      <c r="F63">
        <f>E63+Original!F63</f>
        <v>35</v>
      </c>
      <c r="G63">
        <f>F63+Original!G63</f>
        <v>35</v>
      </c>
      <c r="H63">
        <f>G63+Original!H63</f>
        <v>37</v>
      </c>
      <c r="I63">
        <f>H63+Original!I63</f>
        <v>37</v>
      </c>
      <c r="J63">
        <f>I63+Original!J63</f>
        <v>43</v>
      </c>
      <c r="K63">
        <f>J63+Original!K63</f>
        <v>43</v>
      </c>
      <c r="L63">
        <f>K63+Original!L63</f>
        <v>43</v>
      </c>
      <c r="M63">
        <f>L63+Original!M63</f>
        <v>51</v>
      </c>
      <c r="N63">
        <f>M63+Original!N63</f>
        <v>59</v>
      </c>
      <c r="O63">
        <f>N63+Original!O63</f>
        <v>72</v>
      </c>
      <c r="P63">
        <f>O63+Original!P63</f>
        <v>72</v>
      </c>
      <c r="Q63">
        <f>P63+Original!Q63</f>
        <v>78</v>
      </c>
      <c r="R63">
        <f>Q63+Original!R63</f>
        <v>86</v>
      </c>
      <c r="S63">
        <f>R63+Original!S63</f>
        <v>86</v>
      </c>
      <c r="T63">
        <f>S63+Original!T63</f>
        <v>94</v>
      </c>
      <c r="U63">
        <f>T63+Original!U63</f>
        <v>100</v>
      </c>
      <c r="V63">
        <f>U63+Original!V63</f>
        <v>102</v>
      </c>
      <c r="W63">
        <f>V63+Original!W63</f>
        <v>104</v>
      </c>
      <c r="X63">
        <f>W63+Original!X63</f>
        <v>104</v>
      </c>
      <c r="Y63">
        <f>X63+Original!Y63</f>
        <v>112</v>
      </c>
      <c r="Z63">
        <f>Y63+Original!Z63</f>
        <v>112</v>
      </c>
      <c r="AA63">
        <f>Z63+Original!AA63</f>
        <v>120</v>
      </c>
      <c r="AB63">
        <f>AA63+Original!AB63</f>
        <v>122</v>
      </c>
      <c r="AC63">
        <f>AB63+Original!AC63</f>
        <v>122</v>
      </c>
      <c r="AD63">
        <f>AC63+Original!AD63</f>
        <v>128</v>
      </c>
      <c r="AE63">
        <f>AD63+Original!AE63</f>
        <v>130</v>
      </c>
      <c r="AF63">
        <f>AE63+Original!AF63</f>
        <v>130</v>
      </c>
      <c r="AG63">
        <f>AF63+Original!AG63</f>
        <v>130</v>
      </c>
      <c r="AH63">
        <f>AG63+Original!AH63</f>
        <v>130</v>
      </c>
      <c r="AI63">
        <f>AH63+Original!AI63</f>
        <v>130</v>
      </c>
      <c r="AJ63">
        <f>AI63+Original!AJ63</f>
        <v>130</v>
      </c>
      <c r="AK63">
        <f>AJ63+Original!AK63</f>
        <v>130</v>
      </c>
      <c r="AL63">
        <f>AK63+Original!AL63</f>
        <v>130</v>
      </c>
      <c r="AM63">
        <f>AL63+Original!AM63</f>
        <v>130</v>
      </c>
      <c r="AN63">
        <f>AM63+Original!AN63</f>
        <v>130</v>
      </c>
      <c r="AO63">
        <f>AN63+Original!AO63</f>
        <v>130</v>
      </c>
      <c r="AP63">
        <f>AO63+Original!AP63</f>
        <v>130</v>
      </c>
      <c r="AQ63">
        <f>AP63+Original!AQ63</f>
        <v>130</v>
      </c>
      <c r="AR63">
        <f>AQ63+Original!AR63</f>
        <v>130</v>
      </c>
      <c r="AS63">
        <f>AR63+Original!AS63</f>
        <v>130</v>
      </c>
      <c r="AT63">
        <f>AS63+Original!AT63</f>
        <v>130</v>
      </c>
      <c r="AU63">
        <f>AT63+Original!AU63</f>
        <v>130</v>
      </c>
      <c r="AV63">
        <f>AU63+Original!AV63</f>
        <v>130</v>
      </c>
      <c r="AW63">
        <f>AV63+Original!AW63</f>
        <v>130</v>
      </c>
      <c r="AX63">
        <f>AW63+Original!AX63</f>
        <v>130</v>
      </c>
      <c r="AY63">
        <f>AX63+Original!AY63</f>
        <v>130</v>
      </c>
      <c r="AZ63">
        <f>AY63+Original!AZ63</f>
        <v>130</v>
      </c>
      <c r="BA63">
        <f>AZ63+Original!BA63</f>
        <v>130</v>
      </c>
      <c r="BB63">
        <f>BA63+Original!BB63</f>
        <v>130</v>
      </c>
      <c r="BC63">
        <f>BB63+Original!BC63</f>
        <v>130</v>
      </c>
      <c r="BD63">
        <f>BC63+Original!BD63</f>
        <v>130</v>
      </c>
      <c r="BE63">
        <f>BD63+Original!BE63</f>
        <v>130</v>
      </c>
      <c r="BF63">
        <f>BE63+Original!BF63</f>
        <v>130</v>
      </c>
      <c r="BG63">
        <f>BF63+Original!BG63</f>
        <v>130</v>
      </c>
      <c r="BH63">
        <f>BG63+Original!BH63</f>
        <v>130</v>
      </c>
      <c r="BI63">
        <f>BH63+Original!BI63</f>
        <v>130</v>
      </c>
      <c r="BJ63">
        <f>BI63+Original!BJ63</f>
        <v>130</v>
      </c>
      <c r="BK63">
        <f>BJ63+Original!BK63</f>
        <v>130</v>
      </c>
      <c r="BL63">
        <f>BK63+Original!BL63</f>
        <v>130</v>
      </c>
      <c r="BM63">
        <f>BL63+Original!BM63</f>
        <v>130</v>
      </c>
      <c r="BN63">
        <f>BM63+Original!BN63</f>
        <v>130</v>
      </c>
      <c r="BO63">
        <f>BN63+Original!BO63</f>
        <v>130</v>
      </c>
      <c r="BP63">
        <f>BO63+Original!BP63</f>
        <v>130</v>
      </c>
      <c r="BQ63">
        <f>BP63+Original!BQ63</f>
        <v>130</v>
      </c>
      <c r="BR63">
        <f>BQ63+Original!BR63</f>
        <v>130</v>
      </c>
      <c r="BS63">
        <f>BR63+Original!BS63</f>
        <v>130</v>
      </c>
      <c r="BT63">
        <f>BS63+Original!BT63</f>
        <v>130</v>
      </c>
      <c r="BU63">
        <f>BT63+Original!BU63</f>
        <v>130</v>
      </c>
      <c r="BV63">
        <f>BU63+Original!BV63</f>
        <v>130</v>
      </c>
      <c r="BW63">
        <f>BV63+Original!BW63</f>
        <v>130</v>
      </c>
    </row>
    <row r="64" spans="1:75" x14ac:dyDescent="0.25">
      <c r="A64" t="str">
        <f>Original!A64</f>
        <v>Renato Pellicci</v>
      </c>
      <c r="B64">
        <f>Original!B64</f>
        <v>130</v>
      </c>
      <c r="C64">
        <f>Original!C64</f>
        <v>0</v>
      </c>
      <c r="D64">
        <f>C64+Original!D64</f>
        <v>6</v>
      </c>
      <c r="E64">
        <f>D64+Original!E64</f>
        <v>14</v>
      </c>
      <c r="F64">
        <f>E64+Original!F64</f>
        <v>20</v>
      </c>
      <c r="G64">
        <f>F64+Original!G64</f>
        <v>20</v>
      </c>
      <c r="H64">
        <f>G64+Original!H64</f>
        <v>20</v>
      </c>
      <c r="I64">
        <f>H64+Original!I64</f>
        <v>26</v>
      </c>
      <c r="J64">
        <f>I64+Original!J64</f>
        <v>32</v>
      </c>
      <c r="K64">
        <f>J64+Original!K64</f>
        <v>32</v>
      </c>
      <c r="L64">
        <f>K64+Original!L64</f>
        <v>34</v>
      </c>
      <c r="M64">
        <f>L64+Original!M64</f>
        <v>40</v>
      </c>
      <c r="N64">
        <f>M64+Original!N64</f>
        <v>46</v>
      </c>
      <c r="O64">
        <f>N64+Original!O64</f>
        <v>59</v>
      </c>
      <c r="P64">
        <f>O64+Original!P64</f>
        <v>61</v>
      </c>
      <c r="Q64">
        <f>P64+Original!Q64</f>
        <v>67</v>
      </c>
      <c r="R64">
        <f>Q64+Original!R64</f>
        <v>80</v>
      </c>
      <c r="S64">
        <f>R64+Original!S64</f>
        <v>80</v>
      </c>
      <c r="T64">
        <f>S64+Original!T64</f>
        <v>88</v>
      </c>
      <c r="U64">
        <f>T64+Original!U64</f>
        <v>90</v>
      </c>
      <c r="V64">
        <f>U64+Original!V64</f>
        <v>90</v>
      </c>
      <c r="W64">
        <f>V64+Original!W64</f>
        <v>92</v>
      </c>
      <c r="X64">
        <f>W64+Original!X64</f>
        <v>94</v>
      </c>
      <c r="Y64">
        <f>X64+Original!Y64</f>
        <v>102</v>
      </c>
      <c r="Z64">
        <f>Y64+Original!Z64</f>
        <v>110</v>
      </c>
      <c r="AA64">
        <f>Z64+Original!AA64</f>
        <v>116</v>
      </c>
      <c r="AB64">
        <f>AA64+Original!AB64</f>
        <v>118</v>
      </c>
      <c r="AC64">
        <f>AB64+Original!AC64</f>
        <v>118</v>
      </c>
      <c r="AD64">
        <f>AC64+Original!AD64</f>
        <v>124</v>
      </c>
      <c r="AE64">
        <f>AD64+Original!AE64</f>
        <v>130</v>
      </c>
      <c r="AF64">
        <f>AE64+Original!AF64</f>
        <v>130</v>
      </c>
      <c r="AG64">
        <f>AF64+Original!AG64</f>
        <v>130</v>
      </c>
      <c r="AH64">
        <f>AG64+Original!AH64</f>
        <v>130</v>
      </c>
      <c r="AI64">
        <f>AH64+Original!AI64</f>
        <v>130</v>
      </c>
      <c r="AJ64">
        <f>AI64+Original!AJ64</f>
        <v>130</v>
      </c>
      <c r="AK64">
        <f>AJ64+Original!AK64</f>
        <v>130</v>
      </c>
      <c r="AL64">
        <f>AK64+Original!AL64</f>
        <v>130</v>
      </c>
      <c r="AM64">
        <f>AL64+Original!AM64</f>
        <v>130</v>
      </c>
      <c r="AN64">
        <f>AM64+Original!AN64</f>
        <v>130</v>
      </c>
      <c r="AO64">
        <f>AN64+Original!AO64</f>
        <v>130</v>
      </c>
      <c r="AP64">
        <f>AO64+Original!AP64</f>
        <v>130</v>
      </c>
      <c r="AQ64">
        <f>AP64+Original!AQ64</f>
        <v>130</v>
      </c>
      <c r="AR64">
        <f>AQ64+Original!AR64</f>
        <v>130</v>
      </c>
      <c r="AS64">
        <f>AR64+Original!AS64</f>
        <v>130</v>
      </c>
      <c r="AT64">
        <f>AS64+Original!AT64</f>
        <v>130</v>
      </c>
      <c r="AU64">
        <f>AT64+Original!AU64</f>
        <v>130</v>
      </c>
      <c r="AV64">
        <f>AU64+Original!AV64</f>
        <v>130</v>
      </c>
      <c r="AW64">
        <f>AV64+Original!AW64</f>
        <v>130</v>
      </c>
      <c r="AX64">
        <f>AW64+Original!AX64</f>
        <v>130</v>
      </c>
      <c r="AY64">
        <f>AX64+Original!AY64</f>
        <v>130</v>
      </c>
      <c r="AZ64">
        <f>AY64+Original!AZ64</f>
        <v>130</v>
      </c>
      <c r="BA64">
        <f>AZ64+Original!BA64</f>
        <v>130</v>
      </c>
      <c r="BB64">
        <f>BA64+Original!BB64</f>
        <v>130</v>
      </c>
      <c r="BC64">
        <f>BB64+Original!BC64</f>
        <v>130</v>
      </c>
      <c r="BD64">
        <f>BC64+Original!BD64</f>
        <v>130</v>
      </c>
      <c r="BE64">
        <f>BD64+Original!BE64</f>
        <v>130</v>
      </c>
      <c r="BF64">
        <f>BE64+Original!BF64</f>
        <v>130</v>
      </c>
      <c r="BG64">
        <f>BF64+Original!BG64</f>
        <v>130</v>
      </c>
      <c r="BH64">
        <f>BG64+Original!BH64</f>
        <v>130</v>
      </c>
      <c r="BI64">
        <f>BH64+Original!BI64</f>
        <v>130</v>
      </c>
      <c r="BJ64">
        <f>BI64+Original!BJ64</f>
        <v>130</v>
      </c>
      <c r="BK64">
        <f>BJ64+Original!BK64</f>
        <v>130</v>
      </c>
      <c r="BL64">
        <f>BK64+Original!BL64</f>
        <v>130</v>
      </c>
      <c r="BM64">
        <f>BL64+Original!BM64</f>
        <v>130</v>
      </c>
      <c r="BN64">
        <f>BM64+Original!BN64</f>
        <v>130</v>
      </c>
      <c r="BO64">
        <f>BN64+Original!BO64</f>
        <v>130</v>
      </c>
      <c r="BP64">
        <f>BO64+Original!BP64</f>
        <v>130</v>
      </c>
      <c r="BQ64">
        <f>BP64+Original!BQ64</f>
        <v>130</v>
      </c>
      <c r="BR64">
        <f>BQ64+Original!BR64</f>
        <v>130</v>
      </c>
      <c r="BS64">
        <f>BR64+Original!BS64</f>
        <v>130</v>
      </c>
      <c r="BT64">
        <f>BS64+Original!BT64</f>
        <v>130</v>
      </c>
      <c r="BU64">
        <f>BT64+Original!BU64</f>
        <v>130</v>
      </c>
      <c r="BV64">
        <f>BU64+Original!BV64</f>
        <v>130</v>
      </c>
      <c r="BW64">
        <f>BV64+Original!BW64</f>
        <v>130</v>
      </c>
    </row>
    <row r="65" spans="1:75" x14ac:dyDescent="0.25">
      <c r="A65" t="str">
        <f>Original!A65</f>
        <v>Álvaro Maia</v>
      </c>
      <c r="B65">
        <f>Original!B65</f>
        <v>128</v>
      </c>
      <c r="C65">
        <f>Original!C65</f>
        <v>8</v>
      </c>
      <c r="D65">
        <f>C65+Original!D65</f>
        <v>14</v>
      </c>
      <c r="E65">
        <f>D65+Original!E65</f>
        <v>20</v>
      </c>
      <c r="F65">
        <f>E65+Original!F65</f>
        <v>33</v>
      </c>
      <c r="G65">
        <f>F65+Original!G65</f>
        <v>33</v>
      </c>
      <c r="H65">
        <f>G65+Original!H65</f>
        <v>35</v>
      </c>
      <c r="I65">
        <f>H65+Original!I65</f>
        <v>41</v>
      </c>
      <c r="J65">
        <f>I65+Original!J65</f>
        <v>47</v>
      </c>
      <c r="K65">
        <f>J65+Original!K65</f>
        <v>47</v>
      </c>
      <c r="L65">
        <f>K65+Original!L65</f>
        <v>47</v>
      </c>
      <c r="M65">
        <f>L65+Original!M65</f>
        <v>55</v>
      </c>
      <c r="N65">
        <f>M65+Original!N65</f>
        <v>63</v>
      </c>
      <c r="O65">
        <f>N65+Original!O65</f>
        <v>76</v>
      </c>
      <c r="P65">
        <f>O65+Original!P65</f>
        <v>78</v>
      </c>
      <c r="Q65">
        <f>P65+Original!Q65</f>
        <v>84</v>
      </c>
      <c r="R65">
        <f>Q65+Original!R65</f>
        <v>92</v>
      </c>
      <c r="S65">
        <f>R65+Original!S65</f>
        <v>92</v>
      </c>
      <c r="T65">
        <f>S65+Original!T65</f>
        <v>92</v>
      </c>
      <c r="U65">
        <f>T65+Original!U65</f>
        <v>98</v>
      </c>
      <c r="V65">
        <f>U65+Original!V65</f>
        <v>98</v>
      </c>
      <c r="W65">
        <f>V65+Original!W65</f>
        <v>98</v>
      </c>
      <c r="X65">
        <f>W65+Original!X65</f>
        <v>100</v>
      </c>
      <c r="Y65">
        <f>X65+Original!Y65</f>
        <v>108</v>
      </c>
      <c r="Z65">
        <f>Y65+Original!Z65</f>
        <v>110</v>
      </c>
      <c r="AA65">
        <f>Z65+Original!AA65</f>
        <v>118</v>
      </c>
      <c r="AB65">
        <f>AA65+Original!AB65</f>
        <v>120</v>
      </c>
      <c r="AC65">
        <f>AB65+Original!AC65</f>
        <v>120</v>
      </c>
      <c r="AD65">
        <f>AC65+Original!AD65</f>
        <v>126</v>
      </c>
      <c r="AE65">
        <f>AD65+Original!AE65</f>
        <v>128</v>
      </c>
      <c r="AF65">
        <f>AE65+Original!AF65</f>
        <v>128</v>
      </c>
      <c r="AG65">
        <f>AF65+Original!AG65</f>
        <v>128</v>
      </c>
      <c r="AH65">
        <f>AG65+Original!AH65</f>
        <v>128</v>
      </c>
      <c r="AI65">
        <f>AH65+Original!AI65</f>
        <v>128</v>
      </c>
      <c r="AJ65">
        <f>AI65+Original!AJ65</f>
        <v>128</v>
      </c>
      <c r="AK65">
        <f>AJ65+Original!AK65</f>
        <v>128</v>
      </c>
      <c r="AL65">
        <f>AK65+Original!AL65</f>
        <v>128</v>
      </c>
      <c r="AM65">
        <f>AL65+Original!AM65</f>
        <v>128</v>
      </c>
      <c r="AN65">
        <f>AM65+Original!AN65</f>
        <v>128</v>
      </c>
      <c r="AO65">
        <f>AN65+Original!AO65</f>
        <v>128</v>
      </c>
      <c r="AP65">
        <f>AO65+Original!AP65</f>
        <v>128</v>
      </c>
      <c r="AQ65">
        <f>AP65+Original!AQ65</f>
        <v>128</v>
      </c>
      <c r="AR65">
        <f>AQ65+Original!AR65</f>
        <v>128</v>
      </c>
      <c r="AS65">
        <f>AR65+Original!AS65</f>
        <v>128</v>
      </c>
      <c r="AT65">
        <f>AS65+Original!AT65</f>
        <v>128</v>
      </c>
      <c r="AU65">
        <f>AT65+Original!AU65</f>
        <v>128</v>
      </c>
      <c r="AV65">
        <f>AU65+Original!AV65</f>
        <v>128</v>
      </c>
      <c r="AW65">
        <f>AV65+Original!AW65</f>
        <v>128</v>
      </c>
      <c r="AX65">
        <f>AW65+Original!AX65</f>
        <v>128</v>
      </c>
      <c r="AY65">
        <f>AX65+Original!AY65</f>
        <v>128</v>
      </c>
      <c r="AZ65">
        <f>AY65+Original!AZ65</f>
        <v>128</v>
      </c>
      <c r="BA65">
        <f>AZ65+Original!BA65</f>
        <v>128</v>
      </c>
      <c r="BB65">
        <f>BA65+Original!BB65</f>
        <v>128</v>
      </c>
      <c r="BC65">
        <f>BB65+Original!BC65</f>
        <v>128</v>
      </c>
      <c r="BD65">
        <f>BC65+Original!BD65</f>
        <v>128</v>
      </c>
      <c r="BE65">
        <f>BD65+Original!BE65</f>
        <v>128</v>
      </c>
      <c r="BF65">
        <f>BE65+Original!BF65</f>
        <v>128</v>
      </c>
      <c r="BG65">
        <f>BF65+Original!BG65</f>
        <v>128</v>
      </c>
      <c r="BH65">
        <f>BG65+Original!BH65</f>
        <v>128</v>
      </c>
      <c r="BI65">
        <f>BH65+Original!BI65</f>
        <v>128</v>
      </c>
      <c r="BJ65">
        <f>BI65+Original!BJ65</f>
        <v>128</v>
      </c>
      <c r="BK65">
        <f>BJ65+Original!BK65</f>
        <v>128</v>
      </c>
      <c r="BL65">
        <f>BK65+Original!BL65</f>
        <v>128</v>
      </c>
      <c r="BM65">
        <f>BL65+Original!BM65</f>
        <v>128</v>
      </c>
      <c r="BN65">
        <f>BM65+Original!BN65</f>
        <v>128</v>
      </c>
      <c r="BO65">
        <f>BN65+Original!BO65</f>
        <v>128</v>
      </c>
      <c r="BP65">
        <f>BO65+Original!BP65</f>
        <v>128</v>
      </c>
      <c r="BQ65">
        <f>BP65+Original!BQ65</f>
        <v>128</v>
      </c>
      <c r="BR65">
        <f>BQ65+Original!BR65</f>
        <v>128</v>
      </c>
      <c r="BS65">
        <f>BR65+Original!BS65</f>
        <v>128</v>
      </c>
      <c r="BT65">
        <f>BS65+Original!BT65</f>
        <v>128</v>
      </c>
      <c r="BU65">
        <f>BT65+Original!BU65</f>
        <v>128</v>
      </c>
      <c r="BV65">
        <f>BU65+Original!BV65</f>
        <v>128</v>
      </c>
      <c r="BW65">
        <f>BV65+Original!BW65</f>
        <v>128</v>
      </c>
    </row>
    <row r="66" spans="1:75" x14ac:dyDescent="0.25">
      <c r="A66" t="str">
        <f>Original!A66</f>
        <v>Faustino 1</v>
      </c>
      <c r="B66">
        <f>Original!B66</f>
        <v>128</v>
      </c>
      <c r="C66">
        <f>Original!C66</f>
        <v>8</v>
      </c>
      <c r="D66">
        <f>C66+Original!D66</f>
        <v>14</v>
      </c>
      <c r="E66">
        <f>D66+Original!E66</f>
        <v>20</v>
      </c>
      <c r="F66">
        <f>E66+Original!F66</f>
        <v>33</v>
      </c>
      <c r="G66">
        <f>F66+Original!G66</f>
        <v>33</v>
      </c>
      <c r="H66">
        <f>G66+Original!H66</f>
        <v>35</v>
      </c>
      <c r="I66">
        <f>H66+Original!I66</f>
        <v>41</v>
      </c>
      <c r="J66">
        <f>I66+Original!J66</f>
        <v>47</v>
      </c>
      <c r="K66">
        <f>J66+Original!K66</f>
        <v>47</v>
      </c>
      <c r="L66">
        <f>K66+Original!L66</f>
        <v>47</v>
      </c>
      <c r="M66">
        <f>L66+Original!M66</f>
        <v>53</v>
      </c>
      <c r="N66">
        <f>M66+Original!N66</f>
        <v>61</v>
      </c>
      <c r="O66">
        <f>N66+Original!O66</f>
        <v>69</v>
      </c>
      <c r="P66">
        <f>O66+Original!P66</f>
        <v>69</v>
      </c>
      <c r="Q66">
        <f>P66+Original!Q66</f>
        <v>77</v>
      </c>
      <c r="R66">
        <f>Q66+Original!R66</f>
        <v>83</v>
      </c>
      <c r="S66">
        <f>R66+Original!S66</f>
        <v>83</v>
      </c>
      <c r="T66">
        <f>S66+Original!T66</f>
        <v>83</v>
      </c>
      <c r="U66">
        <f>T66+Original!U66</f>
        <v>85</v>
      </c>
      <c r="V66">
        <f>U66+Original!V66</f>
        <v>85</v>
      </c>
      <c r="W66">
        <f>V66+Original!W66</f>
        <v>91</v>
      </c>
      <c r="X66">
        <f>W66+Original!X66</f>
        <v>97</v>
      </c>
      <c r="Y66">
        <f>X66+Original!Y66</f>
        <v>103</v>
      </c>
      <c r="Z66">
        <f>Y66+Original!Z66</f>
        <v>105</v>
      </c>
      <c r="AA66">
        <f>Z66+Original!AA66</f>
        <v>105</v>
      </c>
      <c r="AB66">
        <f>AA66+Original!AB66</f>
        <v>107</v>
      </c>
      <c r="AC66">
        <f>AB66+Original!AC66</f>
        <v>107</v>
      </c>
      <c r="AD66">
        <f>AC66+Original!AD66</f>
        <v>115</v>
      </c>
      <c r="AE66">
        <f>AD66+Original!AE66</f>
        <v>128</v>
      </c>
      <c r="AF66">
        <f>AE66+Original!AF66</f>
        <v>128</v>
      </c>
      <c r="AG66">
        <f>AF66+Original!AG66</f>
        <v>128</v>
      </c>
      <c r="AH66">
        <f>AG66+Original!AH66</f>
        <v>128</v>
      </c>
      <c r="AI66">
        <f>AH66+Original!AI66</f>
        <v>128</v>
      </c>
      <c r="AJ66">
        <f>AI66+Original!AJ66</f>
        <v>128</v>
      </c>
      <c r="AK66">
        <f>AJ66+Original!AK66</f>
        <v>128</v>
      </c>
      <c r="AL66">
        <f>AK66+Original!AL66</f>
        <v>128</v>
      </c>
      <c r="AM66">
        <f>AL66+Original!AM66</f>
        <v>128</v>
      </c>
      <c r="AN66">
        <f>AM66+Original!AN66</f>
        <v>128</v>
      </c>
      <c r="AO66">
        <f>AN66+Original!AO66</f>
        <v>128</v>
      </c>
      <c r="AP66">
        <f>AO66+Original!AP66</f>
        <v>128</v>
      </c>
      <c r="AQ66">
        <f>AP66+Original!AQ66</f>
        <v>128</v>
      </c>
      <c r="AR66">
        <f>AQ66+Original!AR66</f>
        <v>128</v>
      </c>
      <c r="AS66">
        <f>AR66+Original!AS66</f>
        <v>128</v>
      </c>
      <c r="AT66">
        <f>AS66+Original!AT66</f>
        <v>128</v>
      </c>
      <c r="AU66">
        <f>AT66+Original!AU66</f>
        <v>128</v>
      </c>
      <c r="AV66">
        <f>AU66+Original!AV66</f>
        <v>128</v>
      </c>
      <c r="AW66">
        <f>AV66+Original!AW66</f>
        <v>128</v>
      </c>
      <c r="AX66">
        <f>AW66+Original!AX66</f>
        <v>128</v>
      </c>
      <c r="AY66">
        <f>AX66+Original!AY66</f>
        <v>128</v>
      </c>
      <c r="AZ66">
        <f>AY66+Original!AZ66</f>
        <v>128</v>
      </c>
      <c r="BA66">
        <f>AZ66+Original!BA66</f>
        <v>128</v>
      </c>
      <c r="BB66">
        <f>BA66+Original!BB66</f>
        <v>128</v>
      </c>
      <c r="BC66">
        <f>BB66+Original!BC66</f>
        <v>128</v>
      </c>
      <c r="BD66">
        <f>BC66+Original!BD66</f>
        <v>128</v>
      </c>
      <c r="BE66">
        <f>BD66+Original!BE66</f>
        <v>128</v>
      </c>
      <c r="BF66">
        <f>BE66+Original!BF66</f>
        <v>128</v>
      </c>
      <c r="BG66">
        <f>BF66+Original!BG66</f>
        <v>128</v>
      </c>
      <c r="BH66">
        <f>BG66+Original!BH66</f>
        <v>128</v>
      </c>
      <c r="BI66">
        <f>BH66+Original!BI66</f>
        <v>128</v>
      </c>
      <c r="BJ66">
        <f>BI66+Original!BJ66</f>
        <v>128</v>
      </c>
      <c r="BK66">
        <f>BJ66+Original!BK66</f>
        <v>128</v>
      </c>
      <c r="BL66">
        <f>BK66+Original!BL66</f>
        <v>128</v>
      </c>
      <c r="BM66">
        <f>BL66+Original!BM66</f>
        <v>128</v>
      </c>
      <c r="BN66">
        <f>BM66+Original!BN66</f>
        <v>128</v>
      </c>
      <c r="BO66">
        <f>BN66+Original!BO66</f>
        <v>128</v>
      </c>
      <c r="BP66">
        <f>BO66+Original!BP66</f>
        <v>128</v>
      </c>
      <c r="BQ66">
        <f>BP66+Original!BQ66</f>
        <v>128</v>
      </c>
      <c r="BR66">
        <f>BQ66+Original!BR66</f>
        <v>128</v>
      </c>
      <c r="BS66">
        <f>BR66+Original!BS66</f>
        <v>128</v>
      </c>
      <c r="BT66">
        <f>BS66+Original!BT66</f>
        <v>128</v>
      </c>
      <c r="BU66">
        <f>BT66+Original!BU66</f>
        <v>128</v>
      </c>
      <c r="BV66">
        <f>BU66+Original!BV66</f>
        <v>128</v>
      </c>
      <c r="BW66">
        <f>BV66+Original!BW66</f>
        <v>128</v>
      </c>
    </row>
    <row r="67" spans="1:75" x14ac:dyDescent="0.25">
      <c r="A67" t="str">
        <f>Original!A67</f>
        <v>Lucas Schubach</v>
      </c>
      <c r="B67">
        <f>Original!B67</f>
        <v>128</v>
      </c>
      <c r="C67">
        <f>Original!C67</f>
        <v>8</v>
      </c>
      <c r="D67">
        <f>C67+Original!D67</f>
        <v>14</v>
      </c>
      <c r="E67">
        <f>D67+Original!E67</f>
        <v>14</v>
      </c>
      <c r="F67">
        <f>E67+Original!F67</f>
        <v>27</v>
      </c>
      <c r="G67">
        <f>F67+Original!G67</f>
        <v>27</v>
      </c>
      <c r="H67">
        <f>G67+Original!H67</f>
        <v>29</v>
      </c>
      <c r="I67">
        <f>H67+Original!I67</f>
        <v>31</v>
      </c>
      <c r="J67">
        <f>I67+Original!J67</f>
        <v>37</v>
      </c>
      <c r="K67">
        <f>J67+Original!K67</f>
        <v>39</v>
      </c>
      <c r="L67">
        <f>K67+Original!L67</f>
        <v>39</v>
      </c>
      <c r="M67">
        <f>L67+Original!M67</f>
        <v>45</v>
      </c>
      <c r="N67">
        <f>M67+Original!N67</f>
        <v>51</v>
      </c>
      <c r="O67">
        <f>N67+Original!O67</f>
        <v>51</v>
      </c>
      <c r="P67">
        <f>O67+Original!P67</f>
        <v>53</v>
      </c>
      <c r="Q67">
        <f>P67+Original!Q67</f>
        <v>55</v>
      </c>
      <c r="R67">
        <f>Q67+Original!R67</f>
        <v>63</v>
      </c>
      <c r="S67">
        <f>R67+Original!S67</f>
        <v>63</v>
      </c>
      <c r="T67">
        <f>S67+Original!T67</f>
        <v>63</v>
      </c>
      <c r="U67">
        <f>T67+Original!U67</f>
        <v>76</v>
      </c>
      <c r="V67">
        <f>U67+Original!V67</f>
        <v>78</v>
      </c>
      <c r="W67">
        <f>V67+Original!W67</f>
        <v>80</v>
      </c>
      <c r="X67">
        <f>W67+Original!X67</f>
        <v>80</v>
      </c>
      <c r="Y67">
        <f>X67+Original!Y67</f>
        <v>93</v>
      </c>
      <c r="Z67">
        <f>Y67+Original!Z67</f>
        <v>106</v>
      </c>
      <c r="AA67">
        <f>Z67+Original!AA67</f>
        <v>114</v>
      </c>
      <c r="AB67">
        <f>AA67+Original!AB67</f>
        <v>114</v>
      </c>
      <c r="AC67">
        <f>AB67+Original!AC67</f>
        <v>114</v>
      </c>
      <c r="AD67">
        <f>AC67+Original!AD67</f>
        <v>122</v>
      </c>
      <c r="AE67">
        <f>AD67+Original!AE67</f>
        <v>128</v>
      </c>
      <c r="AF67">
        <f>AE67+Original!AF67</f>
        <v>128</v>
      </c>
      <c r="AG67">
        <f>AF67+Original!AG67</f>
        <v>128</v>
      </c>
      <c r="AH67">
        <f>AG67+Original!AH67</f>
        <v>128</v>
      </c>
      <c r="AI67">
        <f>AH67+Original!AI67</f>
        <v>128</v>
      </c>
      <c r="AJ67">
        <f>AI67+Original!AJ67</f>
        <v>128</v>
      </c>
      <c r="AK67">
        <f>AJ67+Original!AK67</f>
        <v>128</v>
      </c>
      <c r="AL67">
        <f>AK67+Original!AL67</f>
        <v>128</v>
      </c>
      <c r="AM67">
        <f>AL67+Original!AM67</f>
        <v>128</v>
      </c>
      <c r="AN67">
        <f>AM67+Original!AN67</f>
        <v>128</v>
      </c>
      <c r="AO67">
        <f>AN67+Original!AO67</f>
        <v>128</v>
      </c>
      <c r="AP67">
        <f>AO67+Original!AP67</f>
        <v>128</v>
      </c>
      <c r="AQ67">
        <f>AP67+Original!AQ67</f>
        <v>128</v>
      </c>
      <c r="AR67">
        <f>AQ67+Original!AR67</f>
        <v>128</v>
      </c>
      <c r="AS67">
        <f>AR67+Original!AS67</f>
        <v>128</v>
      </c>
      <c r="AT67">
        <f>AS67+Original!AT67</f>
        <v>128</v>
      </c>
      <c r="AU67">
        <f>AT67+Original!AU67</f>
        <v>128</v>
      </c>
      <c r="AV67">
        <f>AU67+Original!AV67</f>
        <v>128</v>
      </c>
      <c r="AW67">
        <f>AV67+Original!AW67</f>
        <v>128</v>
      </c>
      <c r="AX67">
        <f>AW67+Original!AX67</f>
        <v>128</v>
      </c>
      <c r="AY67">
        <f>AX67+Original!AY67</f>
        <v>128</v>
      </c>
      <c r="AZ67">
        <f>AY67+Original!AZ67</f>
        <v>128</v>
      </c>
      <c r="BA67">
        <f>AZ67+Original!BA67</f>
        <v>128</v>
      </c>
      <c r="BB67">
        <f>BA67+Original!BB67</f>
        <v>128</v>
      </c>
      <c r="BC67">
        <f>BB67+Original!BC67</f>
        <v>128</v>
      </c>
      <c r="BD67">
        <f>BC67+Original!BD67</f>
        <v>128</v>
      </c>
      <c r="BE67">
        <f>BD67+Original!BE67</f>
        <v>128</v>
      </c>
      <c r="BF67">
        <f>BE67+Original!BF67</f>
        <v>128</v>
      </c>
      <c r="BG67">
        <f>BF67+Original!BG67</f>
        <v>128</v>
      </c>
      <c r="BH67">
        <f>BG67+Original!BH67</f>
        <v>128</v>
      </c>
      <c r="BI67">
        <f>BH67+Original!BI67</f>
        <v>128</v>
      </c>
      <c r="BJ67">
        <f>BI67+Original!BJ67</f>
        <v>128</v>
      </c>
      <c r="BK67">
        <f>BJ67+Original!BK67</f>
        <v>128</v>
      </c>
      <c r="BL67">
        <f>BK67+Original!BL67</f>
        <v>128</v>
      </c>
      <c r="BM67">
        <f>BL67+Original!BM67</f>
        <v>128</v>
      </c>
      <c r="BN67">
        <f>BM67+Original!BN67</f>
        <v>128</v>
      </c>
      <c r="BO67">
        <f>BN67+Original!BO67</f>
        <v>128</v>
      </c>
      <c r="BP67">
        <f>BO67+Original!BP67</f>
        <v>128</v>
      </c>
      <c r="BQ67">
        <f>BP67+Original!BQ67</f>
        <v>128</v>
      </c>
      <c r="BR67">
        <f>BQ67+Original!BR67</f>
        <v>128</v>
      </c>
      <c r="BS67">
        <f>BR67+Original!BS67</f>
        <v>128</v>
      </c>
      <c r="BT67">
        <f>BS67+Original!BT67</f>
        <v>128</v>
      </c>
      <c r="BU67">
        <f>BT67+Original!BU67</f>
        <v>128</v>
      </c>
      <c r="BV67">
        <f>BU67+Original!BV67</f>
        <v>128</v>
      </c>
      <c r="BW67">
        <f>BV67+Original!BW67</f>
        <v>128</v>
      </c>
    </row>
    <row r="68" spans="1:75" x14ac:dyDescent="0.25">
      <c r="A68" t="str">
        <f>Original!A68</f>
        <v>Pedro Gouveia</v>
      </c>
      <c r="B68">
        <f>Original!B68</f>
        <v>128</v>
      </c>
      <c r="C68">
        <f>Original!C68</f>
        <v>2</v>
      </c>
      <c r="D68">
        <f>C68+Original!D68</f>
        <v>8</v>
      </c>
      <c r="E68">
        <f>D68+Original!E68</f>
        <v>16</v>
      </c>
      <c r="F68">
        <f>E68+Original!F68</f>
        <v>29</v>
      </c>
      <c r="G68">
        <f>F68+Original!G68</f>
        <v>29</v>
      </c>
      <c r="H68">
        <f>G68+Original!H68</f>
        <v>31</v>
      </c>
      <c r="I68">
        <f>H68+Original!I68</f>
        <v>31</v>
      </c>
      <c r="J68">
        <f>I68+Original!J68</f>
        <v>39</v>
      </c>
      <c r="K68">
        <f>J68+Original!K68</f>
        <v>41</v>
      </c>
      <c r="L68">
        <f>K68+Original!L68</f>
        <v>41</v>
      </c>
      <c r="M68">
        <f>L68+Original!M68</f>
        <v>49</v>
      </c>
      <c r="N68">
        <f>M68+Original!N68</f>
        <v>55</v>
      </c>
      <c r="O68">
        <f>N68+Original!O68</f>
        <v>68</v>
      </c>
      <c r="P68">
        <f>O68+Original!P68</f>
        <v>68</v>
      </c>
      <c r="Q68">
        <f>P68+Original!Q68</f>
        <v>74</v>
      </c>
      <c r="R68">
        <f>Q68+Original!R68</f>
        <v>87</v>
      </c>
      <c r="S68">
        <f>R68+Original!S68</f>
        <v>87</v>
      </c>
      <c r="T68">
        <f>S68+Original!T68</f>
        <v>87</v>
      </c>
      <c r="U68">
        <f>T68+Original!U68</f>
        <v>100</v>
      </c>
      <c r="V68">
        <f>U68+Original!V68</f>
        <v>100</v>
      </c>
      <c r="W68">
        <f>V68+Original!W68</f>
        <v>100</v>
      </c>
      <c r="X68">
        <f>W68+Original!X68</f>
        <v>100</v>
      </c>
      <c r="Y68">
        <f>X68+Original!Y68</f>
        <v>108</v>
      </c>
      <c r="Z68">
        <f>Y68+Original!Z68</f>
        <v>110</v>
      </c>
      <c r="AA68">
        <f>Z68+Original!AA68</f>
        <v>116</v>
      </c>
      <c r="AB68">
        <f>AA68+Original!AB68</f>
        <v>116</v>
      </c>
      <c r="AC68">
        <f>AB68+Original!AC68</f>
        <v>116</v>
      </c>
      <c r="AD68">
        <f>AC68+Original!AD68</f>
        <v>122</v>
      </c>
      <c r="AE68">
        <f>AD68+Original!AE68</f>
        <v>128</v>
      </c>
      <c r="AF68">
        <f>AE68+Original!AF68</f>
        <v>128</v>
      </c>
      <c r="AG68">
        <f>AF68+Original!AG68</f>
        <v>128</v>
      </c>
      <c r="AH68">
        <f>AG68+Original!AH68</f>
        <v>128</v>
      </c>
      <c r="AI68">
        <f>AH68+Original!AI68</f>
        <v>128</v>
      </c>
      <c r="AJ68">
        <f>AI68+Original!AJ68</f>
        <v>128</v>
      </c>
      <c r="AK68">
        <f>AJ68+Original!AK68</f>
        <v>128</v>
      </c>
      <c r="AL68">
        <f>AK68+Original!AL68</f>
        <v>128</v>
      </c>
      <c r="AM68">
        <f>AL68+Original!AM68</f>
        <v>128</v>
      </c>
      <c r="AN68">
        <f>AM68+Original!AN68</f>
        <v>128</v>
      </c>
      <c r="AO68">
        <f>AN68+Original!AO68</f>
        <v>128</v>
      </c>
      <c r="AP68">
        <f>AO68+Original!AP68</f>
        <v>128</v>
      </c>
      <c r="AQ68">
        <f>AP68+Original!AQ68</f>
        <v>128</v>
      </c>
      <c r="AR68">
        <f>AQ68+Original!AR68</f>
        <v>128</v>
      </c>
      <c r="AS68">
        <f>AR68+Original!AS68</f>
        <v>128</v>
      </c>
      <c r="AT68">
        <f>AS68+Original!AT68</f>
        <v>128</v>
      </c>
      <c r="AU68">
        <f>AT68+Original!AU68</f>
        <v>128</v>
      </c>
      <c r="AV68">
        <f>AU68+Original!AV68</f>
        <v>128</v>
      </c>
      <c r="AW68">
        <f>AV68+Original!AW68</f>
        <v>128</v>
      </c>
      <c r="AX68">
        <f>AW68+Original!AX68</f>
        <v>128</v>
      </c>
      <c r="AY68">
        <f>AX68+Original!AY68</f>
        <v>128</v>
      </c>
      <c r="AZ68">
        <f>AY68+Original!AZ68</f>
        <v>128</v>
      </c>
      <c r="BA68">
        <f>AZ68+Original!BA68</f>
        <v>128</v>
      </c>
      <c r="BB68">
        <f>BA68+Original!BB68</f>
        <v>128</v>
      </c>
      <c r="BC68">
        <f>BB68+Original!BC68</f>
        <v>128</v>
      </c>
      <c r="BD68">
        <f>BC68+Original!BD68</f>
        <v>128</v>
      </c>
      <c r="BE68">
        <f>BD68+Original!BE68</f>
        <v>128</v>
      </c>
      <c r="BF68">
        <f>BE68+Original!BF68</f>
        <v>128</v>
      </c>
      <c r="BG68">
        <f>BF68+Original!BG68</f>
        <v>128</v>
      </c>
      <c r="BH68">
        <f>BG68+Original!BH68</f>
        <v>128</v>
      </c>
      <c r="BI68">
        <f>BH68+Original!BI68</f>
        <v>128</v>
      </c>
      <c r="BJ68">
        <f>BI68+Original!BJ68</f>
        <v>128</v>
      </c>
      <c r="BK68">
        <f>BJ68+Original!BK68</f>
        <v>128</v>
      </c>
      <c r="BL68">
        <f>BK68+Original!BL68</f>
        <v>128</v>
      </c>
      <c r="BM68">
        <f>BL68+Original!BM68</f>
        <v>128</v>
      </c>
      <c r="BN68">
        <f>BM68+Original!BN68</f>
        <v>128</v>
      </c>
      <c r="BO68">
        <f>BN68+Original!BO68</f>
        <v>128</v>
      </c>
      <c r="BP68">
        <f>BO68+Original!BP68</f>
        <v>128</v>
      </c>
      <c r="BQ68">
        <f>BP68+Original!BQ68</f>
        <v>128</v>
      </c>
      <c r="BR68">
        <f>BQ68+Original!BR68</f>
        <v>128</v>
      </c>
      <c r="BS68">
        <f>BR68+Original!BS68</f>
        <v>128</v>
      </c>
      <c r="BT68">
        <f>BS68+Original!BT68</f>
        <v>128</v>
      </c>
      <c r="BU68">
        <f>BT68+Original!BU68</f>
        <v>128</v>
      </c>
      <c r="BV68">
        <f>BU68+Original!BV68</f>
        <v>128</v>
      </c>
      <c r="BW68">
        <f>BV68+Original!BW68</f>
        <v>128</v>
      </c>
    </row>
    <row r="69" spans="1:75" x14ac:dyDescent="0.25">
      <c r="A69" t="str">
        <f>Original!A69</f>
        <v>Renato Avila</v>
      </c>
      <c r="B69">
        <f>Original!B69</f>
        <v>128</v>
      </c>
      <c r="C69">
        <f>Original!C69</f>
        <v>8</v>
      </c>
      <c r="D69">
        <f>C69+Original!D69</f>
        <v>14</v>
      </c>
      <c r="E69">
        <f>D69+Original!E69</f>
        <v>22</v>
      </c>
      <c r="F69">
        <f>E69+Original!F69</f>
        <v>35</v>
      </c>
      <c r="G69">
        <f>F69+Original!G69</f>
        <v>35</v>
      </c>
      <c r="H69">
        <f>G69+Original!H69</f>
        <v>35</v>
      </c>
      <c r="I69">
        <f>H69+Original!I69</f>
        <v>35</v>
      </c>
      <c r="J69">
        <f>I69+Original!J69</f>
        <v>43</v>
      </c>
      <c r="K69">
        <f>J69+Original!K69</f>
        <v>43</v>
      </c>
      <c r="L69">
        <f>K69+Original!L69</f>
        <v>43</v>
      </c>
      <c r="M69">
        <f>L69+Original!M69</f>
        <v>51</v>
      </c>
      <c r="N69">
        <f>M69+Original!N69</f>
        <v>57</v>
      </c>
      <c r="O69">
        <f>N69+Original!O69</f>
        <v>63</v>
      </c>
      <c r="P69">
        <f>O69+Original!P69</f>
        <v>63</v>
      </c>
      <c r="Q69">
        <f>P69+Original!Q69</f>
        <v>71</v>
      </c>
      <c r="R69">
        <f>Q69+Original!R69</f>
        <v>79</v>
      </c>
      <c r="S69">
        <f>R69+Original!S69</f>
        <v>79</v>
      </c>
      <c r="T69">
        <f>S69+Original!T69</f>
        <v>81</v>
      </c>
      <c r="U69">
        <f>T69+Original!U69</f>
        <v>89</v>
      </c>
      <c r="V69">
        <f>U69+Original!V69</f>
        <v>91</v>
      </c>
      <c r="W69">
        <f>V69+Original!W69</f>
        <v>93</v>
      </c>
      <c r="X69">
        <f>W69+Original!X69</f>
        <v>95</v>
      </c>
      <c r="Y69">
        <f>X69+Original!Y69</f>
        <v>103</v>
      </c>
      <c r="Z69">
        <f>Y69+Original!Z69</f>
        <v>105</v>
      </c>
      <c r="AA69">
        <f>Z69+Original!AA69</f>
        <v>107</v>
      </c>
      <c r="AB69">
        <f>AA69+Original!AB69</f>
        <v>107</v>
      </c>
      <c r="AC69">
        <f>AB69+Original!AC69</f>
        <v>107</v>
      </c>
      <c r="AD69">
        <f>AC69+Original!AD69</f>
        <v>115</v>
      </c>
      <c r="AE69">
        <f>AD69+Original!AE69</f>
        <v>128</v>
      </c>
      <c r="AF69">
        <f>AE69+Original!AF69</f>
        <v>128</v>
      </c>
      <c r="AG69">
        <f>AF69+Original!AG69</f>
        <v>128</v>
      </c>
      <c r="AH69">
        <f>AG69+Original!AH69</f>
        <v>128</v>
      </c>
      <c r="AI69">
        <f>AH69+Original!AI69</f>
        <v>128</v>
      </c>
      <c r="AJ69">
        <f>AI69+Original!AJ69</f>
        <v>128</v>
      </c>
      <c r="AK69">
        <f>AJ69+Original!AK69</f>
        <v>128</v>
      </c>
      <c r="AL69">
        <f>AK69+Original!AL69</f>
        <v>128</v>
      </c>
      <c r="AM69">
        <f>AL69+Original!AM69</f>
        <v>128</v>
      </c>
      <c r="AN69">
        <f>AM69+Original!AN69</f>
        <v>128</v>
      </c>
      <c r="AO69">
        <f>AN69+Original!AO69</f>
        <v>128</v>
      </c>
      <c r="AP69">
        <f>AO69+Original!AP69</f>
        <v>128</v>
      </c>
      <c r="AQ69">
        <f>AP69+Original!AQ69</f>
        <v>128</v>
      </c>
      <c r="AR69">
        <f>AQ69+Original!AR69</f>
        <v>128</v>
      </c>
      <c r="AS69">
        <f>AR69+Original!AS69</f>
        <v>128</v>
      </c>
      <c r="AT69">
        <f>AS69+Original!AT69</f>
        <v>128</v>
      </c>
      <c r="AU69">
        <f>AT69+Original!AU69</f>
        <v>128</v>
      </c>
      <c r="AV69">
        <f>AU69+Original!AV69</f>
        <v>128</v>
      </c>
      <c r="AW69">
        <f>AV69+Original!AW69</f>
        <v>128</v>
      </c>
      <c r="AX69">
        <f>AW69+Original!AX69</f>
        <v>128</v>
      </c>
      <c r="AY69">
        <f>AX69+Original!AY69</f>
        <v>128</v>
      </c>
      <c r="AZ69">
        <f>AY69+Original!AZ69</f>
        <v>128</v>
      </c>
      <c r="BA69">
        <f>AZ69+Original!BA69</f>
        <v>128</v>
      </c>
      <c r="BB69">
        <f>BA69+Original!BB69</f>
        <v>128</v>
      </c>
      <c r="BC69">
        <f>BB69+Original!BC69</f>
        <v>128</v>
      </c>
      <c r="BD69">
        <f>BC69+Original!BD69</f>
        <v>128</v>
      </c>
      <c r="BE69">
        <f>BD69+Original!BE69</f>
        <v>128</v>
      </c>
      <c r="BF69">
        <f>BE69+Original!BF69</f>
        <v>128</v>
      </c>
      <c r="BG69">
        <f>BF69+Original!BG69</f>
        <v>128</v>
      </c>
      <c r="BH69">
        <f>BG69+Original!BH69</f>
        <v>128</v>
      </c>
      <c r="BI69">
        <f>BH69+Original!BI69</f>
        <v>128</v>
      </c>
      <c r="BJ69">
        <f>BI69+Original!BJ69</f>
        <v>128</v>
      </c>
      <c r="BK69">
        <f>BJ69+Original!BK69</f>
        <v>128</v>
      </c>
      <c r="BL69">
        <f>BK69+Original!BL69</f>
        <v>128</v>
      </c>
      <c r="BM69">
        <f>BL69+Original!BM69</f>
        <v>128</v>
      </c>
      <c r="BN69">
        <f>BM69+Original!BN69</f>
        <v>128</v>
      </c>
      <c r="BO69">
        <f>BN69+Original!BO69</f>
        <v>128</v>
      </c>
      <c r="BP69">
        <f>BO69+Original!BP69</f>
        <v>128</v>
      </c>
      <c r="BQ69">
        <f>BP69+Original!BQ69</f>
        <v>128</v>
      </c>
      <c r="BR69">
        <f>BQ69+Original!BR69</f>
        <v>128</v>
      </c>
      <c r="BS69">
        <f>BR69+Original!BS69</f>
        <v>128</v>
      </c>
      <c r="BT69">
        <f>BS69+Original!BT69</f>
        <v>128</v>
      </c>
      <c r="BU69">
        <f>BT69+Original!BU69</f>
        <v>128</v>
      </c>
      <c r="BV69">
        <f>BU69+Original!BV69</f>
        <v>128</v>
      </c>
      <c r="BW69">
        <f>BV69+Original!BW69</f>
        <v>128</v>
      </c>
    </row>
    <row r="70" spans="1:75" x14ac:dyDescent="0.25">
      <c r="A70" t="str">
        <f>Original!A70</f>
        <v>Emerentino Quadro</v>
      </c>
      <c r="B70">
        <f>Original!B70</f>
        <v>127</v>
      </c>
      <c r="C70">
        <f>Original!C70</f>
        <v>8</v>
      </c>
      <c r="D70">
        <f>C70+Original!D70</f>
        <v>14</v>
      </c>
      <c r="E70">
        <f>D70+Original!E70</f>
        <v>20</v>
      </c>
      <c r="F70">
        <f>E70+Original!F70</f>
        <v>22</v>
      </c>
      <c r="G70">
        <f>F70+Original!G70</f>
        <v>22</v>
      </c>
      <c r="H70">
        <f>G70+Original!H70</f>
        <v>24</v>
      </c>
      <c r="I70">
        <f>H70+Original!I70</f>
        <v>26</v>
      </c>
      <c r="J70">
        <f>I70+Original!J70</f>
        <v>34</v>
      </c>
      <c r="K70">
        <f>J70+Original!K70</f>
        <v>34</v>
      </c>
      <c r="L70">
        <f>K70+Original!L70</f>
        <v>34</v>
      </c>
      <c r="M70">
        <f>L70+Original!M70</f>
        <v>42</v>
      </c>
      <c r="N70">
        <f>M70+Original!N70</f>
        <v>50</v>
      </c>
      <c r="O70">
        <f>N70+Original!O70</f>
        <v>50</v>
      </c>
      <c r="P70">
        <f>O70+Original!P70</f>
        <v>52</v>
      </c>
      <c r="Q70">
        <f>P70+Original!Q70</f>
        <v>58</v>
      </c>
      <c r="R70">
        <f>Q70+Original!R70</f>
        <v>66</v>
      </c>
      <c r="S70">
        <f>R70+Original!S70</f>
        <v>66</v>
      </c>
      <c r="T70">
        <f>S70+Original!T70</f>
        <v>66</v>
      </c>
      <c r="U70">
        <f>T70+Original!U70</f>
        <v>74</v>
      </c>
      <c r="V70">
        <f>U70+Original!V70</f>
        <v>74</v>
      </c>
      <c r="W70">
        <f>V70+Original!W70</f>
        <v>74</v>
      </c>
      <c r="X70">
        <f>W70+Original!X70</f>
        <v>82</v>
      </c>
      <c r="Y70">
        <f>X70+Original!Y70</f>
        <v>90</v>
      </c>
      <c r="Z70">
        <f>Y70+Original!Z70</f>
        <v>98</v>
      </c>
      <c r="AA70">
        <f>Z70+Original!AA70</f>
        <v>106</v>
      </c>
      <c r="AB70">
        <f>AA70+Original!AB70</f>
        <v>119</v>
      </c>
      <c r="AC70">
        <f>AB70+Original!AC70</f>
        <v>119</v>
      </c>
      <c r="AD70">
        <f>AC70+Original!AD70</f>
        <v>125</v>
      </c>
      <c r="AE70">
        <f>AD70+Original!AE70</f>
        <v>127</v>
      </c>
      <c r="AF70">
        <f>AE70+Original!AF70</f>
        <v>127</v>
      </c>
      <c r="AG70">
        <f>AF70+Original!AG70</f>
        <v>127</v>
      </c>
      <c r="AH70">
        <f>AG70+Original!AH70</f>
        <v>127</v>
      </c>
      <c r="AI70">
        <f>AH70+Original!AI70</f>
        <v>127</v>
      </c>
      <c r="AJ70">
        <f>AI70+Original!AJ70</f>
        <v>127</v>
      </c>
      <c r="AK70">
        <f>AJ70+Original!AK70</f>
        <v>127</v>
      </c>
      <c r="AL70">
        <f>AK70+Original!AL70</f>
        <v>127</v>
      </c>
      <c r="AM70">
        <f>AL70+Original!AM70</f>
        <v>127</v>
      </c>
      <c r="AN70">
        <f>AM70+Original!AN70</f>
        <v>127</v>
      </c>
      <c r="AO70">
        <f>AN70+Original!AO70</f>
        <v>127</v>
      </c>
      <c r="AP70">
        <f>AO70+Original!AP70</f>
        <v>127</v>
      </c>
      <c r="AQ70">
        <f>AP70+Original!AQ70</f>
        <v>127</v>
      </c>
      <c r="AR70">
        <f>AQ70+Original!AR70</f>
        <v>127</v>
      </c>
      <c r="AS70">
        <f>AR70+Original!AS70</f>
        <v>127</v>
      </c>
      <c r="AT70">
        <f>AS70+Original!AT70</f>
        <v>127</v>
      </c>
      <c r="AU70">
        <f>AT70+Original!AU70</f>
        <v>127</v>
      </c>
      <c r="AV70">
        <f>AU70+Original!AV70</f>
        <v>127</v>
      </c>
      <c r="AW70">
        <f>AV70+Original!AW70</f>
        <v>127</v>
      </c>
      <c r="AX70">
        <f>AW70+Original!AX70</f>
        <v>127</v>
      </c>
      <c r="AY70">
        <f>AX70+Original!AY70</f>
        <v>127</v>
      </c>
      <c r="AZ70">
        <f>AY70+Original!AZ70</f>
        <v>127</v>
      </c>
      <c r="BA70">
        <f>AZ70+Original!BA70</f>
        <v>127</v>
      </c>
      <c r="BB70">
        <f>BA70+Original!BB70</f>
        <v>127</v>
      </c>
      <c r="BC70">
        <f>BB70+Original!BC70</f>
        <v>127</v>
      </c>
      <c r="BD70">
        <f>BC70+Original!BD70</f>
        <v>127</v>
      </c>
      <c r="BE70">
        <f>BD70+Original!BE70</f>
        <v>127</v>
      </c>
      <c r="BF70">
        <f>BE70+Original!BF70</f>
        <v>127</v>
      </c>
      <c r="BG70">
        <f>BF70+Original!BG70</f>
        <v>127</v>
      </c>
      <c r="BH70">
        <f>BG70+Original!BH70</f>
        <v>127</v>
      </c>
      <c r="BI70">
        <f>BH70+Original!BI70</f>
        <v>127</v>
      </c>
      <c r="BJ70">
        <f>BI70+Original!BJ70</f>
        <v>127</v>
      </c>
      <c r="BK70">
        <f>BJ70+Original!BK70</f>
        <v>127</v>
      </c>
      <c r="BL70">
        <f>BK70+Original!BL70</f>
        <v>127</v>
      </c>
      <c r="BM70">
        <f>BL70+Original!BM70</f>
        <v>127</v>
      </c>
      <c r="BN70">
        <f>BM70+Original!BN70</f>
        <v>127</v>
      </c>
      <c r="BO70">
        <f>BN70+Original!BO70</f>
        <v>127</v>
      </c>
      <c r="BP70">
        <f>BO70+Original!BP70</f>
        <v>127</v>
      </c>
      <c r="BQ70">
        <f>BP70+Original!BQ70</f>
        <v>127</v>
      </c>
      <c r="BR70">
        <f>BQ70+Original!BR70</f>
        <v>127</v>
      </c>
      <c r="BS70">
        <f>BR70+Original!BS70</f>
        <v>127</v>
      </c>
      <c r="BT70">
        <f>BS70+Original!BT70</f>
        <v>127</v>
      </c>
      <c r="BU70">
        <f>BT70+Original!BU70</f>
        <v>127</v>
      </c>
      <c r="BV70">
        <f>BU70+Original!BV70</f>
        <v>127</v>
      </c>
      <c r="BW70">
        <f>BV70+Original!BW70</f>
        <v>127</v>
      </c>
    </row>
    <row r="71" spans="1:75" x14ac:dyDescent="0.25">
      <c r="A71" t="str">
        <f>Original!A71</f>
        <v>Clecia Paloma</v>
      </c>
      <c r="B71">
        <f>Original!B71</f>
        <v>126</v>
      </c>
      <c r="C71">
        <f>Original!C71</f>
        <v>0</v>
      </c>
      <c r="D71">
        <f>C71+Original!D71</f>
        <v>6</v>
      </c>
      <c r="E71">
        <f>D71+Original!E71</f>
        <v>14</v>
      </c>
      <c r="F71">
        <f>E71+Original!F71</f>
        <v>16</v>
      </c>
      <c r="G71">
        <f>F71+Original!G71</f>
        <v>16</v>
      </c>
      <c r="H71">
        <f>G71+Original!H71</f>
        <v>18</v>
      </c>
      <c r="I71">
        <f>H71+Original!I71</f>
        <v>18</v>
      </c>
      <c r="J71">
        <f>I71+Original!J71</f>
        <v>26</v>
      </c>
      <c r="K71">
        <f>J71+Original!K71</f>
        <v>28</v>
      </c>
      <c r="L71">
        <f>K71+Original!L71</f>
        <v>28</v>
      </c>
      <c r="M71">
        <f>L71+Original!M71</f>
        <v>36</v>
      </c>
      <c r="N71">
        <f>M71+Original!N71</f>
        <v>44</v>
      </c>
      <c r="O71">
        <f>N71+Original!O71</f>
        <v>57</v>
      </c>
      <c r="P71">
        <f>O71+Original!P71</f>
        <v>57</v>
      </c>
      <c r="Q71">
        <f>P71+Original!Q71</f>
        <v>63</v>
      </c>
      <c r="R71">
        <f>Q71+Original!R71</f>
        <v>71</v>
      </c>
      <c r="S71">
        <f>R71+Original!S71</f>
        <v>71</v>
      </c>
      <c r="T71">
        <f>S71+Original!T71</f>
        <v>79</v>
      </c>
      <c r="U71">
        <f>T71+Original!U71</f>
        <v>85</v>
      </c>
      <c r="V71">
        <f>U71+Original!V71</f>
        <v>87</v>
      </c>
      <c r="W71">
        <f>V71+Original!W71</f>
        <v>87</v>
      </c>
      <c r="X71">
        <f>W71+Original!X71</f>
        <v>89</v>
      </c>
      <c r="Y71">
        <f>X71+Original!Y71</f>
        <v>95</v>
      </c>
      <c r="Z71">
        <f>Y71+Original!Z71</f>
        <v>108</v>
      </c>
      <c r="AA71">
        <f>Z71+Original!AA71</f>
        <v>114</v>
      </c>
      <c r="AB71">
        <f>AA71+Original!AB71</f>
        <v>114</v>
      </c>
      <c r="AC71">
        <f>AB71+Original!AC71</f>
        <v>114</v>
      </c>
      <c r="AD71">
        <f>AC71+Original!AD71</f>
        <v>120</v>
      </c>
      <c r="AE71">
        <f>AD71+Original!AE71</f>
        <v>126</v>
      </c>
      <c r="AF71">
        <f>AE71+Original!AF71</f>
        <v>126</v>
      </c>
      <c r="AG71">
        <f>AF71+Original!AG71</f>
        <v>126</v>
      </c>
      <c r="AH71">
        <f>AG71+Original!AH71</f>
        <v>126</v>
      </c>
      <c r="AI71">
        <f>AH71+Original!AI71</f>
        <v>126</v>
      </c>
      <c r="AJ71">
        <f>AI71+Original!AJ71</f>
        <v>126</v>
      </c>
      <c r="AK71">
        <f>AJ71+Original!AK71</f>
        <v>126</v>
      </c>
      <c r="AL71">
        <f>AK71+Original!AL71</f>
        <v>126</v>
      </c>
      <c r="AM71">
        <f>AL71+Original!AM71</f>
        <v>126</v>
      </c>
      <c r="AN71">
        <f>AM71+Original!AN71</f>
        <v>126</v>
      </c>
      <c r="AO71">
        <f>AN71+Original!AO71</f>
        <v>126</v>
      </c>
      <c r="AP71">
        <f>AO71+Original!AP71</f>
        <v>126</v>
      </c>
      <c r="AQ71">
        <f>AP71+Original!AQ71</f>
        <v>126</v>
      </c>
      <c r="AR71">
        <f>AQ71+Original!AR71</f>
        <v>126</v>
      </c>
      <c r="AS71">
        <f>AR71+Original!AS71</f>
        <v>126</v>
      </c>
      <c r="AT71">
        <f>AS71+Original!AT71</f>
        <v>126</v>
      </c>
      <c r="AU71">
        <f>AT71+Original!AU71</f>
        <v>126</v>
      </c>
      <c r="AV71">
        <f>AU71+Original!AV71</f>
        <v>126</v>
      </c>
      <c r="AW71">
        <f>AV71+Original!AW71</f>
        <v>126</v>
      </c>
      <c r="AX71">
        <f>AW71+Original!AX71</f>
        <v>126</v>
      </c>
      <c r="AY71">
        <f>AX71+Original!AY71</f>
        <v>126</v>
      </c>
      <c r="AZ71">
        <f>AY71+Original!AZ71</f>
        <v>126</v>
      </c>
      <c r="BA71">
        <f>AZ71+Original!BA71</f>
        <v>126</v>
      </c>
      <c r="BB71">
        <f>BA71+Original!BB71</f>
        <v>126</v>
      </c>
      <c r="BC71">
        <f>BB71+Original!BC71</f>
        <v>126</v>
      </c>
      <c r="BD71">
        <f>BC71+Original!BD71</f>
        <v>126</v>
      </c>
      <c r="BE71">
        <f>BD71+Original!BE71</f>
        <v>126</v>
      </c>
      <c r="BF71">
        <f>BE71+Original!BF71</f>
        <v>126</v>
      </c>
      <c r="BG71">
        <f>BF71+Original!BG71</f>
        <v>126</v>
      </c>
      <c r="BH71">
        <f>BG71+Original!BH71</f>
        <v>126</v>
      </c>
      <c r="BI71">
        <f>BH71+Original!BI71</f>
        <v>126</v>
      </c>
      <c r="BJ71">
        <f>BI71+Original!BJ71</f>
        <v>126</v>
      </c>
      <c r="BK71">
        <f>BJ71+Original!BK71</f>
        <v>126</v>
      </c>
      <c r="BL71">
        <f>BK71+Original!BL71</f>
        <v>126</v>
      </c>
      <c r="BM71">
        <f>BL71+Original!BM71</f>
        <v>126</v>
      </c>
      <c r="BN71">
        <f>BM71+Original!BN71</f>
        <v>126</v>
      </c>
      <c r="BO71">
        <f>BN71+Original!BO71</f>
        <v>126</v>
      </c>
      <c r="BP71">
        <f>BO71+Original!BP71</f>
        <v>126</v>
      </c>
      <c r="BQ71">
        <f>BP71+Original!BQ71</f>
        <v>126</v>
      </c>
      <c r="BR71">
        <f>BQ71+Original!BR71</f>
        <v>126</v>
      </c>
      <c r="BS71">
        <f>BR71+Original!BS71</f>
        <v>126</v>
      </c>
      <c r="BT71">
        <f>BS71+Original!BT71</f>
        <v>126</v>
      </c>
      <c r="BU71">
        <f>BT71+Original!BU71</f>
        <v>126</v>
      </c>
      <c r="BV71">
        <f>BU71+Original!BV71</f>
        <v>126</v>
      </c>
      <c r="BW71">
        <f>BV71+Original!BW71</f>
        <v>126</v>
      </c>
    </row>
    <row r="72" spans="1:75" x14ac:dyDescent="0.25">
      <c r="A72" t="str">
        <f>Original!A72</f>
        <v>Alberto Santos Santana</v>
      </c>
      <c r="B72">
        <f>Original!B72</f>
        <v>125</v>
      </c>
      <c r="C72">
        <f>Original!C72</f>
        <v>2</v>
      </c>
      <c r="D72">
        <f>C72+Original!D72</f>
        <v>8</v>
      </c>
      <c r="E72">
        <f>D72+Original!E72</f>
        <v>8</v>
      </c>
      <c r="F72">
        <f>E72+Original!F72</f>
        <v>8</v>
      </c>
      <c r="G72">
        <f>F72+Original!G72</f>
        <v>8</v>
      </c>
      <c r="H72">
        <f>G72+Original!H72</f>
        <v>10</v>
      </c>
      <c r="I72">
        <f>H72+Original!I72</f>
        <v>16</v>
      </c>
      <c r="J72">
        <f>I72+Original!J72</f>
        <v>18</v>
      </c>
      <c r="K72">
        <f>J72+Original!K72</f>
        <v>18</v>
      </c>
      <c r="L72">
        <f>K72+Original!L72</f>
        <v>18</v>
      </c>
      <c r="M72">
        <f>L72+Original!M72</f>
        <v>24</v>
      </c>
      <c r="N72">
        <f>M72+Original!N72</f>
        <v>37</v>
      </c>
      <c r="O72">
        <f>N72+Original!O72</f>
        <v>39</v>
      </c>
      <c r="P72">
        <f>O72+Original!P72</f>
        <v>39</v>
      </c>
      <c r="Q72">
        <f>P72+Original!Q72</f>
        <v>45</v>
      </c>
      <c r="R72">
        <f>Q72+Original!R72</f>
        <v>51</v>
      </c>
      <c r="S72">
        <f>R72+Original!S72</f>
        <v>58</v>
      </c>
      <c r="T72">
        <f>S72+Original!T72</f>
        <v>58</v>
      </c>
      <c r="U72">
        <f>T72+Original!U72</f>
        <v>66</v>
      </c>
      <c r="V72">
        <f>U72+Original!V72</f>
        <v>68</v>
      </c>
      <c r="W72">
        <f>V72+Original!W72</f>
        <v>74</v>
      </c>
      <c r="X72">
        <f>W72+Original!X72</f>
        <v>87</v>
      </c>
      <c r="Y72">
        <f>X72+Original!Y72</f>
        <v>87</v>
      </c>
      <c r="Z72">
        <f>Y72+Original!Z72</f>
        <v>100</v>
      </c>
      <c r="AA72">
        <f>Z72+Original!AA72</f>
        <v>100</v>
      </c>
      <c r="AB72">
        <f>AA72+Original!AB72</f>
        <v>106</v>
      </c>
      <c r="AC72">
        <f>AB72+Original!AC72</f>
        <v>106</v>
      </c>
      <c r="AD72">
        <f>AC72+Original!AD72</f>
        <v>112</v>
      </c>
      <c r="AE72">
        <f>AD72+Original!AE72</f>
        <v>125</v>
      </c>
      <c r="AF72">
        <f>AE72+Original!AF72</f>
        <v>125</v>
      </c>
      <c r="AG72">
        <f>AF72+Original!AG72</f>
        <v>125</v>
      </c>
      <c r="AH72">
        <f>AG72+Original!AH72</f>
        <v>125</v>
      </c>
      <c r="AI72">
        <f>AH72+Original!AI72</f>
        <v>125</v>
      </c>
      <c r="AJ72">
        <f>AI72+Original!AJ72</f>
        <v>125</v>
      </c>
      <c r="AK72">
        <f>AJ72+Original!AK72</f>
        <v>125</v>
      </c>
      <c r="AL72">
        <f>AK72+Original!AL72</f>
        <v>125</v>
      </c>
      <c r="AM72">
        <f>AL72+Original!AM72</f>
        <v>125</v>
      </c>
      <c r="AN72">
        <f>AM72+Original!AN72</f>
        <v>125</v>
      </c>
      <c r="AO72">
        <f>AN72+Original!AO72</f>
        <v>125</v>
      </c>
      <c r="AP72">
        <f>AO72+Original!AP72</f>
        <v>125</v>
      </c>
      <c r="AQ72">
        <f>AP72+Original!AQ72</f>
        <v>125</v>
      </c>
      <c r="AR72">
        <f>AQ72+Original!AR72</f>
        <v>125</v>
      </c>
      <c r="AS72">
        <f>AR72+Original!AS72</f>
        <v>125</v>
      </c>
      <c r="AT72">
        <f>AS72+Original!AT72</f>
        <v>125</v>
      </c>
      <c r="AU72">
        <f>AT72+Original!AU72</f>
        <v>125</v>
      </c>
      <c r="AV72">
        <f>AU72+Original!AV72</f>
        <v>125</v>
      </c>
      <c r="AW72">
        <f>AV72+Original!AW72</f>
        <v>125</v>
      </c>
      <c r="AX72">
        <f>AW72+Original!AX72</f>
        <v>125</v>
      </c>
      <c r="AY72">
        <f>AX72+Original!AY72</f>
        <v>125</v>
      </c>
      <c r="AZ72">
        <f>AY72+Original!AZ72</f>
        <v>125</v>
      </c>
      <c r="BA72">
        <f>AZ72+Original!BA72</f>
        <v>125</v>
      </c>
      <c r="BB72">
        <f>BA72+Original!BB72</f>
        <v>125</v>
      </c>
      <c r="BC72">
        <f>BB72+Original!BC72</f>
        <v>125</v>
      </c>
      <c r="BD72">
        <f>BC72+Original!BD72</f>
        <v>125</v>
      </c>
      <c r="BE72">
        <f>BD72+Original!BE72</f>
        <v>125</v>
      </c>
      <c r="BF72">
        <f>BE72+Original!BF72</f>
        <v>125</v>
      </c>
      <c r="BG72">
        <f>BF72+Original!BG72</f>
        <v>125</v>
      </c>
      <c r="BH72">
        <f>BG72+Original!BH72</f>
        <v>125</v>
      </c>
      <c r="BI72">
        <f>BH72+Original!BI72</f>
        <v>125</v>
      </c>
      <c r="BJ72">
        <f>BI72+Original!BJ72</f>
        <v>125</v>
      </c>
      <c r="BK72">
        <f>BJ72+Original!BK72</f>
        <v>125</v>
      </c>
      <c r="BL72">
        <f>BK72+Original!BL72</f>
        <v>125</v>
      </c>
      <c r="BM72">
        <f>BL72+Original!BM72</f>
        <v>125</v>
      </c>
      <c r="BN72">
        <f>BM72+Original!BN72</f>
        <v>125</v>
      </c>
      <c r="BO72">
        <f>BN72+Original!BO72</f>
        <v>125</v>
      </c>
      <c r="BP72">
        <f>BO72+Original!BP72</f>
        <v>125</v>
      </c>
      <c r="BQ72">
        <f>BP72+Original!BQ72</f>
        <v>125</v>
      </c>
      <c r="BR72">
        <f>BQ72+Original!BR72</f>
        <v>125</v>
      </c>
      <c r="BS72">
        <f>BR72+Original!BS72</f>
        <v>125</v>
      </c>
      <c r="BT72">
        <f>BS72+Original!BT72</f>
        <v>125</v>
      </c>
      <c r="BU72">
        <f>BT72+Original!BU72</f>
        <v>125</v>
      </c>
      <c r="BV72">
        <f>BU72+Original!BV72</f>
        <v>125</v>
      </c>
      <c r="BW72">
        <f>BV72+Original!BW72</f>
        <v>125</v>
      </c>
    </row>
    <row r="73" spans="1:75" x14ac:dyDescent="0.25">
      <c r="A73" t="str">
        <f>Original!A73</f>
        <v>Camila Dourado</v>
      </c>
      <c r="B73">
        <f>Original!B73</f>
        <v>125</v>
      </c>
      <c r="C73">
        <f>Original!C73</f>
        <v>2</v>
      </c>
      <c r="D73">
        <f>C73+Original!D73</f>
        <v>8</v>
      </c>
      <c r="E73">
        <f>D73+Original!E73</f>
        <v>14</v>
      </c>
      <c r="F73">
        <f>E73+Original!F73</f>
        <v>27</v>
      </c>
      <c r="G73">
        <f>F73+Original!G73</f>
        <v>27</v>
      </c>
      <c r="H73">
        <f>G73+Original!H73</f>
        <v>29</v>
      </c>
      <c r="I73">
        <f>H73+Original!I73</f>
        <v>31</v>
      </c>
      <c r="J73">
        <f>I73+Original!J73</f>
        <v>37</v>
      </c>
      <c r="K73">
        <f>J73+Original!K73</f>
        <v>43</v>
      </c>
      <c r="L73">
        <f>K73+Original!L73</f>
        <v>43</v>
      </c>
      <c r="M73">
        <f>L73+Original!M73</f>
        <v>49</v>
      </c>
      <c r="N73">
        <f>M73+Original!N73</f>
        <v>62</v>
      </c>
      <c r="O73">
        <f>N73+Original!O73</f>
        <v>62</v>
      </c>
      <c r="P73">
        <f>O73+Original!P73</f>
        <v>64</v>
      </c>
      <c r="Q73">
        <f>P73+Original!Q73</f>
        <v>70</v>
      </c>
      <c r="R73">
        <f>Q73+Original!R73</f>
        <v>76</v>
      </c>
      <c r="S73">
        <f>R73+Original!S73</f>
        <v>76</v>
      </c>
      <c r="T73">
        <f>S73+Original!T73</f>
        <v>76</v>
      </c>
      <c r="U73">
        <f>T73+Original!U73</f>
        <v>82</v>
      </c>
      <c r="V73">
        <f>U73+Original!V73</f>
        <v>82</v>
      </c>
      <c r="W73">
        <f>V73+Original!W73</f>
        <v>84</v>
      </c>
      <c r="X73">
        <f>W73+Original!X73</f>
        <v>86</v>
      </c>
      <c r="Y73">
        <f>X73+Original!Y73</f>
        <v>88</v>
      </c>
      <c r="Z73">
        <f>Y73+Original!Z73</f>
        <v>96</v>
      </c>
      <c r="AA73">
        <f>Z73+Original!AA73</f>
        <v>104</v>
      </c>
      <c r="AB73">
        <f>AA73+Original!AB73</f>
        <v>117</v>
      </c>
      <c r="AC73">
        <f>AB73+Original!AC73</f>
        <v>117</v>
      </c>
      <c r="AD73">
        <f>AC73+Original!AD73</f>
        <v>119</v>
      </c>
      <c r="AE73">
        <f>AD73+Original!AE73</f>
        <v>125</v>
      </c>
      <c r="AF73">
        <f>AE73+Original!AF73</f>
        <v>125</v>
      </c>
      <c r="AG73">
        <f>AF73+Original!AG73</f>
        <v>125</v>
      </c>
      <c r="AH73">
        <f>AG73+Original!AH73</f>
        <v>125</v>
      </c>
      <c r="AI73">
        <f>AH73+Original!AI73</f>
        <v>125</v>
      </c>
      <c r="AJ73">
        <f>AI73+Original!AJ73</f>
        <v>125</v>
      </c>
      <c r="AK73">
        <f>AJ73+Original!AK73</f>
        <v>125</v>
      </c>
      <c r="AL73">
        <f>AK73+Original!AL73</f>
        <v>125</v>
      </c>
      <c r="AM73">
        <f>AL73+Original!AM73</f>
        <v>125</v>
      </c>
      <c r="AN73">
        <f>AM73+Original!AN73</f>
        <v>125</v>
      </c>
      <c r="AO73">
        <f>AN73+Original!AO73</f>
        <v>125</v>
      </c>
      <c r="AP73">
        <f>AO73+Original!AP73</f>
        <v>125</v>
      </c>
      <c r="AQ73">
        <f>AP73+Original!AQ73</f>
        <v>125</v>
      </c>
      <c r="AR73">
        <f>AQ73+Original!AR73</f>
        <v>125</v>
      </c>
      <c r="AS73">
        <f>AR73+Original!AS73</f>
        <v>125</v>
      </c>
      <c r="AT73">
        <f>AS73+Original!AT73</f>
        <v>125</v>
      </c>
      <c r="AU73">
        <f>AT73+Original!AU73</f>
        <v>125</v>
      </c>
      <c r="AV73">
        <f>AU73+Original!AV73</f>
        <v>125</v>
      </c>
      <c r="AW73">
        <f>AV73+Original!AW73</f>
        <v>125</v>
      </c>
      <c r="AX73">
        <f>AW73+Original!AX73</f>
        <v>125</v>
      </c>
      <c r="AY73">
        <f>AX73+Original!AY73</f>
        <v>125</v>
      </c>
      <c r="AZ73">
        <f>AY73+Original!AZ73</f>
        <v>125</v>
      </c>
      <c r="BA73">
        <f>AZ73+Original!BA73</f>
        <v>125</v>
      </c>
      <c r="BB73">
        <f>BA73+Original!BB73</f>
        <v>125</v>
      </c>
      <c r="BC73">
        <f>BB73+Original!BC73</f>
        <v>125</v>
      </c>
      <c r="BD73">
        <f>BC73+Original!BD73</f>
        <v>125</v>
      </c>
      <c r="BE73">
        <f>BD73+Original!BE73</f>
        <v>125</v>
      </c>
      <c r="BF73">
        <f>BE73+Original!BF73</f>
        <v>125</v>
      </c>
      <c r="BG73">
        <f>BF73+Original!BG73</f>
        <v>125</v>
      </c>
      <c r="BH73">
        <f>BG73+Original!BH73</f>
        <v>125</v>
      </c>
      <c r="BI73">
        <f>BH73+Original!BI73</f>
        <v>125</v>
      </c>
      <c r="BJ73">
        <f>BI73+Original!BJ73</f>
        <v>125</v>
      </c>
      <c r="BK73">
        <f>BJ73+Original!BK73</f>
        <v>125</v>
      </c>
      <c r="BL73">
        <f>BK73+Original!BL73</f>
        <v>125</v>
      </c>
      <c r="BM73">
        <f>BL73+Original!BM73</f>
        <v>125</v>
      </c>
      <c r="BN73">
        <f>BM73+Original!BN73</f>
        <v>125</v>
      </c>
      <c r="BO73">
        <f>BN73+Original!BO73</f>
        <v>125</v>
      </c>
      <c r="BP73">
        <f>BO73+Original!BP73</f>
        <v>125</v>
      </c>
      <c r="BQ73">
        <f>BP73+Original!BQ73</f>
        <v>125</v>
      </c>
      <c r="BR73">
        <f>BQ73+Original!BR73</f>
        <v>125</v>
      </c>
      <c r="BS73">
        <f>BR73+Original!BS73</f>
        <v>125</v>
      </c>
      <c r="BT73">
        <f>BS73+Original!BT73</f>
        <v>125</v>
      </c>
      <c r="BU73">
        <f>BT73+Original!BU73</f>
        <v>125</v>
      </c>
      <c r="BV73">
        <f>BU73+Original!BV73</f>
        <v>125</v>
      </c>
      <c r="BW73">
        <f>BV73+Original!BW73</f>
        <v>125</v>
      </c>
    </row>
    <row r="74" spans="1:75" x14ac:dyDescent="0.25">
      <c r="A74" t="str">
        <f>Original!A74</f>
        <v>Diego</v>
      </c>
      <c r="B74">
        <f>Original!B74</f>
        <v>125</v>
      </c>
      <c r="C74">
        <f>Original!C74</f>
        <v>8</v>
      </c>
      <c r="D74">
        <f>C74+Original!D74</f>
        <v>14</v>
      </c>
      <c r="E74">
        <f>D74+Original!E74</f>
        <v>22</v>
      </c>
      <c r="F74">
        <f>E74+Original!F74</f>
        <v>24</v>
      </c>
      <c r="G74">
        <f>F74+Original!G74</f>
        <v>24</v>
      </c>
      <c r="H74">
        <f>G74+Original!H74</f>
        <v>26</v>
      </c>
      <c r="I74">
        <f>H74+Original!I74</f>
        <v>32</v>
      </c>
      <c r="J74">
        <f>I74+Original!J74</f>
        <v>38</v>
      </c>
      <c r="K74">
        <f>J74+Original!K74</f>
        <v>38</v>
      </c>
      <c r="L74">
        <f>K74+Original!L74</f>
        <v>38</v>
      </c>
      <c r="M74">
        <f>L74+Original!M74</f>
        <v>46</v>
      </c>
      <c r="N74">
        <f>M74+Original!N74</f>
        <v>54</v>
      </c>
      <c r="O74">
        <f>N74+Original!O74</f>
        <v>67</v>
      </c>
      <c r="P74">
        <f>O74+Original!P74</f>
        <v>67</v>
      </c>
      <c r="Q74">
        <f>P74+Original!Q74</f>
        <v>73</v>
      </c>
      <c r="R74">
        <f>Q74+Original!R74</f>
        <v>79</v>
      </c>
      <c r="S74">
        <f>R74+Original!S74</f>
        <v>79</v>
      </c>
      <c r="T74">
        <f>S74+Original!T74</f>
        <v>79</v>
      </c>
      <c r="U74">
        <f>T74+Original!U74</f>
        <v>85</v>
      </c>
      <c r="V74">
        <f>U74+Original!V74</f>
        <v>87</v>
      </c>
      <c r="W74">
        <f>V74+Original!W74</f>
        <v>89</v>
      </c>
      <c r="X74">
        <f>W74+Original!X74</f>
        <v>95</v>
      </c>
      <c r="Y74">
        <f>X74+Original!Y74</f>
        <v>103</v>
      </c>
      <c r="Z74">
        <f>Y74+Original!Z74</f>
        <v>103</v>
      </c>
      <c r="AA74">
        <f>Z74+Original!AA74</f>
        <v>111</v>
      </c>
      <c r="AB74">
        <f>AA74+Original!AB74</f>
        <v>113</v>
      </c>
      <c r="AC74">
        <f>AB74+Original!AC74</f>
        <v>113</v>
      </c>
      <c r="AD74">
        <f>AC74+Original!AD74</f>
        <v>119</v>
      </c>
      <c r="AE74">
        <f>AD74+Original!AE74</f>
        <v>125</v>
      </c>
      <c r="AF74">
        <f>AE74+Original!AF74</f>
        <v>125</v>
      </c>
      <c r="AG74">
        <f>AF74+Original!AG74</f>
        <v>125</v>
      </c>
      <c r="AH74">
        <f>AG74+Original!AH74</f>
        <v>125</v>
      </c>
      <c r="AI74">
        <f>AH74+Original!AI74</f>
        <v>125</v>
      </c>
      <c r="AJ74">
        <f>AI74+Original!AJ74</f>
        <v>125</v>
      </c>
      <c r="AK74">
        <f>AJ74+Original!AK74</f>
        <v>125</v>
      </c>
      <c r="AL74">
        <f>AK74+Original!AL74</f>
        <v>125</v>
      </c>
      <c r="AM74">
        <f>AL74+Original!AM74</f>
        <v>125</v>
      </c>
      <c r="AN74">
        <f>AM74+Original!AN74</f>
        <v>125</v>
      </c>
      <c r="AO74">
        <f>AN74+Original!AO74</f>
        <v>125</v>
      </c>
      <c r="AP74">
        <f>AO74+Original!AP74</f>
        <v>125</v>
      </c>
      <c r="AQ74">
        <f>AP74+Original!AQ74</f>
        <v>125</v>
      </c>
      <c r="AR74">
        <f>AQ74+Original!AR74</f>
        <v>125</v>
      </c>
      <c r="AS74">
        <f>AR74+Original!AS74</f>
        <v>125</v>
      </c>
      <c r="AT74">
        <f>AS74+Original!AT74</f>
        <v>125</v>
      </c>
      <c r="AU74">
        <f>AT74+Original!AU74</f>
        <v>125</v>
      </c>
      <c r="AV74">
        <f>AU74+Original!AV74</f>
        <v>125</v>
      </c>
      <c r="AW74">
        <f>AV74+Original!AW74</f>
        <v>125</v>
      </c>
      <c r="AX74">
        <f>AW74+Original!AX74</f>
        <v>125</v>
      </c>
      <c r="AY74">
        <f>AX74+Original!AY74</f>
        <v>125</v>
      </c>
      <c r="AZ74">
        <f>AY74+Original!AZ74</f>
        <v>125</v>
      </c>
      <c r="BA74">
        <f>AZ74+Original!BA74</f>
        <v>125</v>
      </c>
      <c r="BB74">
        <f>BA74+Original!BB74</f>
        <v>125</v>
      </c>
      <c r="BC74">
        <f>BB74+Original!BC74</f>
        <v>125</v>
      </c>
      <c r="BD74">
        <f>BC74+Original!BD74</f>
        <v>125</v>
      </c>
      <c r="BE74">
        <f>BD74+Original!BE74</f>
        <v>125</v>
      </c>
      <c r="BF74">
        <f>BE74+Original!BF74</f>
        <v>125</v>
      </c>
      <c r="BG74">
        <f>BF74+Original!BG74</f>
        <v>125</v>
      </c>
      <c r="BH74">
        <f>BG74+Original!BH74</f>
        <v>125</v>
      </c>
      <c r="BI74">
        <f>BH74+Original!BI74</f>
        <v>125</v>
      </c>
      <c r="BJ74">
        <f>BI74+Original!BJ74</f>
        <v>125</v>
      </c>
      <c r="BK74">
        <f>BJ74+Original!BK74</f>
        <v>125</v>
      </c>
      <c r="BL74">
        <f>BK74+Original!BL74</f>
        <v>125</v>
      </c>
      <c r="BM74">
        <f>BL74+Original!BM74</f>
        <v>125</v>
      </c>
      <c r="BN74">
        <f>BM74+Original!BN74</f>
        <v>125</v>
      </c>
      <c r="BO74">
        <f>BN74+Original!BO74</f>
        <v>125</v>
      </c>
      <c r="BP74">
        <f>BO74+Original!BP74</f>
        <v>125</v>
      </c>
      <c r="BQ74">
        <f>BP74+Original!BQ74</f>
        <v>125</v>
      </c>
      <c r="BR74">
        <f>BQ74+Original!BR74</f>
        <v>125</v>
      </c>
      <c r="BS74">
        <f>BR74+Original!BS74</f>
        <v>125</v>
      </c>
      <c r="BT74">
        <f>BS74+Original!BT74</f>
        <v>125</v>
      </c>
      <c r="BU74">
        <f>BT74+Original!BU74</f>
        <v>125</v>
      </c>
      <c r="BV74">
        <f>BU74+Original!BV74</f>
        <v>125</v>
      </c>
      <c r="BW74">
        <f>BV74+Original!BW74</f>
        <v>125</v>
      </c>
    </row>
    <row r="75" spans="1:75" x14ac:dyDescent="0.25">
      <c r="A75" t="str">
        <f>Original!A75</f>
        <v>Francisco Amaral</v>
      </c>
      <c r="B75">
        <f>Original!B75</f>
        <v>125</v>
      </c>
      <c r="C75">
        <f>Original!C75</f>
        <v>0</v>
      </c>
      <c r="D75">
        <f>C75+Original!D75</f>
        <v>6</v>
      </c>
      <c r="E75">
        <f>D75+Original!E75</f>
        <v>14</v>
      </c>
      <c r="F75">
        <f>E75+Original!F75</f>
        <v>20</v>
      </c>
      <c r="G75">
        <f>F75+Original!G75</f>
        <v>20</v>
      </c>
      <c r="H75">
        <f>G75+Original!H75</f>
        <v>22</v>
      </c>
      <c r="I75">
        <f>H75+Original!I75</f>
        <v>22</v>
      </c>
      <c r="J75">
        <f>I75+Original!J75</f>
        <v>28</v>
      </c>
      <c r="K75">
        <f>J75+Original!K75</f>
        <v>30</v>
      </c>
      <c r="L75">
        <f>K75+Original!L75</f>
        <v>30</v>
      </c>
      <c r="M75">
        <f>L75+Original!M75</f>
        <v>30</v>
      </c>
      <c r="N75">
        <f>M75+Original!N75</f>
        <v>38</v>
      </c>
      <c r="O75">
        <f>N75+Original!O75</f>
        <v>38</v>
      </c>
      <c r="P75">
        <f>O75+Original!P75</f>
        <v>44</v>
      </c>
      <c r="Q75">
        <f>P75+Original!Q75</f>
        <v>50</v>
      </c>
      <c r="R75">
        <f>Q75+Original!R75</f>
        <v>63</v>
      </c>
      <c r="S75">
        <f>R75+Original!S75</f>
        <v>70</v>
      </c>
      <c r="T75">
        <f>S75+Original!T75</f>
        <v>70</v>
      </c>
      <c r="U75">
        <f>T75+Original!U75</f>
        <v>78</v>
      </c>
      <c r="V75">
        <f>U75+Original!V75</f>
        <v>78</v>
      </c>
      <c r="W75">
        <f>V75+Original!W75</f>
        <v>78</v>
      </c>
      <c r="X75">
        <f>W75+Original!X75</f>
        <v>80</v>
      </c>
      <c r="Y75">
        <f>X75+Original!Y75</f>
        <v>88</v>
      </c>
      <c r="Z75">
        <f>Y75+Original!Z75</f>
        <v>101</v>
      </c>
      <c r="AA75">
        <f>Z75+Original!AA75</f>
        <v>109</v>
      </c>
      <c r="AB75">
        <f>AA75+Original!AB75</f>
        <v>115</v>
      </c>
      <c r="AC75">
        <f>AB75+Original!AC75</f>
        <v>115</v>
      </c>
      <c r="AD75">
        <f>AC75+Original!AD75</f>
        <v>123</v>
      </c>
      <c r="AE75">
        <f>AD75+Original!AE75</f>
        <v>125</v>
      </c>
      <c r="AF75">
        <f>AE75+Original!AF75</f>
        <v>125</v>
      </c>
      <c r="AG75">
        <f>AF75+Original!AG75</f>
        <v>125</v>
      </c>
      <c r="AH75">
        <f>AG75+Original!AH75</f>
        <v>125</v>
      </c>
      <c r="AI75">
        <f>AH75+Original!AI75</f>
        <v>125</v>
      </c>
      <c r="AJ75">
        <f>AI75+Original!AJ75</f>
        <v>125</v>
      </c>
      <c r="AK75">
        <f>AJ75+Original!AK75</f>
        <v>125</v>
      </c>
      <c r="AL75">
        <f>AK75+Original!AL75</f>
        <v>125</v>
      </c>
      <c r="AM75">
        <f>AL75+Original!AM75</f>
        <v>125</v>
      </c>
      <c r="AN75">
        <f>AM75+Original!AN75</f>
        <v>125</v>
      </c>
      <c r="AO75">
        <f>AN75+Original!AO75</f>
        <v>125</v>
      </c>
      <c r="AP75">
        <f>AO75+Original!AP75</f>
        <v>125</v>
      </c>
      <c r="AQ75">
        <f>AP75+Original!AQ75</f>
        <v>125</v>
      </c>
      <c r="AR75">
        <f>AQ75+Original!AR75</f>
        <v>125</v>
      </c>
      <c r="AS75">
        <f>AR75+Original!AS75</f>
        <v>125</v>
      </c>
      <c r="AT75">
        <f>AS75+Original!AT75</f>
        <v>125</v>
      </c>
      <c r="AU75">
        <f>AT75+Original!AU75</f>
        <v>125</v>
      </c>
      <c r="AV75">
        <f>AU75+Original!AV75</f>
        <v>125</v>
      </c>
      <c r="AW75">
        <f>AV75+Original!AW75</f>
        <v>125</v>
      </c>
      <c r="AX75">
        <f>AW75+Original!AX75</f>
        <v>125</v>
      </c>
      <c r="AY75">
        <f>AX75+Original!AY75</f>
        <v>125</v>
      </c>
      <c r="AZ75">
        <f>AY75+Original!AZ75</f>
        <v>125</v>
      </c>
      <c r="BA75">
        <f>AZ75+Original!BA75</f>
        <v>125</v>
      </c>
      <c r="BB75">
        <f>BA75+Original!BB75</f>
        <v>125</v>
      </c>
      <c r="BC75">
        <f>BB75+Original!BC75</f>
        <v>125</v>
      </c>
      <c r="BD75">
        <f>BC75+Original!BD75</f>
        <v>125</v>
      </c>
      <c r="BE75">
        <f>BD75+Original!BE75</f>
        <v>125</v>
      </c>
      <c r="BF75">
        <f>BE75+Original!BF75</f>
        <v>125</v>
      </c>
      <c r="BG75">
        <f>BF75+Original!BG75</f>
        <v>125</v>
      </c>
      <c r="BH75">
        <f>BG75+Original!BH75</f>
        <v>125</v>
      </c>
      <c r="BI75">
        <f>BH75+Original!BI75</f>
        <v>125</v>
      </c>
      <c r="BJ75">
        <f>BI75+Original!BJ75</f>
        <v>125</v>
      </c>
      <c r="BK75">
        <f>BJ75+Original!BK75</f>
        <v>125</v>
      </c>
      <c r="BL75">
        <f>BK75+Original!BL75</f>
        <v>125</v>
      </c>
      <c r="BM75">
        <f>BL75+Original!BM75</f>
        <v>125</v>
      </c>
      <c r="BN75">
        <f>BM75+Original!BN75</f>
        <v>125</v>
      </c>
      <c r="BO75">
        <f>BN75+Original!BO75</f>
        <v>125</v>
      </c>
      <c r="BP75">
        <f>BO75+Original!BP75</f>
        <v>125</v>
      </c>
      <c r="BQ75">
        <f>BP75+Original!BQ75</f>
        <v>125</v>
      </c>
      <c r="BR75">
        <f>BQ75+Original!BR75</f>
        <v>125</v>
      </c>
      <c r="BS75">
        <f>BR75+Original!BS75</f>
        <v>125</v>
      </c>
      <c r="BT75">
        <f>BS75+Original!BT75</f>
        <v>125</v>
      </c>
      <c r="BU75">
        <f>BT75+Original!BU75</f>
        <v>125</v>
      </c>
      <c r="BV75">
        <f>BU75+Original!BV75</f>
        <v>125</v>
      </c>
      <c r="BW75">
        <f>BV75+Original!BW75</f>
        <v>125</v>
      </c>
    </row>
    <row r="76" spans="1:75" x14ac:dyDescent="0.25">
      <c r="A76" t="str">
        <f>Original!A76</f>
        <v>Marcos Cafezeiro</v>
      </c>
      <c r="B76">
        <f>Original!B76</f>
        <v>125</v>
      </c>
      <c r="C76">
        <f>Original!C76</f>
        <v>8</v>
      </c>
      <c r="D76">
        <f>C76+Original!D76</f>
        <v>14</v>
      </c>
      <c r="E76">
        <f>D76+Original!E76</f>
        <v>20</v>
      </c>
      <c r="F76">
        <f>E76+Original!F76</f>
        <v>22</v>
      </c>
      <c r="G76">
        <f>F76+Original!G76</f>
        <v>22</v>
      </c>
      <c r="H76">
        <f>G76+Original!H76</f>
        <v>24</v>
      </c>
      <c r="I76">
        <f>H76+Original!I76</f>
        <v>30</v>
      </c>
      <c r="J76">
        <f>I76+Original!J76</f>
        <v>36</v>
      </c>
      <c r="K76">
        <f>J76+Original!K76</f>
        <v>38</v>
      </c>
      <c r="L76">
        <f>K76+Original!L76</f>
        <v>38</v>
      </c>
      <c r="M76">
        <f>L76+Original!M76</f>
        <v>46</v>
      </c>
      <c r="N76">
        <f>M76+Original!N76</f>
        <v>54</v>
      </c>
      <c r="O76">
        <f>N76+Original!O76</f>
        <v>60</v>
      </c>
      <c r="P76">
        <f>O76+Original!P76</f>
        <v>66</v>
      </c>
      <c r="Q76">
        <f>P76+Original!Q76</f>
        <v>72</v>
      </c>
      <c r="R76">
        <f>Q76+Original!R76</f>
        <v>72</v>
      </c>
      <c r="S76">
        <f>R76+Original!S76</f>
        <v>79</v>
      </c>
      <c r="T76">
        <f>S76+Original!T76</f>
        <v>87</v>
      </c>
      <c r="U76">
        <f>T76+Original!U76</f>
        <v>95</v>
      </c>
      <c r="V76">
        <f>U76+Original!V76</f>
        <v>95</v>
      </c>
      <c r="W76">
        <f>V76+Original!W76</f>
        <v>95</v>
      </c>
      <c r="X76">
        <f>W76+Original!X76</f>
        <v>97</v>
      </c>
      <c r="Y76">
        <f>X76+Original!Y76</f>
        <v>105</v>
      </c>
      <c r="Z76">
        <f>Y76+Original!Z76</f>
        <v>107</v>
      </c>
      <c r="AA76">
        <f>Z76+Original!AA76</f>
        <v>115</v>
      </c>
      <c r="AB76">
        <f>AA76+Original!AB76</f>
        <v>117</v>
      </c>
      <c r="AC76">
        <f>AB76+Original!AC76</f>
        <v>117</v>
      </c>
      <c r="AD76">
        <f>AC76+Original!AD76</f>
        <v>123</v>
      </c>
      <c r="AE76">
        <f>AD76+Original!AE76</f>
        <v>125</v>
      </c>
      <c r="AF76">
        <f>AE76+Original!AF76</f>
        <v>125</v>
      </c>
      <c r="AG76">
        <f>AF76+Original!AG76</f>
        <v>125</v>
      </c>
      <c r="AH76">
        <f>AG76+Original!AH76</f>
        <v>125</v>
      </c>
      <c r="AI76">
        <f>AH76+Original!AI76</f>
        <v>125</v>
      </c>
      <c r="AJ76">
        <f>AI76+Original!AJ76</f>
        <v>125</v>
      </c>
      <c r="AK76">
        <f>AJ76+Original!AK76</f>
        <v>125</v>
      </c>
      <c r="AL76">
        <f>AK76+Original!AL76</f>
        <v>125</v>
      </c>
      <c r="AM76">
        <f>AL76+Original!AM76</f>
        <v>125</v>
      </c>
      <c r="AN76">
        <f>AM76+Original!AN76</f>
        <v>125</v>
      </c>
      <c r="AO76">
        <f>AN76+Original!AO76</f>
        <v>125</v>
      </c>
      <c r="AP76">
        <f>AO76+Original!AP76</f>
        <v>125</v>
      </c>
      <c r="AQ76">
        <f>AP76+Original!AQ76</f>
        <v>125</v>
      </c>
      <c r="AR76">
        <f>AQ76+Original!AR76</f>
        <v>125</v>
      </c>
      <c r="AS76">
        <f>AR76+Original!AS76</f>
        <v>125</v>
      </c>
      <c r="AT76">
        <f>AS76+Original!AT76</f>
        <v>125</v>
      </c>
      <c r="AU76">
        <f>AT76+Original!AU76</f>
        <v>125</v>
      </c>
      <c r="AV76">
        <f>AU76+Original!AV76</f>
        <v>125</v>
      </c>
      <c r="AW76">
        <f>AV76+Original!AW76</f>
        <v>125</v>
      </c>
      <c r="AX76">
        <f>AW76+Original!AX76</f>
        <v>125</v>
      </c>
      <c r="AY76">
        <f>AX76+Original!AY76</f>
        <v>125</v>
      </c>
      <c r="AZ76">
        <f>AY76+Original!AZ76</f>
        <v>125</v>
      </c>
      <c r="BA76">
        <f>AZ76+Original!BA76</f>
        <v>125</v>
      </c>
      <c r="BB76">
        <f>BA76+Original!BB76</f>
        <v>125</v>
      </c>
      <c r="BC76">
        <f>BB76+Original!BC76</f>
        <v>125</v>
      </c>
      <c r="BD76">
        <f>BC76+Original!BD76</f>
        <v>125</v>
      </c>
      <c r="BE76">
        <f>BD76+Original!BE76</f>
        <v>125</v>
      </c>
      <c r="BF76">
        <f>BE76+Original!BF76</f>
        <v>125</v>
      </c>
      <c r="BG76">
        <f>BF76+Original!BG76</f>
        <v>125</v>
      </c>
      <c r="BH76">
        <f>BG76+Original!BH76</f>
        <v>125</v>
      </c>
      <c r="BI76">
        <f>BH76+Original!BI76</f>
        <v>125</v>
      </c>
      <c r="BJ76">
        <f>BI76+Original!BJ76</f>
        <v>125</v>
      </c>
      <c r="BK76">
        <f>BJ76+Original!BK76</f>
        <v>125</v>
      </c>
      <c r="BL76">
        <f>BK76+Original!BL76</f>
        <v>125</v>
      </c>
      <c r="BM76">
        <f>BL76+Original!BM76</f>
        <v>125</v>
      </c>
      <c r="BN76">
        <f>BM76+Original!BN76</f>
        <v>125</v>
      </c>
      <c r="BO76">
        <f>BN76+Original!BO76</f>
        <v>125</v>
      </c>
      <c r="BP76">
        <f>BO76+Original!BP76</f>
        <v>125</v>
      </c>
      <c r="BQ76">
        <f>BP76+Original!BQ76</f>
        <v>125</v>
      </c>
      <c r="BR76">
        <f>BQ76+Original!BR76</f>
        <v>125</v>
      </c>
      <c r="BS76">
        <f>BR76+Original!BS76</f>
        <v>125</v>
      </c>
      <c r="BT76">
        <f>BS76+Original!BT76</f>
        <v>125</v>
      </c>
      <c r="BU76">
        <f>BT76+Original!BU76</f>
        <v>125</v>
      </c>
      <c r="BV76">
        <f>BU76+Original!BV76</f>
        <v>125</v>
      </c>
      <c r="BW76">
        <f>BV76+Original!BW76</f>
        <v>125</v>
      </c>
    </row>
    <row r="77" spans="1:75" x14ac:dyDescent="0.25">
      <c r="A77" t="str">
        <f>Original!A77</f>
        <v>Gustavo Coni</v>
      </c>
      <c r="B77">
        <f>Original!B77</f>
        <v>123</v>
      </c>
      <c r="C77">
        <f>Original!C77</f>
        <v>6</v>
      </c>
      <c r="D77">
        <f>C77+Original!D77</f>
        <v>12</v>
      </c>
      <c r="E77">
        <f>D77+Original!E77</f>
        <v>20</v>
      </c>
      <c r="F77">
        <f>E77+Original!F77</f>
        <v>26</v>
      </c>
      <c r="G77">
        <f>F77+Original!G77</f>
        <v>28</v>
      </c>
      <c r="H77">
        <f>G77+Original!H77</f>
        <v>34</v>
      </c>
      <c r="I77">
        <f>H77+Original!I77</f>
        <v>34</v>
      </c>
      <c r="J77">
        <f>I77+Original!J77</f>
        <v>40</v>
      </c>
      <c r="K77">
        <f>J77+Original!K77</f>
        <v>40</v>
      </c>
      <c r="L77">
        <f>K77+Original!L77</f>
        <v>42</v>
      </c>
      <c r="M77">
        <f>L77+Original!M77</f>
        <v>42</v>
      </c>
      <c r="N77">
        <f>M77+Original!N77</f>
        <v>50</v>
      </c>
      <c r="O77">
        <f>N77+Original!O77</f>
        <v>56</v>
      </c>
      <c r="P77">
        <f>O77+Original!P77</f>
        <v>56</v>
      </c>
      <c r="Q77">
        <f>P77+Original!Q77</f>
        <v>62</v>
      </c>
      <c r="R77">
        <f>Q77+Original!R77</f>
        <v>68</v>
      </c>
      <c r="S77">
        <f>R77+Original!S77</f>
        <v>68</v>
      </c>
      <c r="T77">
        <f>S77+Original!T77</f>
        <v>76</v>
      </c>
      <c r="U77">
        <f>T77+Original!U77</f>
        <v>82</v>
      </c>
      <c r="V77">
        <f>U77+Original!V77</f>
        <v>88</v>
      </c>
      <c r="W77">
        <f>V77+Original!W77</f>
        <v>88</v>
      </c>
      <c r="X77">
        <f>W77+Original!X77</f>
        <v>90</v>
      </c>
      <c r="Y77">
        <f>X77+Original!Y77</f>
        <v>92</v>
      </c>
      <c r="Z77">
        <f>Y77+Original!Z77</f>
        <v>92</v>
      </c>
      <c r="AA77">
        <f>Z77+Original!AA77</f>
        <v>98</v>
      </c>
      <c r="AB77">
        <f>AA77+Original!AB77</f>
        <v>111</v>
      </c>
      <c r="AC77">
        <f>AB77+Original!AC77</f>
        <v>113</v>
      </c>
      <c r="AD77">
        <f>AC77+Original!AD77</f>
        <v>121</v>
      </c>
      <c r="AE77">
        <f>AD77+Original!AE77</f>
        <v>123</v>
      </c>
      <c r="AF77">
        <f>AE77+Original!AF77</f>
        <v>123</v>
      </c>
      <c r="AG77">
        <f>AF77+Original!AG77</f>
        <v>123</v>
      </c>
      <c r="AH77">
        <f>AG77+Original!AH77</f>
        <v>123</v>
      </c>
      <c r="AI77">
        <f>AH77+Original!AI77</f>
        <v>123</v>
      </c>
      <c r="AJ77">
        <f>AI77+Original!AJ77</f>
        <v>123</v>
      </c>
      <c r="AK77">
        <f>AJ77+Original!AK77</f>
        <v>123</v>
      </c>
      <c r="AL77">
        <f>AK77+Original!AL77</f>
        <v>123</v>
      </c>
      <c r="AM77">
        <f>AL77+Original!AM77</f>
        <v>123</v>
      </c>
      <c r="AN77">
        <f>AM77+Original!AN77</f>
        <v>123</v>
      </c>
      <c r="AO77">
        <f>AN77+Original!AO77</f>
        <v>123</v>
      </c>
      <c r="AP77">
        <f>AO77+Original!AP77</f>
        <v>123</v>
      </c>
      <c r="AQ77">
        <f>AP77+Original!AQ77</f>
        <v>123</v>
      </c>
      <c r="AR77">
        <f>AQ77+Original!AR77</f>
        <v>123</v>
      </c>
      <c r="AS77">
        <f>AR77+Original!AS77</f>
        <v>123</v>
      </c>
      <c r="AT77">
        <f>AS77+Original!AT77</f>
        <v>123</v>
      </c>
      <c r="AU77">
        <f>AT77+Original!AU77</f>
        <v>123</v>
      </c>
      <c r="AV77">
        <f>AU77+Original!AV77</f>
        <v>123</v>
      </c>
      <c r="AW77">
        <f>AV77+Original!AW77</f>
        <v>123</v>
      </c>
      <c r="AX77">
        <f>AW77+Original!AX77</f>
        <v>123</v>
      </c>
      <c r="AY77">
        <f>AX77+Original!AY77</f>
        <v>123</v>
      </c>
      <c r="AZ77">
        <f>AY77+Original!AZ77</f>
        <v>123</v>
      </c>
      <c r="BA77">
        <f>AZ77+Original!BA77</f>
        <v>123</v>
      </c>
      <c r="BB77">
        <f>BA77+Original!BB77</f>
        <v>123</v>
      </c>
      <c r="BC77">
        <f>BB77+Original!BC77</f>
        <v>123</v>
      </c>
      <c r="BD77">
        <f>BC77+Original!BD77</f>
        <v>123</v>
      </c>
      <c r="BE77">
        <f>BD77+Original!BE77</f>
        <v>123</v>
      </c>
      <c r="BF77">
        <f>BE77+Original!BF77</f>
        <v>123</v>
      </c>
      <c r="BG77">
        <f>BF77+Original!BG77</f>
        <v>123</v>
      </c>
      <c r="BH77">
        <f>BG77+Original!BH77</f>
        <v>123</v>
      </c>
      <c r="BI77">
        <f>BH77+Original!BI77</f>
        <v>123</v>
      </c>
      <c r="BJ77">
        <f>BI77+Original!BJ77</f>
        <v>123</v>
      </c>
      <c r="BK77">
        <f>BJ77+Original!BK77</f>
        <v>123</v>
      </c>
      <c r="BL77">
        <f>BK77+Original!BL77</f>
        <v>123</v>
      </c>
      <c r="BM77">
        <f>BL77+Original!BM77</f>
        <v>123</v>
      </c>
      <c r="BN77">
        <f>BM77+Original!BN77</f>
        <v>123</v>
      </c>
      <c r="BO77">
        <f>BN77+Original!BO77</f>
        <v>123</v>
      </c>
      <c r="BP77">
        <f>BO77+Original!BP77</f>
        <v>123</v>
      </c>
      <c r="BQ77">
        <f>BP77+Original!BQ77</f>
        <v>123</v>
      </c>
      <c r="BR77">
        <f>BQ77+Original!BR77</f>
        <v>123</v>
      </c>
      <c r="BS77">
        <f>BR77+Original!BS77</f>
        <v>123</v>
      </c>
      <c r="BT77">
        <f>BS77+Original!BT77</f>
        <v>123</v>
      </c>
      <c r="BU77">
        <f>BT77+Original!BU77</f>
        <v>123</v>
      </c>
      <c r="BV77">
        <f>BU77+Original!BV77</f>
        <v>123</v>
      </c>
      <c r="BW77">
        <f>BV77+Original!BW77</f>
        <v>123</v>
      </c>
    </row>
    <row r="78" spans="1:75" x14ac:dyDescent="0.25">
      <c r="A78" t="str">
        <f>Original!A78</f>
        <v>Juliana Coni</v>
      </c>
      <c r="B78">
        <f>Original!B78</f>
        <v>123</v>
      </c>
      <c r="C78">
        <f>Original!C78</f>
        <v>8</v>
      </c>
      <c r="D78">
        <f>C78+Original!D78</f>
        <v>14</v>
      </c>
      <c r="E78">
        <f>D78+Original!E78</f>
        <v>20</v>
      </c>
      <c r="F78">
        <f>E78+Original!F78</f>
        <v>22</v>
      </c>
      <c r="G78">
        <f>F78+Original!G78</f>
        <v>22</v>
      </c>
      <c r="H78">
        <f>G78+Original!H78</f>
        <v>24</v>
      </c>
      <c r="I78">
        <f>H78+Original!I78</f>
        <v>26</v>
      </c>
      <c r="J78">
        <f>I78+Original!J78</f>
        <v>32</v>
      </c>
      <c r="K78">
        <f>J78+Original!K78</f>
        <v>34</v>
      </c>
      <c r="L78">
        <f>K78+Original!L78</f>
        <v>34</v>
      </c>
      <c r="M78">
        <f>L78+Original!M78</f>
        <v>42</v>
      </c>
      <c r="N78">
        <f>M78+Original!N78</f>
        <v>50</v>
      </c>
      <c r="O78">
        <f>N78+Original!O78</f>
        <v>63</v>
      </c>
      <c r="P78">
        <f>O78+Original!P78</f>
        <v>65</v>
      </c>
      <c r="Q78">
        <f>P78+Original!Q78</f>
        <v>65</v>
      </c>
      <c r="R78">
        <f>Q78+Original!R78</f>
        <v>73</v>
      </c>
      <c r="S78">
        <f>R78+Original!S78</f>
        <v>73</v>
      </c>
      <c r="T78">
        <f>S78+Original!T78</f>
        <v>73</v>
      </c>
      <c r="U78">
        <f>T78+Original!U78</f>
        <v>81</v>
      </c>
      <c r="V78">
        <f>U78+Original!V78</f>
        <v>83</v>
      </c>
      <c r="W78">
        <f>V78+Original!W78</f>
        <v>83</v>
      </c>
      <c r="X78">
        <f>W78+Original!X78</f>
        <v>83</v>
      </c>
      <c r="Y78">
        <f>X78+Original!Y78</f>
        <v>91</v>
      </c>
      <c r="Z78">
        <f>Y78+Original!Z78</f>
        <v>104</v>
      </c>
      <c r="AA78">
        <f>Z78+Original!AA78</f>
        <v>117</v>
      </c>
      <c r="AB78">
        <f>AA78+Original!AB78</f>
        <v>119</v>
      </c>
      <c r="AC78">
        <f>AB78+Original!AC78</f>
        <v>119</v>
      </c>
      <c r="AD78">
        <f>AC78+Original!AD78</f>
        <v>121</v>
      </c>
      <c r="AE78">
        <f>AD78+Original!AE78</f>
        <v>123</v>
      </c>
      <c r="AF78">
        <f>AE78+Original!AF78</f>
        <v>123</v>
      </c>
      <c r="AG78">
        <f>AF78+Original!AG78</f>
        <v>123</v>
      </c>
      <c r="AH78">
        <f>AG78+Original!AH78</f>
        <v>123</v>
      </c>
      <c r="AI78">
        <f>AH78+Original!AI78</f>
        <v>123</v>
      </c>
      <c r="AJ78">
        <f>AI78+Original!AJ78</f>
        <v>123</v>
      </c>
      <c r="AK78">
        <f>AJ78+Original!AK78</f>
        <v>123</v>
      </c>
      <c r="AL78">
        <f>AK78+Original!AL78</f>
        <v>123</v>
      </c>
      <c r="AM78">
        <f>AL78+Original!AM78</f>
        <v>123</v>
      </c>
      <c r="AN78">
        <f>AM78+Original!AN78</f>
        <v>123</v>
      </c>
      <c r="AO78">
        <f>AN78+Original!AO78</f>
        <v>123</v>
      </c>
      <c r="AP78">
        <f>AO78+Original!AP78</f>
        <v>123</v>
      </c>
      <c r="AQ78">
        <f>AP78+Original!AQ78</f>
        <v>123</v>
      </c>
      <c r="AR78">
        <f>AQ78+Original!AR78</f>
        <v>123</v>
      </c>
      <c r="AS78">
        <f>AR78+Original!AS78</f>
        <v>123</v>
      </c>
      <c r="AT78">
        <f>AS78+Original!AT78</f>
        <v>123</v>
      </c>
      <c r="AU78">
        <f>AT78+Original!AU78</f>
        <v>123</v>
      </c>
      <c r="AV78">
        <f>AU78+Original!AV78</f>
        <v>123</v>
      </c>
      <c r="AW78">
        <f>AV78+Original!AW78</f>
        <v>123</v>
      </c>
      <c r="AX78">
        <f>AW78+Original!AX78</f>
        <v>123</v>
      </c>
      <c r="AY78">
        <f>AX78+Original!AY78</f>
        <v>123</v>
      </c>
      <c r="AZ78">
        <f>AY78+Original!AZ78</f>
        <v>123</v>
      </c>
      <c r="BA78">
        <f>AZ78+Original!BA78</f>
        <v>123</v>
      </c>
      <c r="BB78">
        <f>BA78+Original!BB78</f>
        <v>123</v>
      </c>
      <c r="BC78">
        <f>BB78+Original!BC78</f>
        <v>123</v>
      </c>
      <c r="BD78">
        <f>BC78+Original!BD78</f>
        <v>123</v>
      </c>
      <c r="BE78">
        <f>BD78+Original!BE78</f>
        <v>123</v>
      </c>
      <c r="BF78">
        <f>BE78+Original!BF78</f>
        <v>123</v>
      </c>
      <c r="BG78">
        <f>BF78+Original!BG78</f>
        <v>123</v>
      </c>
      <c r="BH78">
        <f>BG78+Original!BH78</f>
        <v>123</v>
      </c>
      <c r="BI78">
        <f>BH78+Original!BI78</f>
        <v>123</v>
      </c>
      <c r="BJ78">
        <f>BI78+Original!BJ78</f>
        <v>123</v>
      </c>
      <c r="BK78">
        <f>BJ78+Original!BK78</f>
        <v>123</v>
      </c>
      <c r="BL78">
        <f>BK78+Original!BL78</f>
        <v>123</v>
      </c>
      <c r="BM78">
        <f>BL78+Original!BM78</f>
        <v>123</v>
      </c>
      <c r="BN78">
        <f>BM78+Original!BN78</f>
        <v>123</v>
      </c>
      <c r="BO78">
        <f>BN78+Original!BO78</f>
        <v>123</v>
      </c>
      <c r="BP78">
        <f>BO78+Original!BP78</f>
        <v>123</v>
      </c>
      <c r="BQ78">
        <f>BP78+Original!BQ78</f>
        <v>123</v>
      </c>
      <c r="BR78">
        <f>BQ78+Original!BR78</f>
        <v>123</v>
      </c>
      <c r="BS78">
        <f>BR78+Original!BS78</f>
        <v>123</v>
      </c>
      <c r="BT78">
        <f>BS78+Original!BT78</f>
        <v>123</v>
      </c>
      <c r="BU78">
        <f>BT78+Original!BU78</f>
        <v>123</v>
      </c>
      <c r="BV78">
        <f>BU78+Original!BV78</f>
        <v>123</v>
      </c>
      <c r="BW78">
        <f>BV78+Original!BW78</f>
        <v>123</v>
      </c>
    </row>
    <row r="79" spans="1:75" x14ac:dyDescent="0.25">
      <c r="A79" t="str">
        <f>Original!A79</f>
        <v>Bago</v>
      </c>
      <c r="B79">
        <f>Original!B79</f>
        <v>122</v>
      </c>
      <c r="C79">
        <f>Original!C79</f>
        <v>0</v>
      </c>
      <c r="D79">
        <f>C79+Original!D79</f>
        <v>6</v>
      </c>
      <c r="E79">
        <f>D79+Original!E79</f>
        <v>14</v>
      </c>
      <c r="F79">
        <f>E79+Original!F79</f>
        <v>20</v>
      </c>
      <c r="G79">
        <f>F79+Original!G79</f>
        <v>20</v>
      </c>
      <c r="H79">
        <f>G79+Original!H79</f>
        <v>20</v>
      </c>
      <c r="I79">
        <f>H79+Original!I79</f>
        <v>20</v>
      </c>
      <c r="J79">
        <f>I79+Original!J79</f>
        <v>28</v>
      </c>
      <c r="K79">
        <f>J79+Original!K79</f>
        <v>30</v>
      </c>
      <c r="L79">
        <f>K79+Original!L79</f>
        <v>30</v>
      </c>
      <c r="M79">
        <f>L79+Original!M79</f>
        <v>36</v>
      </c>
      <c r="N79">
        <f>M79+Original!N79</f>
        <v>42</v>
      </c>
      <c r="O79">
        <f>N79+Original!O79</f>
        <v>44</v>
      </c>
      <c r="P79">
        <f>O79+Original!P79</f>
        <v>46</v>
      </c>
      <c r="Q79">
        <f>P79+Original!Q79</f>
        <v>52</v>
      </c>
      <c r="R79">
        <f>Q79+Original!R79</f>
        <v>65</v>
      </c>
      <c r="S79">
        <f>R79+Original!S79</f>
        <v>65</v>
      </c>
      <c r="T79">
        <f>S79+Original!T79</f>
        <v>65</v>
      </c>
      <c r="U79">
        <f>T79+Original!U79</f>
        <v>71</v>
      </c>
      <c r="V79">
        <f>U79+Original!V79</f>
        <v>73</v>
      </c>
      <c r="W79">
        <f>V79+Original!W79</f>
        <v>75</v>
      </c>
      <c r="X79">
        <f>W79+Original!X79</f>
        <v>77</v>
      </c>
      <c r="Y79">
        <f>X79+Original!Y79</f>
        <v>90</v>
      </c>
      <c r="Z79">
        <f>Y79+Original!Z79</f>
        <v>98</v>
      </c>
      <c r="AA79">
        <f>Z79+Original!AA79</f>
        <v>106</v>
      </c>
      <c r="AB79">
        <f>AA79+Original!AB79</f>
        <v>112</v>
      </c>
      <c r="AC79">
        <f>AB79+Original!AC79</f>
        <v>112</v>
      </c>
      <c r="AD79">
        <f>AC79+Original!AD79</f>
        <v>120</v>
      </c>
      <c r="AE79">
        <f>AD79+Original!AE79</f>
        <v>122</v>
      </c>
      <c r="AF79">
        <f>AE79+Original!AF79</f>
        <v>122</v>
      </c>
      <c r="AG79">
        <f>AF79+Original!AG79</f>
        <v>122</v>
      </c>
      <c r="AH79">
        <f>AG79+Original!AH79</f>
        <v>122</v>
      </c>
      <c r="AI79">
        <f>AH79+Original!AI79</f>
        <v>122</v>
      </c>
      <c r="AJ79">
        <f>AI79+Original!AJ79</f>
        <v>122</v>
      </c>
      <c r="AK79">
        <f>AJ79+Original!AK79</f>
        <v>122</v>
      </c>
      <c r="AL79">
        <f>AK79+Original!AL79</f>
        <v>122</v>
      </c>
      <c r="AM79">
        <f>AL79+Original!AM79</f>
        <v>122</v>
      </c>
      <c r="AN79">
        <f>AM79+Original!AN79</f>
        <v>122</v>
      </c>
      <c r="AO79">
        <f>AN79+Original!AO79</f>
        <v>122</v>
      </c>
      <c r="AP79">
        <f>AO79+Original!AP79</f>
        <v>122</v>
      </c>
      <c r="AQ79">
        <f>AP79+Original!AQ79</f>
        <v>122</v>
      </c>
      <c r="AR79">
        <f>AQ79+Original!AR79</f>
        <v>122</v>
      </c>
      <c r="AS79">
        <f>AR79+Original!AS79</f>
        <v>122</v>
      </c>
      <c r="AT79">
        <f>AS79+Original!AT79</f>
        <v>122</v>
      </c>
      <c r="AU79">
        <f>AT79+Original!AU79</f>
        <v>122</v>
      </c>
      <c r="AV79">
        <f>AU79+Original!AV79</f>
        <v>122</v>
      </c>
      <c r="AW79">
        <f>AV79+Original!AW79</f>
        <v>122</v>
      </c>
      <c r="AX79">
        <f>AW79+Original!AX79</f>
        <v>122</v>
      </c>
      <c r="AY79">
        <f>AX79+Original!AY79</f>
        <v>122</v>
      </c>
      <c r="AZ79">
        <f>AY79+Original!AZ79</f>
        <v>122</v>
      </c>
      <c r="BA79">
        <f>AZ79+Original!BA79</f>
        <v>122</v>
      </c>
      <c r="BB79">
        <f>BA79+Original!BB79</f>
        <v>122</v>
      </c>
      <c r="BC79">
        <f>BB79+Original!BC79</f>
        <v>122</v>
      </c>
      <c r="BD79">
        <f>BC79+Original!BD79</f>
        <v>122</v>
      </c>
      <c r="BE79">
        <f>BD79+Original!BE79</f>
        <v>122</v>
      </c>
      <c r="BF79">
        <f>BE79+Original!BF79</f>
        <v>122</v>
      </c>
      <c r="BG79">
        <f>BF79+Original!BG79</f>
        <v>122</v>
      </c>
      <c r="BH79">
        <f>BG79+Original!BH79</f>
        <v>122</v>
      </c>
      <c r="BI79">
        <f>BH79+Original!BI79</f>
        <v>122</v>
      </c>
      <c r="BJ79">
        <f>BI79+Original!BJ79</f>
        <v>122</v>
      </c>
      <c r="BK79">
        <f>BJ79+Original!BK79</f>
        <v>122</v>
      </c>
      <c r="BL79">
        <f>BK79+Original!BL79</f>
        <v>122</v>
      </c>
      <c r="BM79">
        <f>BL79+Original!BM79</f>
        <v>122</v>
      </c>
      <c r="BN79">
        <f>BM79+Original!BN79</f>
        <v>122</v>
      </c>
      <c r="BO79">
        <f>BN79+Original!BO79</f>
        <v>122</v>
      </c>
      <c r="BP79">
        <f>BO79+Original!BP79</f>
        <v>122</v>
      </c>
      <c r="BQ79">
        <f>BP79+Original!BQ79</f>
        <v>122</v>
      </c>
      <c r="BR79">
        <f>BQ79+Original!BR79</f>
        <v>122</v>
      </c>
      <c r="BS79">
        <f>BR79+Original!BS79</f>
        <v>122</v>
      </c>
      <c r="BT79">
        <f>BS79+Original!BT79</f>
        <v>122</v>
      </c>
      <c r="BU79">
        <f>BT79+Original!BU79</f>
        <v>122</v>
      </c>
      <c r="BV79">
        <f>BU79+Original!BV79</f>
        <v>122</v>
      </c>
      <c r="BW79">
        <f>BV79+Original!BW79</f>
        <v>122</v>
      </c>
    </row>
    <row r="80" spans="1:75" x14ac:dyDescent="0.25">
      <c r="A80" t="str">
        <f>Original!A80</f>
        <v>Vicente Coni Jr</v>
      </c>
      <c r="B80">
        <f>Original!B80</f>
        <v>122</v>
      </c>
      <c r="C80">
        <f>Original!C80</f>
        <v>13</v>
      </c>
      <c r="D80">
        <f>C80+Original!D80</f>
        <v>19</v>
      </c>
      <c r="E80">
        <f>D80+Original!E80</f>
        <v>27</v>
      </c>
      <c r="F80">
        <f>E80+Original!F80</f>
        <v>29</v>
      </c>
      <c r="G80">
        <f>F80+Original!G80</f>
        <v>29</v>
      </c>
      <c r="H80">
        <f>G80+Original!H80</f>
        <v>31</v>
      </c>
      <c r="I80">
        <f>H80+Original!I80</f>
        <v>33</v>
      </c>
      <c r="J80">
        <f>I80+Original!J80</f>
        <v>39</v>
      </c>
      <c r="K80">
        <f>J80+Original!K80</f>
        <v>45</v>
      </c>
      <c r="L80">
        <f>K80+Original!L80</f>
        <v>45</v>
      </c>
      <c r="M80">
        <f>L80+Original!M80</f>
        <v>51</v>
      </c>
      <c r="N80">
        <f>M80+Original!N80</f>
        <v>59</v>
      </c>
      <c r="O80">
        <f>N80+Original!O80</f>
        <v>61</v>
      </c>
      <c r="P80">
        <f>O80+Original!P80</f>
        <v>67</v>
      </c>
      <c r="Q80">
        <f>P80+Original!Q80</f>
        <v>73</v>
      </c>
      <c r="R80">
        <f>Q80+Original!R80</f>
        <v>81</v>
      </c>
      <c r="S80">
        <f>R80+Original!S80</f>
        <v>81</v>
      </c>
      <c r="T80">
        <f>S80+Original!T80</f>
        <v>81</v>
      </c>
      <c r="U80">
        <f>T80+Original!U80</f>
        <v>87</v>
      </c>
      <c r="V80">
        <f>U80+Original!V80</f>
        <v>89</v>
      </c>
      <c r="W80">
        <f>V80+Original!W80</f>
        <v>91</v>
      </c>
      <c r="X80">
        <f>W80+Original!X80</f>
        <v>93</v>
      </c>
      <c r="Y80">
        <f>X80+Original!Y80</f>
        <v>106</v>
      </c>
      <c r="Z80">
        <f>Y80+Original!Z80</f>
        <v>108</v>
      </c>
      <c r="AA80">
        <f>Z80+Original!AA80</f>
        <v>116</v>
      </c>
      <c r="AB80">
        <f>AA80+Original!AB80</f>
        <v>118</v>
      </c>
      <c r="AC80">
        <f>AB80+Original!AC80</f>
        <v>118</v>
      </c>
      <c r="AD80">
        <f>AC80+Original!AD80</f>
        <v>120</v>
      </c>
      <c r="AE80">
        <f>AD80+Original!AE80</f>
        <v>122</v>
      </c>
      <c r="AF80">
        <f>AE80+Original!AF80</f>
        <v>122</v>
      </c>
      <c r="AG80">
        <f>AF80+Original!AG80</f>
        <v>122</v>
      </c>
      <c r="AH80">
        <f>AG80+Original!AH80</f>
        <v>122</v>
      </c>
      <c r="AI80">
        <f>AH80+Original!AI80</f>
        <v>122</v>
      </c>
      <c r="AJ80">
        <f>AI80+Original!AJ80</f>
        <v>122</v>
      </c>
      <c r="AK80">
        <f>AJ80+Original!AK80</f>
        <v>122</v>
      </c>
      <c r="AL80">
        <f>AK80+Original!AL80</f>
        <v>122</v>
      </c>
      <c r="AM80">
        <f>AL80+Original!AM80</f>
        <v>122</v>
      </c>
      <c r="AN80">
        <f>AM80+Original!AN80</f>
        <v>122</v>
      </c>
      <c r="AO80">
        <f>AN80+Original!AO80</f>
        <v>122</v>
      </c>
      <c r="AP80">
        <f>AO80+Original!AP80</f>
        <v>122</v>
      </c>
      <c r="AQ80">
        <f>AP80+Original!AQ80</f>
        <v>122</v>
      </c>
      <c r="AR80">
        <f>AQ80+Original!AR80</f>
        <v>122</v>
      </c>
      <c r="AS80">
        <f>AR80+Original!AS80</f>
        <v>122</v>
      </c>
      <c r="AT80">
        <f>AS80+Original!AT80</f>
        <v>122</v>
      </c>
      <c r="AU80">
        <f>AT80+Original!AU80</f>
        <v>122</v>
      </c>
      <c r="AV80">
        <f>AU80+Original!AV80</f>
        <v>122</v>
      </c>
      <c r="AW80">
        <f>AV80+Original!AW80</f>
        <v>122</v>
      </c>
      <c r="AX80">
        <f>AW80+Original!AX80</f>
        <v>122</v>
      </c>
      <c r="AY80">
        <f>AX80+Original!AY80</f>
        <v>122</v>
      </c>
      <c r="AZ80">
        <f>AY80+Original!AZ80</f>
        <v>122</v>
      </c>
      <c r="BA80">
        <f>AZ80+Original!BA80</f>
        <v>122</v>
      </c>
      <c r="BB80">
        <f>BA80+Original!BB80</f>
        <v>122</v>
      </c>
      <c r="BC80">
        <f>BB80+Original!BC80</f>
        <v>122</v>
      </c>
      <c r="BD80">
        <f>BC80+Original!BD80</f>
        <v>122</v>
      </c>
      <c r="BE80">
        <f>BD80+Original!BE80</f>
        <v>122</v>
      </c>
      <c r="BF80">
        <f>BE80+Original!BF80</f>
        <v>122</v>
      </c>
      <c r="BG80">
        <f>BF80+Original!BG80</f>
        <v>122</v>
      </c>
      <c r="BH80">
        <f>BG80+Original!BH80</f>
        <v>122</v>
      </c>
      <c r="BI80">
        <f>BH80+Original!BI80</f>
        <v>122</v>
      </c>
      <c r="BJ80">
        <f>BI80+Original!BJ80</f>
        <v>122</v>
      </c>
      <c r="BK80">
        <f>BJ80+Original!BK80</f>
        <v>122</v>
      </c>
      <c r="BL80">
        <f>BK80+Original!BL80</f>
        <v>122</v>
      </c>
      <c r="BM80">
        <f>BL80+Original!BM80</f>
        <v>122</v>
      </c>
      <c r="BN80">
        <f>BM80+Original!BN80</f>
        <v>122</v>
      </c>
      <c r="BO80">
        <f>BN80+Original!BO80</f>
        <v>122</v>
      </c>
      <c r="BP80">
        <f>BO80+Original!BP80</f>
        <v>122</v>
      </c>
      <c r="BQ80">
        <f>BP80+Original!BQ80</f>
        <v>122</v>
      </c>
      <c r="BR80">
        <f>BQ80+Original!BR80</f>
        <v>122</v>
      </c>
      <c r="BS80">
        <f>BR80+Original!BS80</f>
        <v>122</v>
      </c>
      <c r="BT80">
        <f>BS80+Original!BT80</f>
        <v>122</v>
      </c>
      <c r="BU80">
        <f>BT80+Original!BU80</f>
        <v>122</v>
      </c>
      <c r="BV80">
        <f>BU80+Original!BV80</f>
        <v>122</v>
      </c>
      <c r="BW80">
        <f>BV80+Original!BW80</f>
        <v>122</v>
      </c>
    </row>
    <row r="81" spans="1:75" x14ac:dyDescent="0.25">
      <c r="A81" t="str">
        <f>Original!A81</f>
        <v>Henrique Schubach</v>
      </c>
      <c r="B81">
        <f>Original!B81</f>
        <v>121</v>
      </c>
      <c r="C81">
        <f>Original!C81</f>
        <v>0</v>
      </c>
      <c r="D81">
        <f>C81+Original!D81</f>
        <v>6</v>
      </c>
      <c r="E81">
        <f>D81+Original!E81</f>
        <v>19</v>
      </c>
      <c r="F81">
        <f>E81+Original!F81</f>
        <v>21</v>
      </c>
      <c r="G81">
        <f>F81+Original!G81</f>
        <v>21</v>
      </c>
      <c r="H81">
        <f>G81+Original!H81</f>
        <v>21</v>
      </c>
      <c r="I81">
        <f>H81+Original!I81</f>
        <v>34</v>
      </c>
      <c r="J81">
        <f>I81+Original!J81</f>
        <v>40</v>
      </c>
      <c r="K81">
        <f>J81+Original!K81</f>
        <v>42</v>
      </c>
      <c r="L81">
        <f>K81+Original!L81</f>
        <v>42</v>
      </c>
      <c r="M81">
        <f>L81+Original!M81</f>
        <v>48</v>
      </c>
      <c r="N81">
        <f>M81+Original!N81</f>
        <v>54</v>
      </c>
      <c r="O81">
        <f>N81+Original!O81</f>
        <v>54</v>
      </c>
      <c r="P81">
        <f>O81+Original!P81</f>
        <v>56</v>
      </c>
      <c r="Q81">
        <f>P81+Original!Q81</f>
        <v>62</v>
      </c>
      <c r="R81">
        <f>Q81+Original!R81</f>
        <v>62</v>
      </c>
      <c r="S81">
        <f>R81+Original!S81</f>
        <v>62</v>
      </c>
      <c r="T81">
        <f>S81+Original!T81</f>
        <v>62</v>
      </c>
      <c r="U81">
        <f>T81+Original!U81</f>
        <v>68</v>
      </c>
      <c r="V81">
        <f>U81+Original!V81</f>
        <v>70</v>
      </c>
      <c r="W81">
        <f>V81+Original!W81</f>
        <v>72</v>
      </c>
      <c r="X81">
        <f>W81+Original!X81</f>
        <v>78</v>
      </c>
      <c r="Y81">
        <f>X81+Original!Y81</f>
        <v>86</v>
      </c>
      <c r="Z81">
        <f>Y81+Original!Z81</f>
        <v>94</v>
      </c>
      <c r="AA81">
        <f>Z81+Original!AA81</f>
        <v>107</v>
      </c>
      <c r="AB81">
        <f>AA81+Original!AB81</f>
        <v>107</v>
      </c>
      <c r="AC81">
        <f>AB81+Original!AC81</f>
        <v>107</v>
      </c>
      <c r="AD81">
        <f>AC81+Original!AD81</f>
        <v>115</v>
      </c>
      <c r="AE81">
        <f>AD81+Original!AE81</f>
        <v>121</v>
      </c>
      <c r="AF81">
        <f>AE81+Original!AF81</f>
        <v>121</v>
      </c>
      <c r="AG81">
        <f>AF81+Original!AG81</f>
        <v>121</v>
      </c>
      <c r="AH81">
        <f>AG81+Original!AH81</f>
        <v>121</v>
      </c>
      <c r="AI81">
        <f>AH81+Original!AI81</f>
        <v>121</v>
      </c>
      <c r="AJ81">
        <f>AI81+Original!AJ81</f>
        <v>121</v>
      </c>
      <c r="AK81">
        <f>AJ81+Original!AK81</f>
        <v>121</v>
      </c>
      <c r="AL81">
        <f>AK81+Original!AL81</f>
        <v>121</v>
      </c>
      <c r="AM81">
        <f>AL81+Original!AM81</f>
        <v>121</v>
      </c>
      <c r="AN81">
        <f>AM81+Original!AN81</f>
        <v>121</v>
      </c>
      <c r="AO81">
        <f>AN81+Original!AO81</f>
        <v>121</v>
      </c>
      <c r="AP81">
        <f>AO81+Original!AP81</f>
        <v>121</v>
      </c>
      <c r="AQ81">
        <f>AP81+Original!AQ81</f>
        <v>121</v>
      </c>
      <c r="AR81">
        <f>AQ81+Original!AR81</f>
        <v>121</v>
      </c>
      <c r="AS81">
        <f>AR81+Original!AS81</f>
        <v>121</v>
      </c>
      <c r="AT81">
        <f>AS81+Original!AT81</f>
        <v>121</v>
      </c>
      <c r="AU81">
        <f>AT81+Original!AU81</f>
        <v>121</v>
      </c>
      <c r="AV81">
        <f>AU81+Original!AV81</f>
        <v>121</v>
      </c>
      <c r="AW81">
        <f>AV81+Original!AW81</f>
        <v>121</v>
      </c>
      <c r="AX81">
        <f>AW81+Original!AX81</f>
        <v>121</v>
      </c>
      <c r="AY81">
        <f>AX81+Original!AY81</f>
        <v>121</v>
      </c>
      <c r="AZ81">
        <f>AY81+Original!AZ81</f>
        <v>121</v>
      </c>
      <c r="BA81">
        <f>AZ81+Original!BA81</f>
        <v>121</v>
      </c>
      <c r="BB81">
        <f>BA81+Original!BB81</f>
        <v>121</v>
      </c>
      <c r="BC81">
        <f>BB81+Original!BC81</f>
        <v>121</v>
      </c>
      <c r="BD81">
        <f>BC81+Original!BD81</f>
        <v>121</v>
      </c>
      <c r="BE81">
        <f>BD81+Original!BE81</f>
        <v>121</v>
      </c>
      <c r="BF81">
        <f>BE81+Original!BF81</f>
        <v>121</v>
      </c>
      <c r="BG81">
        <f>BF81+Original!BG81</f>
        <v>121</v>
      </c>
      <c r="BH81">
        <f>BG81+Original!BH81</f>
        <v>121</v>
      </c>
      <c r="BI81">
        <f>BH81+Original!BI81</f>
        <v>121</v>
      </c>
      <c r="BJ81">
        <f>BI81+Original!BJ81</f>
        <v>121</v>
      </c>
      <c r="BK81">
        <f>BJ81+Original!BK81</f>
        <v>121</v>
      </c>
      <c r="BL81">
        <f>BK81+Original!BL81</f>
        <v>121</v>
      </c>
      <c r="BM81">
        <f>BL81+Original!BM81</f>
        <v>121</v>
      </c>
      <c r="BN81">
        <f>BM81+Original!BN81</f>
        <v>121</v>
      </c>
      <c r="BO81">
        <f>BN81+Original!BO81</f>
        <v>121</v>
      </c>
      <c r="BP81">
        <f>BO81+Original!BP81</f>
        <v>121</v>
      </c>
      <c r="BQ81">
        <f>BP81+Original!BQ81</f>
        <v>121</v>
      </c>
      <c r="BR81">
        <f>BQ81+Original!BR81</f>
        <v>121</v>
      </c>
      <c r="BS81">
        <f>BR81+Original!BS81</f>
        <v>121</v>
      </c>
      <c r="BT81">
        <f>BS81+Original!BT81</f>
        <v>121</v>
      </c>
      <c r="BU81">
        <f>BT81+Original!BU81</f>
        <v>121</v>
      </c>
      <c r="BV81">
        <f>BU81+Original!BV81</f>
        <v>121</v>
      </c>
      <c r="BW81">
        <f>BV81+Original!BW81</f>
        <v>121</v>
      </c>
    </row>
    <row r="82" spans="1:75" x14ac:dyDescent="0.25">
      <c r="A82" t="str">
        <f>Original!A82</f>
        <v>Luiz Fernando 1</v>
      </c>
      <c r="B82">
        <f>Original!B82</f>
        <v>120</v>
      </c>
      <c r="C82">
        <f>Original!C82</f>
        <v>2</v>
      </c>
      <c r="D82">
        <f>C82+Original!D82</f>
        <v>8</v>
      </c>
      <c r="E82">
        <f>D82+Original!E82</f>
        <v>16</v>
      </c>
      <c r="F82">
        <f>E82+Original!F82</f>
        <v>18</v>
      </c>
      <c r="G82">
        <f>F82+Original!G82</f>
        <v>18</v>
      </c>
      <c r="H82">
        <f>G82+Original!H82</f>
        <v>20</v>
      </c>
      <c r="I82">
        <f>H82+Original!I82</f>
        <v>22</v>
      </c>
      <c r="J82">
        <f>I82+Original!J82</f>
        <v>28</v>
      </c>
      <c r="K82">
        <f>J82+Original!K82</f>
        <v>30</v>
      </c>
      <c r="L82">
        <f>K82+Original!L82</f>
        <v>30</v>
      </c>
      <c r="M82">
        <f>L82+Original!M82</f>
        <v>38</v>
      </c>
      <c r="N82">
        <f>M82+Original!N82</f>
        <v>46</v>
      </c>
      <c r="O82">
        <f>N82+Original!O82</f>
        <v>52</v>
      </c>
      <c r="P82">
        <f>O82+Original!P82</f>
        <v>54</v>
      </c>
      <c r="Q82">
        <f>P82+Original!Q82</f>
        <v>62</v>
      </c>
      <c r="R82">
        <f>Q82+Original!R82</f>
        <v>70</v>
      </c>
      <c r="S82">
        <f>R82+Original!S82</f>
        <v>70</v>
      </c>
      <c r="T82">
        <f>S82+Original!T82</f>
        <v>70</v>
      </c>
      <c r="U82">
        <f>T82+Original!U82</f>
        <v>70</v>
      </c>
      <c r="V82">
        <f>U82+Original!V82</f>
        <v>83</v>
      </c>
      <c r="W82">
        <f>V82+Original!W82</f>
        <v>83</v>
      </c>
      <c r="X82">
        <f>W82+Original!X82</f>
        <v>83</v>
      </c>
      <c r="Y82">
        <f>X82+Original!Y82</f>
        <v>91</v>
      </c>
      <c r="Z82">
        <f>Y82+Original!Z82</f>
        <v>93</v>
      </c>
      <c r="AA82">
        <f>Z82+Original!AA82</f>
        <v>106</v>
      </c>
      <c r="AB82">
        <f>AA82+Original!AB82</f>
        <v>106</v>
      </c>
      <c r="AC82">
        <f>AB82+Original!AC82</f>
        <v>106</v>
      </c>
      <c r="AD82">
        <f>AC82+Original!AD82</f>
        <v>114</v>
      </c>
      <c r="AE82">
        <f>AD82+Original!AE82</f>
        <v>120</v>
      </c>
      <c r="AF82">
        <f>AE82+Original!AF82</f>
        <v>120</v>
      </c>
      <c r="AG82">
        <f>AF82+Original!AG82</f>
        <v>120</v>
      </c>
      <c r="AH82">
        <f>AG82+Original!AH82</f>
        <v>120</v>
      </c>
      <c r="AI82">
        <f>AH82+Original!AI82</f>
        <v>120</v>
      </c>
      <c r="AJ82">
        <f>AI82+Original!AJ82</f>
        <v>120</v>
      </c>
      <c r="AK82">
        <f>AJ82+Original!AK82</f>
        <v>120</v>
      </c>
      <c r="AL82">
        <f>AK82+Original!AL82</f>
        <v>120</v>
      </c>
      <c r="AM82">
        <f>AL82+Original!AM82</f>
        <v>120</v>
      </c>
      <c r="AN82">
        <f>AM82+Original!AN82</f>
        <v>120</v>
      </c>
      <c r="AO82">
        <f>AN82+Original!AO82</f>
        <v>120</v>
      </c>
      <c r="AP82">
        <f>AO82+Original!AP82</f>
        <v>120</v>
      </c>
      <c r="AQ82">
        <f>AP82+Original!AQ82</f>
        <v>120</v>
      </c>
      <c r="AR82">
        <f>AQ82+Original!AR82</f>
        <v>120</v>
      </c>
      <c r="AS82">
        <f>AR82+Original!AS82</f>
        <v>120</v>
      </c>
      <c r="AT82">
        <f>AS82+Original!AT82</f>
        <v>120</v>
      </c>
      <c r="AU82">
        <f>AT82+Original!AU82</f>
        <v>120</v>
      </c>
      <c r="AV82">
        <f>AU82+Original!AV82</f>
        <v>120</v>
      </c>
      <c r="AW82">
        <f>AV82+Original!AW82</f>
        <v>120</v>
      </c>
      <c r="AX82">
        <f>AW82+Original!AX82</f>
        <v>120</v>
      </c>
      <c r="AY82">
        <f>AX82+Original!AY82</f>
        <v>120</v>
      </c>
      <c r="AZ82">
        <f>AY82+Original!AZ82</f>
        <v>120</v>
      </c>
      <c r="BA82">
        <f>AZ82+Original!BA82</f>
        <v>120</v>
      </c>
      <c r="BB82">
        <f>BA82+Original!BB82</f>
        <v>120</v>
      </c>
      <c r="BC82">
        <f>BB82+Original!BC82</f>
        <v>120</v>
      </c>
      <c r="BD82">
        <f>BC82+Original!BD82</f>
        <v>120</v>
      </c>
      <c r="BE82">
        <f>BD82+Original!BE82</f>
        <v>120</v>
      </c>
      <c r="BF82">
        <f>BE82+Original!BF82</f>
        <v>120</v>
      </c>
      <c r="BG82">
        <f>BF82+Original!BG82</f>
        <v>120</v>
      </c>
      <c r="BH82">
        <f>BG82+Original!BH82</f>
        <v>120</v>
      </c>
      <c r="BI82">
        <f>BH82+Original!BI82</f>
        <v>120</v>
      </c>
      <c r="BJ82">
        <f>BI82+Original!BJ82</f>
        <v>120</v>
      </c>
      <c r="BK82">
        <f>BJ82+Original!BK82</f>
        <v>120</v>
      </c>
      <c r="BL82">
        <f>BK82+Original!BL82</f>
        <v>120</v>
      </c>
      <c r="BM82">
        <f>BL82+Original!BM82</f>
        <v>120</v>
      </c>
      <c r="BN82">
        <f>BM82+Original!BN82</f>
        <v>120</v>
      </c>
      <c r="BO82">
        <f>BN82+Original!BO82</f>
        <v>120</v>
      </c>
      <c r="BP82">
        <f>BO82+Original!BP82</f>
        <v>120</v>
      </c>
      <c r="BQ82">
        <f>BP82+Original!BQ82</f>
        <v>120</v>
      </c>
      <c r="BR82">
        <f>BQ82+Original!BR82</f>
        <v>120</v>
      </c>
      <c r="BS82">
        <f>BR82+Original!BS82</f>
        <v>120</v>
      </c>
      <c r="BT82">
        <f>BS82+Original!BT82</f>
        <v>120</v>
      </c>
      <c r="BU82">
        <f>BT82+Original!BU82</f>
        <v>120</v>
      </c>
      <c r="BV82">
        <f>BU82+Original!BV82</f>
        <v>120</v>
      </c>
      <c r="BW82">
        <f>BV82+Original!BW82</f>
        <v>120</v>
      </c>
    </row>
    <row r="83" spans="1:75" x14ac:dyDescent="0.25">
      <c r="A83" t="str">
        <f>Original!A83</f>
        <v>Aloisio Daniel</v>
      </c>
      <c r="B83">
        <f>Original!B83</f>
        <v>119</v>
      </c>
      <c r="C83">
        <f>Original!C83</f>
        <v>0</v>
      </c>
      <c r="D83">
        <f>C83+Original!D83</f>
        <v>6</v>
      </c>
      <c r="E83">
        <f>D83+Original!E83</f>
        <v>12</v>
      </c>
      <c r="F83">
        <f>E83+Original!F83</f>
        <v>14</v>
      </c>
      <c r="G83">
        <f>F83+Original!G83</f>
        <v>14</v>
      </c>
      <c r="H83">
        <f>G83+Original!H83</f>
        <v>14</v>
      </c>
      <c r="I83">
        <f>H83+Original!I83</f>
        <v>14</v>
      </c>
      <c r="J83">
        <f>I83+Original!J83</f>
        <v>22</v>
      </c>
      <c r="K83">
        <f>J83+Original!K83</f>
        <v>22</v>
      </c>
      <c r="L83">
        <f>K83+Original!L83</f>
        <v>22</v>
      </c>
      <c r="M83">
        <f>L83+Original!M83</f>
        <v>28</v>
      </c>
      <c r="N83">
        <f>M83+Original!N83</f>
        <v>36</v>
      </c>
      <c r="O83">
        <f>N83+Original!O83</f>
        <v>49</v>
      </c>
      <c r="P83">
        <f>O83+Original!P83</f>
        <v>51</v>
      </c>
      <c r="Q83">
        <f>P83+Original!Q83</f>
        <v>59</v>
      </c>
      <c r="R83">
        <f>Q83+Original!R83</f>
        <v>72</v>
      </c>
      <c r="S83">
        <f>R83+Original!S83</f>
        <v>72</v>
      </c>
      <c r="T83">
        <f>S83+Original!T83</f>
        <v>72</v>
      </c>
      <c r="U83">
        <f>T83+Original!U83</f>
        <v>78</v>
      </c>
      <c r="V83">
        <f>U83+Original!V83</f>
        <v>78</v>
      </c>
      <c r="W83">
        <f>V83+Original!W83</f>
        <v>78</v>
      </c>
      <c r="X83">
        <f>W83+Original!X83</f>
        <v>80</v>
      </c>
      <c r="Y83">
        <f>X83+Original!Y83</f>
        <v>93</v>
      </c>
      <c r="Z83">
        <f>Y83+Original!Z83</f>
        <v>101</v>
      </c>
      <c r="AA83">
        <f>Z83+Original!AA83</f>
        <v>107</v>
      </c>
      <c r="AB83">
        <f>AA83+Original!AB83</f>
        <v>109</v>
      </c>
      <c r="AC83">
        <f>AB83+Original!AC83</f>
        <v>109</v>
      </c>
      <c r="AD83">
        <f>AC83+Original!AD83</f>
        <v>117</v>
      </c>
      <c r="AE83">
        <f>AD83+Original!AE83</f>
        <v>119</v>
      </c>
      <c r="AF83">
        <f>AE83+Original!AF83</f>
        <v>119</v>
      </c>
      <c r="AG83">
        <f>AF83+Original!AG83</f>
        <v>119</v>
      </c>
      <c r="AH83">
        <f>AG83+Original!AH83</f>
        <v>119</v>
      </c>
      <c r="AI83">
        <f>AH83+Original!AI83</f>
        <v>119</v>
      </c>
      <c r="AJ83">
        <f>AI83+Original!AJ83</f>
        <v>119</v>
      </c>
      <c r="AK83">
        <f>AJ83+Original!AK83</f>
        <v>119</v>
      </c>
      <c r="AL83">
        <f>AK83+Original!AL83</f>
        <v>119</v>
      </c>
      <c r="AM83">
        <f>AL83+Original!AM83</f>
        <v>119</v>
      </c>
      <c r="AN83">
        <f>AM83+Original!AN83</f>
        <v>119</v>
      </c>
      <c r="AO83">
        <f>AN83+Original!AO83</f>
        <v>119</v>
      </c>
      <c r="AP83">
        <f>AO83+Original!AP83</f>
        <v>119</v>
      </c>
      <c r="AQ83">
        <f>AP83+Original!AQ83</f>
        <v>119</v>
      </c>
      <c r="AR83">
        <f>AQ83+Original!AR83</f>
        <v>119</v>
      </c>
      <c r="AS83">
        <f>AR83+Original!AS83</f>
        <v>119</v>
      </c>
      <c r="AT83">
        <f>AS83+Original!AT83</f>
        <v>119</v>
      </c>
      <c r="AU83">
        <f>AT83+Original!AU83</f>
        <v>119</v>
      </c>
      <c r="AV83">
        <f>AU83+Original!AV83</f>
        <v>119</v>
      </c>
      <c r="AW83">
        <f>AV83+Original!AW83</f>
        <v>119</v>
      </c>
      <c r="AX83">
        <f>AW83+Original!AX83</f>
        <v>119</v>
      </c>
      <c r="AY83">
        <f>AX83+Original!AY83</f>
        <v>119</v>
      </c>
      <c r="AZ83">
        <f>AY83+Original!AZ83</f>
        <v>119</v>
      </c>
      <c r="BA83">
        <f>AZ83+Original!BA83</f>
        <v>119</v>
      </c>
      <c r="BB83">
        <f>BA83+Original!BB83</f>
        <v>119</v>
      </c>
      <c r="BC83">
        <f>BB83+Original!BC83</f>
        <v>119</v>
      </c>
      <c r="BD83">
        <f>BC83+Original!BD83</f>
        <v>119</v>
      </c>
      <c r="BE83">
        <f>BD83+Original!BE83</f>
        <v>119</v>
      </c>
      <c r="BF83">
        <f>BE83+Original!BF83</f>
        <v>119</v>
      </c>
      <c r="BG83">
        <f>BF83+Original!BG83</f>
        <v>119</v>
      </c>
      <c r="BH83">
        <f>BG83+Original!BH83</f>
        <v>119</v>
      </c>
      <c r="BI83">
        <f>BH83+Original!BI83</f>
        <v>119</v>
      </c>
      <c r="BJ83">
        <f>BI83+Original!BJ83</f>
        <v>119</v>
      </c>
      <c r="BK83">
        <f>BJ83+Original!BK83</f>
        <v>119</v>
      </c>
      <c r="BL83">
        <f>BK83+Original!BL83</f>
        <v>119</v>
      </c>
      <c r="BM83">
        <f>BL83+Original!BM83</f>
        <v>119</v>
      </c>
      <c r="BN83">
        <f>BM83+Original!BN83</f>
        <v>119</v>
      </c>
      <c r="BO83">
        <f>BN83+Original!BO83</f>
        <v>119</v>
      </c>
      <c r="BP83">
        <f>BO83+Original!BP83</f>
        <v>119</v>
      </c>
      <c r="BQ83">
        <f>BP83+Original!BQ83</f>
        <v>119</v>
      </c>
      <c r="BR83">
        <f>BQ83+Original!BR83</f>
        <v>119</v>
      </c>
      <c r="BS83">
        <f>BR83+Original!BS83</f>
        <v>119</v>
      </c>
      <c r="BT83">
        <f>BS83+Original!BT83</f>
        <v>119</v>
      </c>
      <c r="BU83">
        <f>BT83+Original!BU83</f>
        <v>119</v>
      </c>
      <c r="BV83">
        <f>BU83+Original!BV83</f>
        <v>119</v>
      </c>
      <c r="BW83">
        <f>BV83+Original!BW83</f>
        <v>119</v>
      </c>
    </row>
    <row r="84" spans="1:75" x14ac:dyDescent="0.25">
      <c r="A84" t="str">
        <f>Original!A84</f>
        <v>André Bittencourt</v>
      </c>
      <c r="B84">
        <f>Original!B84</f>
        <v>119</v>
      </c>
      <c r="C84">
        <f>Original!C84</f>
        <v>0</v>
      </c>
      <c r="D84">
        <f>C84+Original!D84</f>
        <v>6</v>
      </c>
      <c r="E84">
        <f>D84+Original!E84</f>
        <v>14</v>
      </c>
      <c r="F84">
        <f>E84+Original!F84</f>
        <v>16</v>
      </c>
      <c r="G84">
        <f>F84+Original!G84</f>
        <v>16</v>
      </c>
      <c r="H84">
        <f>G84+Original!H84</f>
        <v>18</v>
      </c>
      <c r="I84">
        <f>H84+Original!I84</f>
        <v>18</v>
      </c>
      <c r="J84">
        <f>I84+Original!J84</f>
        <v>24</v>
      </c>
      <c r="K84">
        <f>J84+Original!K84</f>
        <v>26</v>
      </c>
      <c r="L84">
        <f>K84+Original!L84</f>
        <v>26</v>
      </c>
      <c r="M84">
        <f>L84+Original!M84</f>
        <v>32</v>
      </c>
      <c r="N84">
        <f>M84+Original!N84</f>
        <v>40</v>
      </c>
      <c r="O84">
        <f>N84+Original!O84</f>
        <v>42</v>
      </c>
      <c r="P84">
        <f>O84+Original!P84</f>
        <v>42</v>
      </c>
      <c r="Q84">
        <f>P84+Original!Q84</f>
        <v>48</v>
      </c>
      <c r="R84">
        <f>Q84+Original!R84</f>
        <v>56</v>
      </c>
      <c r="S84">
        <f>R84+Original!S84</f>
        <v>63</v>
      </c>
      <c r="T84">
        <f>S84+Original!T84</f>
        <v>63</v>
      </c>
      <c r="U84">
        <f>T84+Original!U84</f>
        <v>69</v>
      </c>
      <c r="V84">
        <f>U84+Original!V84</f>
        <v>69</v>
      </c>
      <c r="W84">
        <f>V84+Original!W84</f>
        <v>69</v>
      </c>
      <c r="X84">
        <f>W84+Original!X84</f>
        <v>71</v>
      </c>
      <c r="Y84">
        <f>X84+Original!Y84</f>
        <v>84</v>
      </c>
      <c r="Z84">
        <f>Y84+Original!Z84</f>
        <v>90</v>
      </c>
      <c r="AA84">
        <f>Z84+Original!AA84</f>
        <v>98</v>
      </c>
      <c r="AB84">
        <f>AA84+Original!AB84</f>
        <v>98</v>
      </c>
      <c r="AC84">
        <f>AB84+Original!AC84</f>
        <v>98</v>
      </c>
      <c r="AD84">
        <f>AC84+Original!AD84</f>
        <v>106</v>
      </c>
      <c r="AE84">
        <f>AD84+Original!AE84</f>
        <v>119</v>
      </c>
      <c r="AF84">
        <f>AE84+Original!AF84</f>
        <v>119</v>
      </c>
      <c r="AG84">
        <f>AF84+Original!AG84</f>
        <v>119</v>
      </c>
      <c r="AH84">
        <f>AG84+Original!AH84</f>
        <v>119</v>
      </c>
      <c r="AI84">
        <f>AH84+Original!AI84</f>
        <v>119</v>
      </c>
      <c r="AJ84">
        <f>AI84+Original!AJ84</f>
        <v>119</v>
      </c>
      <c r="AK84">
        <f>AJ84+Original!AK84</f>
        <v>119</v>
      </c>
      <c r="AL84">
        <f>AK84+Original!AL84</f>
        <v>119</v>
      </c>
      <c r="AM84">
        <f>AL84+Original!AM84</f>
        <v>119</v>
      </c>
      <c r="AN84">
        <f>AM84+Original!AN84</f>
        <v>119</v>
      </c>
      <c r="AO84">
        <f>AN84+Original!AO84</f>
        <v>119</v>
      </c>
      <c r="AP84">
        <f>AO84+Original!AP84</f>
        <v>119</v>
      </c>
      <c r="AQ84">
        <f>AP84+Original!AQ84</f>
        <v>119</v>
      </c>
      <c r="AR84">
        <f>AQ84+Original!AR84</f>
        <v>119</v>
      </c>
      <c r="AS84">
        <f>AR84+Original!AS84</f>
        <v>119</v>
      </c>
      <c r="AT84">
        <f>AS84+Original!AT84</f>
        <v>119</v>
      </c>
      <c r="AU84">
        <f>AT84+Original!AU84</f>
        <v>119</v>
      </c>
      <c r="AV84">
        <f>AU84+Original!AV84</f>
        <v>119</v>
      </c>
      <c r="AW84">
        <f>AV84+Original!AW84</f>
        <v>119</v>
      </c>
      <c r="AX84">
        <f>AW84+Original!AX84</f>
        <v>119</v>
      </c>
      <c r="AY84">
        <f>AX84+Original!AY84</f>
        <v>119</v>
      </c>
      <c r="AZ84">
        <f>AY84+Original!AZ84</f>
        <v>119</v>
      </c>
      <c r="BA84">
        <f>AZ84+Original!BA84</f>
        <v>119</v>
      </c>
      <c r="BB84">
        <f>BA84+Original!BB84</f>
        <v>119</v>
      </c>
      <c r="BC84">
        <f>BB84+Original!BC84</f>
        <v>119</v>
      </c>
      <c r="BD84">
        <f>BC84+Original!BD84</f>
        <v>119</v>
      </c>
      <c r="BE84">
        <f>BD84+Original!BE84</f>
        <v>119</v>
      </c>
      <c r="BF84">
        <f>BE84+Original!BF84</f>
        <v>119</v>
      </c>
      <c r="BG84">
        <f>BF84+Original!BG84</f>
        <v>119</v>
      </c>
      <c r="BH84">
        <f>BG84+Original!BH84</f>
        <v>119</v>
      </c>
      <c r="BI84">
        <f>BH84+Original!BI84</f>
        <v>119</v>
      </c>
      <c r="BJ84">
        <f>BI84+Original!BJ84</f>
        <v>119</v>
      </c>
      <c r="BK84">
        <f>BJ84+Original!BK84</f>
        <v>119</v>
      </c>
      <c r="BL84">
        <f>BK84+Original!BL84</f>
        <v>119</v>
      </c>
      <c r="BM84">
        <f>BL84+Original!BM84</f>
        <v>119</v>
      </c>
      <c r="BN84">
        <f>BM84+Original!BN84</f>
        <v>119</v>
      </c>
      <c r="BO84">
        <f>BN84+Original!BO84</f>
        <v>119</v>
      </c>
      <c r="BP84">
        <f>BO84+Original!BP84</f>
        <v>119</v>
      </c>
      <c r="BQ84">
        <f>BP84+Original!BQ84</f>
        <v>119</v>
      </c>
      <c r="BR84">
        <f>BQ84+Original!BR84</f>
        <v>119</v>
      </c>
      <c r="BS84">
        <f>BR84+Original!BS84</f>
        <v>119</v>
      </c>
      <c r="BT84">
        <f>BS84+Original!BT84</f>
        <v>119</v>
      </c>
      <c r="BU84">
        <f>BT84+Original!BU84</f>
        <v>119</v>
      </c>
      <c r="BV84">
        <f>BU84+Original!BV84</f>
        <v>119</v>
      </c>
      <c r="BW84">
        <f>BV84+Original!BW84</f>
        <v>119</v>
      </c>
    </row>
    <row r="85" spans="1:75" x14ac:dyDescent="0.25">
      <c r="A85" t="str">
        <f>Original!A85</f>
        <v>Cris Pinto 3</v>
      </c>
      <c r="B85">
        <f>Original!B85</f>
        <v>119</v>
      </c>
      <c r="C85">
        <f>Original!C85</f>
        <v>13</v>
      </c>
      <c r="D85">
        <f>C85+Original!D85</f>
        <v>19</v>
      </c>
      <c r="E85">
        <f>D85+Original!E85</f>
        <v>32</v>
      </c>
      <c r="F85">
        <f>E85+Original!F85</f>
        <v>38</v>
      </c>
      <c r="G85">
        <f>F85+Original!G85</f>
        <v>38</v>
      </c>
      <c r="H85">
        <f>G85+Original!H85</f>
        <v>40</v>
      </c>
      <c r="I85">
        <f>H85+Original!I85</f>
        <v>42</v>
      </c>
      <c r="J85">
        <f>I85+Original!J85</f>
        <v>50</v>
      </c>
      <c r="K85">
        <f>J85+Original!K85</f>
        <v>52</v>
      </c>
      <c r="L85">
        <f>K85+Original!L85</f>
        <v>52</v>
      </c>
      <c r="M85">
        <f>L85+Original!M85</f>
        <v>60</v>
      </c>
      <c r="N85">
        <f>M85+Original!N85</f>
        <v>66</v>
      </c>
      <c r="O85">
        <f>N85+Original!O85</f>
        <v>68</v>
      </c>
      <c r="P85">
        <f>O85+Original!P85</f>
        <v>70</v>
      </c>
      <c r="Q85">
        <f>P85+Original!Q85</f>
        <v>70</v>
      </c>
      <c r="R85">
        <f>Q85+Original!R85</f>
        <v>78</v>
      </c>
      <c r="S85">
        <f>R85+Original!S85</f>
        <v>78</v>
      </c>
      <c r="T85">
        <f>S85+Original!T85</f>
        <v>78</v>
      </c>
      <c r="U85">
        <f>T85+Original!U85</f>
        <v>80</v>
      </c>
      <c r="V85">
        <f>U85+Original!V85</f>
        <v>82</v>
      </c>
      <c r="W85">
        <f>V85+Original!W85</f>
        <v>82</v>
      </c>
      <c r="X85">
        <f>W85+Original!X85</f>
        <v>84</v>
      </c>
      <c r="Y85">
        <f>X85+Original!Y85</f>
        <v>84</v>
      </c>
      <c r="Z85">
        <f>Y85+Original!Z85</f>
        <v>97</v>
      </c>
      <c r="AA85">
        <f>Z85+Original!AA85</f>
        <v>105</v>
      </c>
      <c r="AB85">
        <f>AA85+Original!AB85</f>
        <v>107</v>
      </c>
      <c r="AC85">
        <f>AB85+Original!AC85</f>
        <v>107</v>
      </c>
      <c r="AD85">
        <f>AC85+Original!AD85</f>
        <v>113</v>
      </c>
      <c r="AE85">
        <f>AD85+Original!AE85</f>
        <v>119</v>
      </c>
      <c r="AF85">
        <f>AE85+Original!AF85</f>
        <v>119</v>
      </c>
      <c r="AG85">
        <f>AF85+Original!AG85</f>
        <v>119</v>
      </c>
      <c r="AH85">
        <f>AG85+Original!AH85</f>
        <v>119</v>
      </c>
      <c r="AI85">
        <f>AH85+Original!AI85</f>
        <v>119</v>
      </c>
      <c r="AJ85">
        <f>AI85+Original!AJ85</f>
        <v>119</v>
      </c>
      <c r="AK85">
        <f>AJ85+Original!AK85</f>
        <v>119</v>
      </c>
      <c r="AL85">
        <f>AK85+Original!AL85</f>
        <v>119</v>
      </c>
      <c r="AM85">
        <f>AL85+Original!AM85</f>
        <v>119</v>
      </c>
      <c r="AN85">
        <f>AM85+Original!AN85</f>
        <v>119</v>
      </c>
      <c r="AO85">
        <f>AN85+Original!AO85</f>
        <v>119</v>
      </c>
      <c r="AP85">
        <f>AO85+Original!AP85</f>
        <v>119</v>
      </c>
      <c r="AQ85">
        <f>AP85+Original!AQ85</f>
        <v>119</v>
      </c>
      <c r="AR85">
        <f>AQ85+Original!AR85</f>
        <v>119</v>
      </c>
      <c r="AS85">
        <f>AR85+Original!AS85</f>
        <v>119</v>
      </c>
      <c r="AT85">
        <f>AS85+Original!AT85</f>
        <v>119</v>
      </c>
      <c r="AU85">
        <f>AT85+Original!AU85</f>
        <v>119</v>
      </c>
      <c r="AV85">
        <f>AU85+Original!AV85</f>
        <v>119</v>
      </c>
      <c r="AW85">
        <f>AV85+Original!AW85</f>
        <v>119</v>
      </c>
      <c r="AX85">
        <f>AW85+Original!AX85</f>
        <v>119</v>
      </c>
      <c r="AY85">
        <f>AX85+Original!AY85</f>
        <v>119</v>
      </c>
      <c r="AZ85">
        <f>AY85+Original!AZ85</f>
        <v>119</v>
      </c>
      <c r="BA85">
        <f>AZ85+Original!BA85</f>
        <v>119</v>
      </c>
      <c r="BB85">
        <f>BA85+Original!BB85</f>
        <v>119</v>
      </c>
      <c r="BC85">
        <f>BB85+Original!BC85</f>
        <v>119</v>
      </c>
      <c r="BD85">
        <f>BC85+Original!BD85</f>
        <v>119</v>
      </c>
      <c r="BE85">
        <f>BD85+Original!BE85</f>
        <v>119</v>
      </c>
      <c r="BF85">
        <f>BE85+Original!BF85</f>
        <v>119</v>
      </c>
      <c r="BG85">
        <f>BF85+Original!BG85</f>
        <v>119</v>
      </c>
      <c r="BH85">
        <f>BG85+Original!BH85</f>
        <v>119</v>
      </c>
      <c r="BI85">
        <f>BH85+Original!BI85</f>
        <v>119</v>
      </c>
      <c r="BJ85">
        <f>BI85+Original!BJ85</f>
        <v>119</v>
      </c>
      <c r="BK85">
        <f>BJ85+Original!BK85</f>
        <v>119</v>
      </c>
      <c r="BL85">
        <f>BK85+Original!BL85</f>
        <v>119</v>
      </c>
      <c r="BM85">
        <f>BL85+Original!BM85</f>
        <v>119</v>
      </c>
      <c r="BN85">
        <f>BM85+Original!BN85</f>
        <v>119</v>
      </c>
      <c r="BO85">
        <f>BN85+Original!BO85</f>
        <v>119</v>
      </c>
      <c r="BP85">
        <f>BO85+Original!BP85</f>
        <v>119</v>
      </c>
      <c r="BQ85">
        <f>BP85+Original!BQ85</f>
        <v>119</v>
      </c>
      <c r="BR85">
        <f>BQ85+Original!BR85</f>
        <v>119</v>
      </c>
      <c r="BS85">
        <f>BR85+Original!BS85</f>
        <v>119</v>
      </c>
      <c r="BT85">
        <f>BS85+Original!BT85</f>
        <v>119</v>
      </c>
      <c r="BU85">
        <f>BT85+Original!BU85</f>
        <v>119</v>
      </c>
      <c r="BV85">
        <f>BU85+Original!BV85</f>
        <v>119</v>
      </c>
      <c r="BW85">
        <f>BV85+Original!BW85</f>
        <v>119</v>
      </c>
    </row>
    <row r="86" spans="1:75" x14ac:dyDescent="0.25">
      <c r="A86" t="str">
        <f>Original!A86</f>
        <v>Paulo Bandeira</v>
      </c>
      <c r="B86">
        <f>Original!B86</f>
        <v>119</v>
      </c>
      <c r="C86">
        <f>Original!C86</f>
        <v>0</v>
      </c>
      <c r="D86">
        <f>C86+Original!D86</f>
        <v>6</v>
      </c>
      <c r="E86">
        <f>D86+Original!E86</f>
        <v>12</v>
      </c>
      <c r="F86">
        <f>E86+Original!F86</f>
        <v>25</v>
      </c>
      <c r="G86">
        <f>F86+Original!G86</f>
        <v>25</v>
      </c>
      <c r="H86">
        <f>G86+Original!H86</f>
        <v>27</v>
      </c>
      <c r="I86">
        <f>H86+Original!I86</f>
        <v>33</v>
      </c>
      <c r="J86">
        <f>I86+Original!J86</f>
        <v>39</v>
      </c>
      <c r="K86">
        <f>J86+Original!K86</f>
        <v>39</v>
      </c>
      <c r="L86">
        <f>K86+Original!L86</f>
        <v>39</v>
      </c>
      <c r="M86">
        <f>L86+Original!M86</f>
        <v>47</v>
      </c>
      <c r="N86">
        <f>M86+Original!N86</f>
        <v>55</v>
      </c>
      <c r="O86">
        <f>N86+Original!O86</f>
        <v>57</v>
      </c>
      <c r="P86">
        <f>O86+Original!P86</f>
        <v>59</v>
      </c>
      <c r="Q86">
        <f>P86+Original!Q86</f>
        <v>67</v>
      </c>
      <c r="R86">
        <f>Q86+Original!R86</f>
        <v>73</v>
      </c>
      <c r="S86">
        <f>R86+Original!S86</f>
        <v>73</v>
      </c>
      <c r="T86">
        <f>S86+Original!T86</f>
        <v>73</v>
      </c>
      <c r="U86">
        <f>T86+Original!U86</f>
        <v>73</v>
      </c>
      <c r="V86">
        <f>U86+Original!V86</f>
        <v>86</v>
      </c>
      <c r="W86">
        <f>V86+Original!W86</f>
        <v>88</v>
      </c>
      <c r="X86">
        <f>W86+Original!X86</f>
        <v>90</v>
      </c>
      <c r="Y86">
        <f>X86+Original!Y86</f>
        <v>98</v>
      </c>
      <c r="Z86">
        <f>Y86+Original!Z86</f>
        <v>100</v>
      </c>
      <c r="AA86">
        <f>Z86+Original!AA86</f>
        <v>100</v>
      </c>
      <c r="AB86">
        <f>AA86+Original!AB86</f>
        <v>100</v>
      </c>
      <c r="AC86">
        <f>AB86+Original!AC86</f>
        <v>100</v>
      </c>
      <c r="AD86">
        <f>AC86+Original!AD86</f>
        <v>106</v>
      </c>
      <c r="AE86">
        <f>AD86+Original!AE86</f>
        <v>119</v>
      </c>
      <c r="AF86">
        <f>AE86+Original!AF86</f>
        <v>119</v>
      </c>
      <c r="AG86">
        <f>AF86+Original!AG86</f>
        <v>119</v>
      </c>
      <c r="AH86">
        <f>AG86+Original!AH86</f>
        <v>119</v>
      </c>
      <c r="AI86">
        <f>AH86+Original!AI86</f>
        <v>119</v>
      </c>
      <c r="AJ86">
        <f>AI86+Original!AJ86</f>
        <v>119</v>
      </c>
      <c r="AK86">
        <f>AJ86+Original!AK86</f>
        <v>119</v>
      </c>
      <c r="AL86">
        <f>AK86+Original!AL86</f>
        <v>119</v>
      </c>
      <c r="AM86">
        <f>AL86+Original!AM86</f>
        <v>119</v>
      </c>
      <c r="AN86">
        <f>AM86+Original!AN86</f>
        <v>119</v>
      </c>
      <c r="AO86">
        <f>AN86+Original!AO86</f>
        <v>119</v>
      </c>
      <c r="AP86">
        <f>AO86+Original!AP86</f>
        <v>119</v>
      </c>
      <c r="AQ86">
        <f>AP86+Original!AQ86</f>
        <v>119</v>
      </c>
      <c r="AR86">
        <f>AQ86+Original!AR86</f>
        <v>119</v>
      </c>
      <c r="AS86">
        <f>AR86+Original!AS86</f>
        <v>119</v>
      </c>
      <c r="AT86">
        <f>AS86+Original!AT86</f>
        <v>119</v>
      </c>
      <c r="AU86">
        <f>AT86+Original!AU86</f>
        <v>119</v>
      </c>
      <c r="AV86">
        <f>AU86+Original!AV86</f>
        <v>119</v>
      </c>
      <c r="AW86">
        <f>AV86+Original!AW86</f>
        <v>119</v>
      </c>
      <c r="AX86">
        <f>AW86+Original!AX86</f>
        <v>119</v>
      </c>
      <c r="AY86">
        <f>AX86+Original!AY86</f>
        <v>119</v>
      </c>
      <c r="AZ86">
        <f>AY86+Original!AZ86</f>
        <v>119</v>
      </c>
      <c r="BA86">
        <f>AZ86+Original!BA86</f>
        <v>119</v>
      </c>
      <c r="BB86">
        <f>BA86+Original!BB86</f>
        <v>119</v>
      </c>
      <c r="BC86">
        <f>BB86+Original!BC86</f>
        <v>119</v>
      </c>
      <c r="BD86">
        <f>BC86+Original!BD86</f>
        <v>119</v>
      </c>
      <c r="BE86">
        <f>BD86+Original!BE86</f>
        <v>119</v>
      </c>
      <c r="BF86">
        <f>BE86+Original!BF86</f>
        <v>119</v>
      </c>
      <c r="BG86">
        <f>BF86+Original!BG86</f>
        <v>119</v>
      </c>
      <c r="BH86">
        <f>BG86+Original!BH86</f>
        <v>119</v>
      </c>
      <c r="BI86">
        <f>BH86+Original!BI86</f>
        <v>119</v>
      </c>
      <c r="BJ86">
        <f>BI86+Original!BJ86</f>
        <v>119</v>
      </c>
      <c r="BK86">
        <f>BJ86+Original!BK86</f>
        <v>119</v>
      </c>
      <c r="BL86">
        <f>BK86+Original!BL86</f>
        <v>119</v>
      </c>
      <c r="BM86">
        <f>BL86+Original!BM86</f>
        <v>119</v>
      </c>
      <c r="BN86">
        <f>BM86+Original!BN86</f>
        <v>119</v>
      </c>
      <c r="BO86">
        <f>BN86+Original!BO86</f>
        <v>119</v>
      </c>
      <c r="BP86">
        <f>BO86+Original!BP86</f>
        <v>119</v>
      </c>
      <c r="BQ86">
        <f>BP86+Original!BQ86</f>
        <v>119</v>
      </c>
      <c r="BR86">
        <f>BQ86+Original!BR86</f>
        <v>119</v>
      </c>
      <c r="BS86">
        <f>BR86+Original!BS86</f>
        <v>119</v>
      </c>
      <c r="BT86">
        <f>BS86+Original!BT86</f>
        <v>119</v>
      </c>
      <c r="BU86">
        <f>BT86+Original!BU86</f>
        <v>119</v>
      </c>
      <c r="BV86">
        <f>BU86+Original!BV86</f>
        <v>119</v>
      </c>
      <c r="BW86">
        <f>BV86+Original!BW86</f>
        <v>119</v>
      </c>
    </row>
    <row r="87" spans="1:75" x14ac:dyDescent="0.25">
      <c r="A87" t="str">
        <f>Original!A87</f>
        <v>Renan Kirst</v>
      </c>
      <c r="B87">
        <f>Original!B87</f>
        <v>119</v>
      </c>
      <c r="C87">
        <f>Original!C87</f>
        <v>2</v>
      </c>
      <c r="D87">
        <f>C87+Original!D87</f>
        <v>8</v>
      </c>
      <c r="E87">
        <f>D87+Original!E87</f>
        <v>14</v>
      </c>
      <c r="F87">
        <f>E87+Original!F87</f>
        <v>14</v>
      </c>
      <c r="G87">
        <f>F87+Original!G87</f>
        <v>14</v>
      </c>
      <c r="H87">
        <f>G87+Original!H87</f>
        <v>20</v>
      </c>
      <c r="I87">
        <f>H87+Original!I87</f>
        <v>26</v>
      </c>
      <c r="J87">
        <f>I87+Original!J87</f>
        <v>32</v>
      </c>
      <c r="K87">
        <f>J87+Original!K87</f>
        <v>38</v>
      </c>
      <c r="L87">
        <f>K87+Original!L87</f>
        <v>38</v>
      </c>
      <c r="M87">
        <f>L87+Original!M87</f>
        <v>46</v>
      </c>
      <c r="N87">
        <f>M87+Original!N87</f>
        <v>48</v>
      </c>
      <c r="O87">
        <f>N87+Original!O87</f>
        <v>50</v>
      </c>
      <c r="P87">
        <f>O87+Original!P87</f>
        <v>56</v>
      </c>
      <c r="Q87">
        <f>P87+Original!Q87</f>
        <v>62</v>
      </c>
      <c r="R87">
        <f>Q87+Original!R87</f>
        <v>70</v>
      </c>
      <c r="S87">
        <f>R87+Original!S87</f>
        <v>70</v>
      </c>
      <c r="T87">
        <f>S87+Original!T87</f>
        <v>72</v>
      </c>
      <c r="U87">
        <f>T87+Original!U87</f>
        <v>80</v>
      </c>
      <c r="V87">
        <f>U87+Original!V87</f>
        <v>82</v>
      </c>
      <c r="W87">
        <f>V87+Original!W87</f>
        <v>88</v>
      </c>
      <c r="X87">
        <f>W87+Original!X87</f>
        <v>101</v>
      </c>
      <c r="Y87">
        <f>X87+Original!Y87</f>
        <v>101</v>
      </c>
      <c r="Z87">
        <f>Y87+Original!Z87</f>
        <v>109</v>
      </c>
      <c r="AA87">
        <f>Z87+Original!AA87</f>
        <v>111</v>
      </c>
      <c r="AB87">
        <f>AA87+Original!AB87</f>
        <v>111</v>
      </c>
      <c r="AC87">
        <f>AB87+Original!AC87</f>
        <v>111</v>
      </c>
      <c r="AD87">
        <f>AC87+Original!AD87</f>
        <v>119</v>
      </c>
      <c r="AE87">
        <f>AD87+Original!AE87</f>
        <v>119</v>
      </c>
      <c r="AF87">
        <f>AE87+Original!AF87</f>
        <v>119</v>
      </c>
      <c r="AG87">
        <f>AF87+Original!AG87</f>
        <v>119</v>
      </c>
      <c r="AH87">
        <f>AG87+Original!AH87</f>
        <v>119</v>
      </c>
      <c r="AI87">
        <f>AH87+Original!AI87</f>
        <v>119</v>
      </c>
      <c r="AJ87">
        <f>AI87+Original!AJ87</f>
        <v>119</v>
      </c>
      <c r="AK87">
        <f>AJ87+Original!AK87</f>
        <v>119</v>
      </c>
      <c r="AL87">
        <f>AK87+Original!AL87</f>
        <v>119</v>
      </c>
      <c r="AM87">
        <f>AL87+Original!AM87</f>
        <v>119</v>
      </c>
      <c r="AN87">
        <f>AM87+Original!AN87</f>
        <v>119</v>
      </c>
      <c r="AO87">
        <f>AN87+Original!AO87</f>
        <v>119</v>
      </c>
      <c r="AP87">
        <f>AO87+Original!AP87</f>
        <v>119</v>
      </c>
      <c r="AQ87">
        <f>AP87+Original!AQ87</f>
        <v>119</v>
      </c>
      <c r="AR87">
        <f>AQ87+Original!AR87</f>
        <v>119</v>
      </c>
      <c r="AS87">
        <f>AR87+Original!AS87</f>
        <v>119</v>
      </c>
      <c r="AT87">
        <f>AS87+Original!AT87</f>
        <v>119</v>
      </c>
      <c r="AU87">
        <f>AT87+Original!AU87</f>
        <v>119</v>
      </c>
      <c r="AV87">
        <f>AU87+Original!AV87</f>
        <v>119</v>
      </c>
      <c r="AW87">
        <f>AV87+Original!AW87</f>
        <v>119</v>
      </c>
      <c r="AX87">
        <f>AW87+Original!AX87</f>
        <v>119</v>
      </c>
      <c r="AY87">
        <f>AX87+Original!AY87</f>
        <v>119</v>
      </c>
      <c r="AZ87">
        <f>AY87+Original!AZ87</f>
        <v>119</v>
      </c>
      <c r="BA87">
        <f>AZ87+Original!BA87</f>
        <v>119</v>
      </c>
      <c r="BB87">
        <f>BA87+Original!BB87</f>
        <v>119</v>
      </c>
      <c r="BC87">
        <f>BB87+Original!BC87</f>
        <v>119</v>
      </c>
      <c r="BD87">
        <f>BC87+Original!BD87</f>
        <v>119</v>
      </c>
      <c r="BE87">
        <f>BD87+Original!BE87</f>
        <v>119</v>
      </c>
      <c r="BF87">
        <f>BE87+Original!BF87</f>
        <v>119</v>
      </c>
      <c r="BG87">
        <f>BF87+Original!BG87</f>
        <v>119</v>
      </c>
      <c r="BH87">
        <f>BG87+Original!BH87</f>
        <v>119</v>
      </c>
      <c r="BI87">
        <f>BH87+Original!BI87</f>
        <v>119</v>
      </c>
      <c r="BJ87">
        <f>BI87+Original!BJ87</f>
        <v>119</v>
      </c>
      <c r="BK87">
        <f>BJ87+Original!BK87</f>
        <v>119</v>
      </c>
      <c r="BL87">
        <f>BK87+Original!BL87</f>
        <v>119</v>
      </c>
      <c r="BM87">
        <f>BL87+Original!BM87</f>
        <v>119</v>
      </c>
      <c r="BN87">
        <f>BM87+Original!BN87</f>
        <v>119</v>
      </c>
      <c r="BO87">
        <f>BN87+Original!BO87</f>
        <v>119</v>
      </c>
      <c r="BP87">
        <f>BO87+Original!BP87</f>
        <v>119</v>
      </c>
      <c r="BQ87">
        <f>BP87+Original!BQ87</f>
        <v>119</v>
      </c>
      <c r="BR87">
        <f>BQ87+Original!BR87</f>
        <v>119</v>
      </c>
      <c r="BS87">
        <f>BR87+Original!BS87</f>
        <v>119</v>
      </c>
      <c r="BT87">
        <f>BS87+Original!BT87</f>
        <v>119</v>
      </c>
      <c r="BU87">
        <f>BT87+Original!BU87</f>
        <v>119</v>
      </c>
      <c r="BV87">
        <f>BU87+Original!BV87</f>
        <v>119</v>
      </c>
      <c r="BW87">
        <f>BV87+Original!BW87</f>
        <v>119</v>
      </c>
    </row>
    <row r="88" spans="1:75" x14ac:dyDescent="0.25">
      <c r="A88" t="str">
        <f>Original!A88</f>
        <v>Juliana Sampaio</v>
      </c>
      <c r="B88">
        <f>Original!B88</f>
        <v>118</v>
      </c>
      <c r="C88">
        <f>Original!C88</f>
        <v>0</v>
      </c>
      <c r="D88">
        <f>C88+Original!D88</f>
        <v>6</v>
      </c>
      <c r="E88">
        <f>D88+Original!E88</f>
        <v>14</v>
      </c>
      <c r="F88">
        <f>E88+Original!F88</f>
        <v>16</v>
      </c>
      <c r="G88">
        <f>F88+Original!G88</f>
        <v>16</v>
      </c>
      <c r="H88">
        <f>G88+Original!H88</f>
        <v>18</v>
      </c>
      <c r="I88">
        <f>H88+Original!I88</f>
        <v>20</v>
      </c>
      <c r="J88">
        <f>I88+Original!J88</f>
        <v>26</v>
      </c>
      <c r="K88">
        <f>J88+Original!K88</f>
        <v>28</v>
      </c>
      <c r="L88">
        <f>K88+Original!L88</f>
        <v>28</v>
      </c>
      <c r="M88">
        <f>L88+Original!M88</f>
        <v>36</v>
      </c>
      <c r="N88">
        <f>M88+Original!N88</f>
        <v>44</v>
      </c>
      <c r="O88">
        <f>N88+Original!O88</f>
        <v>50</v>
      </c>
      <c r="P88">
        <f>O88+Original!P88</f>
        <v>56</v>
      </c>
      <c r="Q88">
        <f>P88+Original!Q88</f>
        <v>62</v>
      </c>
      <c r="R88">
        <f>Q88+Original!R88</f>
        <v>75</v>
      </c>
      <c r="S88">
        <f>R88+Original!S88</f>
        <v>75</v>
      </c>
      <c r="T88">
        <f>S88+Original!T88</f>
        <v>75</v>
      </c>
      <c r="U88">
        <f>T88+Original!U88</f>
        <v>77</v>
      </c>
      <c r="V88">
        <f>U88+Original!V88</f>
        <v>83</v>
      </c>
      <c r="W88">
        <f>V88+Original!W88</f>
        <v>83</v>
      </c>
      <c r="X88">
        <f>W88+Original!X88</f>
        <v>85</v>
      </c>
      <c r="Y88">
        <f>X88+Original!Y88</f>
        <v>98</v>
      </c>
      <c r="Z88">
        <f>Y88+Original!Z88</f>
        <v>104</v>
      </c>
      <c r="AA88">
        <f>Z88+Original!AA88</f>
        <v>110</v>
      </c>
      <c r="AB88">
        <f>AA88+Original!AB88</f>
        <v>110</v>
      </c>
      <c r="AC88">
        <f>AB88+Original!AC88</f>
        <v>110</v>
      </c>
      <c r="AD88">
        <f>AC88+Original!AD88</f>
        <v>116</v>
      </c>
      <c r="AE88">
        <f>AD88+Original!AE88</f>
        <v>118</v>
      </c>
      <c r="AF88">
        <f>AE88+Original!AF88</f>
        <v>118</v>
      </c>
      <c r="AG88">
        <f>AF88+Original!AG88</f>
        <v>118</v>
      </c>
      <c r="AH88">
        <f>AG88+Original!AH88</f>
        <v>118</v>
      </c>
      <c r="AI88">
        <f>AH88+Original!AI88</f>
        <v>118</v>
      </c>
      <c r="AJ88">
        <f>AI88+Original!AJ88</f>
        <v>118</v>
      </c>
      <c r="AK88">
        <f>AJ88+Original!AK88</f>
        <v>118</v>
      </c>
      <c r="AL88">
        <f>AK88+Original!AL88</f>
        <v>118</v>
      </c>
      <c r="AM88">
        <f>AL88+Original!AM88</f>
        <v>118</v>
      </c>
      <c r="AN88">
        <f>AM88+Original!AN88</f>
        <v>118</v>
      </c>
      <c r="AO88">
        <f>AN88+Original!AO88</f>
        <v>118</v>
      </c>
      <c r="AP88">
        <f>AO88+Original!AP88</f>
        <v>118</v>
      </c>
      <c r="AQ88">
        <f>AP88+Original!AQ88</f>
        <v>118</v>
      </c>
      <c r="AR88">
        <f>AQ88+Original!AR88</f>
        <v>118</v>
      </c>
      <c r="AS88">
        <f>AR88+Original!AS88</f>
        <v>118</v>
      </c>
      <c r="AT88">
        <f>AS88+Original!AT88</f>
        <v>118</v>
      </c>
      <c r="AU88">
        <f>AT88+Original!AU88</f>
        <v>118</v>
      </c>
      <c r="AV88">
        <f>AU88+Original!AV88</f>
        <v>118</v>
      </c>
      <c r="AW88">
        <f>AV88+Original!AW88</f>
        <v>118</v>
      </c>
      <c r="AX88">
        <f>AW88+Original!AX88</f>
        <v>118</v>
      </c>
      <c r="AY88">
        <f>AX88+Original!AY88</f>
        <v>118</v>
      </c>
      <c r="AZ88">
        <f>AY88+Original!AZ88</f>
        <v>118</v>
      </c>
      <c r="BA88">
        <f>AZ88+Original!BA88</f>
        <v>118</v>
      </c>
      <c r="BB88">
        <f>BA88+Original!BB88</f>
        <v>118</v>
      </c>
      <c r="BC88">
        <f>BB88+Original!BC88</f>
        <v>118</v>
      </c>
      <c r="BD88">
        <f>BC88+Original!BD88</f>
        <v>118</v>
      </c>
      <c r="BE88">
        <f>BD88+Original!BE88</f>
        <v>118</v>
      </c>
      <c r="BF88">
        <f>BE88+Original!BF88</f>
        <v>118</v>
      </c>
      <c r="BG88">
        <f>BF88+Original!BG88</f>
        <v>118</v>
      </c>
      <c r="BH88">
        <f>BG88+Original!BH88</f>
        <v>118</v>
      </c>
      <c r="BI88">
        <f>BH88+Original!BI88</f>
        <v>118</v>
      </c>
      <c r="BJ88">
        <f>BI88+Original!BJ88</f>
        <v>118</v>
      </c>
      <c r="BK88">
        <f>BJ88+Original!BK88</f>
        <v>118</v>
      </c>
      <c r="BL88">
        <f>BK88+Original!BL88</f>
        <v>118</v>
      </c>
      <c r="BM88">
        <f>BL88+Original!BM88</f>
        <v>118</v>
      </c>
      <c r="BN88">
        <f>BM88+Original!BN88</f>
        <v>118</v>
      </c>
      <c r="BO88">
        <f>BN88+Original!BO88</f>
        <v>118</v>
      </c>
      <c r="BP88">
        <f>BO88+Original!BP88</f>
        <v>118</v>
      </c>
      <c r="BQ88">
        <f>BP88+Original!BQ88</f>
        <v>118</v>
      </c>
      <c r="BR88">
        <f>BQ88+Original!BR88</f>
        <v>118</v>
      </c>
      <c r="BS88">
        <f>BR88+Original!BS88</f>
        <v>118</v>
      </c>
      <c r="BT88">
        <f>BS88+Original!BT88</f>
        <v>118</v>
      </c>
      <c r="BU88">
        <f>BT88+Original!BU88</f>
        <v>118</v>
      </c>
      <c r="BV88">
        <f>BU88+Original!BV88</f>
        <v>118</v>
      </c>
      <c r="BW88">
        <f>BV88+Original!BW88</f>
        <v>118</v>
      </c>
    </row>
    <row r="89" spans="1:75" x14ac:dyDescent="0.25">
      <c r="A89" t="str">
        <f>Original!A89</f>
        <v>Rodrigo Rivas</v>
      </c>
      <c r="B89">
        <f>Original!B89</f>
        <v>118</v>
      </c>
      <c r="C89">
        <f>Original!C89</f>
        <v>0</v>
      </c>
      <c r="D89">
        <f>C89+Original!D89</f>
        <v>6</v>
      </c>
      <c r="E89">
        <f>D89+Original!E89</f>
        <v>14</v>
      </c>
      <c r="F89">
        <f>E89+Original!F89</f>
        <v>27</v>
      </c>
      <c r="G89">
        <f>F89+Original!G89</f>
        <v>27</v>
      </c>
      <c r="H89">
        <f>G89+Original!H89</f>
        <v>29</v>
      </c>
      <c r="I89">
        <f>H89+Original!I89</f>
        <v>35</v>
      </c>
      <c r="J89">
        <f>I89+Original!J89</f>
        <v>41</v>
      </c>
      <c r="K89">
        <f>J89+Original!K89</f>
        <v>41</v>
      </c>
      <c r="L89">
        <f>K89+Original!L89</f>
        <v>41</v>
      </c>
      <c r="M89">
        <f>L89+Original!M89</f>
        <v>47</v>
      </c>
      <c r="N89">
        <f>M89+Original!N89</f>
        <v>53</v>
      </c>
      <c r="O89">
        <f>N89+Original!O89</f>
        <v>66</v>
      </c>
      <c r="P89">
        <f>O89+Original!P89</f>
        <v>66</v>
      </c>
      <c r="Q89">
        <f>P89+Original!Q89</f>
        <v>72</v>
      </c>
      <c r="R89">
        <f>Q89+Original!R89</f>
        <v>78</v>
      </c>
      <c r="S89">
        <f>R89+Original!S89</f>
        <v>78</v>
      </c>
      <c r="T89">
        <f>S89+Original!T89</f>
        <v>78</v>
      </c>
      <c r="U89">
        <f>T89+Original!U89</f>
        <v>84</v>
      </c>
      <c r="V89">
        <f>U89+Original!V89</f>
        <v>86</v>
      </c>
      <c r="W89">
        <f>V89+Original!W89</f>
        <v>86</v>
      </c>
      <c r="X89">
        <f>W89+Original!X89</f>
        <v>88</v>
      </c>
      <c r="Y89">
        <f>X89+Original!Y89</f>
        <v>96</v>
      </c>
      <c r="Z89">
        <f>Y89+Original!Z89</f>
        <v>98</v>
      </c>
      <c r="AA89">
        <f>Z89+Original!AA89</f>
        <v>104</v>
      </c>
      <c r="AB89">
        <f>AA89+Original!AB89</f>
        <v>104</v>
      </c>
      <c r="AC89">
        <f>AB89+Original!AC89</f>
        <v>104</v>
      </c>
      <c r="AD89">
        <f>AC89+Original!AD89</f>
        <v>112</v>
      </c>
      <c r="AE89">
        <f>AD89+Original!AE89</f>
        <v>118</v>
      </c>
      <c r="AF89">
        <f>AE89+Original!AF89</f>
        <v>118</v>
      </c>
      <c r="AG89">
        <f>AF89+Original!AG89</f>
        <v>118</v>
      </c>
      <c r="AH89">
        <f>AG89+Original!AH89</f>
        <v>118</v>
      </c>
      <c r="AI89">
        <f>AH89+Original!AI89</f>
        <v>118</v>
      </c>
      <c r="AJ89">
        <f>AI89+Original!AJ89</f>
        <v>118</v>
      </c>
      <c r="AK89">
        <f>AJ89+Original!AK89</f>
        <v>118</v>
      </c>
      <c r="AL89">
        <f>AK89+Original!AL89</f>
        <v>118</v>
      </c>
      <c r="AM89">
        <f>AL89+Original!AM89</f>
        <v>118</v>
      </c>
      <c r="AN89">
        <f>AM89+Original!AN89</f>
        <v>118</v>
      </c>
      <c r="AO89">
        <f>AN89+Original!AO89</f>
        <v>118</v>
      </c>
      <c r="AP89">
        <f>AO89+Original!AP89</f>
        <v>118</v>
      </c>
      <c r="AQ89">
        <f>AP89+Original!AQ89</f>
        <v>118</v>
      </c>
      <c r="AR89">
        <f>AQ89+Original!AR89</f>
        <v>118</v>
      </c>
      <c r="AS89">
        <f>AR89+Original!AS89</f>
        <v>118</v>
      </c>
      <c r="AT89">
        <f>AS89+Original!AT89</f>
        <v>118</v>
      </c>
      <c r="AU89">
        <f>AT89+Original!AU89</f>
        <v>118</v>
      </c>
      <c r="AV89">
        <f>AU89+Original!AV89</f>
        <v>118</v>
      </c>
      <c r="AW89">
        <f>AV89+Original!AW89</f>
        <v>118</v>
      </c>
      <c r="AX89">
        <f>AW89+Original!AX89</f>
        <v>118</v>
      </c>
      <c r="AY89">
        <f>AX89+Original!AY89</f>
        <v>118</v>
      </c>
      <c r="AZ89">
        <f>AY89+Original!AZ89</f>
        <v>118</v>
      </c>
      <c r="BA89">
        <f>AZ89+Original!BA89</f>
        <v>118</v>
      </c>
      <c r="BB89">
        <f>BA89+Original!BB89</f>
        <v>118</v>
      </c>
      <c r="BC89">
        <f>BB89+Original!BC89</f>
        <v>118</v>
      </c>
      <c r="BD89">
        <f>BC89+Original!BD89</f>
        <v>118</v>
      </c>
      <c r="BE89">
        <f>BD89+Original!BE89</f>
        <v>118</v>
      </c>
      <c r="BF89">
        <f>BE89+Original!BF89</f>
        <v>118</v>
      </c>
      <c r="BG89">
        <f>BF89+Original!BG89</f>
        <v>118</v>
      </c>
      <c r="BH89">
        <f>BG89+Original!BH89</f>
        <v>118</v>
      </c>
      <c r="BI89">
        <f>BH89+Original!BI89</f>
        <v>118</v>
      </c>
      <c r="BJ89">
        <f>BI89+Original!BJ89</f>
        <v>118</v>
      </c>
      <c r="BK89">
        <f>BJ89+Original!BK89</f>
        <v>118</v>
      </c>
      <c r="BL89">
        <f>BK89+Original!BL89</f>
        <v>118</v>
      </c>
      <c r="BM89">
        <f>BL89+Original!BM89</f>
        <v>118</v>
      </c>
      <c r="BN89">
        <f>BM89+Original!BN89</f>
        <v>118</v>
      </c>
      <c r="BO89">
        <f>BN89+Original!BO89</f>
        <v>118</v>
      </c>
      <c r="BP89">
        <f>BO89+Original!BP89</f>
        <v>118</v>
      </c>
      <c r="BQ89">
        <f>BP89+Original!BQ89</f>
        <v>118</v>
      </c>
      <c r="BR89">
        <f>BQ89+Original!BR89</f>
        <v>118</v>
      </c>
      <c r="BS89">
        <f>BR89+Original!BS89</f>
        <v>118</v>
      </c>
      <c r="BT89">
        <f>BS89+Original!BT89</f>
        <v>118</v>
      </c>
      <c r="BU89">
        <f>BT89+Original!BU89</f>
        <v>118</v>
      </c>
      <c r="BV89">
        <f>BU89+Original!BV89</f>
        <v>118</v>
      </c>
      <c r="BW89">
        <f>BV89+Original!BW89</f>
        <v>118</v>
      </c>
    </row>
    <row r="90" spans="1:75" x14ac:dyDescent="0.25">
      <c r="A90" t="str">
        <f>Original!A90</f>
        <v>Pedro Amorim Boa Sorte</v>
      </c>
      <c r="B90">
        <f>Original!B90</f>
        <v>117</v>
      </c>
      <c r="C90">
        <f>Original!C90</f>
        <v>8</v>
      </c>
      <c r="D90">
        <f>C90+Original!D90</f>
        <v>16</v>
      </c>
      <c r="E90">
        <f>D90+Original!E90</f>
        <v>22</v>
      </c>
      <c r="F90">
        <f>E90+Original!F90</f>
        <v>24</v>
      </c>
      <c r="G90">
        <f>F90+Original!G90</f>
        <v>24</v>
      </c>
      <c r="H90">
        <f>G90+Original!H90</f>
        <v>24</v>
      </c>
      <c r="I90">
        <f>H90+Original!I90</f>
        <v>30</v>
      </c>
      <c r="J90">
        <f>I90+Original!J90</f>
        <v>38</v>
      </c>
      <c r="K90">
        <f>J90+Original!K90</f>
        <v>38</v>
      </c>
      <c r="L90">
        <f>K90+Original!L90</f>
        <v>40</v>
      </c>
      <c r="M90">
        <f>L90+Original!M90</f>
        <v>48</v>
      </c>
      <c r="N90">
        <f>M90+Original!N90</f>
        <v>54</v>
      </c>
      <c r="O90">
        <f>N90+Original!O90</f>
        <v>60</v>
      </c>
      <c r="P90">
        <f>O90+Original!P90</f>
        <v>60</v>
      </c>
      <c r="Q90">
        <f>P90+Original!Q90</f>
        <v>68</v>
      </c>
      <c r="R90">
        <f>Q90+Original!R90</f>
        <v>76</v>
      </c>
      <c r="S90">
        <f>R90+Original!S90</f>
        <v>76</v>
      </c>
      <c r="T90">
        <f>S90+Original!T90</f>
        <v>76</v>
      </c>
      <c r="U90">
        <f>T90+Original!U90</f>
        <v>84</v>
      </c>
      <c r="V90">
        <f>U90+Original!V90</f>
        <v>84</v>
      </c>
      <c r="W90">
        <f>V90+Original!W90</f>
        <v>84</v>
      </c>
      <c r="X90">
        <f>W90+Original!X90</f>
        <v>84</v>
      </c>
      <c r="Y90">
        <f>X90+Original!Y90</f>
        <v>90</v>
      </c>
      <c r="Z90">
        <f>Y90+Original!Z90</f>
        <v>96</v>
      </c>
      <c r="AA90">
        <f>Z90+Original!AA90</f>
        <v>102</v>
      </c>
      <c r="AB90">
        <f>AA90+Original!AB90</f>
        <v>104</v>
      </c>
      <c r="AC90">
        <f>AB90+Original!AC90</f>
        <v>104</v>
      </c>
      <c r="AD90">
        <f>AC90+Original!AD90</f>
        <v>117</v>
      </c>
      <c r="AE90">
        <f>AD90+Original!AE90</f>
        <v>117</v>
      </c>
      <c r="AF90">
        <f>AE90+Original!AF90</f>
        <v>117</v>
      </c>
      <c r="AG90">
        <f>AF90+Original!AG90</f>
        <v>117</v>
      </c>
      <c r="AH90">
        <f>AG90+Original!AH90</f>
        <v>117</v>
      </c>
      <c r="AI90">
        <f>AH90+Original!AI90</f>
        <v>117</v>
      </c>
      <c r="AJ90">
        <f>AI90+Original!AJ90</f>
        <v>117</v>
      </c>
      <c r="AK90">
        <f>AJ90+Original!AK90</f>
        <v>117</v>
      </c>
      <c r="AL90">
        <f>AK90+Original!AL90</f>
        <v>117</v>
      </c>
      <c r="AM90">
        <f>AL90+Original!AM90</f>
        <v>117</v>
      </c>
      <c r="AN90">
        <f>AM90+Original!AN90</f>
        <v>117</v>
      </c>
      <c r="AO90">
        <f>AN90+Original!AO90</f>
        <v>117</v>
      </c>
      <c r="AP90">
        <f>AO90+Original!AP90</f>
        <v>117</v>
      </c>
      <c r="AQ90">
        <f>AP90+Original!AQ90</f>
        <v>117</v>
      </c>
      <c r="AR90">
        <f>AQ90+Original!AR90</f>
        <v>117</v>
      </c>
      <c r="AS90">
        <f>AR90+Original!AS90</f>
        <v>117</v>
      </c>
      <c r="AT90">
        <f>AS90+Original!AT90</f>
        <v>117</v>
      </c>
      <c r="AU90">
        <f>AT90+Original!AU90</f>
        <v>117</v>
      </c>
      <c r="AV90">
        <f>AU90+Original!AV90</f>
        <v>117</v>
      </c>
      <c r="AW90">
        <f>AV90+Original!AW90</f>
        <v>117</v>
      </c>
      <c r="AX90">
        <f>AW90+Original!AX90</f>
        <v>117</v>
      </c>
      <c r="AY90">
        <f>AX90+Original!AY90</f>
        <v>117</v>
      </c>
      <c r="AZ90">
        <f>AY90+Original!AZ90</f>
        <v>117</v>
      </c>
      <c r="BA90">
        <f>AZ90+Original!BA90</f>
        <v>117</v>
      </c>
      <c r="BB90">
        <f>BA90+Original!BB90</f>
        <v>117</v>
      </c>
      <c r="BC90">
        <f>BB90+Original!BC90</f>
        <v>117</v>
      </c>
      <c r="BD90">
        <f>BC90+Original!BD90</f>
        <v>117</v>
      </c>
      <c r="BE90">
        <f>BD90+Original!BE90</f>
        <v>117</v>
      </c>
      <c r="BF90">
        <f>BE90+Original!BF90</f>
        <v>117</v>
      </c>
      <c r="BG90">
        <f>BF90+Original!BG90</f>
        <v>117</v>
      </c>
      <c r="BH90">
        <f>BG90+Original!BH90</f>
        <v>117</v>
      </c>
      <c r="BI90">
        <f>BH90+Original!BI90</f>
        <v>117</v>
      </c>
      <c r="BJ90">
        <f>BI90+Original!BJ90</f>
        <v>117</v>
      </c>
      <c r="BK90">
        <f>BJ90+Original!BK90</f>
        <v>117</v>
      </c>
      <c r="BL90">
        <f>BK90+Original!BL90</f>
        <v>117</v>
      </c>
      <c r="BM90">
        <f>BL90+Original!BM90</f>
        <v>117</v>
      </c>
      <c r="BN90">
        <f>BM90+Original!BN90</f>
        <v>117</v>
      </c>
      <c r="BO90">
        <f>BN90+Original!BO90</f>
        <v>117</v>
      </c>
      <c r="BP90">
        <f>BO90+Original!BP90</f>
        <v>117</v>
      </c>
      <c r="BQ90">
        <f>BP90+Original!BQ90</f>
        <v>117</v>
      </c>
      <c r="BR90">
        <f>BQ90+Original!BR90</f>
        <v>117</v>
      </c>
      <c r="BS90">
        <f>BR90+Original!BS90</f>
        <v>117</v>
      </c>
      <c r="BT90">
        <f>BS90+Original!BT90</f>
        <v>117</v>
      </c>
      <c r="BU90">
        <f>BT90+Original!BU90</f>
        <v>117</v>
      </c>
      <c r="BV90">
        <f>BU90+Original!BV90</f>
        <v>117</v>
      </c>
      <c r="BW90">
        <f>BV90+Original!BW90</f>
        <v>117</v>
      </c>
    </row>
    <row r="91" spans="1:75" x14ac:dyDescent="0.25">
      <c r="A91" t="str">
        <f>Original!A91</f>
        <v>Maria Carolina Fiuza</v>
      </c>
      <c r="B91">
        <f>Original!B91</f>
        <v>116</v>
      </c>
      <c r="C91">
        <f>Original!C91</f>
        <v>0</v>
      </c>
      <c r="D91">
        <f>C91+Original!D91</f>
        <v>6</v>
      </c>
      <c r="E91">
        <f>D91+Original!E91</f>
        <v>19</v>
      </c>
      <c r="F91">
        <f>E91+Original!F91</f>
        <v>32</v>
      </c>
      <c r="G91">
        <f>F91+Original!G91</f>
        <v>32</v>
      </c>
      <c r="H91">
        <f>G91+Original!H91</f>
        <v>34</v>
      </c>
      <c r="I91">
        <f>H91+Original!I91</f>
        <v>34</v>
      </c>
      <c r="J91">
        <f>I91+Original!J91</f>
        <v>40</v>
      </c>
      <c r="K91">
        <f>J91+Original!K91</f>
        <v>40</v>
      </c>
      <c r="L91">
        <f>K91+Original!L91</f>
        <v>40</v>
      </c>
      <c r="M91">
        <f>L91+Original!M91</f>
        <v>46</v>
      </c>
      <c r="N91">
        <f>M91+Original!N91</f>
        <v>52</v>
      </c>
      <c r="O91">
        <f>N91+Original!O91</f>
        <v>58</v>
      </c>
      <c r="P91">
        <f>O91+Original!P91</f>
        <v>58</v>
      </c>
      <c r="Q91">
        <f>P91+Original!Q91</f>
        <v>64</v>
      </c>
      <c r="R91">
        <f>Q91+Original!R91</f>
        <v>70</v>
      </c>
      <c r="S91">
        <f>R91+Original!S91</f>
        <v>70</v>
      </c>
      <c r="T91">
        <f>S91+Original!T91</f>
        <v>70</v>
      </c>
      <c r="U91">
        <f>T91+Original!U91</f>
        <v>70</v>
      </c>
      <c r="V91">
        <f>U91+Original!V91</f>
        <v>72</v>
      </c>
      <c r="W91">
        <f>V91+Original!W91</f>
        <v>72</v>
      </c>
      <c r="X91">
        <f>W91+Original!X91</f>
        <v>74</v>
      </c>
      <c r="Y91">
        <f>X91+Original!Y91</f>
        <v>82</v>
      </c>
      <c r="Z91">
        <f>Y91+Original!Z91</f>
        <v>84</v>
      </c>
      <c r="AA91">
        <f>Z91+Original!AA91</f>
        <v>92</v>
      </c>
      <c r="AB91">
        <f>AA91+Original!AB91</f>
        <v>100</v>
      </c>
      <c r="AC91">
        <f>AB91+Original!AC91</f>
        <v>102</v>
      </c>
      <c r="AD91">
        <f>AC91+Original!AD91</f>
        <v>110</v>
      </c>
      <c r="AE91">
        <f>AD91+Original!AE91</f>
        <v>116</v>
      </c>
      <c r="AF91">
        <f>AE91+Original!AF91</f>
        <v>116</v>
      </c>
      <c r="AG91">
        <f>AF91+Original!AG91</f>
        <v>116</v>
      </c>
      <c r="AH91">
        <f>AG91+Original!AH91</f>
        <v>116</v>
      </c>
      <c r="AI91">
        <f>AH91+Original!AI91</f>
        <v>116</v>
      </c>
      <c r="AJ91">
        <f>AI91+Original!AJ91</f>
        <v>116</v>
      </c>
      <c r="AK91">
        <f>AJ91+Original!AK91</f>
        <v>116</v>
      </c>
      <c r="AL91">
        <f>AK91+Original!AL91</f>
        <v>116</v>
      </c>
      <c r="AM91">
        <f>AL91+Original!AM91</f>
        <v>116</v>
      </c>
      <c r="AN91">
        <f>AM91+Original!AN91</f>
        <v>116</v>
      </c>
      <c r="AO91">
        <f>AN91+Original!AO91</f>
        <v>116</v>
      </c>
      <c r="AP91">
        <f>AO91+Original!AP91</f>
        <v>116</v>
      </c>
      <c r="AQ91">
        <f>AP91+Original!AQ91</f>
        <v>116</v>
      </c>
      <c r="AR91">
        <f>AQ91+Original!AR91</f>
        <v>116</v>
      </c>
      <c r="AS91">
        <f>AR91+Original!AS91</f>
        <v>116</v>
      </c>
      <c r="AT91">
        <f>AS91+Original!AT91</f>
        <v>116</v>
      </c>
      <c r="AU91">
        <f>AT91+Original!AU91</f>
        <v>116</v>
      </c>
      <c r="AV91">
        <f>AU91+Original!AV91</f>
        <v>116</v>
      </c>
      <c r="AW91">
        <f>AV91+Original!AW91</f>
        <v>116</v>
      </c>
      <c r="AX91">
        <f>AW91+Original!AX91</f>
        <v>116</v>
      </c>
      <c r="AY91">
        <f>AX91+Original!AY91</f>
        <v>116</v>
      </c>
      <c r="AZ91">
        <f>AY91+Original!AZ91</f>
        <v>116</v>
      </c>
      <c r="BA91">
        <f>AZ91+Original!BA91</f>
        <v>116</v>
      </c>
      <c r="BB91">
        <f>BA91+Original!BB91</f>
        <v>116</v>
      </c>
      <c r="BC91">
        <f>BB91+Original!BC91</f>
        <v>116</v>
      </c>
      <c r="BD91">
        <f>BC91+Original!BD91</f>
        <v>116</v>
      </c>
      <c r="BE91">
        <f>BD91+Original!BE91</f>
        <v>116</v>
      </c>
      <c r="BF91">
        <f>BE91+Original!BF91</f>
        <v>116</v>
      </c>
      <c r="BG91">
        <f>BF91+Original!BG91</f>
        <v>116</v>
      </c>
      <c r="BH91">
        <f>BG91+Original!BH91</f>
        <v>116</v>
      </c>
      <c r="BI91">
        <f>BH91+Original!BI91</f>
        <v>116</v>
      </c>
      <c r="BJ91">
        <f>BI91+Original!BJ91</f>
        <v>116</v>
      </c>
      <c r="BK91">
        <f>BJ91+Original!BK91</f>
        <v>116</v>
      </c>
      <c r="BL91">
        <f>BK91+Original!BL91</f>
        <v>116</v>
      </c>
      <c r="BM91">
        <f>BL91+Original!BM91</f>
        <v>116</v>
      </c>
      <c r="BN91">
        <f>BM91+Original!BN91</f>
        <v>116</v>
      </c>
      <c r="BO91">
        <f>BN91+Original!BO91</f>
        <v>116</v>
      </c>
      <c r="BP91">
        <f>BO91+Original!BP91</f>
        <v>116</v>
      </c>
      <c r="BQ91">
        <f>BP91+Original!BQ91</f>
        <v>116</v>
      </c>
      <c r="BR91">
        <f>BQ91+Original!BR91</f>
        <v>116</v>
      </c>
      <c r="BS91">
        <f>BR91+Original!BS91</f>
        <v>116</v>
      </c>
      <c r="BT91">
        <f>BS91+Original!BT91</f>
        <v>116</v>
      </c>
      <c r="BU91">
        <f>BT91+Original!BU91</f>
        <v>116</v>
      </c>
      <c r="BV91">
        <f>BU91+Original!BV91</f>
        <v>116</v>
      </c>
      <c r="BW91">
        <f>BV91+Original!BW91</f>
        <v>116</v>
      </c>
    </row>
    <row r="92" spans="1:75" x14ac:dyDescent="0.25">
      <c r="A92" t="str">
        <f>Original!A92</f>
        <v>Cris Pinto 2</v>
      </c>
      <c r="B92">
        <f>Original!B92</f>
        <v>115</v>
      </c>
      <c r="C92">
        <f>Original!C92</f>
        <v>13</v>
      </c>
      <c r="D92">
        <f>C92+Original!D92</f>
        <v>19</v>
      </c>
      <c r="E92">
        <f>D92+Original!E92</f>
        <v>27</v>
      </c>
      <c r="F92">
        <f>E92+Original!F92</f>
        <v>27</v>
      </c>
      <c r="G92">
        <f>F92+Original!G92</f>
        <v>27</v>
      </c>
      <c r="H92">
        <f>G92+Original!H92</f>
        <v>29</v>
      </c>
      <c r="I92">
        <f>H92+Original!I92</f>
        <v>35</v>
      </c>
      <c r="J92">
        <f>I92+Original!J92</f>
        <v>41</v>
      </c>
      <c r="K92">
        <f>J92+Original!K92</f>
        <v>43</v>
      </c>
      <c r="L92">
        <f>K92+Original!L92</f>
        <v>45</v>
      </c>
      <c r="M92">
        <f>L92+Original!M92</f>
        <v>53</v>
      </c>
      <c r="N92">
        <f>M92+Original!N92</f>
        <v>61</v>
      </c>
      <c r="O92">
        <f>N92+Original!O92</f>
        <v>61</v>
      </c>
      <c r="P92">
        <f>O92+Original!P92</f>
        <v>63</v>
      </c>
      <c r="Q92">
        <f>P92+Original!Q92</f>
        <v>69</v>
      </c>
      <c r="R92">
        <f>Q92+Original!R92</f>
        <v>82</v>
      </c>
      <c r="S92">
        <f>R92+Original!S92</f>
        <v>82</v>
      </c>
      <c r="T92">
        <f>S92+Original!T92</f>
        <v>82</v>
      </c>
      <c r="U92">
        <f>T92+Original!U92</f>
        <v>84</v>
      </c>
      <c r="V92">
        <f>U92+Original!V92</f>
        <v>86</v>
      </c>
      <c r="W92">
        <f>V92+Original!W92</f>
        <v>88</v>
      </c>
      <c r="X92">
        <f>W92+Original!X92</f>
        <v>88</v>
      </c>
      <c r="Y92">
        <f>X92+Original!Y92</f>
        <v>96</v>
      </c>
      <c r="Z92">
        <f>Y92+Original!Z92</f>
        <v>109</v>
      </c>
      <c r="AA92">
        <f>Z92+Original!AA92</f>
        <v>115</v>
      </c>
      <c r="AB92">
        <f>AA92+Original!AB92</f>
        <v>115</v>
      </c>
      <c r="AC92">
        <f>AB92+Original!AC92</f>
        <v>115</v>
      </c>
      <c r="AD92">
        <f>AC92+Original!AD92</f>
        <v>115</v>
      </c>
      <c r="AE92">
        <f>AD92+Original!AE92</f>
        <v>115</v>
      </c>
      <c r="AF92">
        <f>AE92+Original!AF92</f>
        <v>115</v>
      </c>
      <c r="AG92">
        <f>AF92+Original!AG92</f>
        <v>115</v>
      </c>
      <c r="AH92">
        <f>AG92+Original!AH92</f>
        <v>115</v>
      </c>
      <c r="AI92">
        <f>AH92+Original!AI92</f>
        <v>115</v>
      </c>
      <c r="AJ92">
        <f>AI92+Original!AJ92</f>
        <v>115</v>
      </c>
      <c r="AK92">
        <f>AJ92+Original!AK92</f>
        <v>115</v>
      </c>
      <c r="AL92">
        <f>AK92+Original!AL92</f>
        <v>115</v>
      </c>
      <c r="AM92">
        <f>AL92+Original!AM92</f>
        <v>115</v>
      </c>
      <c r="AN92">
        <f>AM92+Original!AN92</f>
        <v>115</v>
      </c>
      <c r="AO92">
        <f>AN92+Original!AO92</f>
        <v>115</v>
      </c>
      <c r="AP92">
        <f>AO92+Original!AP92</f>
        <v>115</v>
      </c>
      <c r="AQ92">
        <f>AP92+Original!AQ92</f>
        <v>115</v>
      </c>
      <c r="AR92">
        <f>AQ92+Original!AR92</f>
        <v>115</v>
      </c>
      <c r="AS92">
        <f>AR92+Original!AS92</f>
        <v>115</v>
      </c>
      <c r="AT92">
        <f>AS92+Original!AT92</f>
        <v>115</v>
      </c>
      <c r="AU92">
        <f>AT92+Original!AU92</f>
        <v>115</v>
      </c>
      <c r="AV92">
        <f>AU92+Original!AV92</f>
        <v>115</v>
      </c>
      <c r="AW92">
        <f>AV92+Original!AW92</f>
        <v>115</v>
      </c>
      <c r="AX92">
        <f>AW92+Original!AX92</f>
        <v>115</v>
      </c>
      <c r="AY92">
        <f>AX92+Original!AY92</f>
        <v>115</v>
      </c>
      <c r="AZ92">
        <f>AY92+Original!AZ92</f>
        <v>115</v>
      </c>
      <c r="BA92">
        <f>AZ92+Original!BA92</f>
        <v>115</v>
      </c>
      <c r="BB92">
        <f>BA92+Original!BB92</f>
        <v>115</v>
      </c>
      <c r="BC92">
        <f>BB92+Original!BC92</f>
        <v>115</v>
      </c>
      <c r="BD92">
        <f>BC92+Original!BD92</f>
        <v>115</v>
      </c>
      <c r="BE92">
        <f>BD92+Original!BE92</f>
        <v>115</v>
      </c>
      <c r="BF92">
        <f>BE92+Original!BF92</f>
        <v>115</v>
      </c>
      <c r="BG92">
        <f>BF92+Original!BG92</f>
        <v>115</v>
      </c>
      <c r="BH92">
        <f>BG92+Original!BH92</f>
        <v>115</v>
      </c>
      <c r="BI92">
        <f>BH92+Original!BI92</f>
        <v>115</v>
      </c>
      <c r="BJ92">
        <f>BI92+Original!BJ92</f>
        <v>115</v>
      </c>
      <c r="BK92">
        <f>BJ92+Original!BK92</f>
        <v>115</v>
      </c>
      <c r="BL92">
        <f>BK92+Original!BL92</f>
        <v>115</v>
      </c>
      <c r="BM92">
        <f>BL92+Original!BM92</f>
        <v>115</v>
      </c>
      <c r="BN92">
        <f>BM92+Original!BN92</f>
        <v>115</v>
      </c>
      <c r="BO92">
        <f>BN92+Original!BO92</f>
        <v>115</v>
      </c>
      <c r="BP92">
        <f>BO92+Original!BP92</f>
        <v>115</v>
      </c>
      <c r="BQ92">
        <f>BP92+Original!BQ92</f>
        <v>115</v>
      </c>
      <c r="BR92">
        <f>BQ92+Original!BR92</f>
        <v>115</v>
      </c>
      <c r="BS92">
        <f>BR92+Original!BS92</f>
        <v>115</v>
      </c>
      <c r="BT92">
        <f>BS92+Original!BT92</f>
        <v>115</v>
      </c>
      <c r="BU92">
        <f>BT92+Original!BU92</f>
        <v>115</v>
      </c>
      <c r="BV92">
        <f>BU92+Original!BV92</f>
        <v>115</v>
      </c>
      <c r="BW92">
        <f>BV92+Original!BW92</f>
        <v>115</v>
      </c>
    </row>
    <row r="93" spans="1:75" x14ac:dyDescent="0.25">
      <c r="A93" t="str">
        <f>Original!A93</f>
        <v>Faustino 2</v>
      </c>
      <c r="B93">
        <f>Original!B93</f>
        <v>115</v>
      </c>
      <c r="C93">
        <f>Original!C93</f>
        <v>0</v>
      </c>
      <c r="D93">
        <f>C93+Original!D93</f>
        <v>6</v>
      </c>
      <c r="E93">
        <f>D93+Original!E93</f>
        <v>19</v>
      </c>
      <c r="F93">
        <f>E93+Original!F93</f>
        <v>21</v>
      </c>
      <c r="G93">
        <f>F93+Original!G93</f>
        <v>21</v>
      </c>
      <c r="H93">
        <f>G93+Original!H93</f>
        <v>23</v>
      </c>
      <c r="I93">
        <f>H93+Original!I93</f>
        <v>29</v>
      </c>
      <c r="J93">
        <f>I93+Original!J93</f>
        <v>35</v>
      </c>
      <c r="K93">
        <f>J93+Original!K93</f>
        <v>35</v>
      </c>
      <c r="L93">
        <f>K93+Original!L93</f>
        <v>37</v>
      </c>
      <c r="M93">
        <f>L93+Original!M93</f>
        <v>37</v>
      </c>
      <c r="N93">
        <f>M93+Original!N93</f>
        <v>43</v>
      </c>
      <c r="O93">
        <f>N93+Original!O93</f>
        <v>51</v>
      </c>
      <c r="P93">
        <f>O93+Original!P93</f>
        <v>57</v>
      </c>
      <c r="Q93">
        <f>P93+Original!Q93</f>
        <v>63</v>
      </c>
      <c r="R93">
        <f>Q93+Original!R93</f>
        <v>69</v>
      </c>
      <c r="S93">
        <f>R93+Original!S93</f>
        <v>69</v>
      </c>
      <c r="T93">
        <f>S93+Original!T93</f>
        <v>69</v>
      </c>
      <c r="U93">
        <f>T93+Original!U93</f>
        <v>75</v>
      </c>
      <c r="V93">
        <f>U93+Original!V93</f>
        <v>75</v>
      </c>
      <c r="W93">
        <f>V93+Original!W93</f>
        <v>81</v>
      </c>
      <c r="X93">
        <f>W93+Original!X93</f>
        <v>87</v>
      </c>
      <c r="Y93">
        <f>X93+Original!Y93</f>
        <v>93</v>
      </c>
      <c r="Z93">
        <f>Y93+Original!Z93</f>
        <v>95</v>
      </c>
      <c r="AA93">
        <f>Z93+Original!AA93</f>
        <v>103</v>
      </c>
      <c r="AB93">
        <f>AA93+Original!AB93</f>
        <v>105</v>
      </c>
      <c r="AC93">
        <f>AB93+Original!AC93</f>
        <v>105</v>
      </c>
      <c r="AD93">
        <f>AC93+Original!AD93</f>
        <v>113</v>
      </c>
      <c r="AE93">
        <f>AD93+Original!AE93</f>
        <v>115</v>
      </c>
      <c r="AF93">
        <f>AE93+Original!AF93</f>
        <v>115</v>
      </c>
      <c r="AG93">
        <f>AF93+Original!AG93</f>
        <v>115</v>
      </c>
      <c r="AH93">
        <f>AG93+Original!AH93</f>
        <v>115</v>
      </c>
      <c r="AI93">
        <f>AH93+Original!AI93</f>
        <v>115</v>
      </c>
      <c r="AJ93">
        <f>AI93+Original!AJ93</f>
        <v>115</v>
      </c>
      <c r="AK93">
        <f>AJ93+Original!AK93</f>
        <v>115</v>
      </c>
      <c r="AL93">
        <f>AK93+Original!AL93</f>
        <v>115</v>
      </c>
      <c r="AM93">
        <f>AL93+Original!AM93</f>
        <v>115</v>
      </c>
      <c r="AN93">
        <f>AM93+Original!AN93</f>
        <v>115</v>
      </c>
      <c r="AO93">
        <f>AN93+Original!AO93</f>
        <v>115</v>
      </c>
      <c r="AP93">
        <f>AO93+Original!AP93</f>
        <v>115</v>
      </c>
      <c r="AQ93">
        <f>AP93+Original!AQ93</f>
        <v>115</v>
      </c>
      <c r="AR93">
        <f>AQ93+Original!AR93</f>
        <v>115</v>
      </c>
      <c r="AS93">
        <f>AR93+Original!AS93</f>
        <v>115</v>
      </c>
      <c r="AT93">
        <f>AS93+Original!AT93</f>
        <v>115</v>
      </c>
      <c r="AU93">
        <f>AT93+Original!AU93</f>
        <v>115</v>
      </c>
      <c r="AV93">
        <f>AU93+Original!AV93</f>
        <v>115</v>
      </c>
      <c r="AW93">
        <f>AV93+Original!AW93</f>
        <v>115</v>
      </c>
      <c r="AX93">
        <f>AW93+Original!AX93</f>
        <v>115</v>
      </c>
      <c r="AY93">
        <f>AX93+Original!AY93</f>
        <v>115</v>
      </c>
      <c r="AZ93">
        <f>AY93+Original!AZ93</f>
        <v>115</v>
      </c>
      <c r="BA93">
        <f>AZ93+Original!BA93</f>
        <v>115</v>
      </c>
      <c r="BB93">
        <f>BA93+Original!BB93</f>
        <v>115</v>
      </c>
      <c r="BC93">
        <f>BB93+Original!BC93</f>
        <v>115</v>
      </c>
      <c r="BD93">
        <f>BC93+Original!BD93</f>
        <v>115</v>
      </c>
      <c r="BE93">
        <f>BD93+Original!BE93</f>
        <v>115</v>
      </c>
      <c r="BF93">
        <f>BE93+Original!BF93</f>
        <v>115</v>
      </c>
      <c r="BG93">
        <f>BF93+Original!BG93</f>
        <v>115</v>
      </c>
      <c r="BH93">
        <f>BG93+Original!BH93</f>
        <v>115</v>
      </c>
      <c r="BI93">
        <f>BH93+Original!BI93</f>
        <v>115</v>
      </c>
      <c r="BJ93">
        <f>BI93+Original!BJ93</f>
        <v>115</v>
      </c>
      <c r="BK93">
        <f>BJ93+Original!BK93</f>
        <v>115</v>
      </c>
      <c r="BL93">
        <f>BK93+Original!BL93</f>
        <v>115</v>
      </c>
      <c r="BM93">
        <f>BL93+Original!BM93</f>
        <v>115</v>
      </c>
      <c r="BN93">
        <f>BM93+Original!BN93</f>
        <v>115</v>
      </c>
      <c r="BO93">
        <f>BN93+Original!BO93</f>
        <v>115</v>
      </c>
      <c r="BP93">
        <f>BO93+Original!BP93</f>
        <v>115</v>
      </c>
      <c r="BQ93">
        <f>BP93+Original!BQ93</f>
        <v>115</v>
      </c>
      <c r="BR93">
        <f>BQ93+Original!BR93</f>
        <v>115</v>
      </c>
      <c r="BS93">
        <f>BR93+Original!BS93</f>
        <v>115</v>
      </c>
      <c r="BT93">
        <f>BS93+Original!BT93</f>
        <v>115</v>
      </c>
      <c r="BU93">
        <f>BT93+Original!BU93</f>
        <v>115</v>
      </c>
      <c r="BV93">
        <f>BU93+Original!BV93</f>
        <v>115</v>
      </c>
      <c r="BW93">
        <f>BV93+Original!BW93</f>
        <v>115</v>
      </c>
    </row>
    <row r="94" spans="1:75" x14ac:dyDescent="0.25">
      <c r="A94" t="str">
        <f>Original!A94</f>
        <v>Alan Salles</v>
      </c>
      <c r="B94">
        <f>Original!B94</f>
        <v>114</v>
      </c>
      <c r="C94">
        <f>Original!C94</f>
        <v>0</v>
      </c>
      <c r="D94">
        <f>C94+Original!D94</f>
        <v>6</v>
      </c>
      <c r="E94">
        <f>D94+Original!E94</f>
        <v>6</v>
      </c>
      <c r="F94">
        <f>E94+Original!F94</f>
        <v>19</v>
      </c>
      <c r="G94">
        <f>F94+Original!G94</f>
        <v>19</v>
      </c>
      <c r="H94">
        <f>G94+Original!H94</f>
        <v>21</v>
      </c>
      <c r="I94">
        <f>H94+Original!I94</f>
        <v>23</v>
      </c>
      <c r="J94">
        <f>I94+Original!J94</f>
        <v>31</v>
      </c>
      <c r="K94">
        <f>J94+Original!K94</f>
        <v>31</v>
      </c>
      <c r="L94">
        <f>K94+Original!L94</f>
        <v>31</v>
      </c>
      <c r="M94">
        <f>L94+Original!M94</f>
        <v>37</v>
      </c>
      <c r="N94">
        <f>M94+Original!N94</f>
        <v>45</v>
      </c>
      <c r="O94">
        <f>N94+Original!O94</f>
        <v>51</v>
      </c>
      <c r="P94">
        <f>O94+Original!P94</f>
        <v>53</v>
      </c>
      <c r="Q94">
        <f>P94+Original!Q94</f>
        <v>59</v>
      </c>
      <c r="R94">
        <f>Q94+Original!R94</f>
        <v>67</v>
      </c>
      <c r="S94">
        <f>R94+Original!S94</f>
        <v>67</v>
      </c>
      <c r="T94">
        <f>S94+Original!T94</f>
        <v>67</v>
      </c>
      <c r="U94">
        <f>T94+Original!U94</f>
        <v>73</v>
      </c>
      <c r="V94">
        <f>U94+Original!V94</f>
        <v>73</v>
      </c>
      <c r="W94">
        <f>V94+Original!W94</f>
        <v>73</v>
      </c>
      <c r="X94">
        <f>W94+Original!X94</f>
        <v>75</v>
      </c>
      <c r="Y94">
        <f>X94+Original!Y94</f>
        <v>83</v>
      </c>
      <c r="Z94">
        <f>Y94+Original!Z94</f>
        <v>85</v>
      </c>
      <c r="AA94">
        <f>Z94+Original!AA94</f>
        <v>93</v>
      </c>
      <c r="AB94">
        <f>AA94+Original!AB94</f>
        <v>106</v>
      </c>
      <c r="AC94">
        <f>AB94+Original!AC94</f>
        <v>106</v>
      </c>
      <c r="AD94">
        <f>AC94+Original!AD94</f>
        <v>112</v>
      </c>
      <c r="AE94">
        <f>AD94+Original!AE94</f>
        <v>114</v>
      </c>
      <c r="AF94">
        <f>AE94+Original!AF94</f>
        <v>114</v>
      </c>
      <c r="AG94">
        <f>AF94+Original!AG94</f>
        <v>114</v>
      </c>
      <c r="AH94">
        <f>AG94+Original!AH94</f>
        <v>114</v>
      </c>
      <c r="AI94">
        <f>AH94+Original!AI94</f>
        <v>114</v>
      </c>
      <c r="AJ94">
        <f>AI94+Original!AJ94</f>
        <v>114</v>
      </c>
      <c r="AK94">
        <f>AJ94+Original!AK94</f>
        <v>114</v>
      </c>
      <c r="AL94">
        <f>AK94+Original!AL94</f>
        <v>114</v>
      </c>
      <c r="AM94">
        <f>AL94+Original!AM94</f>
        <v>114</v>
      </c>
      <c r="AN94">
        <f>AM94+Original!AN94</f>
        <v>114</v>
      </c>
      <c r="AO94">
        <f>AN94+Original!AO94</f>
        <v>114</v>
      </c>
      <c r="AP94">
        <f>AO94+Original!AP94</f>
        <v>114</v>
      </c>
      <c r="AQ94">
        <f>AP94+Original!AQ94</f>
        <v>114</v>
      </c>
      <c r="AR94">
        <f>AQ94+Original!AR94</f>
        <v>114</v>
      </c>
      <c r="AS94">
        <f>AR94+Original!AS94</f>
        <v>114</v>
      </c>
      <c r="AT94">
        <f>AS94+Original!AT94</f>
        <v>114</v>
      </c>
      <c r="AU94">
        <f>AT94+Original!AU94</f>
        <v>114</v>
      </c>
      <c r="AV94">
        <f>AU94+Original!AV94</f>
        <v>114</v>
      </c>
      <c r="AW94">
        <f>AV94+Original!AW94</f>
        <v>114</v>
      </c>
      <c r="AX94">
        <f>AW94+Original!AX94</f>
        <v>114</v>
      </c>
      <c r="AY94">
        <f>AX94+Original!AY94</f>
        <v>114</v>
      </c>
      <c r="AZ94">
        <f>AY94+Original!AZ94</f>
        <v>114</v>
      </c>
      <c r="BA94">
        <f>AZ94+Original!BA94</f>
        <v>114</v>
      </c>
      <c r="BB94">
        <f>BA94+Original!BB94</f>
        <v>114</v>
      </c>
      <c r="BC94">
        <f>BB94+Original!BC94</f>
        <v>114</v>
      </c>
      <c r="BD94">
        <f>BC94+Original!BD94</f>
        <v>114</v>
      </c>
      <c r="BE94">
        <f>BD94+Original!BE94</f>
        <v>114</v>
      </c>
      <c r="BF94">
        <f>BE94+Original!BF94</f>
        <v>114</v>
      </c>
      <c r="BG94">
        <f>BF94+Original!BG94</f>
        <v>114</v>
      </c>
      <c r="BH94">
        <f>BG94+Original!BH94</f>
        <v>114</v>
      </c>
      <c r="BI94">
        <f>BH94+Original!BI94</f>
        <v>114</v>
      </c>
      <c r="BJ94">
        <f>BI94+Original!BJ94</f>
        <v>114</v>
      </c>
      <c r="BK94">
        <f>BJ94+Original!BK94</f>
        <v>114</v>
      </c>
      <c r="BL94">
        <f>BK94+Original!BL94</f>
        <v>114</v>
      </c>
      <c r="BM94">
        <f>BL94+Original!BM94</f>
        <v>114</v>
      </c>
      <c r="BN94">
        <f>BM94+Original!BN94</f>
        <v>114</v>
      </c>
      <c r="BO94">
        <f>BN94+Original!BO94</f>
        <v>114</v>
      </c>
      <c r="BP94">
        <f>BO94+Original!BP94</f>
        <v>114</v>
      </c>
      <c r="BQ94">
        <f>BP94+Original!BQ94</f>
        <v>114</v>
      </c>
      <c r="BR94">
        <f>BQ94+Original!BR94</f>
        <v>114</v>
      </c>
      <c r="BS94">
        <f>BR94+Original!BS94</f>
        <v>114</v>
      </c>
      <c r="BT94">
        <f>BS94+Original!BT94</f>
        <v>114</v>
      </c>
      <c r="BU94">
        <f>BT94+Original!BU94</f>
        <v>114</v>
      </c>
      <c r="BV94">
        <f>BU94+Original!BV94</f>
        <v>114</v>
      </c>
      <c r="BW94">
        <f>BV94+Original!BW94</f>
        <v>114</v>
      </c>
    </row>
    <row r="95" spans="1:75" x14ac:dyDescent="0.25">
      <c r="A95" t="str">
        <f>Original!A95</f>
        <v>Maria Clara Saraiva</v>
      </c>
      <c r="B95">
        <f>Original!B95</f>
        <v>114</v>
      </c>
      <c r="C95">
        <f>Original!C95</f>
        <v>0</v>
      </c>
      <c r="D95">
        <f>C95+Original!D95</f>
        <v>6</v>
      </c>
      <c r="E95">
        <f>D95+Original!E95</f>
        <v>19</v>
      </c>
      <c r="F95">
        <f>E95+Original!F95</f>
        <v>32</v>
      </c>
      <c r="G95">
        <f>F95+Original!G95</f>
        <v>32</v>
      </c>
      <c r="H95">
        <f>G95+Original!H95</f>
        <v>34</v>
      </c>
      <c r="I95">
        <f>H95+Original!I95</f>
        <v>34</v>
      </c>
      <c r="J95">
        <f>I95+Original!J95</f>
        <v>42</v>
      </c>
      <c r="K95">
        <f>J95+Original!K95</f>
        <v>44</v>
      </c>
      <c r="L95">
        <f>K95+Original!L95</f>
        <v>44</v>
      </c>
      <c r="M95">
        <f>L95+Original!M95</f>
        <v>52</v>
      </c>
      <c r="N95">
        <f>M95+Original!N95</f>
        <v>60</v>
      </c>
      <c r="O95">
        <f>N95+Original!O95</f>
        <v>62</v>
      </c>
      <c r="P95">
        <f>O95+Original!P95</f>
        <v>62</v>
      </c>
      <c r="Q95">
        <f>P95+Original!Q95</f>
        <v>68</v>
      </c>
      <c r="R95">
        <f>Q95+Original!R95</f>
        <v>68</v>
      </c>
      <c r="S95">
        <f>R95+Original!S95</f>
        <v>68</v>
      </c>
      <c r="T95">
        <f>S95+Original!T95</f>
        <v>68</v>
      </c>
      <c r="U95">
        <f>T95+Original!U95</f>
        <v>68</v>
      </c>
      <c r="V95">
        <f>U95+Original!V95</f>
        <v>70</v>
      </c>
      <c r="W95">
        <f>V95+Original!W95</f>
        <v>70</v>
      </c>
      <c r="X95">
        <f>W95+Original!X95</f>
        <v>76</v>
      </c>
      <c r="Y95">
        <f>X95+Original!Y95</f>
        <v>84</v>
      </c>
      <c r="Z95">
        <f>Y95+Original!Z95</f>
        <v>90</v>
      </c>
      <c r="AA95">
        <f>Z95+Original!AA95</f>
        <v>96</v>
      </c>
      <c r="AB95">
        <f>AA95+Original!AB95</f>
        <v>102</v>
      </c>
      <c r="AC95">
        <f>AB95+Original!AC95</f>
        <v>102</v>
      </c>
      <c r="AD95">
        <f>AC95+Original!AD95</f>
        <v>108</v>
      </c>
      <c r="AE95">
        <f>AD95+Original!AE95</f>
        <v>114</v>
      </c>
      <c r="AF95">
        <f>AE95+Original!AF95</f>
        <v>114</v>
      </c>
      <c r="AG95">
        <f>AF95+Original!AG95</f>
        <v>114</v>
      </c>
      <c r="AH95">
        <f>AG95+Original!AH95</f>
        <v>114</v>
      </c>
      <c r="AI95">
        <f>AH95+Original!AI95</f>
        <v>114</v>
      </c>
      <c r="AJ95">
        <f>AI95+Original!AJ95</f>
        <v>114</v>
      </c>
      <c r="AK95">
        <f>AJ95+Original!AK95</f>
        <v>114</v>
      </c>
      <c r="AL95">
        <f>AK95+Original!AL95</f>
        <v>114</v>
      </c>
      <c r="AM95">
        <f>AL95+Original!AM95</f>
        <v>114</v>
      </c>
      <c r="AN95">
        <f>AM95+Original!AN95</f>
        <v>114</v>
      </c>
      <c r="AO95">
        <f>AN95+Original!AO95</f>
        <v>114</v>
      </c>
      <c r="AP95">
        <f>AO95+Original!AP95</f>
        <v>114</v>
      </c>
      <c r="AQ95">
        <f>AP95+Original!AQ95</f>
        <v>114</v>
      </c>
      <c r="AR95">
        <f>AQ95+Original!AR95</f>
        <v>114</v>
      </c>
      <c r="AS95">
        <f>AR95+Original!AS95</f>
        <v>114</v>
      </c>
      <c r="AT95">
        <f>AS95+Original!AT95</f>
        <v>114</v>
      </c>
      <c r="AU95">
        <f>AT95+Original!AU95</f>
        <v>114</v>
      </c>
      <c r="AV95">
        <f>AU95+Original!AV95</f>
        <v>114</v>
      </c>
      <c r="AW95">
        <f>AV95+Original!AW95</f>
        <v>114</v>
      </c>
      <c r="AX95">
        <f>AW95+Original!AX95</f>
        <v>114</v>
      </c>
      <c r="AY95">
        <f>AX95+Original!AY95</f>
        <v>114</v>
      </c>
      <c r="AZ95">
        <f>AY95+Original!AZ95</f>
        <v>114</v>
      </c>
      <c r="BA95">
        <f>AZ95+Original!BA95</f>
        <v>114</v>
      </c>
      <c r="BB95">
        <f>BA95+Original!BB95</f>
        <v>114</v>
      </c>
      <c r="BC95">
        <f>BB95+Original!BC95</f>
        <v>114</v>
      </c>
      <c r="BD95">
        <f>BC95+Original!BD95</f>
        <v>114</v>
      </c>
      <c r="BE95">
        <f>BD95+Original!BE95</f>
        <v>114</v>
      </c>
      <c r="BF95">
        <f>BE95+Original!BF95</f>
        <v>114</v>
      </c>
      <c r="BG95">
        <f>BF95+Original!BG95</f>
        <v>114</v>
      </c>
      <c r="BH95">
        <f>BG95+Original!BH95</f>
        <v>114</v>
      </c>
      <c r="BI95">
        <f>BH95+Original!BI95</f>
        <v>114</v>
      </c>
      <c r="BJ95">
        <f>BI95+Original!BJ95</f>
        <v>114</v>
      </c>
      <c r="BK95">
        <f>BJ95+Original!BK95</f>
        <v>114</v>
      </c>
      <c r="BL95">
        <f>BK95+Original!BL95</f>
        <v>114</v>
      </c>
      <c r="BM95">
        <f>BL95+Original!BM95</f>
        <v>114</v>
      </c>
      <c r="BN95">
        <f>BM95+Original!BN95</f>
        <v>114</v>
      </c>
      <c r="BO95">
        <f>BN95+Original!BO95</f>
        <v>114</v>
      </c>
      <c r="BP95">
        <f>BO95+Original!BP95</f>
        <v>114</v>
      </c>
      <c r="BQ95">
        <f>BP95+Original!BQ95</f>
        <v>114</v>
      </c>
      <c r="BR95">
        <f>BQ95+Original!BR95</f>
        <v>114</v>
      </c>
      <c r="BS95">
        <f>BR95+Original!BS95</f>
        <v>114</v>
      </c>
      <c r="BT95">
        <f>BS95+Original!BT95</f>
        <v>114</v>
      </c>
      <c r="BU95">
        <f>BT95+Original!BU95</f>
        <v>114</v>
      </c>
      <c r="BV95">
        <f>BU95+Original!BV95</f>
        <v>114</v>
      </c>
      <c r="BW95">
        <f>BV95+Original!BW95</f>
        <v>114</v>
      </c>
    </row>
    <row r="96" spans="1:75" x14ac:dyDescent="0.25">
      <c r="A96" t="str">
        <f>Original!A96</f>
        <v>Mario Jorge</v>
      </c>
      <c r="B96">
        <f>Original!B96</f>
        <v>113</v>
      </c>
      <c r="C96">
        <f>Original!C96</f>
        <v>0</v>
      </c>
      <c r="D96">
        <f>C96+Original!D96</f>
        <v>6</v>
      </c>
      <c r="E96">
        <f>D96+Original!E96</f>
        <v>8</v>
      </c>
      <c r="F96">
        <f>E96+Original!F96</f>
        <v>10</v>
      </c>
      <c r="G96">
        <f>F96+Original!G96</f>
        <v>10</v>
      </c>
      <c r="H96">
        <f>G96+Original!H96</f>
        <v>10</v>
      </c>
      <c r="I96">
        <f>H96+Original!I96</f>
        <v>10</v>
      </c>
      <c r="J96">
        <f>I96+Original!J96</f>
        <v>16</v>
      </c>
      <c r="K96">
        <f>J96+Original!K96</f>
        <v>16</v>
      </c>
      <c r="L96">
        <f>K96+Original!L96</f>
        <v>16</v>
      </c>
      <c r="M96">
        <f>L96+Original!M96</f>
        <v>22</v>
      </c>
      <c r="N96">
        <f>M96+Original!N96</f>
        <v>30</v>
      </c>
      <c r="O96">
        <f>N96+Original!O96</f>
        <v>43</v>
      </c>
      <c r="P96">
        <f>O96+Original!P96</f>
        <v>45</v>
      </c>
      <c r="Q96">
        <f>P96+Original!Q96</f>
        <v>51</v>
      </c>
      <c r="R96">
        <f>Q96+Original!R96</f>
        <v>64</v>
      </c>
      <c r="S96">
        <f>R96+Original!S96</f>
        <v>71</v>
      </c>
      <c r="T96">
        <f>S96+Original!T96</f>
        <v>71</v>
      </c>
      <c r="U96">
        <f>T96+Original!U96</f>
        <v>79</v>
      </c>
      <c r="V96">
        <f>U96+Original!V96</f>
        <v>79</v>
      </c>
      <c r="W96">
        <f>V96+Original!W96</f>
        <v>85</v>
      </c>
      <c r="X96">
        <f>W96+Original!X96</f>
        <v>87</v>
      </c>
      <c r="Y96">
        <f>X96+Original!Y96</f>
        <v>95</v>
      </c>
      <c r="Z96">
        <f>Y96+Original!Z96</f>
        <v>95</v>
      </c>
      <c r="AA96">
        <f>Z96+Original!AA96</f>
        <v>103</v>
      </c>
      <c r="AB96">
        <f>AA96+Original!AB96</f>
        <v>105</v>
      </c>
      <c r="AC96">
        <f>AB96+Original!AC96</f>
        <v>105</v>
      </c>
      <c r="AD96">
        <f>AC96+Original!AD96</f>
        <v>107</v>
      </c>
      <c r="AE96">
        <f>AD96+Original!AE96</f>
        <v>113</v>
      </c>
      <c r="AF96">
        <f>AE96+Original!AF96</f>
        <v>113</v>
      </c>
      <c r="AG96">
        <f>AF96+Original!AG96</f>
        <v>113</v>
      </c>
      <c r="AH96">
        <f>AG96+Original!AH96</f>
        <v>113</v>
      </c>
      <c r="AI96">
        <f>AH96+Original!AI96</f>
        <v>113</v>
      </c>
      <c r="AJ96">
        <f>AI96+Original!AJ96</f>
        <v>113</v>
      </c>
      <c r="AK96">
        <f>AJ96+Original!AK96</f>
        <v>113</v>
      </c>
      <c r="AL96">
        <f>AK96+Original!AL96</f>
        <v>113</v>
      </c>
      <c r="AM96">
        <f>AL96+Original!AM96</f>
        <v>113</v>
      </c>
      <c r="AN96">
        <f>AM96+Original!AN96</f>
        <v>113</v>
      </c>
      <c r="AO96">
        <f>AN96+Original!AO96</f>
        <v>113</v>
      </c>
      <c r="AP96">
        <f>AO96+Original!AP96</f>
        <v>113</v>
      </c>
      <c r="AQ96">
        <f>AP96+Original!AQ96</f>
        <v>113</v>
      </c>
      <c r="AR96">
        <f>AQ96+Original!AR96</f>
        <v>113</v>
      </c>
      <c r="AS96">
        <f>AR96+Original!AS96</f>
        <v>113</v>
      </c>
      <c r="AT96">
        <f>AS96+Original!AT96</f>
        <v>113</v>
      </c>
      <c r="AU96">
        <f>AT96+Original!AU96</f>
        <v>113</v>
      </c>
      <c r="AV96">
        <f>AU96+Original!AV96</f>
        <v>113</v>
      </c>
      <c r="AW96">
        <f>AV96+Original!AW96</f>
        <v>113</v>
      </c>
      <c r="AX96">
        <f>AW96+Original!AX96</f>
        <v>113</v>
      </c>
      <c r="AY96">
        <f>AX96+Original!AY96</f>
        <v>113</v>
      </c>
      <c r="AZ96">
        <f>AY96+Original!AZ96</f>
        <v>113</v>
      </c>
      <c r="BA96">
        <f>AZ96+Original!BA96</f>
        <v>113</v>
      </c>
      <c r="BB96">
        <f>BA96+Original!BB96</f>
        <v>113</v>
      </c>
      <c r="BC96">
        <f>BB96+Original!BC96</f>
        <v>113</v>
      </c>
      <c r="BD96">
        <f>BC96+Original!BD96</f>
        <v>113</v>
      </c>
      <c r="BE96">
        <f>BD96+Original!BE96</f>
        <v>113</v>
      </c>
      <c r="BF96">
        <f>BE96+Original!BF96</f>
        <v>113</v>
      </c>
      <c r="BG96">
        <f>BF96+Original!BG96</f>
        <v>113</v>
      </c>
      <c r="BH96">
        <f>BG96+Original!BH96</f>
        <v>113</v>
      </c>
      <c r="BI96">
        <f>BH96+Original!BI96</f>
        <v>113</v>
      </c>
      <c r="BJ96">
        <f>BI96+Original!BJ96</f>
        <v>113</v>
      </c>
      <c r="BK96">
        <f>BJ96+Original!BK96</f>
        <v>113</v>
      </c>
      <c r="BL96">
        <f>BK96+Original!BL96</f>
        <v>113</v>
      </c>
      <c r="BM96">
        <f>BL96+Original!BM96</f>
        <v>113</v>
      </c>
      <c r="BN96">
        <f>BM96+Original!BN96</f>
        <v>113</v>
      </c>
      <c r="BO96">
        <f>BN96+Original!BO96</f>
        <v>113</v>
      </c>
      <c r="BP96">
        <f>BO96+Original!BP96</f>
        <v>113</v>
      </c>
      <c r="BQ96">
        <f>BP96+Original!BQ96</f>
        <v>113</v>
      </c>
      <c r="BR96">
        <f>BQ96+Original!BR96</f>
        <v>113</v>
      </c>
      <c r="BS96">
        <f>BR96+Original!BS96</f>
        <v>113</v>
      </c>
      <c r="BT96">
        <f>BS96+Original!BT96</f>
        <v>113</v>
      </c>
      <c r="BU96">
        <f>BT96+Original!BU96</f>
        <v>113</v>
      </c>
      <c r="BV96">
        <f>BU96+Original!BV96</f>
        <v>113</v>
      </c>
      <c r="BW96">
        <f>BV96+Original!BW96</f>
        <v>113</v>
      </c>
    </row>
    <row r="97" spans="1:75" x14ac:dyDescent="0.25">
      <c r="A97" t="str">
        <f>Original!A97</f>
        <v>Yago Barbosa Santana</v>
      </c>
      <c r="B97">
        <f>Original!B97</f>
        <v>113</v>
      </c>
      <c r="C97">
        <f>Original!C97</f>
        <v>0</v>
      </c>
      <c r="D97">
        <f>C97+Original!D97</f>
        <v>6</v>
      </c>
      <c r="E97">
        <f>D97+Original!E97</f>
        <v>14</v>
      </c>
      <c r="F97">
        <f>E97+Original!F97</f>
        <v>16</v>
      </c>
      <c r="G97">
        <f>F97+Original!G97</f>
        <v>16</v>
      </c>
      <c r="H97">
        <f>G97+Original!H97</f>
        <v>18</v>
      </c>
      <c r="I97">
        <f>H97+Original!I97</f>
        <v>18</v>
      </c>
      <c r="J97">
        <f>I97+Original!J97</f>
        <v>26</v>
      </c>
      <c r="K97">
        <f>J97+Original!K97</f>
        <v>28</v>
      </c>
      <c r="L97">
        <f>K97+Original!L97</f>
        <v>28</v>
      </c>
      <c r="M97">
        <f>L97+Original!M97</f>
        <v>36</v>
      </c>
      <c r="N97">
        <f>M97+Original!N97</f>
        <v>44</v>
      </c>
      <c r="O97">
        <f>N97+Original!O97</f>
        <v>46</v>
      </c>
      <c r="P97">
        <f>O97+Original!P97</f>
        <v>52</v>
      </c>
      <c r="Q97">
        <f>P97+Original!Q97</f>
        <v>58</v>
      </c>
      <c r="R97">
        <f>Q97+Original!R97</f>
        <v>66</v>
      </c>
      <c r="S97">
        <f>R97+Original!S97</f>
        <v>73</v>
      </c>
      <c r="T97">
        <f>S97+Original!T97</f>
        <v>73</v>
      </c>
      <c r="U97">
        <f>T97+Original!U97</f>
        <v>79</v>
      </c>
      <c r="V97">
        <f>U97+Original!V97</f>
        <v>79</v>
      </c>
      <c r="W97">
        <f>V97+Original!W97</f>
        <v>81</v>
      </c>
      <c r="X97">
        <f>W97+Original!X97</f>
        <v>83</v>
      </c>
      <c r="Y97">
        <f>X97+Original!Y97</f>
        <v>91</v>
      </c>
      <c r="Z97">
        <f>Y97+Original!Z97</f>
        <v>93</v>
      </c>
      <c r="AA97">
        <f>Z97+Original!AA97</f>
        <v>101</v>
      </c>
      <c r="AB97">
        <f>AA97+Original!AB97</f>
        <v>101</v>
      </c>
      <c r="AC97">
        <f>AB97+Original!AC97</f>
        <v>101</v>
      </c>
      <c r="AD97">
        <f>AC97+Original!AD97</f>
        <v>107</v>
      </c>
      <c r="AE97">
        <f>AD97+Original!AE97</f>
        <v>113</v>
      </c>
      <c r="AF97">
        <f>AE97+Original!AF97</f>
        <v>113</v>
      </c>
      <c r="AG97">
        <f>AF97+Original!AG97</f>
        <v>113</v>
      </c>
      <c r="AH97">
        <f>AG97+Original!AH97</f>
        <v>113</v>
      </c>
      <c r="AI97">
        <f>AH97+Original!AI97</f>
        <v>113</v>
      </c>
      <c r="AJ97">
        <f>AI97+Original!AJ97</f>
        <v>113</v>
      </c>
      <c r="AK97">
        <f>AJ97+Original!AK97</f>
        <v>113</v>
      </c>
      <c r="AL97">
        <f>AK97+Original!AL97</f>
        <v>113</v>
      </c>
      <c r="AM97">
        <f>AL97+Original!AM97</f>
        <v>113</v>
      </c>
      <c r="AN97">
        <f>AM97+Original!AN97</f>
        <v>113</v>
      </c>
      <c r="AO97">
        <f>AN97+Original!AO97</f>
        <v>113</v>
      </c>
      <c r="AP97">
        <f>AO97+Original!AP97</f>
        <v>113</v>
      </c>
      <c r="AQ97">
        <f>AP97+Original!AQ97</f>
        <v>113</v>
      </c>
      <c r="AR97">
        <f>AQ97+Original!AR97</f>
        <v>113</v>
      </c>
      <c r="AS97">
        <f>AR97+Original!AS97</f>
        <v>113</v>
      </c>
      <c r="AT97">
        <f>AS97+Original!AT97</f>
        <v>113</v>
      </c>
      <c r="AU97">
        <f>AT97+Original!AU97</f>
        <v>113</v>
      </c>
      <c r="AV97">
        <f>AU97+Original!AV97</f>
        <v>113</v>
      </c>
      <c r="AW97">
        <f>AV97+Original!AW97</f>
        <v>113</v>
      </c>
      <c r="AX97">
        <f>AW97+Original!AX97</f>
        <v>113</v>
      </c>
      <c r="AY97">
        <f>AX97+Original!AY97</f>
        <v>113</v>
      </c>
      <c r="AZ97">
        <f>AY97+Original!AZ97</f>
        <v>113</v>
      </c>
      <c r="BA97">
        <f>AZ97+Original!BA97</f>
        <v>113</v>
      </c>
      <c r="BB97">
        <f>BA97+Original!BB97</f>
        <v>113</v>
      </c>
      <c r="BC97">
        <f>BB97+Original!BC97</f>
        <v>113</v>
      </c>
      <c r="BD97">
        <f>BC97+Original!BD97</f>
        <v>113</v>
      </c>
      <c r="BE97">
        <f>BD97+Original!BE97</f>
        <v>113</v>
      </c>
      <c r="BF97">
        <f>BE97+Original!BF97</f>
        <v>113</v>
      </c>
      <c r="BG97">
        <f>BF97+Original!BG97</f>
        <v>113</v>
      </c>
      <c r="BH97">
        <f>BG97+Original!BH97</f>
        <v>113</v>
      </c>
      <c r="BI97">
        <f>BH97+Original!BI97</f>
        <v>113</v>
      </c>
      <c r="BJ97">
        <f>BI97+Original!BJ97</f>
        <v>113</v>
      </c>
      <c r="BK97">
        <f>BJ97+Original!BK97</f>
        <v>113</v>
      </c>
      <c r="BL97">
        <f>BK97+Original!BL97</f>
        <v>113</v>
      </c>
      <c r="BM97">
        <f>BL97+Original!BM97</f>
        <v>113</v>
      </c>
      <c r="BN97">
        <f>BM97+Original!BN97</f>
        <v>113</v>
      </c>
      <c r="BO97">
        <f>BN97+Original!BO97</f>
        <v>113</v>
      </c>
      <c r="BP97">
        <f>BO97+Original!BP97</f>
        <v>113</v>
      </c>
      <c r="BQ97">
        <f>BP97+Original!BQ97</f>
        <v>113</v>
      </c>
      <c r="BR97">
        <f>BQ97+Original!BR97</f>
        <v>113</v>
      </c>
      <c r="BS97">
        <f>BR97+Original!BS97</f>
        <v>113</v>
      </c>
      <c r="BT97">
        <f>BS97+Original!BT97</f>
        <v>113</v>
      </c>
      <c r="BU97">
        <f>BT97+Original!BU97</f>
        <v>113</v>
      </c>
      <c r="BV97">
        <f>BU97+Original!BV97</f>
        <v>113</v>
      </c>
      <c r="BW97">
        <f>BV97+Original!BW97</f>
        <v>113</v>
      </c>
    </row>
    <row r="98" spans="1:75" x14ac:dyDescent="0.25">
      <c r="A98" t="str">
        <f>Original!A98</f>
        <v>Fernanda Freitas</v>
      </c>
      <c r="B98">
        <f>Original!B98</f>
        <v>112</v>
      </c>
      <c r="C98">
        <f>Original!C98</f>
        <v>0</v>
      </c>
      <c r="D98">
        <f>C98+Original!D98</f>
        <v>6</v>
      </c>
      <c r="E98">
        <f>D98+Original!E98</f>
        <v>14</v>
      </c>
      <c r="F98">
        <f>E98+Original!F98</f>
        <v>16</v>
      </c>
      <c r="G98">
        <f>F98+Original!G98</f>
        <v>16</v>
      </c>
      <c r="H98">
        <f>G98+Original!H98</f>
        <v>18</v>
      </c>
      <c r="I98">
        <f>H98+Original!I98</f>
        <v>24</v>
      </c>
      <c r="J98">
        <f>I98+Original!J98</f>
        <v>32</v>
      </c>
      <c r="K98">
        <f>J98+Original!K98</f>
        <v>34</v>
      </c>
      <c r="L98">
        <f>K98+Original!L98</f>
        <v>34</v>
      </c>
      <c r="M98">
        <f>L98+Original!M98</f>
        <v>40</v>
      </c>
      <c r="N98">
        <f>M98+Original!N98</f>
        <v>46</v>
      </c>
      <c r="O98">
        <f>N98+Original!O98</f>
        <v>52</v>
      </c>
      <c r="P98">
        <f>O98+Original!P98</f>
        <v>52</v>
      </c>
      <c r="Q98">
        <f>P98+Original!Q98</f>
        <v>60</v>
      </c>
      <c r="R98">
        <f>Q98+Original!R98</f>
        <v>68</v>
      </c>
      <c r="S98">
        <f>R98+Original!S98</f>
        <v>68</v>
      </c>
      <c r="T98">
        <f>S98+Original!T98</f>
        <v>68</v>
      </c>
      <c r="U98">
        <f>T98+Original!U98</f>
        <v>76</v>
      </c>
      <c r="V98">
        <f>U98+Original!V98</f>
        <v>76</v>
      </c>
      <c r="W98">
        <f>V98+Original!W98</f>
        <v>78</v>
      </c>
      <c r="X98">
        <f>W98+Original!X98</f>
        <v>84</v>
      </c>
      <c r="Y98">
        <f>X98+Original!Y98</f>
        <v>90</v>
      </c>
      <c r="Z98">
        <f>Y98+Original!Z98</f>
        <v>96</v>
      </c>
      <c r="AA98">
        <f>Z98+Original!AA98</f>
        <v>104</v>
      </c>
      <c r="AB98">
        <f>AA98+Original!AB98</f>
        <v>106</v>
      </c>
      <c r="AC98">
        <f>AB98+Original!AC98</f>
        <v>106</v>
      </c>
      <c r="AD98">
        <f>AC98+Original!AD98</f>
        <v>112</v>
      </c>
      <c r="AE98">
        <f>AD98+Original!AE98</f>
        <v>112</v>
      </c>
      <c r="AF98">
        <f>AE98+Original!AF98</f>
        <v>112</v>
      </c>
      <c r="AG98">
        <f>AF98+Original!AG98</f>
        <v>112</v>
      </c>
      <c r="AH98">
        <f>AG98+Original!AH98</f>
        <v>112</v>
      </c>
      <c r="AI98">
        <f>AH98+Original!AI98</f>
        <v>112</v>
      </c>
      <c r="AJ98">
        <f>AI98+Original!AJ98</f>
        <v>112</v>
      </c>
      <c r="AK98">
        <f>AJ98+Original!AK98</f>
        <v>112</v>
      </c>
      <c r="AL98">
        <f>AK98+Original!AL98</f>
        <v>112</v>
      </c>
      <c r="AM98">
        <f>AL98+Original!AM98</f>
        <v>112</v>
      </c>
      <c r="AN98">
        <f>AM98+Original!AN98</f>
        <v>112</v>
      </c>
      <c r="AO98">
        <f>AN98+Original!AO98</f>
        <v>112</v>
      </c>
      <c r="AP98">
        <f>AO98+Original!AP98</f>
        <v>112</v>
      </c>
      <c r="AQ98">
        <f>AP98+Original!AQ98</f>
        <v>112</v>
      </c>
      <c r="AR98">
        <f>AQ98+Original!AR98</f>
        <v>112</v>
      </c>
      <c r="AS98">
        <f>AR98+Original!AS98</f>
        <v>112</v>
      </c>
      <c r="AT98">
        <f>AS98+Original!AT98</f>
        <v>112</v>
      </c>
      <c r="AU98">
        <f>AT98+Original!AU98</f>
        <v>112</v>
      </c>
      <c r="AV98">
        <f>AU98+Original!AV98</f>
        <v>112</v>
      </c>
      <c r="AW98">
        <f>AV98+Original!AW98</f>
        <v>112</v>
      </c>
      <c r="AX98">
        <f>AW98+Original!AX98</f>
        <v>112</v>
      </c>
      <c r="AY98">
        <f>AX98+Original!AY98</f>
        <v>112</v>
      </c>
      <c r="AZ98">
        <f>AY98+Original!AZ98</f>
        <v>112</v>
      </c>
      <c r="BA98">
        <f>AZ98+Original!BA98</f>
        <v>112</v>
      </c>
      <c r="BB98">
        <f>BA98+Original!BB98</f>
        <v>112</v>
      </c>
      <c r="BC98">
        <f>BB98+Original!BC98</f>
        <v>112</v>
      </c>
      <c r="BD98">
        <f>BC98+Original!BD98</f>
        <v>112</v>
      </c>
      <c r="BE98">
        <f>BD98+Original!BE98</f>
        <v>112</v>
      </c>
      <c r="BF98">
        <f>BE98+Original!BF98</f>
        <v>112</v>
      </c>
      <c r="BG98">
        <f>BF98+Original!BG98</f>
        <v>112</v>
      </c>
      <c r="BH98">
        <f>BG98+Original!BH98</f>
        <v>112</v>
      </c>
      <c r="BI98">
        <f>BH98+Original!BI98</f>
        <v>112</v>
      </c>
      <c r="BJ98">
        <f>BI98+Original!BJ98</f>
        <v>112</v>
      </c>
      <c r="BK98">
        <f>BJ98+Original!BK98</f>
        <v>112</v>
      </c>
      <c r="BL98">
        <f>BK98+Original!BL98</f>
        <v>112</v>
      </c>
      <c r="BM98">
        <f>BL98+Original!BM98</f>
        <v>112</v>
      </c>
      <c r="BN98">
        <f>BM98+Original!BN98</f>
        <v>112</v>
      </c>
      <c r="BO98">
        <f>BN98+Original!BO98</f>
        <v>112</v>
      </c>
      <c r="BP98">
        <f>BO98+Original!BP98</f>
        <v>112</v>
      </c>
      <c r="BQ98">
        <f>BP98+Original!BQ98</f>
        <v>112</v>
      </c>
      <c r="BR98">
        <f>BQ98+Original!BR98</f>
        <v>112</v>
      </c>
      <c r="BS98">
        <f>BR98+Original!BS98</f>
        <v>112</v>
      </c>
      <c r="BT98">
        <f>BS98+Original!BT98</f>
        <v>112</v>
      </c>
      <c r="BU98">
        <f>BT98+Original!BU98</f>
        <v>112</v>
      </c>
      <c r="BV98">
        <f>BU98+Original!BV98</f>
        <v>112</v>
      </c>
      <c r="BW98">
        <f>BV98+Original!BW98</f>
        <v>112</v>
      </c>
    </row>
    <row r="99" spans="1:75" x14ac:dyDescent="0.25">
      <c r="A99" t="str">
        <f>Original!A99</f>
        <v>Pedrinho Coral</v>
      </c>
      <c r="B99">
        <f>Original!B99</f>
        <v>112</v>
      </c>
      <c r="C99">
        <f>Original!C99</f>
        <v>0</v>
      </c>
      <c r="D99">
        <f>C99+Original!D99</f>
        <v>6</v>
      </c>
      <c r="E99">
        <f>D99+Original!E99</f>
        <v>19</v>
      </c>
      <c r="F99">
        <f>E99+Original!F99</f>
        <v>19</v>
      </c>
      <c r="G99">
        <f>F99+Original!G99</f>
        <v>19</v>
      </c>
      <c r="H99">
        <f>G99+Original!H99</f>
        <v>19</v>
      </c>
      <c r="I99">
        <f>H99+Original!I99</f>
        <v>25</v>
      </c>
      <c r="J99">
        <f>I99+Original!J99</f>
        <v>33</v>
      </c>
      <c r="K99">
        <f>J99+Original!K99</f>
        <v>35</v>
      </c>
      <c r="L99">
        <f>K99+Original!L99</f>
        <v>35</v>
      </c>
      <c r="M99">
        <f>L99+Original!M99</f>
        <v>43</v>
      </c>
      <c r="N99">
        <f>M99+Original!N99</f>
        <v>51</v>
      </c>
      <c r="O99">
        <f>N99+Original!O99</f>
        <v>59</v>
      </c>
      <c r="P99">
        <f>O99+Original!P99</f>
        <v>61</v>
      </c>
      <c r="Q99">
        <f>P99+Original!Q99</f>
        <v>67</v>
      </c>
      <c r="R99">
        <f>Q99+Original!R99</f>
        <v>80</v>
      </c>
      <c r="S99">
        <f>R99+Original!S99</f>
        <v>80</v>
      </c>
      <c r="T99">
        <f>S99+Original!T99</f>
        <v>80</v>
      </c>
      <c r="U99">
        <f>T99+Original!U99</f>
        <v>80</v>
      </c>
      <c r="V99">
        <f>U99+Original!V99</f>
        <v>82</v>
      </c>
      <c r="W99">
        <f>V99+Original!W99</f>
        <v>84</v>
      </c>
      <c r="X99">
        <f>W99+Original!X99</f>
        <v>86</v>
      </c>
      <c r="Y99">
        <f>X99+Original!Y99</f>
        <v>92</v>
      </c>
      <c r="Z99">
        <f>Y99+Original!Z99</f>
        <v>92</v>
      </c>
      <c r="AA99">
        <f>Z99+Original!AA99</f>
        <v>98</v>
      </c>
      <c r="AB99">
        <f>AA99+Original!AB99</f>
        <v>104</v>
      </c>
      <c r="AC99">
        <f>AB99+Original!AC99</f>
        <v>104</v>
      </c>
      <c r="AD99">
        <f>AC99+Original!AD99</f>
        <v>112</v>
      </c>
      <c r="AE99">
        <f>AD99+Original!AE99</f>
        <v>112</v>
      </c>
      <c r="AF99">
        <f>AE99+Original!AF99</f>
        <v>112</v>
      </c>
      <c r="AG99">
        <f>AF99+Original!AG99</f>
        <v>112</v>
      </c>
      <c r="AH99">
        <f>AG99+Original!AH99</f>
        <v>112</v>
      </c>
      <c r="AI99">
        <f>AH99+Original!AI99</f>
        <v>112</v>
      </c>
      <c r="AJ99">
        <f>AI99+Original!AJ99</f>
        <v>112</v>
      </c>
      <c r="AK99">
        <f>AJ99+Original!AK99</f>
        <v>112</v>
      </c>
      <c r="AL99">
        <f>AK99+Original!AL99</f>
        <v>112</v>
      </c>
      <c r="AM99">
        <f>AL99+Original!AM99</f>
        <v>112</v>
      </c>
      <c r="AN99">
        <f>AM99+Original!AN99</f>
        <v>112</v>
      </c>
      <c r="AO99">
        <f>AN99+Original!AO99</f>
        <v>112</v>
      </c>
      <c r="AP99">
        <f>AO99+Original!AP99</f>
        <v>112</v>
      </c>
      <c r="AQ99">
        <f>AP99+Original!AQ99</f>
        <v>112</v>
      </c>
      <c r="AR99">
        <f>AQ99+Original!AR99</f>
        <v>112</v>
      </c>
      <c r="AS99">
        <f>AR99+Original!AS99</f>
        <v>112</v>
      </c>
      <c r="AT99">
        <f>AS99+Original!AT99</f>
        <v>112</v>
      </c>
      <c r="AU99">
        <f>AT99+Original!AU99</f>
        <v>112</v>
      </c>
      <c r="AV99">
        <f>AU99+Original!AV99</f>
        <v>112</v>
      </c>
      <c r="AW99">
        <f>AV99+Original!AW99</f>
        <v>112</v>
      </c>
      <c r="AX99">
        <f>AW99+Original!AX99</f>
        <v>112</v>
      </c>
      <c r="AY99">
        <f>AX99+Original!AY99</f>
        <v>112</v>
      </c>
      <c r="AZ99">
        <f>AY99+Original!AZ99</f>
        <v>112</v>
      </c>
      <c r="BA99">
        <f>AZ99+Original!BA99</f>
        <v>112</v>
      </c>
      <c r="BB99">
        <f>BA99+Original!BB99</f>
        <v>112</v>
      </c>
      <c r="BC99">
        <f>BB99+Original!BC99</f>
        <v>112</v>
      </c>
      <c r="BD99">
        <f>BC99+Original!BD99</f>
        <v>112</v>
      </c>
      <c r="BE99">
        <f>BD99+Original!BE99</f>
        <v>112</v>
      </c>
      <c r="BF99">
        <f>BE99+Original!BF99</f>
        <v>112</v>
      </c>
      <c r="BG99">
        <f>BF99+Original!BG99</f>
        <v>112</v>
      </c>
      <c r="BH99">
        <f>BG99+Original!BH99</f>
        <v>112</v>
      </c>
      <c r="BI99">
        <f>BH99+Original!BI99</f>
        <v>112</v>
      </c>
      <c r="BJ99">
        <f>BI99+Original!BJ99</f>
        <v>112</v>
      </c>
      <c r="BK99">
        <f>BJ99+Original!BK99</f>
        <v>112</v>
      </c>
      <c r="BL99">
        <f>BK99+Original!BL99</f>
        <v>112</v>
      </c>
      <c r="BM99">
        <f>BL99+Original!BM99</f>
        <v>112</v>
      </c>
      <c r="BN99">
        <f>BM99+Original!BN99</f>
        <v>112</v>
      </c>
      <c r="BO99">
        <f>BN99+Original!BO99</f>
        <v>112</v>
      </c>
      <c r="BP99">
        <f>BO99+Original!BP99</f>
        <v>112</v>
      </c>
      <c r="BQ99">
        <f>BP99+Original!BQ99</f>
        <v>112</v>
      </c>
      <c r="BR99">
        <f>BQ99+Original!BR99</f>
        <v>112</v>
      </c>
      <c r="BS99">
        <f>BR99+Original!BS99</f>
        <v>112</v>
      </c>
      <c r="BT99">
        <f>BS99+Original!BT99</f>
        <v>112</v>
      </c>
      <c r="BU99">
        <f>BT99+Original!BU99</f>
        <v>112</v>
      </c>
      <c r="BV99">
        <f>BU99+Original!BV99</f>
        <v>112</v>
      </c>
      <c r="BW99">
        <f>BV99+Original!BW99</f>
        <v>112</v>
      </c>
    </row>
    <row r="100" spans="1:75" x14ac:dyDescent="0.25">
      <c r="A100" t="str">
        <f>Original!A100</f>
        <v>Peu</v>
      </c>
      <c r="B100">
        <f>Original!B100</f>
        <v>112</v>
      </c>
      <c r="C100">
        <f>Original!C100</f>
        <v>0</v>
      </c>
      <c r="D100">
        <f>C100+Original!D100</f>
        <v>6</v>
      </c>
      <c r="E100">
        <f>D100+Original!E100</f>
        <v>19</v>
      </c>
      <c r="F100">
        <f>E100+Original!F100</f>
        <v>21</v>
      </c>
      <c r="G100">
        <f>F100+Original!G100</f>
        <v>21</v>
      </c>
      <c r="H100">
        <f>G100+Original!H100</f>
        <v>23</v>
      </c>
      <c r="I100">
        <f>H100+Original!I100</f>
        <v>29</v>
      </c>
      <c r="J100">
        <f>I100+Original!J100</f>
        <v>35</v>
      </c>
      <c r="K100">
        <f>J100+Original!K100</f>
        <v>37</v>
      </c>
      <c r="L100">
        <f>K100+Original!L100</f>
        <v>39</v>
      </c>
      <c r="M100">
        <f>L100+Original!M100</f>
        <v>47</v>
      </c>
      <c r="N100">
        <f>M100+Original!N100</f>
        <v>53</v>
      </c>
      <c r="O100">
        <f>N100+Original!O100</f>
        <v>55</v>
      </c>
      <c r="P100">
        <f>O100+Original!P100</f>
        <v>57</v>
      </c>
      <c r="Q100">
        <f>P100+Original!Q100</f>
        <v>63</v>
      </c>
      <c r="R100">
        <f>Q100+Original!R100</f>
        <v>71</v>
      </c>
      <c r="S100">
        <f>R100+Original!S100</f>
        <v>71</v>
      </c>
      <c r="T100">
        <f>S100+Original!T100</f>
        <v>71</v>
      </c>
      <c r="U100">
        <f>T100+Original!U100</f>
        <v>77</v>
      </c>
      <c r="V100">
        <f>U100+Original!V100</f>
        <v>77</v>
      </c>
      <c r="W100">
        <f>V100+Original!W100</f>
        <v>77</v>
      </c>
      <c r="X100">
        <f>W100+Original!X100</f>
        <v>79</v>
      </c>
      <c r="Y100">
        <f>X100+Original!Y100</f>
        <v>87</v>
      </c>
      <c r="Z100">
        <f>Y100+Original!Z100</f>
        <v>89</v>
      </c>
      <c r="AA100">
        <f>Z100+Original!AA100</f>
        <v>102</v>
      </c>
      <c r="AB100">
        <f>AA100+Original!AB100</f>
        <v>104</v>
      </c>
      <c r="AC100">
        <f>AB100+Original!AC100</f>
        <v>104</v>
      </c>
      <c r="AD100">
        <f>AC100+Original!AD100</f>
        <v>106</v>
      </c>
      <c r="AE100">
        <f>AD100+Original!AE100</f>
        <v>112</v>
      </c>
      <c r="AF100">
        <f>AE100+Original!AF100</f>
        <v>112</v>
      </c>
      <c r="AG100">
        <f>AF100+Original!AG100</f>
        <v>112</v>
      </c>
      <c r="AH100">
        <f>AG100+Original!AH100</f>
        <v>112</v>
      </c>
      <c r="AI100">
        <f>AH100+Original!AI100</f>
        <v>112</v>
      </c>
      <c r="AJ100">
        <f>AI100+Original!AJ100</f>
        <v>112</v>
      </c>
      <c r="AK100">
        <f>AJ100+Original!AK100</f>
        <v>112</v>
      </c>
      <c r="AL100">
        <f>AK100+Original!AL100</f>
        <v>112</v>
      </c>
      <c r="AM100">
        <f>AL100+Original!AM100</f>
        <v>112</v>
      </c>
      <c r="AN100">
        <f>AM100+Original!AN100</f>
        <v>112</v>
      </c>
      <c r="AO100">
        <f>AN100+Original!AO100</f>
        <v>112</v>
      </c>
      <c r="AP100">
        <f>AO100+Original!AP100</f>
        <v>112</v>
      </c>
      <c r="AQ100">
        <f>AP100+Original!AQ100</f>
        <v>112</v>
      </c>
      <c r="AR100">
        <f>AQ100+Original!AR100</f>
        <v>112</v>
      </c>
      <c r="AS100">
        <f>AR100+Original!AS100</f>
        <v>112</v>
      </c>
      <c r="AT100">
        <f>AS100+Original!AT100</f>
        <v>112</v>
      </c>
      <c r="AU100">
        <f>AT100+Original!AU100</f>
        <v>112</v>
      </c>
      <c r="AV100">
        <f>AU100+Original!AV100</f>
        <v>112</v>
      </c>
      <c r="AW100">
        <f>AV100+Original!AW100</f>
        <v>112</v>
      </c>
      <c r="AX100">
        <f>AW100+Original!AX100</f>
        <v>112</v>
      </c>
      <c r="AY100">
        <f>AX100+Original!AY100</f>
        <v>112</v>
      </c>
      <c r="AZ100">
        <f>AY100+Original!AZ100</f>
        <v>112</v>
      </c>
      <c r="BA100">
        <f>AZ100+Original!BA100</f>
        <v>112</v>
      </c>
      <c r="BB100">
        <f>BA100+Original!BB100</f>
        <v>112</v>
      </c>
      <c r="BC100">
        <f>BB100+Original!BC100</f>
        <v>112</v>
      </c>
      <c r="BD100">
        <f>BC100+Original!BD100</f>
        <v>112</v>
      </c>
      <c r="BE100">
        <f>BD100+Original!BE100</f>
        <v>112</v>
      </c>
      <c r="BF100">
        <f>BE100+Original!BF100</f>
        <v>112</v>
      </c>
      <c r="BG100">
        <f>BF100+Original!BG100</f>
        <v>112</v>
      </c>
      <c r="BH100">
        <f>BG100+Original!BH100</f>
        <v>112</v>
      </c>
      <c r="BI100">
        <f>BH100+Original!BI100</f>
        <v>112</v>
      </c>
      <c r="BJ100">
        <f>BI100+Original!BJ100</f>
        <v>112</v>
      </c>
      <c r="BK100">
        <f>BJ100+Original!BK100</f>
        <v>112</v>
      </c>
      <c r="BL100">
        <f>BK100+Original!BL100</f>
        <v>112</v>
      </c>
      <c r="BM100">
        <f>BL100+Original!BM100</f>
        <v>112</v>
      </c>
      <c r="BN100">
        <f>BM100+Original!BN100</f>
        <v>112</v>
      </c>
      <c r="BO100">
        <f>BN100+Original!BO100</f>
        <v>112</v>
      </c>
      <c r="BP100">
        <f>BO100+Original!BP100</f>
        <v>112</v>
      </c>
      <c r="BQ100">
        <f>BP100+Original!BQ100</f>
        <v>112</v>
      </c>
      <c r="BR100">
        <f>BQ100+Original!BR100</f>
        <v>112</v>
      </c>
      <c r="BS100">
        <f>BR100+Original!BS100</f>
        <v>112</v>
      </c>
      <c r="BT100">
        <f>BS100+Original!BT100</f>
        <v>112</v>
      </c>
      <c r="BU100">
        <f>BT100+Original!BU100</f>
        <v>112</v>
      </c>
      <c r="BV100">
        <f>BU100+Original!BV100</f>
        <v>112</v>
      </c>
      <c r="BW100">
        <f>BV100+Original!BW100</f>
        <v>112</v>
      </c>
    </row>
    <row r="101" spans="1:75" x14ac:dyDescent="0.25">
      <c r="A101" t="str">
        <f>Original!A101</f>
        <v>Uilson Almeida de Campos</v>
      </c>
      <c r="B101">
        <f>Original!B101</f>
        <v>111</v>
      </c>
      <c r="C101">
        <f>Original!C101</f>
        <v>8</v>
      </c>
      <c r="D101">
        <f>C101+Original!D101</f>
        <v>14</v>
      </c>
      <c r="E101">
        <f>D101+Original!E101</f>
        <v>22</v>
      </c>
      <c r="F101">
        <f>E101+Original!F101</f>
        <v>28</v>
      </c>
      <c r="G101">
        <f>F101+Original!G101</f>
        <v>28</v>
      </c>
      <c r="H101">
        <f>G101+Original!H101</f>
        <v>28</v>
      </c>
      <c r="I101">
        <f>H101+Original!I101</f>
        <v>34</v>
      </c>
      <c r="J101">
        <f>I101+Original!J101</f>
        <v>40</v>
      </c>
      <c r="K101">
        <f>J101+Original!K101</f>
        <v>42</v>
      </c>
      <c r="L101">
        <f>K101+Original!L101</f>
        <v>42</v>
      </c>
      <c r="M101">
        <f>L101+Original!M101</f>
        <v>48</v>
      </c>
      <c r="N101">
        <f>M101+Original!N101</f>
        <v>54</v>
      </c>
      <c r="O101">
        <f>N101+Original!O101</f>
        <v>60</v>
      </c>
      <c r="P101">
        <f>O101+Original!P101</f>
        <v>60</v>
      </c>
      <c r="Q101">
        <f>P101+Original!Q101</f>
        <v>66</v>
      </c>
      <c r="R101">
        <f>Q101+Original!R101</f>
        <v>72</v>
      </c>
      <c r="S101">
        <f>R101+Original!S101</f>
        <v>79</v>
      </c>
      <c r="T101">
        <f>S101+Original!T101</f>
        <v>79</v>
      </c>
      <c r="U101">
        <f>T101+Original!U101</f>
        <v>85</v>
      </c>
      <c r="V101">
        <f>U101+Original!V101</f>
        <v>87</v>
      </c>
      <c r="W101">
        <f>V101+Original!W101</f>
        <v>87</v>
      </c>
      <c r="X101">
        <f>W101+Original!X101</f>
        <v>87</v>
      </c>
      <c r="Y101">
        <f>X101+Original!Y101</f>
        <v>95</v>
      </c>
      <c r="Z101">
        <f>Y101+Original!Z101</f>
        <v>97</v>
      </c>
      <c r="AA101">
        <f>Z101+Original!AA101</f>
        <v>103</v>
      </c>
      <c r="AB101">
        <f>AA101+Original!AB101</f>
        <v>103</v>
      </c>
      <c r="AC101">
        <f>AB101+Original!AC101</f>
        <v>103</v>
      </c>
      <c r="AD101">
        <f>AC101+Original!AD101</f>
        <v>111</v>
      </c>
      <c r="AE101">
        <f>AD101+Original!AE101</f>
        <v>111</v>
      </c>
      <c r="AF101">
        <f>AE101+Original!AF101</f>
        <v>111</v>
      </c>
      <c r="AG101">
        <f>AF101+Original!AG101</f>
        <v>111</v>
      </c>
      <c r="AH101">
        <f>AG101+Original!AH101</f>
        <v>111</v>
      </c>
      <c r="AI101">
        <f>AH101+Original!AI101</f>
        <v>111</v>
      </c>
      <c r="AJ101">
        <f>AI101+Original!AJ101</f>
        <v>111</v>
      </c>
      <c r="AK101">
        <f>AJ101+Original!AK101</f>
        <v>111</v>
      </c>
      <c r="AL101">
        <f>AK101+Original!AL101</f>
        <v>111</v>
      </c>
      <c r="AM101">
        <f>AL101+Original!AM101</f>
        <v>111</v>
      </c>
      <c r="AN101">
        <f>AM101+Original!AN101</f>
        <v>111</v>
      </c>
      <c r="AO101">
        <f>AN101+Original!AO101</f>
        <v>111</v>
      </c>
      <c r="AP101">
        <f>AO101+Original!AP101</f>
        <v>111</v>
      </c>
      <c r="AQ101">
        <f>AP101+Original!AQ101</f>
        <v>111</v>
      </c>
      <c r="AR101">
        <f>AQ101+Original!AR101</f>
        <v>111</v>
      </c>
      <c r="AS101">
        <f>AR101+Original!AS101</f>
        <v>111</v>
      </c>
      <c r="AT101">
        <f>AS101+Original!AT101</f>
        <v>111</v>
      </c>
      <c r="AU101">
        <f>AT101+Original!AU101</f>
        <v>111</v>
      </c>
      <c r="AV101">
        <f>AU101+Original!AV101</f>
        <v>111</v>
      </c>
      <c r="AW101">
        <f>AV101+Original!AW101</f>
        <v>111</v>
      </c>
      <c r="AX101">
        <f>AW101+Original!AX101</f>
        <v>111</v>
      </c>
      <c r="AY101">
        <f>AX101+Original!AY101</f>
        <v>111</v>
      </c>
      <c r="AZ101">
        <f>AY101+Original!AZ101</f>
        <v>111</v>
      </c>
      <c r="BA101">
        <f>AZ101+Original!BA101</f>
        <v>111</v>
      </c>
      <c r="BB101">
        <f>BA101+Original!BB101</f>
        <v>111</v>
      </c>
      <c r="BC101">
        <f>BB101+Original!BC101</f>
        <v>111</v>
      </c>
      <c r="BD101">
        <f>BC101+Original!BD101</f>
        <v>111</v>
      </c>
      <c r="BE101">
        <f>BD101+Original!BE101</f>
        <v>111</v>
      </c>
      <c r="BF101">
        <f>BE101+Original!BF101</f>
        <v>111</v>
      </c>
      <c r="BG101">
        <f>BF101+Original!BG101</f>
        <v>111</v>
      </c>
      <c r="BH101">
        <f>BG101+Original!BH101</f>
        <v>111</v>
      </c>
      <c r="BI101">
        <f>BH101+Original!BI101</f>
        <v>111</v>
      </c>
      <c r="BJ101">
        <f>BI101+Original!BJ101</f>
        <v>111</v>
      </c>
      <c r="BK101">
        <f>BJ101+Original!BK101</f>
        <v>111</v>
      </c>
      <c r="BL101">
        <f>BK101+Original!BL101</f>
        <v>111</v>
      </c>
      <c r="BM101">
        <f>BL101+Original!BM101</f>
        <v>111</v>
      </c>
      <c r="BN101">
        <f>BM101+Original!BN101</f>
        <v>111</v>
      </c>
      <c r="BO101">
        <f>BN101+Original!BO101</f>
        <v>111</v>
      </c>
      <c r="BP101">
        <f>BO101+Original!BP101</f>
        <v>111</v>
      </c>
      <c r="BQ101">
        <f>BP101+Original!BQ101</f>
        <v>111</v>
      </c>
      <c r="BR101">
        <f>BQ101+Original!BR101</f>
        <v>111</v>
      </c>
      <c r="BS101">
        <f>BR101+Original!BS101</f>
        <v>111</v>
      </c>
      <c r="BT101">
        <f>BS101+Original!BT101</f>
        <v>111</v>
      </c>
      <c r="BU101">
        <f>BT101+Original!BU101</f>
        <v>111</v>
      </c>
      <c r="BV101">
        <f>BU101+Original!BV101</f>
        <v>111</v>
      </c>
      <c r="BW101">
        <f>BV101+Original!BW101</f>
        <v>111</v>
      </c>
    </row>
    <row r="102" spans="1:75" x14ac:dyDescent="0.25">
      <c r="A102" t="str">
        <f>Original!A102</f>
        <v>Kleber Antas Meyer</v>
      </c>
      <c r="B102">
        <f>Original!B102</f>
        <v>110</v>
      </c>
      <c r="C102">
        <f>Original!C102</f>
        <v>0</v>
      </c>
      <c r="D102">
        <f>C102+Original!D102</f>
        <v>6</v>
      </c>
      <c r="E102">
        <f>D102+Original!E102</f>
        <v>19</v>
      </c>
      <c r="F102">
        <f>E102+Original!F102</f>
        <v>25</v>
      </c>
      <c r="G102">
        <f>F102+Original!G102</f>
        <v>25</v>
      </c>
      <c r="H102">
        <f>G102+Original!H102</f>
        <v>25</v>
      </c>
      <c r="I102">
        <f>H102+Original!I102</f>
        <v>25</v>
      </c>
      <c r="J102">
        <f>I102+Original!J102</f>
        <v>33</v>
      </c>
      <c r="K102">
        <f>J102+Original!K102</f>
        <v>33</v>
      </c>
      <c r="L102">
        <f>K102+Original!L102</f>
        <v>33</v>
      </c>
      <c r="M102">
        <f>L102+Original!M102</f>
        <v>39</v>
      </c>
      <c r="N102">
        <f>M102+Original!N102</f>
        <v>45</v>
      </c>
      <c r="O102">
        <f>N102+Original!O102</f>
        <v>58</v>
      </c>
      <c r="P102">
        <f>O102+Original!P102</f>
        <v>60</v>
      </c>
      <c r="Q102">
        <f>P102+Original!Q102</f>
        <v>66</v>
      </c>
      <c r="R102">
        <f>Q102+Original!R102</f>
        <v>72</v>
      </c>
      <c r="S102">
        <f>R102+Original!S102</f>
        <v>72</v>
      </c>
      <c r="T102">
        <f>S102+Original!T102</f>
        <v>72</v>
      </c>
      <c r="U102">
        <f>T102+Original!U102</f>
        <v>72</v>
      </c>
      <c r="V102">
        <f>U102+Original!V102</f>
        <v>74</v>
      </c>
      <c r="W102">
        <f>V102+Original!W102</f>
        <v>74</v>
      </c>
      <c r="X102">
        <f>W102+Original!X102</f>
        <v>87</v>
      </c>
      <c r="Y102">
        <f>X102+Original!Y102</f>
        <v>89</v>
      </c>
      <c r="Z102">
        <f>Y102+Original!Z102</f>
        <v>102</v>
      </c>
      <c r="AA102">
        <f>Z102+Original!AA102</f>
        <v>102</v>
      </c>
      <c r="AB102">
        <f>AA102+Original!AB102</f>
        <v>102</v>
      </c>
      <c r="AC102">
        <f>AB102+Original!AC102</f>
        <v>102</v>
      </c>
      <c r="AD102">
        <f>AC102+Original!AD102</f>
        <v>108</v>
      </c>
      <c r="AE102">
        <f>AD102+Original!AE102</f>
        <v>110</v>
      </c>
      <c r="AF102">
        <f>AE102+Original!AF102</f>
        <v>110</v>
      </c>
      <c r="AG102">
        <f>AF102+Original!AG102</f>
        <v>110</v>
      </c>
      <c r="AH102">
        <f>AG102+Original!AH102</f>
        <v>110</v>
      </c>
      <c r="AI102">
        <f>AH102+Original!AI102</f>
        <v>110</v>
      </c>
      <c r="AJ102">
        <f>AI102+Original!AJ102</f>
        <v>110</v>
      </c>
      <c r="AK102">
        <f>AJ102+Original!AK102</f>
        <v>110</v>
      </c>
      <c r="AL102">
        <f>AK102+Original!AL102</f>
        <v>110</v>
      </c>
      <c r="AM102">
        <f>AL102+Original!AM102</f>
        <v>110</v>
      </c>
      <c r="AN102">
        <f>AM102+Original!AN102</f>
        <v>110</v>
      </c>
      <c r="AO102">
        <f>AN102+Original!AO102</f>
        <v>110</v>
      </c>
      <c r="AP102">
        <f>AO102+Original!AP102</f>
        <v>110</v>
      </c>
      <c r="AQ102">
        <f>AP102+Original!AQ102</f>
        <v>110</v>
      </c>
      <c r="AR102">
        <f>AQ102+Original!AR102</f>
        <v>110</v>
      </c>
      <c r="AS102">
        <f>AR102+Original!AS102</f>
        <v>110</v>
      </c>
      <c r="AT102">
        <f>AS102+Original!AT102</f>
        <v>110</v>
      </c>
      <c r="AU102">
        <f>AT102+Original!AU102</f>
        <v>110</v>
      </c>
      <c r="AV102">
        <f>AU102+Original!AV102</f>
        <v>110</v>
      </c>
      <c r="AW102">
        <f>AV102+Original!AW102</f>
        <v>110</v>
      </c>
      <c r="AX102">
        <f>AW102+Original!AX102</f>
        <v>110</v>
      </c>
      <c r="AY102">
        <f>AX102+Original!AY102</f>
        <v>110</v>
      </c>
      <c r="AZ102">
        <f>AY102+Original!AZ102</f>
        <v>110</v>
      </c>
      <c r="BA102">
        <f>AZ102+Original!BA102</f>
        <v>110</v>
      </c>
      <c r="BB102">
        <f>BA102+Original!BB102</f>
        <v>110</v>
      </c>
      <c r="BC102">
        <f>BB102+Original!BC102</f>
        <v>110</v>
      </c>
      <c r="BD102">
        <f>BC102+Original!BD102</f>
        <v>110</v>
      </c>
      <c r="BE102">
        <f>BD102+Original!BE102</f>
        <v>110</v>
      </c>
      <c r="BF102">
        <f>BE102+Original!BF102</f>
        <v>110</v>
      </c>
      <c r="BG102">
        <f>BF102+Original!BG102</f>
        <v>110</v>
      </c>
      <c r="BH102">
        <f>BG102+Original!BH102</f>
        <v>110</v>
      </c>
      <c r="BI102">
        <f>BH102+Original!BI102</f>
        <v>110</v>
      </c>
      <c r="BJ102">
        <f>BI102+Original!BJ102</f>
        <v>110</v>
      </c>
      <c r="BK102">
        <f>BJ102+Original!BK102</f>
        <v>110</v>
      </c>
      <c r="BL102">
        <f>BK102+Original!BL102</f>
        <v>110</v>
      </c>
      <c r="BM102">
        <f>BL102+Original!BM102</f>
        <v>110</v>
      </c>
      <c r="BN102">
        <f>BM102+Original!BN102</f>
        <v>110</v>
      </c>
      <c r="BO102">
        <f>BN102+Original!BO102</f>
        <v>110</v>
      </c>
      <c r="BP102">
        <f>BO102+Original!BP102</f>
        <v>110</v>
      </c>
      <c r="BQ102">
        <f>BP102+Original!BQ102</f>
        <v>110</v>
      </c>
      <c r="BR102">
        <f>BQ102+Original!BR102</f>
        <v>110</v>
      </c>
      <c r="BS102">
        <f>BR102+Original!BS102</f>
        <v>110</v>
      </c>
      <c r="BT102">
        <f>BS102+Original!BT102</f>
        <v>110</v>
      </c>
      <c r="BU102">
        <f>BT102+Original!BU102</f>
        <v>110</v>
      </c>
      <c r="BV102">
        <f>BU102+Original!BV102</f>
        <v>110</v>
      </c>
      <c r="BW102">
        <f>BV102+Original!BW102</f>
        <v>110</v>
      </c>
    </row>
    <row r="103" spans="1:75" x14ac:dyDescent="0.25">
      <c r="A103" t="str">
        <f>Original!A103</f>
        <v>Mateus Baleeiro Costa</v>
      </c>
      <c r="B103">
        <f>Original!B103</f>
        <v>110</v>
      </c>
      <c r="C103">
        <f>Original!C103</f>
        <v>8</v>
      </c>
      <c r="D103">
        <f>C103+Original!D103</f>
        <v>14</v>
      </c>
      <c r="E103">
        <f>D103+Original!E103</f>
        <v>14</v>
      </c>
      <c r="F103">
        <f>E103+Original!F103</f>
        <v>27</v>
      </c>
      <c r="G103">
        <f>F103+Original!G103</f>
        <v>27</v>
      </c>
      <c r="H103">
        <f>G103+Original!H103</f>
        <v>29</v>
      </c>
      <c r="I103">
        <f>H103+Original!I103</f>
        <v>29</v>
      </c>
      <c r="J103">
        <f>I103+Original!J103</f>
        <v>37</v>
      </c>
      <c r="K103">
        <f>J103+Original!K103</f>
        <v>39</v>
      </c>
      <c r="L103">
        <f>K103+Original!L103</f>
        <v>39</v>
      </c>
      <c r="M103">
        <f>L103+Original!M103</f>
        <v>47</v>
      </c>
      <c r="N103">
        <f>M103+Original!N103</f>
        <v>53</v>
      </c>
      <c r="O103">
        <f>N103+Original!O103</f>
        <v>59</v>
      </c>
      <c r="P103">
        <f>O103+Original!P103</f>
        <v>61</v>
      </c>
      <c r="Q103">
        <f>P103+Original!Q103</f>
        <v>61</v>
      </c>
      <c r="R103">
        <f>Q103+Original!R103</f>
        <v>69</v>
      </c>
      <c r="S103">
        <f>R103+Original!S103</f>
        <v>69</v>
      </c>
      <c r="T103">
        <f>S103+Original!T103</f>
        <v>69</v>
      </c>
      <c r="U103">
        <f>T103+Original!U103</f>
        <v>75</v>
      </c>
      <c r="V103">
        <f>U103+Original!V103</f>
        <v>77</v>
      </c>
      <c r="W103">
        <f>V103+Original!W103</f>
        <v>77</v>
      </c>
      <c r="X103">
        <f>W103+Original!X103</f>
        <v>79</v>
      </c>
      <c r="Y103">
        <f>X103+Original!Y103</f>
        <v>92</v>
      </c>
      <c r="Z103">
        <f>Y103+Original!Z103</f>
        <v>94</v>
      </c>
      <c r="AA103">
        <f>Z103+Original!AA103</f>
        <v>102</v>
      </c>
      <c r="AB103">
        <f>AA103+Original!AB103</f>
        <v>102</v>
      </c>
      <c r="AC103">
        <f>AB103+Original!AC103</f>
        <v>102</v>
      </c>
      <c r="AD103">
        <f>AC103+Original!AD103</f>
        <v>108</v>
      </c>
      <c r="AE103">
        <f>AD103+Original!AE103</f>
        <v>110</v>
      </c>
      <c r="AF103">
        <f>AE103+Original!AF103</f>
        <v>110</v>
      </c>
      <c r="AG103">
        <f>AF103+Original!AG103</f>
        <v>110</v>
      </c>
      <c r="AH103">
        <f>AG103+Original!AH103</f>
        <v>110</v>
      </c>
      <c r="AI103">
        <f>AH103+Original!AI103</f>
        <v>110</v>
      </c>
      <c r="AJ103">
        <f>AI103+Original!AJ103</f>
        <v>110</v>
      </c>
      <c r="AK103">
        <f>AJ103+Original!AK103</f>
        <v>110</v>
      </c>
      <c r="AL103">
        <f>AK103+Original!AL103</f>
        <v>110</v>
      </c>
      <c r="AM103">
        <f>AL103+Original!AM103</f>
        <v>110</v>
      </c>
      <c r="AN103">
        <f>AM103+Original!AN103</f>
        <v>110</v>
      </c>
      <c r="AO103">
        <f>AN103+Original!AO103</f>
        <v>110</v>
      </c>
      <c r="AP103">
        <f>AO103+Original!AP103</f>
        <v>110</v>
      </c>
      <c r="AQ103">
        <f>AP103+Original!AQ103</f>
        <v>110</v>
      </c>
      <c r="AR103">
        <f>AQ103+Original!AR103</f>
        <v>110</v>
      </c>
      <c r="AS103">
        <f>AR103+Original!AS103</f>
        <v>110</v>
      </c>
      <c r="AT103">
        <f>AS103+Original!AT103</f>
        <v>110</v>
      </c>
      <c r="AU103">
        <f>AT103+Original!AU103</f>
        <v>110</v>
      </c>
      <c r="AV103">
        <f>AU103+Original!AV103</f>
        <v>110</v>
      </c>
      <c r="AW103">
        <f>AV103+Original!AW103</f>
        <v>110</v>
      </c>
      <c r="AX103">
        <f>AW103+Original!AX103</f>
        <v>110</v>
      </c>
      <c r="AY103">
        <f>AX103+Original!AY103</f>
        <v>110</v>
      </c>
      <c r="AZ103">
        <f>AY103+Original!AZ103</f>
        <v>110</v>
      </c>
      <c r="BA103">
        <f>AZ103+Original!BA103</f>
        <v>110</v>
      </c>
      <c r="BB103">
        <f>BA103+Original!BB103</f>
        <v>110</v>
      </c>
      <c r="BC103">
        <f>BB103+Original!BC103</f>
        <v>110</v>
      </c>
      <c r="BD103">
        <f>BC103+Original!BD103</f>
        <v>110</v>
      </c>
      <c r="BE103">
        <f>BD103+Original!BE103</f>
        <v>110</v>
      </c>
      <c r="BF103">
        <f>BE103+Original!BF103</f>
        <v>110</v>
      </c>
      <c r="BG103">
        <f>BF103+Original!BG103</f>
        <v>110</v>
      </c>
      <c r="BH103">
        <f>BG103+Original!BH103</f>
        <v>110</v>
      </c>
      <c r="BI103">
        <f>BH103+Original!BI103</f>
        <v>110</v>
      </c>
      <c r="BJ103">
        <f>BI103+Original!BJ103</f>
        <v>110</v>
      </c>
      <c r="BK103">
        <f>BJ103+Original!BK103</f>
        <v>110</v>
      </c>
      <c r="BL103">
        <f>BK103+Original!BL103</f>
        <v>110</v>
      </c>
      <c r="BM103">
        <f>BL103+Original!BM103</f>
        <v>110</v>
      </c>
      <c r="BN103">
        <f>BM103+Original!BN103</f>
        <v>110</v>
      </c>
      <c r="BO103">
        <f>BN103+Original!BO103</f>
        <v>110</v>
      </c>
      <c r="BP103">
        <f>BO103+Original!BP103</f>
        <v>110</v>
      </c>
      <c r="BQ103">
        <f>BP103+Original!BQ103</f>
        <v>110</v>
      </c>
      <c r="BR103">
        <f>BQ103+Original!BR103</f>
        <v>110</v>
      </c>
      <c r="BS103">
        <f>BR103+Original!BS103</f>
        <v>110</v>
      </c>
      <c r="BT103">
        <f>BS103+Original!BT103</f>
        <v>110</v>
      </c>
      <c r="BU103">
        <f>BT103+Original!BU103</f>
        <v>110</v>
      </c>
      <c r="BV103">
        <f>BU103+Original!BV103</f>
        <v>110</v>
      </c>
      <c r="BW103">
        <f>BV103+Original!BW103</f>
        <v>110</v>
      </c>
    </row>
    <row r="104" spans="1:75" x14ac:dyDescent="0.25">
      <c r="A104" t="str">
        <f>Original!A104</f>
        <v>Tadeu Meniconi</v>
      </c>
      <c r="B104">
        <f>Original!B104</f>
        <v>110</v>
      </c>
      <c r="C104">
        <f>Original!C104</f>
        <v>0</v>
      </c>
      <c r="D104">
        <f>C104+Original!D104</f>
        <v>6</v>
      </c>
      <c r="E104">
        <f>D104+Original!E104</f>
        <v>8</v>
      </c>
      <c r="F104">
        <f>E104+Original!F104</f>
        <v>10</v>
      </c>
      <c r="G104">
        <f>F104+Original!G104</f>
        <v>10</v>
      </c>
      <c r="H104">
        <f>G104+Original!H104</f>
        <v>12</v>
      </c>
      <c r="I104">
        <f>H104+Original!I104</f>
        <v>18</v>
      </c>
      <c r="J104">
        <f>I104+Original!J104</f>
        <v>26</v>
      </c>
      <c r="K104">
        <f>J104+Original!K104</f>
        <v>28</v>
      </c>
      <c r="L104">
        <f>K104+Original!L104</f>
        <v>28</v>
      </c>
      <c r="M104">
        <f>L104+Original!M104</f>
        <v>36</v>
      </c>
      <c r="N104">
        <f>M104+Original!N104</f>
        <v>42</v>
      </c>
      <c r="O104">
        <f>N104+Original!O104</f>
        <v>44</v>
      </c>
      <c r="P104">
        <f>O104+Original!P104</f>
        <v>46</v>
      </c>
      <c r="Q104">
        <f>P104+Original!Q104</f>
        <v>52</v>
      </c>
      <c r="R104">
        <f>Q104+Original!R104</f>
        <v>60</v>
      </c>
      <c r="S104">
        <f>R104+Original!S104</f>
        <v>67</v>
      </c>
      <c r="T104">
        <f>S104+Original!T104</f>
        <v>69</v>
      </c>
      <c r="U104">
        <f>T104+Original!U104</f>
        <v>75</v>
      </c>
      <c r="V104">
        <f>U104+Original!V104</f>
        <v>77</v>
      </c>
      <c r="W104">
        <f>V104+Original!W104</f>
        <v>83</v>
      </c>
      <c r="X104">
        <f>W104+Original!X104</f>
        <v>85</v>
      </c>
      <c r="Y104">
        <f>X104+Original!Y104</f>
        <v>98</v>
      </c>
      <c r="Z104">
        <f>Y104+Original!Z104</f>
        <v>100</v>
      </c>
      <c r="AA104">
        <f>Z104+Original!AA104</f>
        <v>100</v>
      </c>
      <c r="AB104">
        <f>AA104+Original!AB104</f>
        <v>102</v>
      </c>
      <c r="AC104">
        <f>AB104+Original!AC104</f>
        <v>102</v>
      </c>
      <c r="AD104">
        <f>AC104+Original!AD104</f>
        <v>104</v>
      </c>
      <c r="AE104">
        <f>AD104+Original!AE104</f>
        <v>110</v>
      </c>
      <c r="AF104">
        <f>AE104+Original!AF104</f>
        <v>110</v>
      </c>
      <c r="AG104">
        <f>AF104+Original!AG104</f>
        <v>110</v>
      </c>
      <c r="AH104">
        <f>AG104+Original!AH104</f>
        <v>110</v>
      </c>
      <c r="AI104">
        <f>AH104+Original!AI104</f>
        <v>110</v>
      </c>
      <c r="AJ104">
        <f>AI104+Original!AJ104</f>
        <v>110</v>
      </c>
      <c r="AK104">
        <f>AJ104+Original!AK104</f>
        <v>110</v>
      </c>
      <c r="AL104">
        <f>AK104+Original!AL104</f>
        <v>110</v>
      </c>
      <c r="AM104">
        <f>AL104+Original!AM104</f>
        <v>110</v>
      </c>
      <c r="AN104">
        <f>AM104+Original!AN104</f>
        <v>110</v>
      </c>
      <c r="AO104">
        <f>AN104+Original!AO104</f>
        <v>110</v>
      </c>
      <c r="AP104">
        <f>AO104+Original!AP104</f>
        <v>110</v>
      </c>
      <c r="AQ104">
        <f>AP104+Original!AQ104</f>
        <v>110</v>
      </c>
      <c r="AR104">
        <f>AQ104+Original!AR104</f>
        <v>110</v>
      </c>
      <c r="AS104">
        <f>AR104+Original!AS104</f>
        <v>110</v>
      </c>
      <c r="AT104">
        <f>AS104+Original!AT104</f>
        <v>110</v>
      </c>
      <c r="AU104">
        <f>AT104+Original!AU104</f>
        <v>110</v>
      </c>
      <c r="AV104">
        <f>AU104+Original!AV104</f>
        <v>110</v>
      </c>
      <c r="AW104">
        <f>AV104+Original!AW104</f>
        <v>110</v>
      </c>
      <c r="AX104">
        <f>AW104+Original!AX104</f>
        <v>110</v>
      </c>
      <c r="AY104">
        <f>AX104+Original!AY104</f>
        <v>110</v>
      </c>
      <c r="AZ104">
        <f>AY104+Original!AZ104</f>
        <v>110</v>
      </c>
      <c r="BA104">
        <f>AZ104+Original!BA104</f>
        <v>110</v>
      </c>
      <c r="BB104">
        <f>BA104+Original!BB104</f>
        <v>110</v>
      </c>
      <c r="BC104">
        <f>BB104+Original!BC104</f>
        <v>110</v>
      </c>
      <c r="BD104">
        <f>BC104+Original!BD104</f>
        <v>110</v>
      </c>
      <c r="BE104">
        <f>BD104+Original!BE104</f>
        <v>110</v>
      </c>
      <c r="BF104">
        <f>BE104+Original!BF104</f>
        <v>110</v>
      </c>
      <c r="BG104">
        <f>BF104+Original!BG104</f>
        <v>110</v>
      </c>
      <c r="BH104">
        <f>BG104+Original!BH104</f>
        <v>110</v>
      </c>
      <c r="BI104">
        <f>BH104+Original!BI104</f>
        <v>110</v>
      </c>
      <c r="BJ104">
        <f>BI104+Original!BJ104</f>
        <v>110</v>
      </c>
      <c r="BK104">
        <f>BJ104+Original!BK104</f>
        <v>110</v>
      </c>
      <c r="BL104">
        <f>BK104+Original!BL104</f>
        <v>110</v>
      </c>
      <c r="BM104">
        <f>BL104+Original!BM104</f>
        <v>110</v>
      </c>
      <c r="BN104">
        <f>BM104+Original!BN104</f>
        <v>110</v>
      </c>
      <c r="BO104">
        <f>BN104+Original!BO104</f>
        <v>110</v>
      </c>
      <c r="BP104">
        <f>BO104+Original!BP104</f>
        <v>110</v>
      </c>
      <c r="BQ104">
        <f>BP104+Original!BQ104</f>
        <v>110</v>
      </c>
      <c r="BR104">
        <f>BQ104+Original!BR104</f>
        <v>110</v>
      </c>
      <c r="BS104">
        <f>BR104+Original!BS104</f>
        <v>110</v>
      </c>
      <c r="BT104">
        <f>BS104+Original!BT104</f>
        <v>110</v>
      </c>
      <c r="BU104">
        <f>BT104+Original!BU104</f>
        <v>110</v>
      </c>
      <c r="BV104">
        <f>BU104+Original!BV104</f>
        <v>110</v>
      </c>
      <c r="BW104">
        <f>BV104+Original!BW104</f>
        <v>110</v>
      </c>
    </row>
    <row r="105" spans="1:75" x14ac:dyDescent="0.25">
      <c r="A105" t="str">
        <f>Original!A105</f>
        <v>Pedro Cauê</v>
      </c>
      <c r="B105">
        <f>Original!B105</f>
        <v>108</v>
      </c>
      <c r="C105">
        <f>Original!C105</f>
        <v>2</v>
      </c>
      <c r="D105">
        <f>C105+Original!D105</f>
        <v>8</v>
      </c>
      <c r="E105">
        <f>D105+Original!E105</f>
        <v>14</v>
      </c>
      <c r="F105">
        <f>E105+Original!F105</f>
        <v>20</v>
      </c>
      <c r="G105">
        <f>F105+Original!G105</f>
        <v>20</v>
      </c>
      <c r="H105">
        <f>G105+Original!H105</f>
        <v>20</v>
      </c>
      <c r="I105">
        <f>H105+Original!I105</f>
        <v>26</v>
      </c>
      <c r="J105">
        <f>I105+Original!J105</f>
        <v>32</v>
      </c>
      <c r="K105">
        <f>J105+Original!K105</f>
        <v>34</v>
      </c>
      <c r="L105">
        <f>K105+Original!L105</f>
        <v>34</v>
      </c>
      <c r="M105">
        <f>L105+Original!M105</f>
        <v>40</v>
      </c>
      <c r="N105">
        <f>M105+Original!N105</f>
        <v>48</v>
      </c>
      <c r="O105">
        <f>N105+Original!O105</f>
        <v>54</v>
      </c>
      <c r="P105">
        <f>O105+Original!P105</f>
        <v>54</v>
      </c>
      <c r="Q105">
        <f>P105+Original!Q105</f>
        <v>60</v>
      </c>
      <c r="R105">
        <f>Q105+Original!R105</f>
        <v>68</v>
      </c>
      <c r="S105">
        <f>R105+Original!S105</f>
        <v>68</v>
      </c>
      <c r="T105">
        <f>S105+Original!T105</f>
        <v>68</v>
      </c>
      <c r="U105">
        <f>T105+Original!U105</f>
        <v>68</v>
      </c>
      <c r="V105">
        <f>U105+Original!V105</f>
        <v>70</v>
      </c>
      <c r="W105">
        <f>V105+Original!W105</f>
        <v>72</v>
      </c>
      <c r="X105">
        <f>W105+Original!X105</f>
        <v>74</v>
      </c>
      <c r="Y105">
        <f>X105+Original!Y105</f>
        <v>87</v>
      </c>
      <c r="Z105">
        <f>Y105+Original!Z105</f>
        <v>87</v>
      </c>
      <c r="AA105">
        <f>Z105+Original!AA105</f>
        <v>100</v>
      </c>
      <c r="AB105">
        <f>AA105+Original!AB105</f>
        <v>100</v>
      </c>
      <c r="AC105">
        <f>AB105+Original!AC105</f>
        <v>100</v>
      </c>
      <c r="AD105">
        <f>AC105+Original!AD105</f>
        <v>108</v>
      </c>
      <c r="AE105">
        <f>AD105+Original!AE105</f>
        <v>108</v>
      </c>
      <c r="AF105">
        <f>AE105+Original!AF105</f>
        <v>108</v>
      </c>
      <c r="AG105">
        <f>AF105+Original!AG105</f>
        <v>108</v>
      </c>
      <c r="AH105">
        <f>AG105+Original!AH105</f>
        <v>108</v>
      </c>
      <c r="AI105">
        <f>AH105+Original!AI105</f>
        <v>108</v>
      </c>
      <c r="AJ105">
        <f>AI105+Original!AJ105</f>
        <v>108</v>
      </c>
      <c r="AK105">
        <f>AJ105+Original!AK105</f>
        <v>108</v>
      </c>
      <c r="AL105">
        <f>AK105+Original!AL105</f>
        <v>108</v>
      </c>
      <c r="AM105">
        <f>AL105+Original!AM105</f>
        <v>108</v>
      </c>
      <c r="AN105">
        <f>AM105+Original!AN105</f>
        <v>108</v>
      </c>
      <c r="AO105">
        <f>AN105+Original!AO105</f>
        <v>108</v>
      </c>
      <c r="AP105">
        <f>AO105+Original!AP105</f>
        <v>108</v>
      </c>
      <c r="AQ105">
        <f>AP105+Original!AQ105</f>
        <v>108</v>
      </c>
      <c r="AR105">
        <f>AQ105+Original!AR105</f>
        <v>108</v>
      </c>
      <c r="AS105">
        <f>AR105+Original!AS105</f>
        <v>108</v>
      </c>
      <c r="AT105">
        <f>AS105+Original!AT105</f>
        <v>108</v>
      </c>
      <c r="AU105">
        <f>AT105+Original!AU105</f>
        <v>108</v>
      </c>
      <c r="AV105">
        <f>AU105+Original!AV105</f>
        <v>108</v>
      </c>
      <c r="AW105">
        <f>AV105+Original!AW105</f>
        <v>108</v>
      </c>
      <c r="AX105">
        <f>AW105+Original!AX105</f>
        <v>108</v>
      </c>
      <c r="AY105">
        <f>AX105+Original!AY105</f>
        <v>108</v>
      </c>
      <c r="AZ105">
        <f>AY105+Original!AZ105</f>
        <v>108</v>
      </c>
      <c r="BA105">
        <f>AZ105+Original!BA105</f>
        <v>108</v>
      </c>
      <c r="BB105">
        <f>BA105+Original!BB105</f>
        <v>108</v>
      </c>
      <c r="BC105">
        <f>BB105+Original!BC105</f>
        <v>108</v>
      </c>
      <c r="BD105">
        <f>BC105+Original!BD105</f>
        <v>108</v>
      </c>
      <c r="BE105">
        <f>BD105+Original!BE105</f>
        <v>108</v>
      </c>
      <c r="BF105">
        <f>BE105+Original!BF105</f>
        <v>108</v>
      </c>
      <c r="BG105">
        <f>BF105+Original!BG105</f>
        <v>108</v>
      </c>
      <c r="BH105">
        <f>BG105+Original!BH105</f>
        <v>108</v>
      </c>
      <c r="BI105">
        <f>BH105+Original!BI105</f>
        <v>108</v>
      </c>
      <c r="BJ105">
        <f>BI105+Original!BJ105</f>
        <v>108</v>
      </c>
      <c r="BK105">
        <f>BJ105+Original!BK105</f>
        <v>108</v>
      </c>
      <c r="BL105">
        <f>BK105+Original!BL105</f>
        <v>108</v>
      </c>
      <c r="BM105">
        <f>BL105+Original!BM105</f>
        <v>108</v>
      </c>
      <c r="BN105">
        <f>BM105+Original!BN105</f>
        <v>108</v>
      </c>
      <c r="BO105">
        <f>BN105+Original!BO105</f>
        <v>108</v>
      </c>
      <c r="BP105">
        <f>BO105+Original!BP105</f>
        <v>108</v>
      </c>
      <c r="BQ105">
        <f>BP105+Original!BQ105</f>
        <v>108</v>
      </c>
      <c r="BR105">
        <f>BQ105+Original!BR105</f>
        <v>108</v>
      </c>
      <c r="BS105">
        <f>BR105+Original!BS105</f>
        <v>108</v>
      </c>
      <c r="BT105">
        <f>BS105+Original!BT105</f>
        <v>108</v>
      </c>
      <c r="BU105">
        <f>BT105+Original!BU105</f>
        <v>108</v>
      </c>
      <c r="BV105">
        <f>BU105+Original!BV105</f>
        <v>108</v>
      </c>
      <c r="BW105">
        <f>BV105+Original!BW105</f>
        <v>108</v>
      </c>
    </row>
    <row r="106" spans="1:75" x14ac:dyDescent="0.25">
      <c r="A106" t="str">
        <f>Original!A106</f>
        <v>Sandro Ricardo França</v>
      </c>
      <c r="B106">
        <f>Original!B106</f>
        <v>108</v>
      </c>
      <c r="C106">
        <f>Original!C106</f>
        <v>8</v>
      </c>
      <c r="D106">
        <f>C106+Original!D106</f>
        <v>14</v>
      </c>
      <c r="E106">
        <f>D106+Original!E106</f>
        <v>22</v>
      </c>
      <c r="F106">
        <f>E106+Original!F106</f>
        <v>35</v>
      </c>
      <c r="G106">
        <f>F106+Original!G106</f>
        <v>35</v>
      </c>
      <c r="H106">
        <f>G106+Original!H106</f>
        <v>35</v>
      </c>
      <c r="I106">
        <f>H106+Original!I106</f>
        <v>41</v>
      </c>
      <c r="J106">
        <f>I106+Original!J106</f>
        <v>47</v>
      </c>
      <c r="K106">
        <f>J106+Original!K106</f>
        <v>49</v>
      </c>
      <c r="L106">
        <f>K106+Original!L106</f>
        <v>49</v>
      </c>
      <c r="M106">
        <f>L106+Original!M106</f>
        <v>55</v>
      </c>
      <c r="N106">
        <f>M106+Original!N106</f>
        <v>61</v>
      </c>
      <c r="O106">
        <f>N106+Original!O106</f>
        <v>63</v>
      </c>
      <c r="P106">
        <f>O106+Original!P106</f>
        <v>63</v>
      </c>
      <c r="Q106">
        <f>P106+Original!Q106</f>
        <v>63</v>
      </c>
      <c r="R106">
        <f>Q106+Original!R106</f>
        <v>71</v>
      </c>
      <c r="S106">
        <f>R106+Original!S106</f>
        <v>78</v>
      </c>
      <c r="T106">
        <f>S106+Original!T106</f>
        <v>78</v>
      </c>
      <c r="U106">
        <f>T106+Original!U106</f>
        <v>78</v>
      </c>
      <c r="V106">
        <f>U106+Original!V106</f>
        <v>78</v>
      </c>
      <c r="W106">
        <f>V106+Original!W106</f>
        <v>80</v>
      </c>
      <c r="X106">
        <f>W106+Original!X106</f>
        <v>80</v>
      </c>
      <c r="Y106">
        <f>X106+Original!Y106</f>
        <v>88</v>
      </c>
      <c r="Z106">
        <f>Y106+Original!Z106</f>
        <v>90</v>
      </c>
      <c r="AA106">
        <f>Z106+Original!AA106</f>
        <v>98</v>
      </c>
      <c r="AB106">
        <f>AA106+Original!AB106</f>
        <v>100</v>
      </c>
      <c r="AC106">
        <f>AB106+Original!AC106</f>
        <v>100</v>
      </c>
      <c r="AD106">
        <f>AC106+Original!AD106</f>
        <v>106</v>
      </c>
      <c r="AE106">
        <f>AD106+Original!AE106</f>
        <v>108</v>
      </c>
      <c r="AF106">
        <f>AE106+Original!AF106</f>
        <v>108</v>
      </c>
      <c r="AG106">
        <f>AF106+Original!AG106</f>
        <v>108</v>
      </c>
      <c r="AH106">
        <f>AG106+Original!AH106</f>
        <v>108</v>
      </c>
      <c r="AI106">
        <f>AH106+Original!AI106</f>
        <v>108</v>
      </c>
      <c r="AJ106">
        <f>AI106+Original!AJ106</f>
        <v>108</v>
      </c>
      <c r="AK106">
        <f>AJ106+Original!AK106</f>
        <v>108</v>
      </c>
      <c r="AL106">
        <f>AK106+Original!AL106</f>
        <v>108</v>
      </c>
      <c r="AM106">
        <f>AL106+Original!AM106</f>
        <v>108</v>
      </c>
      <c r="AN106">
        <f>AM106+Original!AN106</f>
        <v>108</v>
      </c>
      <c r="AO106">
        <f>AN106+Original!AO106</f>
        <v>108</v>
      </c>
      <c r="AP106">
        <f>AO106+Original!AP106</f>
        <v>108</v>
      </c>
      <c r="AQ106">
        <f>AP106+Original!AQ106</f>
        <v>108</v>
      </c>
      <c r="AR106">
        <f>AQ106+Original!AR106</f>
        <v>108</v>
      </c>
      <c r="AS106">
        <f>AR106+Original!AS106</f>
        <v>108</v>
      </c>
      <c r="AT106">
        <f>AS106+Original!AT106</f>
        <v>108</v>
      </c>
      <c r="AU106">
        <f>AT106+Original!AU106</f>
        <v>108</v>
      </c>
      <c r="AV106">
        <f>AU106+Original!AV106</f>
        <v>108</v>
      </c>
      <c r="AW106">
        <f>AV106+Original!AW106</f>
        <v>108</v>
      </c>
      <c r="AX106">
        <f>AW106+Original!AX106</f>
        <v>108</v>
      </c>
      <c r="AY106">
        <f>AX106+Original!AY106</f>
        <v>108</v>
      </c>
      <c r="AZ106">
        <f>AY106+Original!AZ106</f>
        <v>108</v>
      </c>
      <c r="BA106">
        <f>AZ106+Original!BA106</f>
        <v>108</v>
      </c>
      <c r="BB106">
        <f>BA106+Original!BB106</f>
        <v>108</v>
      </c>
      <c r="BC106">
        <f>BB106+Original!BC106</f>
        <v>108</v>
      </c>
      <c r="BD106">
        <f>BC106+Original!BD106</f>
        <v>108</v>
      </c>
      <c r="BE106">
        <f>BD106+Original!BE106</f>
        <v>108</v>
      </c>
      <c r="BF106">
        <f>BE106+Original!BF106</f>
        <v>108</v>
      </c>
      <c r="BG106">
        <f>BF106+Original!BG106</f>
        <v>108</v>
      </c>
      <c r="BH106">
        <f>BG106+Original!BH106</f>
        <v>108</v>
      </c>
      <c r="BI106">
        <f>BH106+Original!BI106</f>
        <v>108</v>
      </c>
      <c r="BJ106">
        <f>BI106+Original!BJ106</f>
        <v>108</v>
      </c>
      <c r="BK106">
        <f>BJ106+Original!BK106</f>
        <v>108</v>
      </c>
      <c r="BL106">
        <f>BK106+Original!BL106</f>
        <v>108</v>
      </c>
      <c r="BM106">
        <f>BL106+Original!BM106</f>
        <v>108</v>
      </c>
      <c r="BN106">
        <f>BM106+Original!BN106</f>
        <v>108</v>
      </c>
      <c r="BO106">
        <f>BN106+Original!BO106</f>
        <v>108</v>
      </c>
      <c r="BP106">
        <f>BO106+Original!BP106</f>
        <v>108</v>
      </c>
      <c r="BQ106">
        <f>BP106+Original!BQ106</f>
        <v>108</v>
      </c>
      <c r="BR106">
        <f>BQ106+Original!BR106</f>
        <v>108</v>
      </c>
      <c r="BS106">
        <f>BR106+Original!BS106</f>
        <v>108</v>
      </c>
      <c r="BT106">
        <f>BS106+Original!BT106</f>
        <v>108</v>
      </c>
      <c r="BU106">
        <f>BT106+Original!BU106</f>
        <v>108</v>
      </c>
      <c r="BV106">
        <f>BU106+Original!BV106</f>
        <v>108</v>
      </c>
      <c r="BW106">
        <f>BV106+Original!BW106</f>
        <v>108</v>
      </c>
    </row>
    <row r="107" spans="1:75" x14ac:dyDescent="0.25">
      <c r="A107" t="str">
        <f>Original!A107</f>
        <v>Victor Flores</v>
      </c>
      <c r="B107">
        <f>Original!B107</f>
        <v>108</v>
      </c>
      <c r="C107">
        <f>Original!C107</f>
        <v>0</v>
      </c>
      <c r="D107">
        <f>C107+Original!D107</f>
        <v>6</v>
      </c>
      <c r="E107">
        <f>D107+Original!E107</f>
        <v>14</v>
      </c>
      <c r="F107">
        <f>E107+Original!F107</f>
        <v>27</v>
      </c>
      <c r="G107">
        <f>F107+Original!G107</f>
        <v>27</v>
      </c>
      <c r="H107">
        <f>G107+Original!H107</f>
        <v>29</v>
      </c>
      <c r="I107">
        <f>H107+Original!I107</f>
        <v>29</v>
      </c>
      <c r="J107">
        <f>I107+Original!J107</f>
        <v>37</v>
      </c>
      <c r="K107">
        <f>J107+Original!K107</f>
        <v>37</v>
      </c>
      <c r="L107">
        <f>K107+Original!L107</f>
        <v>37</v>
      </c>
      <c r="M107">
        <f>L107+Original!M107</f>
        <v>45</v>
      </c>
      <c r="N107">
        <f>M107+Original!N107</f>
        <v>51</v>
      </c>
      <c r="O107">
        <f>N107+Original!O107</f>
        <v>53</v>
      </c>
      <c r="P107">
        <f>O107+Original!P107</f>
        <v>53</v>
      </c>
      <c r="Q107">
        <f>P107+Original!Q107</f>
        <v>59</v>
      </c>
      <c r="R107">
        <f>Q107+Original!R107</f>
        <v>72</v>
      </c>
      <c r="S107">
        <f>R107+Original!S107</f>
        <v>72</v>
      </c>
      <c r="T107">
        <f>S107+Original!T107</f>
        <v>72</v>
      </c>
      <c r="U107">
        <f>T107+Original!U107</f>
        <v>72</v>
      </c>
      <c r="V107">
        <f>U107+Original!V107</f>
        <v>74</v>
      </c>
      <c r="W107">
        <f>V107+Original!W107</f>
        <v>74</v>
      </c>
      <c r="X107">
        <f>W107+Original!X107</f>
        <v>76</v>
      </c>
      <c r="Y107">
        <f>X107+Original!Y107</f>
        <v>82</v>
      </c>
      <c r="Z107">
        <f>Y107+Original!Z107</f>
        <v>90</v>
      </c>
      <c r="AA107">
        <f>Z107+Original!AA107</f>
        <v>96</v>
      </c>
      <c r="AB107">
        <f>AA107+Original!AB107</f>
        <v>96</v>
      </c>
      <c r="AC107">
        <f>AB107+Original!AC107</f>
        <v>96</v>
      </c>
      <c r="AD107">
        <f>AC107+Original!AD107</f>
        <v>102</v>
      </c>
      <c r="AE107">
        <f>AD107+Original!AE107</f>
        <v>108</v>
      </c>
      <c r="AF107">
        <f>AE107+Original!AF107</f>
        <v>108</v>
      </c>
      <c r="AG107">
        <f>AF107+Original!AG107</f>
        <v>108</v>
      </c>
      <c r="AH107">
        <f>AG107+Original!AH107</f>
        <v>108</v>
      </c>
      <c r="AI107">
        <f>AH107+Original!AI107</f>
        <v>108</v>
      </c>
      <c r="AJ107">
        <f>AI107+Original!AJ107</f>
        <v>108</v>
      </c>
      <c r="AK107">
        <f>AJ107+Original!AK107</f>
        <v>108</v>
      </c>
      <c r="AL107">
        <f>AK107+Original!AL107</f>
        <v>108</v>
      </c>
      <c r="AM107">
        <f>AL107+Original!AM107</f>
        <v>108</v>
      </c>
      <c r="AN107">
        <f>AM107+Original!AN107</f>
        <v>108</v>
      </c>
      <c r="AO107">
        <f>AN107+Original!AO107</f>
        <v>108</v>
      </c>
      <c r="AP107">
        <f>AO107+Original!AP107</f>
        <v>108</v>
      </c>
      <c r="AQ107">
        <f>AP107+Original!AQ107</f>
        <v>108</v>
      </c>
      <c r="AR107">
        <f>AQ107+Original!AR107</f>
        <v>108</v>
      </c>
      <c r="AS107">
        <f>AR107+Original!AS107</f>
        <v>108</v>
      </c>
      <c r="AT107">
        <f>AS107+Original!AT107</f>
        <v>108</v>
      </c>
      <c r="AU107">
        <f>AT107+Original!AU107</f>
        <v>108</v>
      </c>
      <c r="AV107">
        <f>AU107+Original!AV107</f>
        <v>108</v>
      </c>
      <c r="AW107">
        <f>AV107+Original!AW107</f>
        <v>108</v>
      </c>
      <c r="AX107">
        <f>AW107+Original!AX107</f>
        <v>108</v>
      </c>
      <c r="AY107">
        <f>AX107+Original!AY107</f>
        <v>108</v>
      </c>
      <c r="AZ107">
        <f>AY107+Original!AZ107</f>
        <v>108</v>
      </c>
      <c r="BA107">
        <f>AZ107+Original!BA107</f>
        <v>108</v>
      </c>
      <c r="BB107">
        <f>BA107+Original!BB107</f>
        <v>108</v>
      </c>
      <c r="BC107">
        <f>BB107+Original!BC107</f>
        <v>108</v>
      </c>
      <c r="BD107">
        <f>BC107+Original!BD107</f>
        <v>108</v>
      </c>
      <c r="BE107">
        <f>BD107+Original!BE107</f>
        <v>108</v>
      </c>
      <c r="BF107">
        <f>BE107+Original!BF107</f>
        <v>108</v>
      </c>
      <c r="BG107">
        <f>BF107+Original!BG107</f>
        <v>108</v>
      </c>
      <c r="BH107">
        <f>BG107+Original!BH107</f>
        <v>108</v>
      </c>
      <c r="BI107">
        <f>BH107+Original!BI107</f>
        <v>108</v>
      </c>
      <c r="BJ107">
        <f>BI107+Original!BJ107</f>
        <v>108</v>
      </c>
      <c r="BK107">
        <f>BJ107+Original!BK107</f>
        <v>108</v>
      </c>
      <c r="BL107">
        <f>BK107+Original!BL107</f>
        <v>108</v>
      </c>
      <c r="BM107">
        <f>BL107+Original!BM107</f>
        <v>108</v>
      </c>
      <c r="BN107">
        <f>BM107+Original!BN107</f>
        <v>108</v>
      </c>
      <c r="BO107">
        <f>BN107+Original!BO107</f>
        <v>108</v>
      </c>
      <c r="BP107">
        <f>BO107+Original!BP107</f>
        <v>108</v>
      </c>
      <c r="BQ107">
        <f>BP107+Original!BQ107</f>
        <v>108</v>
      </c>
      <c r="BR107">
        <f>BQ107+Original!BR107</f>
        <v>108</v>
      </c>
      <c r="BS107">
        <f>BR107+Original!BS107</f>
        <v>108</v>
      </c>
      <c r="BT107">
        <f>BS107+Original!BT107</f>
        <v>108</v>
      </c>
      <c r="BU107">
        <f>BT107+Original!BU107</f>
        <v>108</v>
      </c>
      <c r="BV107">
        <f>BU107+Original!BV107</f>
        <v>108</v>
      </c>
      <c r="BW107">
        <f>BV107+Original!BW107</f>
        <v>108</v>
      </c>
    </row>
    <row r="108" spans="1:75" x14ac:dyDescent="0.25">
      <c r="A108" t="str">
        <f>Original!A108</f>
        <v>Murilo Amorim</v>
      </c>
      <c r="B108">
        <f>Original!B108</f>
        <v>105</v>
      </c>
      <c r="C108">
        <f>Original!C108</f>
        <v>0</v>
      </c>
      <c r="D108">
        <f>C108+Original!D108</f>
        <v>6</v>
      </c>
      <c r="E108">
        <f>D108+Original!E108</f>
        <v>12</v>
      </c>
      <c r="F108">
        <f>E108+Original!F108</f>
        <v>12</v>
      </c>
      <c r="G108">
        <f>F108+Original!G108</f>
        <v>12</v>
      </c>
      <c r="H108">
        <f>G108+Original!H108</f>
        <v>12</v>
      </c>
      <c r="I108">
        <f>H108+Original!I108</f>
        <v>12</v>
      </c>
      <c r="J108">
        <f>I108+Original!J108</f>
        <v>18</v>
      </c>
      <c r="K108">
        <f>J108+Original!K108</f>
        <v>18</v>
      </c>
      <c r="L108">
        <f>K108+Original!L108</f>
        <v>20</v>
      </c>
      <c r="M108">
        <f>L108+Original!M108</f>
        <v>26</v>
      </c>
      <c r="N108">
        <f>M108+Original!N108</f>
        <v>32</v>
      </c>
      <c r="O108">
        <f>N108+Original!O108</f>
        <v>38</v>
      </c>
      <c r="P108">
        <f>O108+Original!P108</f>
        <v>44</v>
      </c>
      <c r="Q108">
        <f>P108+Original!Q108</f>
        <v>52</v>
      </c>
      <c r="R108">
        <f>Q108+Original!R108</f>
        <v>65</v>
      </c>
      <c r="S108">
        <f>R108+Original!S108</f>
        <v>65</v>
      </c>
      <c r="T108">
        <f>S108+Original!T108</f>
        <v>65</v>
      </c>
      <c r="U108">
        <f>T108+Original!U108</f>
        <v>67</v>
      </c>
      <c r="V108">
        <f>U108+Original!V108</f>
        <v>69</v>
      </c>
      <c r="W108">
        <f>V108+Original!W108</f>
        <v>69</v>
      </c>
      <c r="X108">
        <f>W108+Original!X108</f>
        <v>71</v>
      </c>
      <c r="Y108">
        <f>X108+Original!Y108</f>
        <v>77</v>
      </c>
      <c r="Z108">
        <f>Y108+Original!Z108</f>
        <v>85</v>
      </c>
      <c r="AA108">
        <f>Z108+Original!AA108</f>
        <v>93</v>
      </c>
      <c r="AB108">
        <f>AA108+Original!AB108</f>
        <v>95</v>
      </c>
      <c r="AC108">
        <f>AB108+Original!AC108</f>
        <v>95</v>
      </c>
      <c r="AD108">
        <f>AC108+Original!AD108</f>
        <v>103</v>
      </c>
      <c r="AE108">
        <f>AD108+Original!AE108</f>
        <v>105</v>
      </c>
      <c r="AF108">
        <f>AE108+Original!AF108</f>
        <v>105</v>
      </c>
      <c r="AG108">
        <f>AF108+Original!AG108</f>
        <v>105</v>
      </c>
      <c r="AH108">
        <f>AG108+Original!AH108</f>
        <v>105</v>
      </c>
      <c r="AI108">
        <f>AH108+Original!AI108</f>
        <v>105</v>
      </c>
      <c r="AJ108">
        <f>AI108+Original!AJ108</f>
        <v>105</v>
      </c>
      <c r="AK108">
        <f>AJ108+Original!AK108</f>
        <v>105</v>
      </c>
      <c r="AL108">
        <f>AK108+Original!AL108</f>
        <v>105</v>
      </c>
      <c r="AM108">
        <f>AL108+Original!AM108</f>
        <v>105</v>
      </c>
      <c r="AN108">
        <f>AM108+Original!AN108</f>
        <v>105</v>
      </c>
      <c r="AO108">
        <f>AN108+Original!AO108</f>
        <v>105</v>
      </c>
      <c r="AP108">
        <f>AO108+Original!AP108</f>
        <v>105</v>
      </c>
      <c r="AQ108">
        <f>AP108+Original!AQ108</f>
        <v>105</v>
      </c>
      <c r="AR108">
        <f>AQ108+Original!AR108</f>
        <v>105</v>
      </c>
      <c r="AS108">
        <f>AR108+Original!AS108</f>
        <v>105</v>
      </c>
      <c r="AT108">
        <f>AS108+Original!AT108</f>
        <v>105</v>
      </c>
      <c r="AU108">
        <f>AT108+Original!AU108</f>
        <v>105</v>
      </c>
      <c r="AV108">
        <f>AU108+Original!AV108</f>
        <v>105</v>
      </c>
      <c r="AW108">
        <f>AV108+Original!AW108</f>
        <v>105</v>
      </c>
      <c r="AX108">
        <f>AW108+Original!AX108</f>
        <v>105</v>
      </c>
      <c r="AY108">
        <f>AX108+Original!AY108</f>
        <v>105</v>
      </c>
      <c r="AZ108">
        <f>AY108+Original!AZ108</f>
        <v>105</v>
      </c>
      <c r="BA108">
        <f>AZ108+Original!BA108</f>
        <v>105</v>
      </c>
      <c r="BB108">
        <f>BA108+Original!BB108</f>
        <v>105</v>
      </c>
      <c r="BC108">
        <f>BB108+Original!BC108</f>
        <v>105</v>
      </c>
      <c r="BD108">
        <f>BC108+Original!BD108</f>
        <v>105</v>
      </c>
      <c r="BE108">
        <f>BD108+Original!BE108</f>
        <v>105</v>
      </c>
      <c r="BF108">
        <f>BE108+Original!BF108</f>
        <v>105</v>
      </c>
      <c r="BG108">
        <f>BF108+Original!BG108</f>
        <v>105</v>
      </c>
      <c r="BH108">
        <f>BG108+Original!BH108</f>
        <v>105</v>
      </c>
      <c r="BI108">
        <f>BH108+Original!BI108</f>
        <v>105</v>
      </c>
      <c r="BJ108">
        <f>BI108+Original!BJ108</f>
        <v>105</v>
      </c>
      <c r="BK108">
        <f>BJ108+Original!BK108</f>
        <v>105</v>
      </c>
      <c r="BL108">
        <f>BK108+Original!BL108</f>
        <v>105</v>
      </c>
      <c r="BM108">
        <f>BL108+Original!BM108</f>
        <v>105</v>
      </c>
      <c r="BN108">
        <f>BM108+Original!BN108</f>
        <v>105</v>
      </c>
      <c r="BO108">
        <f>BN108+Original!BO108</f>
        <v>105</v>
      </c>
      <c r="BP108">
        <f>BO108+Original!BP108</f>
        <v>105</v>
      </c>
      <c r="BQ108">
        <f>BP108+Original!BQ108</f>
        <v>105</v>
      </c>
      <c r="BR108">
        <f>BQ108+Original!BR108</f>
        <v>105</v>
      </c>
      <c r="BS108">
        <f>BR108+Original!BS108</f>
        <v>105</v>
      </c>
      <c r="BT108">
        <f>BS108+Original!BT108</f>
        <v>105</v>
      </c>
      <c r="BU108">
        <f>BT108+Original!BU108</f>
        <v>105</v>
      </c>
      <c r="BV108">
        <f>BU108+Original!BV108</f>
        <v>105</v>
      </c>
      <c r="BW108">
        <f>BV108+Original!BW108</f>
        <v>105</v>
      </c>
    </row>
    <row r="109" spans="1:75" x14ac:dyDescent="0.25">
      <c r="A109" t="str">
        <f>Original!A109</f>
        <v>Thaís Coni</v>
      </c>
      <c r="B109">
        <f>Original!B109</f>
        <v>104</v>
      </c>
      <c r="C109">
        <f>Original!C109</f>
        <v>13</v>
      </c>
      <c r="D109">
        <f>C109+Original!D109</f>
        <v>19</v>
      </c>
      <c r="E109">
        <f>D109+Original!E109</f>
        <v>27</v>
      </c>
      <c r="F109">
        <f>E109+Original!F109</f>
        <v>29</v>
      </c>
      <c r="G109">
        <f>F109+Original!G109</f>
        <v>29</v>
      </c>
      <c r="H109">
        <f>G109+Original!H109</f>
        <v>31</v>
      </c>
      <c r="I109">
        <f>H109+Original!I109</f>
        <v>33</v>
      </c>
      <c r="J109">
        <f>I109+Original!J109</f>
        <v>39</v>
      </c>
      <c r="K109">
        <f>J109+Original!K109</f>
        <v>39</v>
      </c>
      <c r="L109">
        <f>K109+Original!L109</f>
        <v>39</v>
      </c>
      <c r="M109">
        <f>L109+Original!M109</f>
        <v>47</v>
      </c>
      <c r="N109">
        <f>M109+Original!N109</f>
        <v>55</v>
      </c>
      <c r="O109">
        <f>N109+Original!O109</f>
        <v>61</v>
      </c>
      <c r="P109">
        <f>O109+Original!P109</f>
        <v>63</v>
      </c>
      <c r="Q109">
        <f>P109+Original!Q109</f>
        <v>69</v>
      </c>
      <c r="R109">
        <f>Q109+Original!R109</f>
        <v>82</v>
      </c>
      <c r="S109">
        <f>R109+Original!S109</f>
        <v>82</v>
      </c>
      <c r="T109">
        <f>S109+Original!T109</f>
        <v>84</v>
      </c>
      <c r="U109">
        <f>T109+Original!U109</f>
        <v>86</v>
      </c>
      <c r="V109">
        <f>U109+Original!V109</f>
        <v>88</v>
      </c>
      <c r="W109">
        <f>V109+Original!W109</f>
        <v>88</v>
      </c>
      <c r="X109">
        <f>W109+Original!X109</f>
        <v>90</v>
      </c>
      <c r="Y109">
        <f>X109+Original!Y109</f>
        <v>90</v>
      </c>
      <c r="Z109">
        <f>Y109+Original!Z109</f>
        <v>96</v>
      </c>
      <c r="AA109">
        <f>Z109+Original!AA109</f>
        <v>102</v>
      </c>
      <c r="AB109">
        <f>AA109+Original!AB109</f>
        <v>104</v>
      </c>
      <c r="AC109">
        <f>AB109+Original!AC109</f>
        <v>104</v>
      </c>
      <c r="AD109">
        <f>AC109+Original!AD109</f>
        <v>104</v>
      </c>
      <c r="AE109">
        <f>AD109+Original!AE109</f>
        <v>104</v>
      </c>
      <c r="AF109">
        <f>AE109+Original!AF109</f>
        <v>104</v>
      </c>
      <c r="AG109">
        <f>AF109+Original!AG109</f>
        <v>104</v>
      </c>
      <c r="AH109">
        <f>AG109+Original!AH109</f>
        <v>104</v>
      </c>
      <c r="AI109">
        <f>AH109+Original!AI109</f>
        <v>104</v>
      </c>
      <c r="AJ109">
        <f>AI109+Original!AJ109</f>
        <v>104</v>
      </c>
      <c r="AK109">
        <f>AJ109+Original!AK109</f>
        <v>104</v>
      </c>
      <c r="AL109">
        <f>AK109+Original!AL109</f>
        <v>104</v>
      </c>
      <c r="AM109">
        <f>AL109+Original!AM109</f>
        <v>104</v>
      </c>
      <c r="AN109">
        <f>AM109+Original!AN109</f>
        <v>104</v>
      </c>
      <c r="AO109">
        <f>AN109+Original!AO109</f>
        <v>104</v>
      </c>
      <c r="AP109">
        <f>AO109+Original!AP109</f>
        <v>104</v>
      </c>
      <c r="AQ109">
        <f>AP109+Original!AQ109</f>
        <v>104</v>
      </c>
      <c r="AR109">
        <f>AQ109+Original!AR109</f>
        <v>104</v>
      </c>
      <c r="AS109">
        <f>AR109+Original!AS109</f>
        <v>104</v>
      </c>
      <c r="AT109">
        <f>AS109+Original!AT109</f>
        <v>104</v>
      </c>
      <c r="AU109">
        <f>AT109+Original!AU109</f>
        <v>104</v>
      </c>
      <c r="AV109">
        <f>AU109+Original!AV109</f>
        <v>104</v>
      </c>
      <c r="AW109">
        <f>AV109+Original!AW109</f>
        <v>104</v>
      </c>
      <c r="AX109">
        <f>AW109+Original!AX109</f>
        <v>104</v>
      </c>
      <c r="AY109">
        <f>AX109+Original!AY109</f>
        <v>104</v>
      </c>
      <c r="AZ109">
        <f>AY109+Original!AZ109</f>
        <v>104</v>
      </c>
      <c r="BA109">
        <f>AZ109+Original!BA109</f>
        <v>104</v>
      </c>
      <c r="BB109">
        <f>BA109+Original!BB109</f>
        <v>104</v>
      </c>
      <c r="BC109">
        <f>BB109+Original!BC109</f>
        <v>104</v>
      </c>
      <c r="BD109">
        <f>BC109+Original!BD109</f>
        <v>104</v>
      </c>
      <c r="BE109">
        <f>BD109+Original!BE109</f>
        <v>104</v>
      </c>
      <c r="BF109">
        <f>BE109+Original!BF109</f>
        <v>104</v>
      </c>
      <c r="BG109">
        <f>BF109+Original!BG109</f>
        <v>104</v>
      </c>
      <c r="BH109">
        <f>BG109+Original!BH109</f>
        <v>104</v>
      </c>
      <c r="BI109">
        <f>BH109+Original!BI109</f>
        <v>104</v>
      </c>
      <c r="BJ109">
        <f>BI109+Original!BJ109</f>
        <v>104</v>
      </c>
      <c r="BK109">
        <f>BJ109+Original!BK109</f>
        <v>104</v>
      </c>
      <c r="BL109">
        <f>BK109+Original!BL109</f>
        <v>104</v>
      </c>
      <c r="BM109">
        <f>BL109+Original!BM109</f>
        <v>104</v>
      </c>
      <c r="BN109">
        <f>BM109+Original!BN109</f>
        <v>104</v>
      </c>
      <c r="BO109">
        <f>BN109+Original!BO109</f>
        <v>104</v>
      </c>
      <c r="BP109">
        <f>BO109+Original!BP109</f>
        <v>104</v>
      </c>
      <c r="BQ109">
        <f>BP109+Original!BQ109</f>
        <v>104</v>
      </c>
      <c r="BR109">
        <f>BQ109+Original!BR109</f>
        <v>104</v>
      </c>
      <c r="BS109">
        <f>BR109+Original!BS109</f>
        <v>104</v>
      </c>
      <c r="BT109">
        <f>BS109+Original!BT109</f>
        <v>104</v>
      </c>
      <c r="BU109">
        <f>BT109+Original!BU109</f>
        <v>104</v>
      </c>
      <c r="BV109">
        <f>BU109+Original!BV109</f>
        <v>104</v>
      </c>
      <c r="BW109">
        <f>BV109+Original!BW109</f>
        <v>104</v>
      </c>
    </row>
    <row r="110" spans="1:75" x14ac:dyDescent="0.25">
      <c r="A110" t="str">
        <f>Original!A110</f>
        <v>Kleber Marcos Meyer</v>
      </c>
      <c r="B110">
        <f>Original!B110</f>
        <v>103</v>
      </c>
      <c r="C110">
        <f>Original!C110</f>
        <v>8</v>
      </c>
      <c r="D110">
        <f>C110+Original!D110</f>
        <v>14</v>
      </c>
      <c r="E110">
        <f>D110+Original!E110</f>
        <v>22</v>
      </c>
      <c r="F110">
        <f>E110+Original!F110</f>
        <v>24</v>
      </c>
      <c r="G110">
        <f>F110+Original!G110</f>
        <v>24</v>
      </c>
      <c r="H110">
        <f>G110+Original!H110</f>
        <v>24</v>
      </c>
      <c r="I110">
        <f>H110+Original!I110</f>
        <v>30</v>
      </c>
      <c r="J110">
        <f>I110+Original!J110</f>
        <v>36</v>
      </c>
      <c r="K110">
        <f>J110+Original!K110</f>
        <v>38</v>
      </c>
      <c r="L110">
        <f>K110+Original!L110</f>
        <v>38</v>
      </c>
      <c r="M110">
        <f>L110+Original!M110</f>
        <v>38</v>
      </c>
      <c r="N110">
        <f>M110+Original!N110</f>
        <v>46</v>
      </c>
      <c r="O110">
        <f>N110+Original!O110</f>
        <v>48</v>
      </c>
      <c r="P110">
        <f>O110+Original!P110</f>
        <v>54</v>
      </c>
      <c r="Q110">
        <f>P110+Original!Q110</f>
        <v>54</v>
      </c>
      <c r="R110">
        <f>Q110+Original!R110</f>
        <v>62</v>
      </c>
      <c r="S110">
        <f>R110+Original!S110</f>
        <v>62</v>
      </c>
      <c r="T110">
        <f>S110+Original!T110</f>
        <v>64</v>
      </c>
      <c r="U110">
        <f>T110+Original!U110</f>
        <v>64</v>
      </c>
      <c r="V110">
        <f>U110+Original!V110</f>
        <v>66</v>
      </c>
      <c r="W110">
        <f>V110+Original!W110</f>
        <v>68</v>
      </c>
      <c r="X110">
        <f>W110+Original!X110</f>
        <v>70</v>
      </c>
      <c r="Y110">
        <f>X110+Original!Y110</f>
        <v>72</v>
      </c>
      <c r="Z110">
        <f>Y110+Original!Z110</f>
        <v>78</v>
      </c>
      <c r="AA110">
        <f>Z110+Original!AA110</f>
        <v>91</v>
      </c>
      <c r="AB110">
        <f>AA110+Original!AB110</f>
        <v>91</v>
      </c>
      <c r="AC110">
        <f>AB110+Original!AC110</f>
        <v>91</v>
      </c>
      <c r="AD110">
        <f>AC110+Original!AD110</f>
        <v>97</v>
      </c>
      <c r="AE110">
        <f>AD110+Original!AE110</f>
        <v>103</v>
      </c>
      <c r="AF110">
        <f>AE110+Original!AF110</f>
        <v>103</v>
      </c>
      <c r="AG110">
        <f>AF110+Original!AG110</f>
        <v>103</v>
      </c>
      <c r="AH110">
        <f>AG110+Original!AH110</f>
        <v>103</v>
      </c>
      <c r="AI110">
        <f>AH110+Original!AI110</f>
        <v>103</v>
      </c>
      <c r="AJ110">
        <f>AI110+Original!AJ110</f>
        <v>103</v>
      </c>
      <c r="AK110">
        <f>AJ110+Original!AK110</f>
        <v>103</v>
      </c>
      <c r="AL110">
        <f>AK110+Original!AL110</f>
        <v>103</v>
      </c>
      <c r="AM110">
        <f>AL110+Original!AM110</f>
        <v>103</v>
      </c>
      <c r="AN110">
        <f>AM110+Original!AN110</f>
        <v>103</v>
      </c>
      <c r="AO110">
        <f>AN110+Original!AO110</f>
        <v>103</v>
      </c>
      <c r="AP110">
        <f>AO110+Original!AP110</f>
        <v>103</v>
      </c>
      <c r="AQ110">
        <f>AP110+Original!AQ110</f>
        <v>103</v>
      </c>
      <c r="AR110">
        <f>AQ110+Original!AR110</f>
        <v>103</v>
      </c>
      <c r="AS110">
        <f>AR110+Original!AS110</f>
        <v>103</v>
      </c>
      <c r="AT110">
        <f>AS110+Original!AT110</f>
        <v>103</v>
      </c>
      <c r="AU110">
        <f>AT110+Original!AU110</f>
        <v>103</v>
      </c>
      <c r="AV110">
        <f>AU110+Original!AV110</f>
        <v>103</v>
      </c>
      <c r="AW110">
        <f>AV110+Original!AW110</f>
        <v>103</v>
      </c>
      <c r="AX110">
        <f>AW110+Original!AX110</f>
        <v>103</v>
      </c>
      <c r="AY110">
        <f>AX110+Original!AY110</f>
        <v>103</v>
      </c>
      <c r="AZ110">
        <f>AY110+Original!AZ110</f>
        <v>103</v>
      </c>
      <c r="BA110">
        <f>AZ110+Original!BA110</f>
        <v>103</v>
      </c>
      <c r="BB110">
        <f>BA110+Original!BB110</f>
        <v>103</v>
      </c>
      <c r="BC110">
        <f>BB110+Original!BC110</f>
        <v>103</v>
      </c>
      <c r="BD110">
        <f>BC110+Original!BD110</f>
        <v>103</v>
      </c>
      <c r="BE110">
        <f>BD110+Original!BE110</f>
        <v>103</v>
      </c>
      <c r="BF110">
        <f>BE110+Original!BF110</f>
        <v>103</v>
      </c>
      <c r="BG110">
        <f>BF110+Original!BG110</f>
        <v>103</v>
      </c>
      <c r="BH110">
        <f>BG110+Original!BH110</f>
        <v>103</v>
      </c>
      <c r="BI110">
        <f>BH110+Original!BI110</f>
        <v>103</v>
      </c>
      <c r="BJ110">
        <f>BI110+Original!BJ110</f>
        <v>103</v>
      </c>
      <c r="BK110">
        <f>BJ110+Original!BK110</f>
        <v>103</v>
      </c>
      <c r="BL110">
        <f>BK110+Original!BL110</f>
        <v>103</v>
      </c>
      <c r="BM110">
        <f>BL110+Original!BM110</f>
        <v>103</v>
      </c>
      <c r="BN110">
        <f>BM110+Original!BN110</f>
        <v>103</v>
      </c>
      <c r="BO110">
        <f>BN110+Original!BO110</f>
        <v>103</v>
      </c>
      <c r="BP110">
        <f>BO110+Original!BP110</f>
        <v>103</v>
      </c>
      <c r="BQ110">
        <f>BP110+Original!BQ110</f>
        <v>103</v>
      </c>
      <c r="BR110">
        <f>BQ110+Original!BR110</f>
        <v>103</v>
      </c>
      <c r="BS110">
        <f>BR110+Original!BS110</f>
        <v>103</v>
      </c>
      <c r="BT110">
        <f>BS110+Original!BT110</f>
        <v>103</v>
      </c>
      <c r="BU110">
        <f>BT110+Original!BU110</f>
        <v>103</v>
      </c>
      <c r="BV110">
        <f>BU110+Original!BV110</f>
        <v>103</v>
      </c>
      <c r="BW110">
        <f>BV110+Original!BW110</f>
        <v>103</v>
      </c>
    </row>
    <row r="111" spans="1:75" x14ac:dyDescent="0.25">
      <c r="A111" t="str">
        <f>Original!A111</f>
        <v>Cris Pinto 1</v>
      </c>
      <c r="B111">
        <f>Original!B111</f>
        <v>99</v>
      </c>
      <c r="C111">
        <f>Original!C111</f>
        <v>0</v>
      </c>
      <c r="D111">
        <f>C111+Original!D111</f>
        <v>6</v>
      </c>
      <c r="E111">
        <f>D111+Original!E111</f>
        <v>14</v>
      </c>
      <c r="F111">
        <f>E111+Original!F111</f>
        <v>27</v>
      </c>
      <c r="G111">
        <f>F111+Original!G111</f>
        <v>27</v>
      </c>
      <c r="H111">
        <f>G111+Original!H111</f>
        <v>29</v>
      </c>
      <c r="I111">
        <f>H111+Original!I111</f>
        <v>31</v>
      </c>
      <c r="J111">
        <f>I111+Original!J111</f>
        <v>39</v>
      </c>
      <c r="K111">
        <f>J111+Original!K111</f>
        <v>41</v>
      </c>
      <c r="L111">
        <f>K111+Original!L111</f>
        <v>41</v>
      </c>
      <c r="M111">
        <f>L111+Original!M111</f>
        <v>49</v>
      </c>
      <c r="N111">
        <f>M111+Original!N111</f>
        <v>55</v>
      </c>
      <c r="O111">
        <f>N111+Original!O111</f>
        <v>57</v>
      </c>
      <c r="P111">
        <f>O111+Original!P111</f>
        <v>59</v>
      </c>
      <c r="Q111">
        <f>P111+Original!Q111</f>
        <v>61</v>
      </c>
      <c r="R111">
        <f>Q111+Original!R111</f>
        <v>69</v>
      </c>
      <c r="S111">
        <f>R111+Original!S111</f>
        <v>69</v>
      </c>
      <c r="T111">
        <f>S111+Original!T111</f>
        <v>69</v>
      </c>
      <c r="U111">
        <f>T111+Original!U111</f>
        <v>71</v>
      </c>
      <c r="V111">
        <f>U111+Original!V111</f>
        <v>71</v>
      </c>
      <c r="W111">
        <f>V111+Original!W111</f>
        <v>77</v>
      </c>
      <c r="X111">
        <f>W111+Original!X111</f>
        <v>79</v>
      </c>
      <c r="Y111">
        <f>X111+Original!Y111</f>
        <v>79</v>
      </c>
      <c r="Z111">
        <f>Y111+Original!Z111</f>
        <v>87</v>
      </c>
      <c r="AA111">
        <f>Z111+Original!AA111</f>
        <v>89</v>
      </c>
      <c r="AB111">
        <f>AA111+Original!AB111</f>
        <v>91</v>
      </c>
      <c r="AC111">
        <f>AB111+Original!AC111</f>
        <v>91</v>
      </c>
      <c r="AD111">
        <f>AC111+Original!AD111</f>
        <v>93</v>
      </c>
      <c r="AE111">
        <f>AD111+Original!AE111</f>
        <v>99</v>
      </c>
      <c r="AF111">
        <f>AE111+Original!AF111</f>
        <v>99</v>
      </c>
      <c r="AG111">
        <f>AF111+Original!AG111</f>
        <v>99</v>
      </c>
      <c r="AH111">
        <f>AG111+Original!AH111</f>
        <v>99</v>
      </c>
      <c r="AI111">
        <f>AH111+Original!AI111</f>
        <v>99</v>
      </c>
      <c r="AJ111">
        <f>AI111+Original!AJ111</f>
        <v>99</v>
      </c>
      <c r="AK111">
        <f>AJ111+Original!AK111</f>
        <v>99</v>
      </c>
      <c r="AL111">
        <f>AK111+Original!AL111</f>
        <v>99</v>
      </c>
      <c r="AM111">
        <f>AL111+Original!AM111</f>
        <v>99</v>
      </c>
      <c r="AN111">
        <f>AM111+Original!AN111</f>
        <v>99</v>
      </c>
      <c r="AO111">
        <f>AN111+Original!AO111</f>
        <v>99</v>
      </c>
      <c r="AP111">
        <f>AO111+Original!AP111</f>
        <v>99</v>
      </c>
      <c r="AQ111">
        <f>AP111+Original!AQ111</f>
        <v>99</v>
      </c>
      <c r="AR111">
        <f>AQ111+Original!AR111</f>
        <v>99</v>
      </c>
      <c r="AS111">
        <f>AR111+Original!AS111</f>
        <v>99</v>
      </c>
      <c r="AT111">
        <f>AS111+Original!AT111</f>
        <v>99</v>
      </c>
      <c r="AU111">
        <f>AT111+Original!AU111</f>
        <v>99</v>
      </c>
      <c r="AV111">
        <f>AU111+Original!AV111</f>
        <v>99</v>
      </c>
      <c r="AW111">
        <f>AV111+Original!AW111</f>
        <v>99</v>
      </c>
      <c r="AX111">
        <f>AW111+Original!AX111</f>
        <v>99</v>
      </c>
      <c r="AY111">
        <f>AX111+Original!AY111</f>
        <v>99</v>
      </c>
      <c r="AZ111">
        <f>AY111+Original!AZ111</f>
        <v>99</v>
      </c>
      <c r="BA111">
        <f>AZ111+Original!BA111</f>
        <v>99</v>
      </c>
      <c r="BB111">
        <f>BA111+Original!BB111</f>
        <v>99</v>
      </c>
      <c r="BC111">
        <f>BB111+Original!BC111</f>
        <v>99</v>
      </c>
      <c r="BD111">
        <f>BC111+Original!BD111</f>
        <v>99</v>
      </c>
      <c r="BE111">
        <f>BD111+Original!BE111</f>
        <v>99</v>
      </c>
      <c r="BF111">
        <f>BE111+Original!BF111</f>
        <v>99</v>
      </c>
      <c r="BG111">
        <f>BF111+Original!BG111</f>
        <v>99</v>
      </c>
      <c r="BH111">
        <f>BG111+Original!BH111</f>
        <v>99</v>
      </c>
      <c r="BI111">
        <f>BH111+Original!BI111</f>
        <v>99</v>
      </c>
      <c r="BJ111">
        <f>BI111+Original!BJ111</f>
        <v>99</v>
      </c>
      <c r="BK111">
        <f>BJ111+Original!BK111</f>
        <v>99</v>
      </c>
      <c r="BL111">
        <f>BK111+Original!BL111</f>
        <v>99</v>
      </c>
      <c r="BM111">
        <f>BL111+Original!BM111</f>
        <v>99</v>
      </c>
      <c r="BN111">
        <f>BM111+Original!BN111</f>
        <v>99</v>
      </c>
      <c r="BO111">
        <f>BN111+Original!BO111</f>
        <v>99</v>
      </c>
      <c r="BP111">
        <f>BO111+Original!BP111</f>
        <v>99</v>
      </c>
      <c r="BQ111">
        <f>BP111+Original!BQ111</f>
        <v>99</v>
      </c>
      <c r="BR111">
        <f>BQ111+Original!BR111</f>
        <v>99</v>
      </c>
      <c r="BS111">
        <f>BR111+Original!BS111</f>
        <v>99</v>
      </c>
      <c r="BT111">
        <f>BS111+Original!BT111</f>
        <v>99</v>
      </c>
      <c r="BU111">
        <f>BT111+Original!BU111</f>
        <v>99</v>
      </c>
      <c r="BV111">
        <f>BU111+Original!BV111</f>
        <v>99</v>
      </c>
      <c r="BW111">
        <f>BV111+Original!BW111</f>
        <v>99</v>
      </c>
    </row>
    <row r="112" spans="1:75" x14ac:dyDescent="0.25">
      <c r="A112" t="str">
        <f>Original!A112</f>
        <v>Mateus Amorim</v>
      </c>
      <c r="B112">
        <f>Original!B112</f>
        <v>97</v>
      </c>
      <c r="C112">
        <f>Original!C112</f>
        <v>2</v>
      </c>
      <c r="D112">
        <f>C112+Original!D112</f>
        <v>8</v>
      </c>
      <c r="E112">
        <f>D112+Original!E112</f>
        <v>14</v>
      </c>
      <c r="F112">
        <f>E112+Original!F112</f>
        <v>16</v>
      </c>
      <c r="G112">
        <f>F112+Original!G112</f>
        <v>16</v>
      </c>
      <c r="H112">
        <f>G112+Original!H112</f>
        <v>16</v>
      </c>
      <c r="I112">
        <f>H112+Original!I112</f>
        <v>16</v>
      </c>
      <c r="J112">
        <f>I112+Original!J112</f>
        <v>22</v>
      </c>
      <c r="K112">
        <f>J112+Original!K112</f>
        <v>22</v>
      </c>
      <c r="L112">
        <f>K112+Original!L112</f>
        <v>22</v>
      </c>
      <c r="M112">
        <f>L112+Original!M112</f>
        <v>28</v>
      </c>
      <c r="N112">
        <f>M112+Original!N112</f>
        <v>34</v>
      </c>
      <c r="O112">
        <f>N112+Original!O112</f>
        <v>40</v>
      </c>
      <c r="P112">
        <f>O112+Original!P112</f>
        <v>40</v>
      </c>
      <c r="Q112">
        <f>P112+Original!Q112</f>
        <v>46</v>
      </c>
      <c r="R112">
        <f>Q112+Original!R112</f>
        <v>52</v>
      </c>
      <c r="S112">
        <f>R112+Original!S112</f>
        <v>52</v>
      </c>
      <c r="T112">
        <f>S112+Original!T112</f>
        <v>52</v>
      </c>
      <c r="U112">
        <f>T112+Original!U112</f>
        <v>52</v>
      </c>
      <c r="V112">
        <f>U112+Original!V112</f>
        <v>54</v>
      </c>
      <c r="W112">
        <f>V112+Original!W112</f>
        <v>54</v>
      </c>
      <c r="X112">
        <f>W112+Original!X112</f>
        <v>54</v>
      </c>
      <c r="Y112">
        <f>X112+Original!Y112</f>
        <v>60</v>
      </c>
      <c r="Z112">
        <f>Y112+Original!Z112</f>
        <v>68</v>
      </c>
      <c r="AA112">
        <f>Z112+Original!AA112</f>
        <v>81</v>
      </c>
      <c r="AB112">
        <f>AA112+Original!AB112</f>
        <v>83</v>
      </c>
      <c r="AC112">
        <f>AB112+Original!AC112</f>
        <v>83</v>
      </c>
      <c r="AD112">
        <f>AC112+Original!AD112</f>
        <v>91</v>
      </c>
      <c r="AE112">
        <f>AD112+Original!AE112</f>
        <v>97</v>
      </c>
      <c r="AF112">
        <f>AE112+Original!AF112</f>
        <v>97</v>
      </c>
      <c r="AG112">
        <f>AF112+Original!AG112</f>
        <v>97</v>
      </c>
      <c r="AH112">
        <f>AG112+Original!AH112</f>
        <v>97</v>
      </c>
      <c r="AI112">
        <f>AH112+Original!AI112</f>
        <v>97</v>
      </c>
      <c r="AJ112">
        <f>AI112+Original!AJ112</f>
        <v>97</v>
      </c>
      <c r="AK112">
        <f>AJ112+Original!AK112</f>
        <v>97</v>
      </c>
      <c r="AL112">
        <f>AK112+Original!AL112</f>
        <v>97</v>
      </c>
      <c r="AM112">
        <f>AL112+Original!AM112</f>
        <v>97</v>
      </c>
      <c r="AN112">
        <f>AM112+Original!AN112</f>
        <v>97</v>
      </c>
      <c r="AO112">
        <f>AN112+Original!AO112</f>
        <v>97</v>
      </c>
      <c r="AP112">
        <f>AO112+Original!AP112</f>
        <v>97</v>
      </c>
      <c r="AQ112">
        <f>AP112+Original!AQ112</f>
        <v>97</v>
      </c>
      <c r="AR112">
        <f>AQ112+Original!AR112</f>
        <v>97</v>
      </c>
      <c r="AS112">
        <f>AR112+Original!AS112</f>
        <v>97</v>
      </c>
      <c r="AT112">
        <f>AS112+Original!AT112</f>
        <v>97</v>
      </c>
      <c r="AU112">
        <f>AT112+Original!AU112</f>
        <v>97</v>
      </c>
      <c r="AV112">
        <f>AU112+Original!AV112</f>
        <v>97</v>
      </c>
      <c r="AW112">
        <f>AV112+Original!AW112</f>
        <v>97</v>
      </c>
      <c r="AX112">
        <f>AW112+Original!AX112</f>
        <v>97</v>
      </c>
      <c r="AY112">
        <f>AX112+Original!AY112</f>
        <v>97</v>
      </c>
      <c r="AZ112">
        <f>AY112+Original!AZ112</f>
        <v>97</v>
      </c>
      <c r="BA112">
        <f>AZ112+Original!BA112</f>
        <v>97</v>
      </c>
      <c r="BB112">
        <f>BA112+Original!BB112</f>
        <v>97</v>
      </c>
      <c r="BC112">
        <f>BB112+Original!BC112</f>
        <v>97</v>
      </c>
      <c r="BD112">
        <f>BC112+Original!BD112</f>
        <v>97</v>
      </c>
      <c r="BE112">
        <f>BD112+Original!BE112</f>
        <v>97</v>
      </c>
      <c r="BF112">
        <f>BE112+Original!BF112</f>
        <v>97</v>
      </c>
      <c r="BG112">
        <f>BF112+Original!BG112</f>
        <v>97</v>
      </c>
      <c r="BH112">
        <f>BG112+Original!BH112</f>
        <v>97</v>
      </c>
      <c r="BI112">
        <f>BH112+Original!BI112</f>
        <v>97</v>
      </c>
      <c r="BJ112">
        <f>BI112+Original!BJ112</f>
        <v>97</v>
      </c>
      <c r="BK112">
        <f>BJ112+Original!BK112</f>
        <v>97</v>
      </c>
      <c r="BL112">
        <f>BK112+Original!BL112</f>
        <v>97</v>
      </c>
      <c r="BM112">
        <f>BL112+Original!BM112</f>
        <v>97</v>
      </c>
      <c r="BN112">
        <f>BM112+Original!BN112</f>
        <v>97</v>
      </c>
      <c r="BO112">
        <f>BN112+Original!BO112</f>
        <v>97</v>
      </c>
      <c r="BP112">
        <f>BO112+Original!BP112</f>
        <v>97</v>
      </c>
      <c r="BQ112">
        <f>BP112+Original!BQ112</f>
        <v>97</v>
      </c>
      <c r="BR112">
        <f>BQ112+Original!BR112</f>
        <v>97</v>
      </c>
      <c r="BS112">
        <f>BR112+Original!BS112</f>
        <v>97</v>
      </c>
      <c r="BT112">
        <f>BS112+Original!BT112</f>
        <v>97</v>
      </c>
      <c r="BU112">
        <f>BT112+Original!BU112</f>
        <v>97</v>
      </c>
      <c r="BV112">
        <f>BU112+Original!BV112</f>
        <v>97</v>
      </c>
      <c r="BW112">
        <f>BV112+Original!BW112</f>
        <v>97</v>
      </c>
    </row>
    <row r="113" spans="1:75" x14ac:dyDescent="0.25">
      <c r="A113" t="str">
        <f>Original!A113</f>
        <v>Rodrigo Moreira</v>
      </c>
      <c r="B113">
        <f>Original!B113</f>
        <v>97</v>
      </c>
      <c r="C113">
        <f>Original!C113</f>
        <v>0</v>
      </c>
      <c r="D113">
        <f>C113+Original!D113</f>
        <v>6</v>
      </c>
      <c r="E113">
        <f>D113+Original!E113</f>
        <v>14</v>
      </c>
      <c r="F113">
        <f>E113+Original!F113</f>
        <v>16</v>
      </c>
      <c r="G113">
        <f>F113+Original!G113</f>
        <v>16</v>
      </c>
      <c r="H113">
        <f>G113+Original!H113</f>
        <v>16</v>
      </c>
      <c r="I113">
        <f>H113+Original!I113</f>
        <v>16</v>
      </c>
      <c r="J113">
        <f>I113+Original!J113</f>
        <v>22</v>
      </c>
      <c r="K113">
        <f>J113+Original!K113</f>
        <v>22</v>
      </c>
      <c r="L113">
        <f>K113+Original!L113</f>
        <v>22</v>
      </c>
      <c r="M113">
        <f>L113+Original!M113</f>
        <v>28</v>
      </c>
      <c r="N113">
        <f>M113+Original!N113</f>
        <v>41</v>
      </c>
      <c r="O113">
        <f>N113+Original!O113</f>
        <v>47</v>
      </c>
      <c r="P113">
        <f>O113+Original!P113</f>
        <v>47</v>
      </c>
      <c r="Q113">
        <f>P113+Original!Q113</f>
        <v>47</v>
      </c>
      <c r="R113">
        <f>Q113+Original!R113</f>
        <v>55</v>
      </c>
      <c r="S113">
        <f>R113+Original!S113</f>
        <v>55</v>
      </c>
      <c r="T113">
        <f>S113+Original!T113</f>
        <v>55</v>
      </c>
      <c r="U113">
        <f>T113+Original!U113</f>
        <v>57</v>
      </c>
      <c r="V113">
        <f>U113+Original!V113</f>
        <v>63</v>
      </c>
      <c r="W113">
        <f>V113+Original!W113</f>
        <v>69</v>
      </c>
      <c r="X113">
        <f>W113+Original!X113</f>
        <v>71</v>
      </c>
      <c r="Y113">
        <f>X113+Original!Y113</f>
        <v>79</v>
      </c>
      <c r="Z113">
        <f>Y113+Original!Z113</f>
        <v>81</v>
      </c>
      <c r="AA113">
        <f>Z113+Original!AA113</f>
        <v>89</v>
      </c>
      <c r="AB113">
        <f>AA113+Original!AB113</f>
        <v>91</v>
      </c>
      <c r="AC113">
        <f>AB113+Original!AC113</f>
        <v>91</v>
      </c>
      <c r="AD113">
        <f>AC113+Original!AD113</f>
        <v>97</v>
      </c>
      <c r="AE113">
        <f>AD113+Original!AE113</f>
        <v>97</v>
      </c>
      <c r="AF113">
        <f>AE113+Original!AF113</f>
        <v>97</v>
      </c>
      <c r="AG113">
        <f>AF113+Original!AG113</f>
        <v>97</v>
      </c>
      <c r="AH113">
        <f>AG113+Original!AH113</f>
        <v>97</v>
      </c>
      <c r="AI113">
        <f>AH113+Original!AI113</f>
        <v>97</v>
      </c>
      <c r="AJ113">
        <f>AI113+Original!AJ113</f>
        <v>97</v>
      </c>
      <c r="AK113">
        <f>AJ113+Original!AK113</f>
        <v>97</v>
      </c>
      <c r="AL113">
        <f>AK113+Original!AL113</f>
        <v>97</v>
      </c>
      <c r="AM113">
        <f>AL113+Original!AM113</f>
        <v>97</v>
      </c>
      <c r="AN113">
        <f>AM113+Original!AN113</f>
        <v>97</v>
      </c>
      <c r="AO113">
        <f>AN113+Original!AO113</f>
        <v>97</v>
      </c>
      <c r="AP113">
        <f>AO113+Original!AP113</f>
        <v>97</v>
      </c>
      <c r="AQ113">
        <f>AP113+Original!AQ113</f>
        <v>97</v>
      </c>
      <c r="AR113">
        <f>AQ113+Original!AR113</f>
        <v>97</v>
      </c>
      <c r="AS113">
        <f>AR113+Original!AS113</f>
        <v>97</v>
      </c>
      <c r="AT113">
        <f>AS113+Original!AT113</f>
        <v>97</v>
      </c>
      <c r="AU113">
        <f>AT113+Original!AU113</f>
        <v>97</v>
      </c>
      <c r="AV113">
        <f>AU113+Original!AV113</f>
        <v>97</v>
      </c>
      <c r="AW113">
        <f>AV113+Original!AW113</f>
        <v>97</v>
      </c>
      <c r="AX113">
        <f>AW113+Original!AX113</f>
        <v>97</v>
      </c>
      <c r="AY113">
        <f>AX113+Original!AY113</f>
        <v>97</v>
      </c>
      <c r="AZ113">
        <f>AY113+Original!AZ113</f>
        <v>97</v>
      </c>
      <c r="BA113">
        <f>AZ113+Original!BA113</f>
        <v>97</v>
      </c>
      <c r="BB113">
        <f>BA113+Original!BB113</f>
        <v>97</v>
      </c>
      <c r="BC113">
        <f>BB113+Original!BC113</f>
        <v>97</v>
      </c>
      <c r="BD113">
        <f>BC113+Original!BD113</f>
        <v>97</v>
      </c>
      <c r="BE113">
        <f>BD113+Original!BE113</f>
        <v>97</v>
      </c>
      <c r="BF113">
        <f>BE113+Original!BF113</f>
        <v>97</v>
      </c>
      <c r="BG113">
        <f>BF113+Original!BG113</f>
        <v>97</v>
      </c>
      <c r="BH113">
        <f>BG113+Original!BH113</f>
        <v>97</v>
      </c>
      <c r="BI113">
        <f>BH113+Original!BI113</f>
        <v>97</v>
      </c>
      <c r="BJ113">
        <f>BI113+Original!BJ113</f>
        <v>97</v>
      </c>
      <c r="BK113">
        <f>BJ113+Original!BK113</f>
        <v>97</v>
      </c>
      <c r="BL113">
        <f>BK113+Original!BL113</f>
        <v>97</v>
      </c>
      <c r="BM113">
        <f>BL113+Original!BM113</f>
        <v>97</v>
      </c>
      <c r="BN113">
        <f>BM113+Original!BN113</f>
        <v>97</v>
      </c>
      <c r="BO113">
        <f>BN113+Original!BO113</f>
        <v>97</v>
      </c>
      <c r="BP113">
        <f>BO113+Original!BP113</f>
        <v>97</v>
      </c>
      <c r="BQ113">
        <f>BP113+Original!BQ113</f>
        <v>97</v>
      </c>
      <c r="BR113">
        <f>BQ113+Original!BR113</f>
        <v>97</v>
      </c>
      <c r="BS113">
        <f>BR113+Original!BS113</f>
        <v>97</v>
      </c>
      <c r="BT113">
        <f>BS113+Original!BT113</f>
        <v>97</v>
      </c>
      <c r="BU113">
        <f>BT113+Original!BU113</f>
        <v>97</v>
      </c>
      <c r="BV113">
        <f>BU113+Original!BV113</f>
        <v>97</v>
      </c>
      <c r="BW113">
        <f>BV113+Original!BW113</f>
        <v>97</v>
      </c>
    </row>
    <row r="114" spans="1:75" x14ac:dyDescent="0.25">
      <c r="A114" t="str">
        <f>Original!A114</f>
        <v>David Silva</v>
      </c>
      <c r="B114">
        <f>Original!B114</f>
        <v>96</v>
      </c>
      <c r="C114">
        <f>Original!C114</f>
        <v>2</v>
      </c>
      <c r="D114">
        <f>C114+Original!D114</f>
        <v>2</v>
      </c>
      <c r="E114">
        <f>D114+Original!E114</f>
        <v>10</v>
      </c>
      <c r="F114">
        <f>E114+Original!F114</f>
        <v>10</v>
      </c>
      <c r="G114">
        <f>F114+Original!G114</f>
        <v>10</v>
      </c>
      <c r="H114">
        <f>G114+Original!H114</f>
        <v>23</v>
      </c>
      <c r="I114">
        <f>H114+Original!I114</f>
        <v>23</v>
      </c>
      <c r="J114">
        <f>I114+Original!J114</f>
        <v>31</v>
      </c>
      <c r="K114">
        <f>J114+Original!K114</f>
        <v>33</v>
      </c>
      <c r="L114">
        <f>K114+Original!L114</f>
        <v>33</v>
      </c>
      <c r="M114">
        <f>L114+Original!M114</f>
        <v>41</v>
      </c>
      <c r="N114">
        <f>M114+Original!N114</f>
        <v>49</v>
      </c>
      <c r="O114">
        <f>N114+Original!O114</f>
        <v>51</v>
      </c>
      <c r="P114">
        <f>O114+Original!P114</f>
        <v>53</v>
      </c>
      <c r="Q114">
        <f>P114+Original!Q114</f>
        <v>66</v>
      </c>
      <c r="R114">
        <f>Q114+Original!R114</f>
        <v>74</v>
      </c>
      <c r="S114">
        <f>R114+Original!S114</f>
        <v>74</v>
      </c>
      <c r="T114">
        <f>S114+Original!T114</f>
        <v>74</v>
      </c>
      <c r="U114">
        <f>T114+Original!U114</f>
        <v>74</v>
      </c>
      <c r="V114">
        <f>U114+Original!V114</f>
        <v>76</v>
      </c>
      <c r="W114">
        <f>V114+Original!W114</f>
        <v>76</v>
      </c>
      <c r="X114">
        <f>W114+Original!X114</f>
        <v>78</v>
      </c>
      <c r="Y114">
        <f>X114+Original!Y114</f>
        <v>84</v>
      </c>
      <c r="Z114">
        <f>Y114+Original!Z114</f>
        <v>90</v>
      </c>
      <c r="AA114">
        <f>Z114+Original!AA114</f>
        <v>96</v>
      </c>
      <c r="AB114">
        <f>AA114+Original!AB114</f>
        <v>96</v>
      </c>
      <c r="AC114">
        <f>AB114+Original!AC114</f>
        <v>96</v>
      </c>
      <c r="AD114">
        <f>AC114+Original!AD114</f>
        <v>96</v>
      </c>
      <c r="AE114">
        <f>AD114+Original!AE114</f>
        <v>96</v>
      </c>
      <c r="AF114">
        <f>AE114+Original!AF114</f>
        <v>96</v>
      </c>
      <c r="AG114">
        <f>AF114+Original!AG114</f>
        <v>96</v>
      </c>
      <c r="AH114">
        <f>AG114+Original!AH114</f>
        <v>96</v>
      </c>
      <c r="AI114">
        <f>AH114+Original!AI114</f>
        <v>96</v>
      </c>
      <c r="AJ114">
        <f>AI114+Original!AJ114</f>
        <v>96</v>
      </c>
      <c r="AK114">
        <f>AJ114+Original!AK114</f>
        <v>96</v>
      </c>
      <c r="AL114">
        <f>AK114+Original!AL114</f>
        <v>96</v>
      </c>
      <c r="AM114">
        <f>AL114+Original!AM114</f>
        <v>96</v>
      </c>
      <c r="AN114">
        <f>AM114+Original!AN114</f>
        <v>96</v>
      </c>
      <c r="AO114">
        <f>AN114+Original!AO114</f>
        <v>96</v>
      </c>
      <c r="AP114">
        <f>AO114+Original!AP114</f>
        <v>96</v>
      </c>
      <c r="AQ114">
        <f>AP114+Original!AQ114</f>
        <v>96</v>
      </c>
      <c r="AR114">
        <f>AQ114+Original!AR114</f>
        <v>96</v>
      </c>
      <c r="AS114">
        <f>AR114+Original!AS114</f>
        <v>96</v>
      </c>
      <c r="AT114">
        <f>AS114+Original!AT114</f>
        <v>96</v>
      </c>
      <c r="AU114">
        <f>AT114+Original!AU114</f>
        <v>96</v>
      </c>
      <c r="AV114">
        <f>AU114+Original!AV114</f>
        <v>96</v>
      </c>
      <c r="AW114">
        <f>AV114+Original!AW114</f>
        <v>96</v>
      </c>
      <c r="AX114">
        <f>AW114+Original!AX114</f>
        <v>96</v>
      </c>
      <c r="AY114">
        <f>AX114+Original!AY114</f>
        <v>96</v>
      </c>
      <c r="AZ114">
        <f>AY114+Original!AZ114</f>
        <v>96</v>
      </c>
      <c r="BA114">
        <f>AZ114+Original!BA114</f>
        <v>96</v>
      </c>
      <c r="BB114">
        <f>BA114+Original!BB114</f>
        <v>96</v>
      </c>
      <c r="BC114">
        <f>BB114+Original!BC114</f>
        <v>96</v>
      </c>
      <c r="BD114">
        <f>BC114+Original!BD114</f>
        <v>96</v>
      </c>
      <c r="BE114">
        <f>BD114+Original!BE114</f>
        <v>96</v>
      </c>
      <c r="BF114">
        <f>BE114+Original!BF114</f>
        <v>96</v>
      </c>
      <c r="BG114">
        <f>BF114+Original!BG114</f>
        <v>96</v>
      </c>
      <c r="BH114">
        <f>BG114+Original!BH114</f>
        <v>96</v>
      </c>
      <c r="BI114">
        <f>BH114+Original!BI114</f>
        <v>96</v>
      </c>
      <c r="BJ114">
        <f>BI114+Original!BJ114</f>
        <v>96</v>
      </c>
      <c r="BK114">
        <f>BJ114+Original!BK114</f>
        <v>96</v>
      </c>
      <c r="BL114">
        <f>BK114+Original!BL114</f>
        <v>96</v>
      </c>
      <c r="BM114">
        <f>BL114+Original!BM114</f>
        <v>96</v>
      </c>
      <c r="BN114">
        <f>BM114+Original!BN114</f>
        <v>96</v>
      </c>
      <c r="BO114">
        <f>BN114+Original!BO114</f>
        <v>96</v>
      </c>
      <c r="BP114">
        <f>BO114+Original!BP114</f>
        <v>96</v>
      </c>
      <c r="BQ114">
        <f>BP114+Original!BQ114</f>
        <v>96</v>
      </c>
      <c r="BR114">
        <f>BQ114+Original!BR114</f>
        <v>96</v>
      </c>
      <c r="BS114">
        <f>BR114+Original!BS114</f>
        <v>96</v>
      </c>
      <c r="BT114">
        <f>BS114+Original!BT114</f>
        <v>96</v>
      </c>
      <c r="BU114">
        <f>BT114+Original!BU114</f>
        <v>96</v>
      </c>
      <c r="BV114">
        <f>BU114+Original!BV114</f>
        <v>96</v>
      </c>
      <c r="BW114">
        <f>BV114+Original!BW114</f>
        <v>96</v>
      </c>
    </row>
    <row r="115" spans="1:75" x14ac:dyDescent="0.25">
      <c r="A115" t="str">
        <f>Original!A115</f>
        <v>Tatsuhiko Kawaoka</v>
      </c>
      <c r="B115">
        <f>Original!B115</f>
        <v>77</v>
      </c>
      <c r="C115">
        <f>Original!C115</f>
        <v>0</v>
      </c>
      <c r="D115">
        <f>C115+Original!D115</f>
        <v>6</v>
      </c>
      <c r="E115">
        <f>D115+Original!E115</f>
        <v>6</v>
      </c>
      <c r="F115">
        <f>E115+Original!F115</f>
        <v>8</v>
      </c>
      <c r="G115">
        <f>F115+Original!G115</f>
        <v>8</v>
      </c>
      <c r="H115">
        <f>G115+Original!H115</f>
        <v>14</v>
      </c>
      <c r="I115">
        <f>H115+Original!I115</f>
        <v>14</v>
      </c>
      <c r="J115">
        <f>I115+Original!J115</f>
        <v>20</v>
      </c>
      <c r="K115">
        <f>J115+Original!K115</f>
        <v>22</v>
      </c>
      <c r="L115">
        <f>K115+Original!L115</f>
        <v>24</v>
      </c>
      <c r="M115">
        <f>L115+Original!M115</f>
        <v>32</v>
      </c>
      <c r="N115">
        <f>M115+Original!N115</f>
        <v>40</v>
      </c>
      <c r="O115">
        <f>N115+Original!O115</f>
        <v>46</v>
      </c>
      <c r="P115">
        <f>O115+Original!P115</f>
        <v>48</v>
      </c>
      <c r="Q115">
        <f>P115+Original!Q115</f>
        <v>48</v>
      </c>
      <c r="R115">
        <f>Q115+Original!R115</f>
        <v>48</v>
      </c>
      <c r="S115">
        <f>R115+Original!S115</f>
        <v>55</v>
      </c>
      <c r="T115">
        <f>S115+Original!T115</f>
        <v>55</v>
      </c>
      <c r="U115">
        <f>T115+Original!U115</f>
        <v>57</v>
      </c>
      <c r="V115">
        <f>U115+Original!V115</f>
        <v>57</v>
      </c>
      <c r="W115">
        <f>V115+Original!W115</f>
        <v>57</v>
      </c>
      <c r="X115">
        <f>W115+Original!X115</f>
        <v>57</v>
      </c>
      <c r="Y115">
        <f>X115+Original!Y115</f>
        <v>65</v>
      </c>
      <c r="Z115">
        <f>Y115+Original!Z115</f>
        <v>67</v>
      </c>
      <c r="AA115">
        <f>Z115+Original!AA115</f>
        <v>67</v>
      </c>
      <c r="AB115">
        <f>AA115+Original!AB115</f>
        <v>67</v>
      </c>
      <c r="AC115">
        <f>AB115+Original!AC115</f>
        <v>67</v>
      </c>
      <c r="AD115">
        <f>AC115+Original!AD115</f>
        <v>75</v>
      </c>
      <c r="AE115">
        <f>AD115+Original!AE115</f>
        <v>77</v>
      </c>
      <c r="AF115">
        <f>AE115+Original!AF115</f>
        <v>77</v>
      </c>
      <c r="AG115">
        <f>AF115+Original!AG115</f>
        <v>77</v>
      </c>
      <c r="AH115">
        <f>AG115+Original!AH115</f>
        <v>77</v>
      </c>
      <c r="AI115">
        <f>AH115+Original!AI115</f>
        <v>77</v>
      </c>
      <c r="AJ115">
        <f>AI115+Original!AJ115</f>
        <v>77</v>
      </c>
      <c r="AK115">
        <f>AJ115+Original!AK115</f>
        <v>77</v>
      </c>
      <c r="AL115">
        <f>AK115+Original!AL115</f>
        <v>77</v>
      </c>
      <c r="AM115">
        <f>AL115+Original!AM115</f>
        <v>77</v>
      </c>
      <c r="AN115">
        <f>AM115+Original!AN115</f>
        <v>77</v>
      </c>
      <c r="AO115">
        <f>AN115+Original!AO115</f>
        <v>77</v>
      </c>
      <c r="AP115">
        <f>AO115+Original!AP115</f>
        <v>77</v>
      </c>
      <c r="AQ115">
        <f>AP115+Original!AQ115</f>
        <v>77</v>
      </c>
      <c r="AR115">
        <f>AQ115+Original!AR115</f>
        <v>77</v>
      </c>
      <c r="AS115">
        <f>AR115+Original!AS115</f>
        <v>77</v>
      </c>
      <c r="AT115">
        <f>AS115+Original!AT115</f>
        <v>77</v>
      </c>
      <c r="AU115">
        <f>AT115+Original!AU115</f>
        <v>77</v>
      </c>
      <c r="AV115">
        <f>AU115+Original!AV115</f>
        <v>77</v>
      </c>
      <c r="AW115">
        <f>AV115+Original!AW115</f>
        <v>77</v>
      </c>
      <c r="AX115">
        <f>AW115+Original!AX115</f>
        <v>77</v>
      </c>
      <c r="AY115">
        <f>AX115+Original!AY115</f>
        <v>77</v>
      </c>
      <c r="AZ115">
        <f>AY115+Original!AZ115</f>
        <v>77</v>
      </c>
      <c r="BA115">
        <f>AZ115+Original!BA115</f>
        <v>77</v>
      </c>
      <c r="BB115">
        <f>BA115+Original!BB115</f>
        <v>77</v>
      </c>
      <c r="BC115">
        <f>BB115+Original!BC115</f>
        <v>77</v>
      </c>
      <c r="BD115">
        <f>BC115+Original!BD115</f>
        <v>77</v>
      </c>
      <c r="BE115">
        <f>BD115+Original!BE115</f>
        <v>77</v>
      </c>
      <c r="BF115">
        <f>BE115+Original!BF115</f>
        <v>77</v>
      </c>
      <c r="BG115">
        <f>BF115+Original!BG115</f>
        <v>77</v>
      </c>
      <c r="BH115">
        <f>BG115+Original!BH115</f>
        <v>77</v>
      </c>
      <c r="BI115">
        <f>BH115+Original!BI115</f>
        <v>77</v>
      </c>
      <c r="BJ115">
        <f>BI115+Original!BJ115</f>
        <v>77</v>
      </c>
      <c r="BK115">
        <f>BJ115+Original!BK115</f>
        <v>77</v>
      </c>
      <c r="BL115">
        <f>BK115+Original!BL115</f>
        <v>77</v>
      </c>
      <c r="BM115">
        <f>BL115+Original!BM115</f>
        <v>77</v>
      </c>
      <c r="BN115">
        <f>BM115+Original!BN115</f>
        <v>77</v>
      </c>
      <c r="BO115">
        <f>BN115+Original!BO115</f>
        <v>77</v>
      </c>
      <c r="BP115">
        <f>BO115+Original!BP115</f>
        <v>77</v>
      </c>
      <c r="BQ115">
        <f>BP115+Original!BQ115</f>
        <v>77</v>
      </c>
      <c r="BR115">
        <f>BQ115+Original!BR115</f>
        <v>77</v>
      </c>
      <c r="BS115">
        <f>BR115+Original!BS115</f>
        <v>77</v>
      </c>
      <c r="BT115">
        <f>BS115+Original!BT115</f>
        <v>77</v>
      </c>
      <c r="BU115">
        <f>BT115+Original!BU115</f>
        <v>77</v>
      </c>
      <c r="BV115">
        <f>BU115+Original!BV115</f>
        <v>77</v>
      </c>
      <c r="BW115">
        <f>BV115+Original!BW115</f>
        <v>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38A8-C071-4555-99B4-6722CC2B8C36}">
  <dimension ref="A1:BW115"/>
  <sheetViews>
    <sheetView topLeftCell="A43" workbookViewId="0">
      <selection activeCell="B76" sqref="B76"/>
    </sheetView>
  </sheetViews>
  <sheetFormatPr defaultRowHeight="15.75" x14ac:dyDescent="0.25"/>
  <cols>
    <col min="1" max="1" width="16.375" customWidth="1"/>
  </cols>
  <sheetData>
    <row r="1" spans="1:75" x14ac:dyDescent="0.25">
      <c r="A1" t="s">
        <v>115</v>
      </c>
      <c r="B1" t="s">
        <v>114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159</v>
      </c>
      <c r="BD1" t="s">
        <v>160</v>
      </c>
      <c r="BE1" t="s">
        <v>161</v>
      </c>
      <c r="BF1" t="s">
        <v>162</v>
      </c>
      <c r="BG1" t="s">
        <v>163</v>
      </c>
      <c r="BH1" t="s">
        <v>164</v>
      </c>
      <c r="BI1" t="s">
        <v>165</v>
      </c>
      <c r="BJ1" t="s">
        <v>166</v>
      </c>
      <c r="BK1" t="s">
        <v>167</v>
      </c>
      <c r="BL1" t="s">
        <v>168</v>
      </c>
      <c r="BM1" t="s">
        <v>169</v>
      </c>
      <c r="BN1" t="s">
        <v>170</v>
      </c>
      <c r="BO1" t="s">
        <v>171</v>
      </c>
      <c r="BP1" t="s">
        <v>172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</row>
    <row r="2" spans="1:75" x14ac:dyDescent="0.25">
      <c r="A2" t="str">
        <f>TAcum[[#This Row],[Jogador]]</f>
        <v>Marina Carvalho</v>
      </c>
      <c r="B2">
        <f>RANK(TAcum[[#This Row],[total]],TAcum[[#All],[total]],0)</f>
        <v>1</v>
      </c>
      <c r="C2">
        <f>RANK(TAcum[[#This Row],[j01]],TAcum[[#All],[j01]],0)</f>
        <v>13</v>
      </c>
      <c r="D2">
        <f>RANK(TAcum[[#This Row],[j02]],TAcum[[#All],[j02]],0)</f>
        <v>14</v>
      </c>
      <c r="E2">
        <f>RANK(TAcum[[#This Row],[j03]],TAcum[[#All],[j03]],0)</f>
        <v>52</v>
      </c>
      <c r="F2">
        <f>RANK(TAcum[[#This Row],[j04]],TAcum[[#All],[j04]],0)</f>
        <v>27</v>
      </c>
      <c r="G2">
        <f>RANK(TAcum[[#This Row],[j05]],TAcum[[#All],[j05]],0)</f>
        <v>27</v>
      </c>
      <c r="H2">
        <f>RANK(TAcum[[#This Row],[j06]],TAcum[[#All],[j06]],0)</f>
        <v>23</v>
      </c>
      <c r="I2">
        <f>RANK(TAcum[[#This Row],[j07]],TAcum[[#All],[j07]],0)</f>
        <v>16</v>
      </c>
      <c r="J2">
        <f>RANK(TAcum[[#This Row],[j08]],TAcum[[#All],[j08]],0)</f>
        <v>8</v>
      </c>
      <c r="K2">
        <f>RANK(TAcum[[#This Row],[j09]],TAcum[[#All],[j09]],0)</f>
        <v>11</v>
      </c>
      <c r="L2">
        <f>RANK(TAcum[[#This Row],[j10]],TAcum[[#All],[j10]],0)</f>
        <v>15</v>
      </c>
      <c r="M2">
        <f>RANK(TAcum[[#This Row],[j11]],TAcum[[#All],[j11]],0)</f>
        <v>17</v>
      </c>
      <c r="N2">
        <f>RANK(TAcum[[#This Row],[j12]],TAcum[[#All],[j12]],0)</f>
        <v>22</v>
      </c>
      <c r="O2">
        <f>RANK(TAcum[[#This Row],[j13]],TAcum[[#All],[j13]],0)</f>
        <v>30</v>
      </c>
      <c r="P2">
        <f>RANK(TAcum[[#This Row],[j14]],TAcum[[#All],[j14]],0)</f>
        <v>32</v>
      </c>
      <c r="Q2">
        <f>RANK(TAcum[[#This Row],[j15]],TAcum[[#All],[j15]],0)</f>
        <v>29</v>
      </c>
      <c r="R2">
        <f>RANK(TAcum[[#This Row],[j16]],TAcum[[#All],[j16]],0)</f>
        <v>19</v>
      </c>
      <c r="S2">
        <f>RANK(TAcum[[#This Row],[j17]],TAcum[[#All],[j17]],0)</f>
        <v>23</v>
      </c>
      <c r="T2">
        <f>RANK(TAcum[[#This Row],[j18]],TAcum[[#All],[j18]],0)</f>
        <v>29</v>
      </c>
      <c r="U2">
        <f>RANK(TAcum[[#This Row],[j19]],TAcum[[#All],[j19]],0)</f>
        <v>31</v>
      </c>
      <c r="V2">
        <f>RANK(TAcum[[#This Row],[j20]],TAcum[[#All],[j20]],0)</f>
        <v>7</v>
      </c>
      <c r="W2">
        <f>RANK(TAcum[[#This Row],[j21]],TAcum[[#All],[j21]],0)</f>
        <v>10</v>
      </c>
      <c r="X2">
        <f>RANK(TAcum[[#This Row],[j22]],TAcum[[#All],[j22]],0)</f>
        <v>3</v>
      </c>
      <c r="Y2">
        <f>RANK(TAcum[[#This Row],[j23]],TAcum[[#All],[j23]],0)</f>
        <v>3</v>
      </c>
      <c r="Z2">
        <f>RANK(TAcum[[#This Row],[j24]],TAcum[[#All],[j24]],0)</f>
        <v>2</v>
      </c>
      <c r="AA2">
        <f>RANK(TAcum[[#This Row],[j25]],TAcum[[#All],[j25]],0)</f>
        <v>2</v>
      </c>
      <c r="AB2">
        <f>RANK(TAcum[[#This Row],[j26]],TAcum[[#All],[j26]],0)</f>
        <v>1</v>
      </c>
      <c r="AC2">
        <f>RANK(TAcum[[#This Row],[j27]],TAcum[[#All],[j27]],0)</f>
        <v>1</v>
      </c>
      <c r="AD2">
        <f>RANK(TAcum[[#This Row],[j28]],TAcum[[#All],[j28]],0)</f>
        <v>1</v>
      </c>
      <c r="AE2">
        <f>RANK(TAcum[[#This Row],[j29]],TAcum[[#All],[j29]],0)</f>
        <v>1</v>
      </c>
      <c r="AF2">
        <f>RANK(TAcum[[#This Row],[j30]],TAcum[[#All],[j30]],0)</f>
        <v>1</v>
      </c>
      <c r="AG2">
        <f>RANK(TAcum[[#This Row],[j31]],TAcum[[#All],[j31]],0)</f>
        <v>1</v>
      </c>
      <c r="AH2">
        <f>RANK(TAcum[[#This Row],[j32]],TAcum[[#All],[j32]],0)</f>
        <v>1</v>
      </c>
      <c r="AI2">
        <f>RANK(TAcum[[#This Row],[j33]],TAcum[[#All],[j33]],0)</f>
        <v>1</v>
      </c>
      <c r="AJ2">
        <f>RANK(TAcum[[#This Row],[j34]],TAcum[[#All],[j34]],0)</f>
        <v>1</v>
      </c>
      <c r="AK2">
        <f>RANK(TAcum[[#This Row],[j35]],TAcum[[#All],[j35]],0)</f>
        <v>1</v>
      </c>
      <c r="AL2">
        <f>RANK(TAcum[[#This Row],[j36]],TAcum[[#All],[j36]],0)</f>
        <v>1</v>
      </c>
      <c r="AM2">
        <f>RANK(TAcum[[#This Row],[j37]],TAcum[[#All],[j37]],0)</f>
        <v>1</v>
      </c>
      <c r="AN2">
        <f>RANK(TAcum[[#This Row],[j38]],TAcum[[#All],[j38]],0)</f>
        <v>1</v>
      </c>
      <c r="AO2">
        <f>RANK(TAcum[[#This Row],[j39]],TAcum[[#All],[j39]],0)</f>
        <v>1</v>
      </c>
      <c r="AP2">
        <f>RANK(TAcum[[#This Row],[j40]],TAcum[[#All],[j40]],0)</f>
        <v>1</v>
      </c>
      <c r="AQ2">
        <f>RANK(TAcum[[#This Row],[j41]],TAcum[[#All],[j41]],0)</f>
        <v>1</v>
      </c>
      <c r="AR2">
        <f>RANK(TAcum[[#This Row],[j42]],TAcum[[#All],[j42]],0)</f>
        <v>1</v>
      </c>
      <c r="AS2">
        <f>RANK(TAcum[[#This Row],[j43]],TAcum[[#All],[j43]],0)</f>
        <v>1</v>
      </c>
      <c r="AT2">
        <f>RANK(TAcum[[#This Row],[j44]],TAcum[[#All],[j44]],0)</f>
        <v>1</v>
      </c>
      <c r="AU2">
        <f>RANK(TAcum[[#This Row],[j45]],TAcum[[#All],[j45]],0)</f>
        <v>1</v>
      </c>
      <c r="AV2">
        <f>RANK(TAcum[[#This Row],[j46]],TAcum[[#All],[j46]],0)</f>
        <v>1</v>
      </c>
      <c r="AW2">
        <f>RANK(TAcum[[#This Row],[j47]],TAcum[[#All],[j47]],0)</f>
        <v>1</v>
      </c>
      <c r="AX2">
        <f>RANK(TAcum[[#This Row],[j48]],TAcum[[#All],[j48]],0)</f>
        <v>1</v>
      </c>
      <c r="AY2">
        <f>RANK(TAcum[[#This Row],[j49]],TAcum[[#All],[j49]],0)</f>
        <v>1</v>
      </c>
      <c r="AZ2">
        <f>RANK(TAcum[[#This Row],[j50]],TAcum[[#All],[j50]],0)</f>
        <v>1</v>
      </c>
      <c r="BA2">
        <f>RANK(TAcum[[#This Row],[j51]],TAcum[[#All],[j51]],0)</f>
        <v>1</v>
      </c>
      <c r="BB2">
        <f>RANK(TAcum[[#This Row],[j52]],TAcum[[#All],[j52]],0)</f>
        <v>1</v>
      </c>
      <c r="BC2">
        <f>RANK(TAcum[[#This Row],[j53]],TAcum[[#All],[j53]],0)</f>
        <v>1</v>
      </c>
      <c r="BD2">
        <f>RANK(TAcum[[#This Row],[j54]],TAcum[[#All],[j54]],0)</f>
        <v>1</v>
      </c>
      <c r="BE2">
        <f>RANK(TAcum[[#This Row],[j55]],TAcum[[#All],[j55]],0)</f>
        <v>1</v>
      </c>
      <c r="BF2">
        <f>RANK(TAcum[[#This Row],[j56]],TAcum[[#All],[j56]],0)</f>
        <v>1</v>
      </c>
      <c r="BG2">
        <f>RANK(TAcum[[#This Row],[j57]],TAcum[[#All],[j57]],0)</f>
        <v>1</v>
      </c>
      <c r="BH2">
        <f>RANK(TAcum[[#This Row],[j58]],TAcum[[#All],[j58]],0)</f>
        <v>1</v>
      </c>
      <c r="BI2">
        <f>RANK(TAcum[[#This Row],[j59]],TAcum[[#All],[j59]],0)</f>
        <v>1</v>
      </c>
      <c r="BJ2">
        <f>RANK(TAcum[[#This Row],[j60]],TAcum[[#All],[j60]],0)</f>
        <v>1</v>
      </c>
      <c r="BK2">
        <f>RANK(TAcum[[#This Row],[j61]],TAcum[[#All],[j61]],0)</f>
        <v>1</v>
      </c>
      <c r="BL2">
        <f>RANK(TAcum[[#This Row],[j62]],TAcum[[#All],[j62]],0)</f>
        <v>1</v>
      </c>
      <c r="BM2">
        <f>RANK(TAcum[[#This Row],[j63]],TAcum[[#All],[j63]],0)</f>
        <v>1</v>
      </c>
      <c r="BN2">
        <f>RANK(TAcum[[#This Row],[j64]],TAcum[[#All],[j64]],0)</f>
        <v>1</v>
      </c>
      <c r="BO2">
        <f>RANK(TAcum[[#This Row],[j65]],TAcum[[#All],[j65]],0)</f>
        <v>1</v>
      </c>
      <c r="BP2">
        <f>RANK(TAcum[[#This Row],[j66]],TAcum[[#All],[j66]],0)</f>
        <v>1</v>
      </c>
      <c r="BQ2">
        <f>RANK(TAcum[[#This Row],[j67]],TAcum[[#All],[j67]],0)</f>
        <v>1</v>
      </c>
      <c r="BR2">
        <f>RANK(TAcum[[#This Row],[j68]],TAcum[[#All],[j68]],0)</f>
        <v>1</v>
      </c>
      <c r="BS2">
        <f>RANK(TAcum[[#This Row],[j69]],TAcum[[#All],[j69]],0)</f>
        <v>1</v>
      </c>
      <c r="BT2">
        <f>RANK(TAcum[[#This Row],[j70]],TAcum[[#All],[j70]],0)</f>
        <v>1</v>
      </c>
      <c r="BU2">
        <f>RANK(TAcum[[#This Row],[j71]],TAcum[[#All],[j71]],0)</f>
        <v>1</v>
      </c>
      <c r="BV2">
        <f>RANK(TAcum[[#This Row],[j72]],TAcum[[#All],[j72]],0)</f>
        <v>1</v>
      </c>
      <c r="BW2">
        <f>RANK(TAcum[[#This Row],[j73]],TAcum[[#All],[j73]],0)</f>
        <v>1</v>
      </c>
    </row>
    <row r="3" spans="1:75" x14ac:dyDescent="0.25">
      <c r="A3" t="str">
        <f>TAcum[[#This Row],[Jogador]]</f>
        <v>Marcos Rogerio Magalhaes</v>
      </c>
      <c r="B3">
        <f>RANK(TAcum[[#This Row],[total]],TAcum[[#All],[total]],0)</f>
        <v>2</v>
      </c>
      <c r="C3">
        <f>RANK(TAcum[[#This Row],[j01]],TAcum[[#All],[j01]],0)</f>
        <v>13</v>
      </c>
      <c r="D3">
        <f>RANK(TAcum[[#This Row],[j02]],TAcum[[#All],[j02]],0)</f>
        <v>14</v>
      </c>
      <c r="E3">
        <f>RANK(TAcum[[#This Row],[j03]],TAcum[[#All],[j03]],0)</f>
        <v>24</v>
      </c>
      <c r="F3">
        <f>RANK(TAcum[[#This Row],[j04]],TAcum[[#All],[j04]],0)</f>
        <v>9</v>
      </c>
      <c r="G3">
        <f>RANK(TAcum[[#This Row],[j05]],TAcum[[#All],[j05]],0)</f>
        <v>9</v>
      </c>
      <c r="H3">
        <f>RANK(TAcum[[#This Row],[j06]],TAcum[[#All],[j06]],0)</f>
        <v>9</v>
      </c>
      <c r="I3">
        <f>RANK(TAcum[[#This Row],[j07]],TAcum[[#All],[j07]],0)</f>
        <v>5</v>
      </c>
      <c r="J3">
        <f>RANK(TAcum[[#This Row],[j08]],TAcum[[#All],[j08]],0)</f>
        <v>8</v>
      </c>
      <c r="K3">
        <f>RANK(TAcum[[#This Row],[j09]],TAcum[[#All],[j09]],0)</f>
        <v>11</v>
      </c>
      <c r="L3">
        <f>RANK(TAcum[[#This Row],[j10]],TAcum[[#All],[j10]],0)</f>
        <v>7</v>
      </c>
      <c r="M3">
        <f>RANK(TAcum[[#This Row],[j11]],TAcum[[#All],[j11]],0)</f>
        <v>6</v>
      </c>
      <c r="N3">
        <f>RANK(TAcum[[#This Row],[j12]],TAcum[[#All],[j12]],0)</f>
        <v>9</v>
      </c>
      <c r="O3">
        <f>RANK(TAcum[[#This Row],[j13]],TAcum[[#All],[j13]],0)</f>
        <v>5</v>
      </c>
      <c r="P3">
        <f>RANK(TAcum[[#This Row],[j14]],TAcum[[#All],[j14]],0)</f>
        <v>1</v>
      </c>
      <c r="Q3">
        <f>RANK(TAcum[[#This Row],[j15]],TAcum[[#All],[j15]],0)</f>
        <v>1</v>
      </c>
      <c r="R3">
        <f>RANK(TAcum[[#This Row],[j16]],TAcum[[#All],[j16]],0)</f>
        <v>1</v>
      </c>
      <c r="S3">
        <f>RANK(TAcum[[#This Row],[j17]],TAcum[[#All],[j17]],0)</f>
        <v>1</v>
      </c>
      <c r="T3">
        <f>RANK(TAcum[[#This Row],[j18]],TAcum[[#All],[j18]],0)</f>
        <v>1</v>
      </c>
      <c r="U3">
        <f>RANK(TAcum[[#This Row],[j19]],TAcum[[#All],[j19]],0)</f>
        <v>1</v>
      </c>
      <c r="V3">
        <f>RANK(TAcum[[#This Row],[j20]],TAcum[[#All],[j20]],0)</f>
        <v>1</v>
      </c>
      <c r="W3">
        <f>RANK(TAcum[[#This Row],[j21]],TAcum[[#All],[j21]],0)</f>
        <v>1</v>
      </c>
      <c r="X3">
        <f>RANK(TAcum[[#This Row],[j22]],TAcum[[#All],[j22]],0)</f>
        <v>2</v>
      </c>
      <c r="Y3">
        <f>RANK(TAcum[[#This Row],[j23]],TAcum[[#All],[j23]],0)</f>
        <v>2</v>
      </c>
      <c r="Z3">
        <f>RANK(TAcum[[#This Row],[j24]],TAcum[[#All],[j24]],0)</f>
        <v>1</v>
      </c>
      <c r="AA3">
        <f>RANK(TAcum[[#This Row],[j25]],TAcum[[#All],[j25]],0)</f>
        <v>1</v>
      </c>
      <c r="AB3">
        <f>RANK(TAcum[[#This Row],[j26]],TAcum[[#All],[j26]],0)</f>
        <v>2</v>
      </c>
      <c r="AC3">
        <f>RANK(TAcum[[#This Row],[j27]],TAcum[[#All],[j27]],0)</f>
        <v>2</v>
      </c>
      <c r="AD3">
        <f>RANK(TAcum[[#This Row],[j28]],TAcum[[#All],[j28]],0)</f>
        <v>3</v>
      </c>
      <c r="AE3">
        <f>RANK(TAcum[[#This Row],[j29]],TAcum[[#All],[j29]],0)</f>
        <v>2</v>
      </c>
      <c r="AF3">
        <f>RANK(TAcum[[#This Row],[j30]],TAcum[[#All],[j30]],0)</f>
        <v>2</v>
      </c>
      <c r="AG3">
        <f>RANK(TAcum[[#This Row],[j31]],TAcum[[#All],[j31]],0)</f>
        <v>2</v>
      </c>
      <c r="AH3">
        <f>RANK(TAcum[[#This Row],[j32]],TAcum[[#All],[j32]],0)</f>
        <v>2</v>
      </c>
      <c r="AI3">
        <f>RANK(TAcum[[#This Row],[j33]],TAcum[[#All],[j33]],0)</f>
        <v>2</v>
      </c>
      <c r="AJ3">
        <f>RANK(TAcum[[#This Row],[j34]],TAcum[[#All],[j34]],0)</f>
        <v>2</v>
      </c>
      <c r="AK3">
        <f>RANK(TAcum[[#This Row],[j35]],TAcum[[#All],[j35]],0)</f>
        <v>2</v>
      </c>
      <c r="AL3">
        <f>RANK(TAcum[[#This Row],[j36]],TAcum[[#All],[j36]],0)</f>
        <v>2</v>
      </c>
      <c r="AM3">
        <f>RANK(TAcum[[#This Row],[j37]],TAcum[[#All],[j37]],0)</f>
        <v>2</v>
      </c>
      <c r="AN3">
        <f>RANK(TAcum[[#This Row],[j38]],TAcum[[#All],[j38]],0)</f>
        <v>2</v>
      </c>
      <c r="AO3">
        <f>RANK(TAcum[[#This Row],[j39]],TAcum[[#All],[j39]],0)</f>
        <v>2</v>
      </c>
      <c r="AP3">
        <f>RANK(TAcum[[#This Row],[j40]],TAcum[[#All],[j40]],0)</f>
        <v>2</v>
      </c>
      <c r="AQ3">
        <f>RANK(TAcum[[#This Row],[j41]],TAcum[[#All],[j41]],0)</f>
        <v>2</v>
      </c>
      <c r="AR3">
        <f>RANK(TAcum[[#This Row],[j42]],TAcum[[#All],[j42]],0)</f>
        <v>2</v>
      </c>
      <c r="AS3">
        <f>RANK(TAcum[[#This Row],[j43]],TAcum[[#All],[j43]],0)</f>
        <v>2</v>
      </c>
      <c r="AT3">
        <f>RANK(TAcum[[#This Row],[j44]],TAcum[[#All],[j44]],0)</f>
        <v>2</v>
      </c>
      <c r="AU3">
        <f>RANK(TAcum[[#This Row],[j45]],TAcum[[#All],[j45]],0)</f>
        <v>2</v>
      </c>
      <c r="AV3">
        <f>RANK(TAcum[[#This Row],[j46]],TAcum[[#All],[j46]],0)</f>
        <v>2</v>
      </c>
      <c r="AW3">
        <f>RANK(TAcum[[#This Row],[j47]],TAcum[[#All],[j47]],0)</f>
        <v>2</v>
      </c>
      <c r="AX3">
        <f>RANK(TAcum[[#This Row],[j48]],TAcum[[#All],[j48]],0)</f>
        <v>2</v>
      </c>
      <c r="AY3">
        <f>RANK(TAcum[[#This Row],[j49]],TAcum[[#All],[j49]],0)</f>
        <v>2</v>
      </c>
      <c r="AZ3">
        <f>RANK(TAcum[[#This Row],[j50]],TAcum[[#All],[j50]],0)</f>
        <v>2</v>
      </c>
      <c r="BA3">
        <f>RANK(TAcum[[#This Row],[j51]],TAcum[[#All],[j51]],0)</f>
        <v>2</v>
      </c>
      <c r="BB3">
        <f>RANK(TAcum[[#This Row],[j52]],TAcum[[#All],[j52]],0)</f>
        <v>2</v>
      </c>
      <c r="BC3">
        <f>RANK(TAcum[[#This Row],[j53]],TAcum[[#All],[j53]],0)</f>
        <v>2</v>
      </c>
      <c r="BD3">
        <f>RANK(TAcum[[#This Row],[j54]],TAcum[[#All],[j54]],0)</f>
        <v>2</v>
      </c>
      <c r="BE3">
        <f>RANK(TAcum[[#This Row],[j55]],TAcum[[#All],[j55]],0)</f>
        <v>2</v>
      </c>
      <c r="BF3">
        <f>RANK(TAcum[[#This Row],[j56]],TAcum[[#All],[j56]],0)</f>
        <v>2</v>
      </c>
      <c r="BG3">
        <f>RANK(TAcum[[#This Row],[j57]],TAcum[[#All],[j57]],0)</f>
        <v>2</v>
      </c>
      <c r="BH3">
        <f>RANK(TAcum[[#This Row],[j58]],TAcum[[#All],[j58]],0)</f>
        <v>2</v>
      </c>
      <c r="BI3">
        <f>RANK(TAcum[[#This Row],[j59]],TAcum[[#All],[j59]],0)</f>
        <v>2</v>
      </c>
      <c r="BJ3">
        <f>RANK(TAcum[[#This Row],[j60]],TAcum[[#All],[j60]],0)</f>
        <v>2</v>
      </c>
      <c r="BK3">
        <f>RANK(TAcum[[#This Row],[j61]],TAcum[[#All],[j61]],0)</f>
        <v>2</v>
      </c>
      <c r="BL3">
        <f>RANK(TAcum[[#This Row],[j62]],TAcum[[#All],[j62]],0)</f>
        <v>2</v>
      </c>
      <c r="BM3">
        <f>RANK(TAcum[[#This Row],[j63]],TAcum[[#All],[j63]],0)</f>
        <v>2</v>
      </c>
      <c r="BN3">
        <f>RANK(TAcum[[#This Row],[j64]],TAcum[[#All],[j64]],0)</f>
        <v>2</v>
      </c>
      <c r="BO3">
        <f>RANK(TAcum[[#This Row],[j65]],TAcum[[#All],[j65]],0)</f>
        <v>2</v>
      </c>
      <c r="BP3">
        <f>RANK(TAcum[[#This Row],[j66]],TAcum[[#All],[j66]],0)</f>
        <v>2</v>
      </c>
      <c r="BQ3">
        <f>RANK(TAcum[[#This Row],[j67]],TAcum[[#All],[j67]],0)</f>
        <v>2</v>
      </c>
      <c r="BR3">
        <f>RANK(TAcum[[#This Row],[j68]],TAcum[[#All],[j68]],0)</f>
        <v>2</v>
      </c>
      <c r="BS3">
        <f>RANK(TAcum[[#This Row],[j69]],TAcum[[#All],[j69]],0)</f>
        <v>2</v>
      </c>
      <c r="BT3">
        <f>RANK(TAcum[[#This Row],[j70]],TAcum[[#All],[j70]],0)</f>
        <v>2</v>
      </c>
      <c r="BU3">
        <f>RANK(TAcum[[#This Row],[j71]],TAcum[[#All],[j71]],0)</f>
        <v>2</v>
      </c>
      <c r="BV3">
        <f>RANK(TAcum[[#This Row],[j72]],TAcum[[#All],[j72]],0)</f>
        <v>2</v>
      </c>
      <c r="BW3">
        <f>RANK(TAcum[[#This Row],[j73]],TAcum[[#All],[j73]],0)</f>
        <v>2</v>
      </c>
    </row>
    <row r="4" spans="1:75" x14ac:dyDescent="0.25">
      <c r="A4" t="str">
        <f>TAcum[[#This Row],[Jogador]]</f>
        <v>Cristina Paradella Mottin</v>
      </c>
      <c r="B4">
        <f>RANK(TAcum[[#This Row],[total]],TAcum[[#All],[total]],0)</f>
        <v>3</v>
      </c>
      <c r="C4">
        <f>RANK(TAcum[[#This Row],[j01]],TAcum[[#All],[j01]],0)</f>
        <v>13</v>
      </c>
      <c r="D4">
        <f>RANK(TAcum[[#This Row],[j02]],TAcum[[#All],[j02]],0)</f>
        <v>14</v>
      </c>
      <c r="E4">
        <f>RANK(TAcum[[#This Row],[j03]],TAcum[[#All],[j03]],0)</f>
        <v>3</v>
      </c>
      <c r="F4">
        <f>RANK(TAcum[[#This Row],[j04]],TAcum[[#All],[j04]],0)</f>
        <v>1</v>
      </c>
      <c r="G4">
        <f>RANK(TAcum[[#This Row],[j05]],TAcum[[#All],[j05]],0)</f>
        <v>1</v>
      </c>
      <c r="H4">
        <f>RANK(TAcum[[#This Row],[j06]],TAcum[[#All],[j06]],0)</f>
        <v>1</v>
      </c>
      <c r="I4">
        <f>RANK(TAcum[[#This Row],[j07]],TAcum[[#All],[j07]],0)</f>
        <v>11</v>
      </c>
      <c r="J4">
        <f>RANK(TAcum[[#This Row],[j08]],TAcum[[#All],[j08]],0)</f>
        <v>15</v>
      </c>
      <c r="K4">
        <f>RANK(TAcum[[#This Row],[j09]],TAcum[[#All],[j09]],0)</f>
        <v>16</v>
      </c>
      <c r="L4">
        <f>RANK(TAcum[[#This Row],[j10]],TAcum[[#All],[j10]],0)</f>
        <v>19</v>
      </c>
      <c r="M4">
        <f>RANK(TAcum[[#This Row],[j11]],TAcum[[#All],[j11]],0)</f>
        <v>16</v>
      </c>
      <c r="N4">
        <f>RANK(TAcum[[#This Row],[j12]],TAcum[[#All],[j12]],0)</f>
        <v>15</v>
      </c>
      <c r="O4">
        <f>RANK(TAcum[[#This Row],[j13]],TAcum[[#All],[j13]],0)</f>
        <v>10</v>
      </c>
      <c r="P4">
        <f>RANK(TAcum[[#This Row],[j14]],TAcum[[#All],[j14]],0)</f>
        <v>10</v>
      </c>
      <c r="Q4">
        <f>RANK(TAcum[[#This Row],[j15]],TAcum[[#All],[j15]],0)</f>
        <v>9</v>
      </c>
      <c r="R4">
        <f>RANK(TAcum[[#This Row],[j16]],TAcum[[#All],[j16]],0)</f>
        <v>10</v>
      </c>
      <c r="S4">
        <f>RANK(TAcum[[#This Row],[j17]],TAcum[[#All],[j17]],0)</f>
        <v>6</v>
      </c>
      <c r="T4">
        <f>RANK(TAcum[[#This Row],[j18]],TAcum[[#All],[j18]],0)</f>
        <v>7</v>
      </c>
      <c r="U4">
        <f>RANK(TAcum[[#This Row],[j19]],TAcum[[#All],[j19]],0)</f>
        <v>8</v>
      </c>
      <c r="V4">
        <f>RANK(TAcum[[#This Row],[j20]],TAcum[[#All],[j20]],0)</f>
        <v>10</v>
      </c>
      <c r="W4">
        <f>RANK(TAcum[[#This Row],[j21]],TAcum[[#All],[j21]],0)</f>
        <v>7</v>
      </c>
      <c r="X4">
        <f>RANK(TAcum[[#This Row],[j22]],TAcum[[#All],[j22]],0)</f>
        <v>9</v>
      </c>
      <c r="Y4">
        <f>RANK(TAcum[[#This Row],[j23]],TAcum[[#All],[j23]],0)</f>
        <v>6</v>
      </c>
      <c r="Z4">
        <f>RANK(TAcum[[#This Row],[j24]],TAcum[[#All],[j24]],0)</f>
        <v>4</v>
      </c>
      <c r="AA4">
        <f>RANK(TAcum[[#This Row],[j25]],TAcum[[#All],[j25]],0)</f>
        <v>5</v>
      </c>
      <c r="AB4">
        <f>RANK(TAcum[[#This Row],[j26]],TAcum[[#All],[j26]],0)</f>
        <v>5</v>
      </c>
      <c r="AC4">
        <f>RANK(TAcum[[#This Row],[j27]],TAcum[[#All],[j27]],0)</f>
        <v>5</v>
      </c>
      <c r="AD4">
        <f>RANK(TAcum[[#This Row],[j28]],TAcum[[#All],[j28]],0)</f>
        <v>4</v>
      </c>
      <c r="AE4">
        <f>RANK(TAcum[[#This Row],[j29]],TAcum[[#All],[j29]],0)</f>
        <v>3</v>
      </c>
      <c r="AF4">
        <f>RANK(TAcum[[#This Row],[j30]],TAcum[[#All],[j30]],0)</f>
        <v>3</v>
      </c>
      <c r="AG4">
        <f>RANK(TAcum[[#This Row],[j31]],TAcum[[#All],[j31]],0)</f>
        <v>3</v>
      </c>
      <c r="AH4">
        <f>RANK(TAcum[[#This Row],[j32]],TAcum[[#All],[j32]],0)</f>
        <v>3</v>
      </c>
      <c r="AI4">
        <f>RANK(TAcum[[#This Row],[j33]],TAcum[[#All],[j33]],0)</f>
        <v>3</v>
      </c>
      <c r="AJ4">
        <f>RANK(TAcum[[#This Row],[j34]],TAcum[[#All],[j34]],0)</f>
        <v>3</v>
      </c>
      <c r="AK4">
        <f>RANK(TAcum[[#This Row],[j35]],TAcum[[#All],[j35]],0)</f>
        <v>3</v>
      </c>
      <c r="AL4">
        <f>RANK(TAcum[[#This Row],[j36]],TAcum[[#All],[j36]],0)</f>
        <v>3</v>
      </c>
      <c r="AM4">
        <f>RANK(TAcum[[#This Row],[j37]],TAcum[[#All],[j37]],0)</f>
        <v>3</v>
      </c>
      <c r="AN4">
        <f>RANK(TAcum[[#This Row],[j38]],TAcum[[#All],[j38]],0)</f>
        <v>3</v>
      </c>
      <c r="AO4">
        <f>RANK(TAcum[[#This Row],[j39]],TAcum[[#All],[j39]],0)</f>
        <v>3</v>
      </c>
      <c r="AP4">
        <f>RANK(TAcum[[#This Row],[j40]],TAcum[[#All],[j40]],0)</f>
        <v>3</v>
      </c>
      <c r="AQ4">
        <f>RANK(TAcum[[#This Row],[j41]],TAcum[[#All],[j41]],0)</f>
        <v>3</v>
      </c>
      <c r="AR4">
        <f>RANK(TAcum[[#This Row],[j42]],TAcum[[#All],[j42]],0)</f>
        <v>3</v>
      </c>
      <c r="AS4">
        <f>RANK(TAcum[[#This Row],[j43]],TAcum[[#All],[j43]],0)</f>
        <v>3</v>
      </c>
      <c r="AT4">
        <f>RANK(TAcum[[#This Row],[j44]],TAcum[[#All],[j44]],0)</f>
        <v>3</v>
      </c>
      <c r="AU4">
        <f>RANK(TAcum[[#This Row],[j45]],TAcum[[#All],[j45]],0)</f>
        <v>3</v>
      </c>
      <c r="AV4">
        <f>RANK(TAcum[[#This Row],[j46]],TAcum[[#All],[j46]],0)</f>
        <v>3</v>
      </c>
      <c r="AW4">
        <f>RANK(TAcum[[#This Row],[j47]],TAcum[[#All],[j47]],0)</f>
        <v>3</v>
      </c>
      <c r="AX4">
        <f>RANK(TAcum[[#This Row],[j48]],TAcum[[#All],[j48]],0)</f>
        <v>3</v>
      </c>
      <c r="AY4">
        <f>RANK(TAcum[[#This Row],[j49]],TAcum[[#All],[j49]],0)</f>
        <v>3</v>
      </c>
      <c r="AZ4">
        <f>RANK(TAcum[[#This Row],[j50]],TAcum[[#All],[j50]],0)</f>
        <v>3</v>
      </c>
      <c r="BA4">
        <f>RANK(TAcum[[#This Row],[j51]],TAcum[[#All],[j51]],0)</f>
        <v>3</v>
      </c>
      <c r="BB4">
        <f>RANK(TAcum[[#This Row],[j52]],TAcum[[#All],[j52]],0)</f>
        <v>3</v>
      </c>
      <c r="BC4">
        <f>RANK(TAcum[[#This Row],[j53]],TAcum[[#All],[j53]],0)</f>
        <v>3</v>
      </c>
      <c r="BD4">
        <f>RANK(TAcum[[#This Row],[j54]],TAcum[[#All],[j54]],0)</f>
        <v>3</v>
      </c>
      <c r="BE4">
        <f>RANK(TAcum[[#This Row],[j55]],TAcum[[#All],[j55]],0)</f>
        <v>3</v>
      </c>
      <c r="BF4">
        <f>RANK(TAcum[[#This Row],[j56]],TAcum[[#All],[j56]],0)</f>
        <v>3</v>
      </c>
      <c r="BG4">
        <f>RANK(TAcum[[#This Row],[j57]],TAcum[[#All],[j57]],0)</f>
        <v>3</v>
      </c>
      <c r="BH4">
        <f>RANK(TAcum[[#This Row],[j58]],TAcum[[#All],[j58]],0)</f>
        <v>3</v>
      </c>
      <c r="BI4">
        <f>RANK(TAcum[[#This Row],[j59]],TAcum[[#All],[j59]],0)</f>
        <v>3</v>
      </c>
      <c r="BJ4">
        <f>RANK(TAcum[[#This Row],[j60]],TAcum[[#All],[j60]],0)</f>
        <v>3</v>
      </c>
      <c r="BK4">
        <f>RANK(TAcum[[#This Row],[j61]],TAcum[[#All],[j61]],0)</f>
        <v>3</v>
      </c>
      <c r="BL4">
        <f>RANK(TAcum[[#This Row],[j62]],TAcum[[#All],[j62]],0)</f>
        <v>3</v>
      </c>
      <c r="BM4">
        <f>RANK(TAcum[[#This Row],[j63]],TAcum[[#All],[j63]],0)</f>
        <v>3</v>
      </c>
      <c r="BN4">
        <f>RANK(TAcum[[#This Row],[j64]],TAcum[[#All],[j64]],0)</f>
        <v>3</v>
      </c>
      <c r="BO4">
        <f>RANK(TAcum[[#This Row],[j65]],TAcum[[#All],[j65]],0)</f>
        <v>3</v>
      </c>
      <c r="BP4">
        <f>RANK(TAcum[[#This Row],[j66]],TAcum[[#All],[j66]],0)</f>
        <v>3</v>
      </c>
      <c r="BQ4">
        <f>RANK(TAcum[[#This Row],[j67]],TAcum[[#All],[j67]],0)</f>
        <v>3</v>
      </c>
      <c r="BR4">
        <f>RANK(TAcum[[#This Row],[j68]],TAcum[[#All],[j68]],0)</f>
        <v>3</v>
      </c>
      <c r="BS4">
        <f>RANK(TAcum[[#This Row],[j69]],TAcum[[#All],[j69]],0)</f>
        <v>3</v>
      </c>
      <c r="BT4">
        <f>RANK(TAcum[[#This Row],[j70]],TAcum[[#All],[j70]],0)</f>
        <v>3</v>
      </c>
      <c r="BU4">
        <f>RANK(TAcum[[#This Row],[j71]],TAcum[[#All],[j71]],0)</f>
        <v>3</v>
      </c>
      <c r="BV4">
        <f>RANK(TAcum[[#This Row],[j72]],TAcum[[#All],[j72]],0)</f>
        <v>3</v>
      </c>
      <c r="BW4">
        <f>RANK(TAcum[[#This Row],[j73]],TAcum[[#All],[j73]],0)</f>
        <v>3</v>
      </c>
    </row>
    <row r="5" spans="1:75" x14ac:dyDescent="0.25">
      <c r="A5" t="str">
        <f>TAcum[[#This Row],[Jogador]]</f>
        <v>Fábio Luis Dos Santo Aleluia</v>
      </c>
      <c r="B5">
        <f>RANK(TAcum[[#This Row],[total]],TAcum[[#All],[total]],0)</f>
        <v>3</v>
      </c>
      <c r="C5">
        <f>RANK(TAcum[[#This Row],[j01]],TAcum[[#All],[j01]],0)</f>
        <v>1</v>
      </c>
      <c r="D5">
        <f>RANK(TAcum[[#This Row],[j02]],TAcum[[#All],[j02]],0)</f>
        <v>1</v>
      </c>
      <c r="E5">
        <f>RANK(TAcum[[#This Row],[j03]],TAcum[[#All],[j03]],0)</f>
        <v>3</v>
      </c>
      <c r="F5">
        <f>RANK(TAcum[[#This Row],[j04]],TAcum[[#All],[j04]],0)</f>
        <v>38</v>
      </c>
      <c r="G5">
        <f>RANK(TAcum[[#This Row],[j05]],TAcum[[#All],[j05]],0)</f>
        <v>39</v>
      </c>
      <c r="H5">
        <f>RANK(TAcum[[#This Row],[j06]],TAcum[[#All],[j06]],0)</f>
        <v>41</v>
      </c>
      <c r="I5">
        <f>RANK(TAcum[[#This Row],[j07]],TAcum[[#All],[j07]],0)</f>
        <v>49</v>
      </c>
      <c r="J5">
        <f>RANK(TAcum[[#This Row],[j08]],TAcum[[#All],[j08]],0)</f>
        <v>49</v>
      </c>
      <c r="K5">
        <f>RANK(TAcum[[#This Row],[j09]],TAcum[[#All],[j09]],0)</f>
        <v>52</v>
      </c>
      <c r="L5">
        <f>RANK(TAcum[[#This Row],[j10]],TAcum[[#All],[j10]],0)</f>
        <v>56</v>
      </c>
      <c r="M5">
        <f>RANK(TAcum[[#This Row],[j11]],TAcum[[#All],[j11]],0)</f>
        <v>51</v>
      </c>
      <c r="N5">
        <f>RANK(TAcum[[#This Row],[j12]],TAcum[[#All],[j12]],0)</f>
        <v>54</v>
      </c>
      <c r="O5">
        <f>RANK(TAcum[[#This Row],[j13]],TAcum[[#All],[j13]],0)</f>
        <v>33</v>
      </c>
      <c r="P5">
        <f>RANK(TAcum[[#This Row],[j14]],TAcum[[#All],[j14]],0)</f>
        <v>35</v>
      </c>
      <c r="Q5">
        <f>RANK(TAcum[[#This Row],[j15]],TAcum[[#All],[j15]],0)</f>
        <v>36</v>
      </c>
      <c r="R5">
        <f>RANK(TAcum[[#This Row],[j16]],TAcum[[#All],[j16]],0)</f>
        <v>27</v>
      </c>
      <c r="S5">
        <f>RANK(TAcum[[#This Row],[j17]],TAcum[[#All],[j17]],0)</f>
        <v>32</v>
      </c>
      <c r="T5">
        <f>RANK(TAcum[[#This Row],[j18]],TAcum[[#All],[j18]],0)</f>
        <v>37</v>
      </c>
      <c r="U5">
        <f>RANK(TAcum[[#This Row],[j19]],TAcum[[#All],[j19]],0)</f>
        <v>16</v>
      </c>
      <c r="V5">
        <f>RANK(TAcum[[#This Row],[j20]],TAcum[[#All],[j20]],0)</f>
        <v>24</v>
      </c>
      <c r="W5">
        <f>RANK(TAcum[[#This Row],[j21]],TAcum[[#All],[j21]],0)</f>
        <v>5</v>
      </c>
      <c r="X5">
        <f>RANK(TAcum[[#This Row],[j22]],TAcum[[#All],[j22]],0)</f>
        <v>6</v>
      </c>
      <c r="Y5">
        <f>RANK(TAcum[[#This Row],[j23]],TAcum[[#All],[j23]],0)</f>
        <v>6</v>
      </c>
      <c r="Z5">
        <f>RANK(TAcum[[#This Row],[j24]],TAcum[[#All],[j24]],0)</f>
        <v>8</v>
      </c>
      <c r="AA5">
        <f>RANK(TAcum[[#This Row],[j25]],TAcum[[#All],[j25]],0)</f>
        <v>8</v>
      </c>
      <c r="AB5">
        <f>RANK(TAcum[[#This Row],[j26]],TAcum[[#All],[j26]],0)</f>
        <v>3</v>
      </c>
      <c r="AC5">
        <f>RANK(TAcum[[#This Row],[j27]],TAcum[[#All],[j27]],0)</f>
        <v>3</v>
      </c>
      <c r="AD5">
        <f>RANK(TAcum[[#This Row],[j28]],TAcum[[#All],[j28]],0)</f>
        <v>2</v>
      </c>
      <c r="AE5">
        <f>RANK(TAcum[[#This Row],[j29]],TAcum[[#All],[j29]],0)</f>
        <v>3</v>
      </c>
      <c r="AF5">
        <f>RANK(TAcum[[#This Row],[j30]],TAcum[[#All],[j30]],0)</f>
        <v>3</v>
      </c>
      <c r="AG5">
        <f>RANK(TAcum[[#This Row],[j31]],TAcum[[#All],[j31]],0)</f>
        <v>3</v>
      </c>
      <c r="AH5">
        <f>RANK(TAcum[[#This Row],[j32]],TAcum[[#All],[j32]],0)</f>
        <v>3</v>
      </c>
      <c r="AI5">
        <f>RANK(TAcum[[#This Row],[j33]],TAcum[[#All],[j33]],0)</f>
        <v>3</v>
      </c>
      <c r="AJ5">
        <f>RANK(TAcum[[#This Row],[j34]],TAcum[[#All],[j34]],0)</f>
        <v>3</v>
      </c>
      <c r="AK5">
        <f>RANK(TAcum[[#This Row],[j35]],TAcum[[#All],[j35]],0)</f>
        <v>3</v>
      </c>
      <c r="AL5">
        <f>RANK(TAcum[[#This Row],[j36]],TAcum[[#All],[j36]],0)</f>
        <v>3</v>
      </c>
      <c r="AM5">
        <f>RANK(TAcum[[#This Row],[j37]],TAcum[[#All],[j37]],0)</f>
        <v>3</v>
      </c>
      <c r="AN5">
        <f>RANK(TAcum[[#This Row],[j38]],TAcum[[#All],[j38]],0)</f>
        <v>3</v>
      </c>
      <c r="AO5">
        <f>RANK(TAcum[[#This Row],[j39]],TAcum[[#All],[j39]],0)</f>
        <v>3</v>
      </c>
      <c r="AP5">
        <f>RANK(TAcum[[#This Row],[j40]],TAcum[[#All],[j40]],0)</f>
        <v>3</v>
      </c>
      <c r="AQ5">
        <f>RANK(TAcum[[#This Row],[j41]],TAcum[[#All],[j41]],0)</f>
        <v>3</v>
      </c>
      <c r="AR5">
        <f>RANK(TAcum[[#This Row],[j42]],TAcum[[#All],[j42]],0)</f>
        <v>3</v>
      </c>
      <c r="AS5">
        <f>RANK(TAcum[[#This Row],[j43]],TAcum[[#All],[j43]],0)</f>
        <v>3</v>
      </c>
      <c r="AT5">
        <f>RANK(TAcum[[#This Row],[j44]],TAcum[[#All],[j44]],0)</f>
        <v>3</v>
      </c>
      <c r="AU5">
        <f>RANK(TAcum[[#This Row],[j45]],TAcum[[#All],[j45]],0)</f>
        <v>3</v>
      </c>
      <c r="AV5">
        <f>RANK(TAcum[[#This Row],[j46]],TAcum[[#All],[j46]],0)</f>
        <v>3</v>
      </c>
      <c r="AW5">
        <f>RANK(TAcum[[#This Row],[j47]],TAcum[[#All],[j47]],0)</f>
        <v>3</v>
      </c>
      <c r="AX5">
        <f>RANK(TAcum[[#This Row],[j48]],TAcum[[#All],[j48]],0)</f>
        <v>3</v>
      </c>
      <c r="AY5">
        <f>RANK(TAcum[[#This Row],[j49]],TAcum[[#All],[j49]],0)</f>
        <v>3</v>
      </c>
      <c r="AZ5">
        <f>RANK(TAcum[[#This Row],[j50]],TAcum[[#All],[j50]],0)</f>
        <v>3</v>
      </c>
      <c r="BA5">
        <f>RANK(TAcum[[#This Row],[j51]],TAcum[[#All],[j51]],0)</f>
        <v>3</v>
      </c>
      <c r="BB5">
        <f>RANK(TAcum[[#This Row],[j52]],TAcum[[#All],[j52]],0)</f>
        <v>3</v>
      </c>
      <c r="BC5">
        <f>RANK(TAcum[[#This Row],[j53]],TAcum[[#All],[j53]],0)</f>
        <v>3</v>
      </c>
      <c r="BD5">
        <f>RANK(TAcum[[#This Row],[j54]],TAcum[[#All],[j54]],0)</f>
        <v>3</v>
      </c>
      <c r="BE5">
        <f>RANK(TAcum[[#This Row],[j55]],TAcum[[#All],[j55]],0)</f>
        <v>3</v>
      </c>
      <c r="BF5">
        <f>RANK(TAcum[[#This Row],[j56]],TAcum[[#All],[j56]],0)</f>
        <v>3</v>
      </c>
      <c r="BG5">
        <f>RANK(TAcum[[#This Row],[j57]],TAcum[[#All],[j57]],0)</f>
        <v>3</v>
      </c>
      <c r="BH5">
        <f>RANK(TAcum[[#This Row],[j58]],TAcum[[#All],[j58]],0)</f>
        <v>3</v>
      </c>
      <c r="BI5">
        <f>RANK(TAcum[[#This Row],[j59]],TAcum[[#All],[j59]],0)</f>
        <v>3</v>
      </c>
      <c r="BJ5">
        <f>RANK(TAcum[[#This Row],[j60]],TAcum[[#All],[j60]],0)</f>
        <v>3</v>
      </c>
      <c r="BK5">
        <f>RANK(TAcum[[#This Row],[j61]],TAcum[[#All],[j61]],0)</f>
        <v>3</v>
      </c>
      <c r="BL5">
        <f>RANK(TAcum[[#This Row],[j62]],TAcum[[#All],[j62]],0)</f>
        <v>3</v>
      </c>
      <c r="BM5">
        <f>RANK(TAcum[[#This Row],[j63]],TAcum[[#All],[j63]],0)</f>
        <v>3</v>
      </c>
      <c r="BN5">
        <f>RANK(TAcum[[#This Row],[j64]],TAcum[[#All],[j64]],0)</f>
        <v>3</v>
      </c>
      <c r="BO5">
        <f>RANK(TAcum[[#This Row],[j65]],TAcum[[#All],[j65]],0)</f>
        <v>3</v>
      </c>
      <c r="BP5">
        <f>RANK(TAcum[[#This Row],[j66]],TAcum[[#All],[j66]],0)</f>
        <v>3</v>
      </c>
      <c r="BQ5">
        <f>RANK(TAcum[[#This Row],[j67]],TAcum[[#All],[j67]],0)</f>
        <v>3</v>
      </c>
      <c r="BR5">
        <f>RANK(TAcum[[#This Row],[j68]],TAcum[[#All],[j68]],0)</f>
        <v>3</v>
      </c>
      <c r="BS5">
        <f>RANK(TAcum[[#This Row],[j69]],TAcum[[#All],[j69]],0)</f>
        <v>3</v>
      </c>
      <c r="BT5">
        <f>RANK(TAcum[[#This Row],[j70]],TAcum[[#All],[j70]],0)</f>
        <v>3</v>
      </c>
      <c r="BU5">
        <f>RANK(TAcum[[#This Row],[j71]],TAcum[[#All],[j71]],0)</f>
        <v>3</v>
      </c>
      <c r="BV5">
        <f>RANK(TAcum[[#This Row],[j72]],TAcum[[#All],[j72]],0)</f>
        <v>3</v>
      </c>
      <c r="BW5">
        <f>RANK(TAcum[[#This Row],[j73]],TAcum[[#All],[j73]],0)</f>
        <v>3</v>
      </c>
    </row>
    <row r="6" spans="1:75" x14ac:dyDescent="0.25">
      <c r="A6" t="str">
        <f>TAcum[[#This Row],[Jogador]]</f>
        <v>Gabriel Coni</v>
      </c>
      <c r="B6">
        <f>RANK(TAcum[[#This Row],[total]],TAcum[[#All],[total]],0)</f>
        <v>5</v>
      </c>
      <c r="C6">
        <f>RANK(TAcum[[#This Row],[j01]],TAcum[[#All],[j01]],0)</f>
        <v>13</v>
      </c>
      <c r="D6">
        <f>RANK(TAcum[[#This Row],[j02]],TAcum[[#All],[j02]],0)</f>
        <v>14</v>
      </c>
      <c r="E6">
        <f>RANK(TAcum[[#This Row],[j03]],TAcum[[#All],[j03]],0)</f>
        <v>24</v>
      </c>
      <c r="F6">
        <f>RANK(TAcum[[#This Row],[j04]],TAcum[[#All],[j04]],0)</f>
        <v>9</v>
      </c>
      <c r="G6">
        <f>RANK(TAcum[[#This Row],[j05]],TAcum[[#All],[j05]],0)</f>
        <v>9</v>
      </c>
      <c r="H6">
        <f>RANK(TAcum[[#This Row],[j06]],TAcum[[#All],[j06]],0)</f>
        <v>9</v>
      </c>
      <c r="I6">
        <f>RANK(TAcum[[#This Row],[j07]],TAcum[[#All],[j07]],0)</f>
        <v>5</v>
      </c>
      <c r="J6">
        <f>RANK(TAcum[[#This Row],[j08]],TAcum[[#All],[j08]],0)</f>
        <v>4</v>
      </c>
      <c r="K6">
        <f>RANK(TAcum[[#This Row],[j09]],TAcum[[#All],[j09]],0)</f>
        <v>6</v>
      </c>
      <c r="L6">
        <f>RANK(TAcum[[#This Row],[j10]],TAcum[[#All],[j10]],0)</f>
        <v>7</v>
      </c>
      <c r="M6">
        <f>RANK(TAcum[[#This Row],[j11]],TAcum[[#All],[j11]],0)</f>
        <v>6</v>
      </c>
      <c r="N6">
        <f>RANK(TAcum[[#This Row],[j12]],TAcum[[#All],[j12]],0)</f>
        <v>9</v>
      </c>
      <c r="O6">
        <f>RANK(TAcum[[#This Row],[j13]],TAcum[[#All],[j13]],0)</f>
        <v>5</v>
      </c>
      <c r="P6">
        <f>RANK(TAcum[[#This Row],[j14]],TAcum[[#All],[j14]],0)</f>
        <v>1</v>
      </c>
      <c r="Q6">
        <f>RANK(TAcum[[#This Row],[j15]],TAcum[[#All],[j15]],0)</f>
        <v>1</v>
      </c>
      <c r="R6">
        <f>RANK(TAcum[[#This Row],[j16]],TAcum[[#All],[j16]],0)</f>
        <v>1</v>
      </c>
      <c r="S6">
        <f>RANK(TAcum[[#This Row],[j17]],TAcum[[#All],[j17]],0)</f>
        <v>1</v>
      </c>
      <c r="T6">
        <f>RANK(TAcum[[#This Row],[j18]],TAcum[[#All],[j18]],0)</f>
        <v>1</v>
      </c>
      <c r="U6">
        <f>RANK(TAcum[[#This Row],[j19]],TAcum[[#All],[j19]],0)</f>
        <v>2</v>
      </c>
      <c r="V6">
        <f>RANK(TAcum[[#This Row],[j20]],TAcum[[#All],[j20]],0)</f>
        <v>2</v>
      </c>
      <c r="W6">
        <f>RANK(TAcum[[#This Row],[j21]],TAcum[[#All],[j21]],0)</f>
        <v>2</v>
      </c>
      <c r="X6">
        <f>RANK(TAcum[[#This Row],[j22]],TAcum[[#All],[j22]],0)</f>
        <v>1</v>
      </c>
      <c r="Y6">
        <f>RANK(TAcum[[#This Row],[j23]],TAcum[[#All],[j23]],0)</f>
        <v>1</v>
      </c>
      <c r="Z6">
        <f>RANK(TAcum[[#This Row],[j24]],TAcum[[#All],[j24]],0)</f>
        <v>6</v>
      </c>
      <c r="AA6">
        <f>RANK(TAcum[[#This Row],[j25]],TAcum[[#All],[j25]],0)</f>
        <v>6</v>
      </c>
      <c r="AB6">
        <f>RANK(TAcum[[#This Row],[j26]],TAcum[[#All],[j26]],0)</f>
        <v>7</v>
      </c>
      <c r="AC6">
        <f>RANK(TAcum[[#This Row],[j27]],TAcum[[#All],[j27]],0)</f>
        <v>7</v>
      </c>
      <c r="AD6">
        <f>RANK(TAcum[[#This Row],[j28]],TAcum[[#All],[j28]],0)</f>
        <v>5</v>
      </c>
      <c r="AE6">
        <f>RANK(TAcum[[#This Row],[j29]],TAcum[[#All],[j29]],0)</f>
        <v>5</v>
      </c>
      <c r="AF6">
        <f>RANK(TAcum[[#This Row],[j30]],TAcum[[#All],[j30]],0)</f>
        <v>5</v>
      </c>
      <c r="AG6">
        <f>RANK(TAcum[[#This Row],[j31]],TAcum[[#All],[j31]],0)</f>
        <v>5</v>
      </c>
      <c r="AH6">
        <f>RANK(TAcum[[#This Row],[j32]],TAcum[[#All],[j32]],0)</f>
        <v>5</v>
      </c>
      <c r="AI6">
        <f>RANK(TAcum[[#This Row],[j33]],TAcum[[#All],[j33]],0)</f>
        <v>5</v>
      </c>
      <c r="AJ6">
        <f>RANK(TAcum[[#This Row],[j34]],TAcum[[#All],[j34]],0)</f>
        <v>5</v>
      </c>
      <c r="AK6">
        <f>RANK(TAcum[[#This Row],[j35]],TAcum[[#All],[j35]],0)</f>
        <v>5</v>
      </c>
      <c r="AL6">
        <f>RANK(TAcum[[#This Row],[j36]],TAcum[[#All],[j36]],0)</f>
        <v>5</v>
      </c>
      <c r="AM6">
        <f>RANK(TAcum[[#This Row],[j37]],TAcum[[#All],[j37]],0)</f>
        <v>5</v>
      </c>
      <c r="AN6">
        <f>RANK(TAcum[[#This Row],[j38]],TAcum[[#All],[j38]],0)</f>
        <v>5</v>
      </c>
      <c r="AO6">
        <f>RANK(TAcum[[#This Row],[j39]],TAcum[[#All],[j39]],0)</f>
        <v>5</v>
      </c>
      <c r="AP6">
        <f>RANK(TAcum[[#This Row],[j40]],TAcum[[#All],[j40]],0)</f>
        <v>5</v>
      </c>
      <c r="AQ6">
        <f>RANK(TAcum[[#This Row],[j41]],TAcum[[#All],[j41]],0)</f>
        <v>5</v>
      </c>
      <c r="AR6">
        <f>RANK(TAcum[[#This Row],[j42]],TAcum[[#All],[j42]],0)</f>
        <v>5</v>
      </c>
      <c r="AS6">
        <f>RANK(TAcum[[#This Row],[j43]],TAcum[[#All],[j43]],0)</f>
        <v>5</v>
      </c>
      <c r="AT6">
        <f>RANK(TAcum[[#This Row],[j44]],TAcum[[#All],[j44]],0)</f>
        <v>5</v>
      </c>
      <c r="AU6">
        <f>RANK(TAcum[[#This Row],[j45]],TAcum[[#All],[j45]],0)</f>
        <v>5</v>
      </c>
      <c r="AV6">
        <f>RANK(TAcum[[#This Row],[j46]],TAcum[[#All],[j46]],0)</f>
        <v>5</v>
      </c>
      <c r="AW6">
        <f>RANK(TAcum[[#This Row],[j47]],TAcum[[#All],[j47]],0)</f>
        <v>5</v>
      </c>
      <c r="AX6">
        <f>RANK(TAcum[[#This Row],[j48]],TAcum[[#All],[j48]],0)</f>
        <v>5</v>
      </c>
      <c r="AY6">
        <f>RANK(TAcum[[#This Row],[j49]],TAcum[[#All],[j49]],0)</f>
        <v>5</v>
      </c>
      <c r="AZ6">
        <f>RANK(TAcum[[#This Row],[j50]],TAcum[[#All],[j50]],0)</f>
        <v>5</v>
      </c>
      <c r="BA6">
        <f>RANK(TAcum[[#This Row],[j51]],TAcum[[#All],[j51]],0)</f>
        <v>5</v>
      </c>
      <c r="BB6">
        <f>RANK(TAcum[[#This Row],[j52]],TAcum[[#All],[j52]],0)</f>
        <v>5</v>
      </c>
      <c r="BC6">
        <f>RANK(TAcum[[#This Row],[j53]],TAcum[[#All],[j53]],0)</f>
        <v>5</v>
      </c>
      <c r="BD6">
        <f>RANK(TAcum[[#This Row],[j54]],TAcum[[#All],[j54]],0)</f>
        <v>5</v>
      </c>
      <c r="BE6">
        <f>RANK(TAcum[[#This Row],[j55]],TAcum[[#All],[j55]],0)</f>
        <v>5</v>
      </c>
      <c r="BF6">
        <f>RANK(TAcum[[#This Row],[j56]],TAcum[[#All],[j56]],0)</f>
        <v>5</v>
      </c>
      <c r="BG6">
        <f>RANK(TAcum[[#This Row],[j57]],TAcum[[#All],[j57]],0)</f>
        <v>5</v>
      </c>
      <c r="BH6">
        <f>RANK(TAcum[[#This Row],[j58]],TAcum[[#All],[j58]],0)</f>
        <v>5</v>
      </c>
      <c r="BI6">
        <f>RANK(TAcum[[#This Row],[j59]],TAcum[[#All],[j59]],0)</f>
        <v>5</v>
      </c>
      <c r="BJ6">
        <f>RANK(TAcum[[#This Row],[j60]],TAcum[[#All],[j60]],0)</f>
        <v>5</v>
      </c>
      <c r="BK6">
        <f>RANK(TAcum[[#This Row],[j61]],TAcum[[#All],[j61]],0)</f>
        <v>5</v>
      </c>
      <c r="BL6">
        <f>RANK(TAcum[[#This Row],[j62]],TAcum[[#All],[j62]],0)</f>
        <v>5</v>
      </c>
      <c r="BM6">
        <f>RANK(TAcum[[#This Row],[j63]],TAcum[[#All],[j63]],0)</f>
        <v>5</v>
      </c>
      <c r="BN6">
        <f>RANK(TAcum[[#This Row],[j64]],TAcum[[#All],[j64]],0)</f>
        <v>5</v>
      </c>
      <c r="BO6">
        <f>RANK(TAcum[[#This Row],[j65]],TAcum[[#All],[j65]],0)</f>
        <v>5</v>
      </c>
      <c r="BP6">
        <f>RANK(TAcum[[#This Row],[j66]],TAcum[[#All],[j66]],0)</f>
        <v>5</v>
      </c>
      <c r="BQ6">
        <f>RANK(TAcum[[#This Row],[j67]],TAcum[[#All],[j67]],0)</f>
        <v>5</v>
      </c>
      <c r="BR6">
        <f>RANK(TAcum[[#This Row],[j68]],TAcum[[#All],[j68]],0)</f>
        <v>5</v>
      </c>
      <c r="BS6">
        <f>RANK(TAcum[[#This Row],[j69]],TAcum[[#All],[j69]],0)</f>
        <v>5</v>
      </c>
      <c r="BT6">
        <f>RANK(TAcum[[#This Row],[j70]],TAcum[[#All],[j70]],0)</f>
        <v>5</v>
      </c>
      <c r="BU6">
        <f>RANK(TAcum[[#This Row],[j71]],TAcum[[#All],[j71]],0)</f>
        <v>5</v>
      </c>
      <c r="BV6">
        <f>RANK(TAcum[[#This Row],[j72]],TAcum[[#All],[j72]],0)</f>
        <v>5</v>
      </c>
      <c r="BW6">
        <f>RANK(TAcum[[#This Row],[j73]],TAcum[[#All],[j73]],0)</f>
        <v>5</v>
      </c>
    </row>
    <row r="7" spans="1:75" x14ac:dyDescent="0.25">
      <c r="A7" t="str">
        <f>TAcum[[#This Row],[Jogador]]</f>
        <v>Paulo Machado</v>
      </c>
      <c r="B7">
        <f>RANK(TAcum[[#This Row],[total]],TAcum[[#All],[total]],0)</f>
        <v>5</v>
      </c>
      <c r="C7">
        <f>RANK(TAcum[[#This Row],[j01]],TAcum[[#All],[j01]],0)</f>
        <v>62</v>
      </c>
      <c r="D7">
        <f>RANK(TAcum[[#This Row],[j02]],TAcum[[#All],[j02]],0)</f>
        <v>59</v>
      </c>
      <c r="E7">
        <f>RANK(TAcum[[#This Row],[j03]],TAcum[[#All],[j03]],0)</f>
        <v>52</v>
      </c>
      <c r="F7">
        <f>RANK(TAcum[[#This Row],[j04]],TAcum[[#All],[j04]],0)</f>
        <v>27</v>
      </c>
      <c r="G7">
        <f>RANK(TAcum[[#This Row],[j05]],TAcum[[#All],[j05]],0)</f>
        <v>27</v>
      </c>
      <c r="H7">
        <f>RANK(TAcum[[#This Row],[j06]],TAcum[[#All],[j06]],0)</f>
        <v>23</v>
      </c>
      <c r="I7">
        <f>RANK(TAcum[[#This Row],[j07]],TAcum[[#All],[j07]],0)</f>
        <v>16</v>
      </c>
      <c r="J7">
        <f>RANK(TAcum[[#This Row],[j08]],TAcum[[#All],[j08]],0)</f>
        <v>8</v>
      </c>
      <c r="K7">
        <f>RANK(TAcum[[#This Row],[j09]],TAcum[[#All],[j09]],0)</f>
        <v>3</v>
      </c>
      <c r="L7">
        <f>RANK(TAcum[[#This Row],[j10]],TAcum[[#All],[j10]],0)</f>
        <v>4</v>
      </c>
      <c r="M7">
        <f>RANK(TAcum[[#This Row],[j11]],TAcum[[#All],[j11]],0)</f>
        <v>23</v>
      </c>
      <c r="N7">
        <f>RANK(TAcum[[#This Row],[j12]],TAcum[[#All],[j12]],0)</f>
        <v>22</v>
      </c>
      <c r="O7">
        <f>RANK(TAcum[[#This Row],[j13]],TAcum[[#All],[j13]],0)</f>
        <v>46</v>
      </c>
      <c r="P7">
        <f>RANK(TAcum[[#This Row],[j14]],TAcum[[#All],[j14]],0)</f>
        <v>15</v>
      </c>
      <c r="Q7">
        <f>RANK(TAcum[[#This Row],[j15]],TAcum[[#All],[j15]],0)</f>
        <v>16</v>
      </c>
      <c r="R7">
        <f>RANK(TAcum[[#This Row],[j16]],TAcum[[#All],[j16]],0)</f>
        <v>19</v>
      </c>
      <c r="S7">
        <f>RANK(TAcum[[#This Row],[j17]],TAcum[[#All],[j17]],0)</f>
        <v>23</v>
      </c>
      <c r="T7">
        <f>RANK(TAcum[[#This Row],[j18]],TAcum[[#All],[j18]],0)</f>
        <v>22</v>
      </c>
      <c r="U7">
        <f>RANK(TAcum[[#This Row],[j19]],TAcum[[#All],[j19]],0)</f>
        <v>38</v>
      </c>
      <c r="V7">
        <f>RANK(TAcum[[#This Row],[j20]],TAcum[[#All],[j20]],0)</f>
        <v>12</v>
      </c>
      <c r="W7">
        <f>RANK(TAcum[[#This Row],[j21]],TAcum[[#All],[j21]],0)</f>
        <v>10</v>
      </c>
      <c r="X7">
        <f>RANK(TAcum[[#This Row],[j22]],TAcum[[#All],[j22]],0)</f>
        <v>3</v>
      </c>
      <c r="Y7">
        <f>RANK(TAcum[[#This Row],[j23]],TAcum[[#All],[j23]],0)</f>
        <v>4</v>
      </c>
      <c r="Z7">
        <f>RANK(TAcum[[#This Row],[j24]],TAcum[[#All],[j24]],0)</f>
        <v>7</v>
      </c>
      <c r="AA7">
        <f>RANK(TAcum[[#This Row],[j25]],TAcum[[#All],[j25]],0)</f>
        <v>4</v>
      </c>
      <c r="AB7">
        <f>RANK(TAcum[[#This Row],[j26]],TAcum[[#All],[j26]],0)</f>
        <v>6</v>
      </c>
      <c r="AC7">
        <f>RANK(TAcum[[#This Row],[j27]],TAcum[[#All],[j27]],0)</f>
        <v>6</v>
      </c>
      <c r="AD7">
        <f>RANK(TAcum[[#This Row],[j28]],TAcum[[#All],[j28]],0)</f>
        <v>5</v>
      </c>
      <c r="AE7">
        <f>RANK(TAcum[[#This Row],[j29]],TAcum[[#All],[j29]],0)</f>
        <v>5</v>
      </c>
      <c r="AF7">
        <f>RANK(TAcum[[#This Row],[j30]],TAcum[[#All],[j30]],0)</f>
        <v>5</v>
      </c>
      <c r="AG7">
        <f>RANK(TAcum[[#This Row],[j31]],TAcum[[#All],[j31]],0)</f>
        <v>5</v>
      </c>
      <c r="AH7">
        <f>RANK(TAcum[[#This Row],[j32]],TAcum[[#All],[j32]],0)</f>
        <v>5</v>
      </c>
      <c r="AI7">
        <f>RANK(TAcum[[#This Row],[j33]],TAcum[[#All],[j33]],0)</f>
        <v>5</v>
      </c>
      <c r="AJ7">
        <f>RANK(TAcum[[#This Row],[j34]],TAcum[[#All],[j34]],0)</f>
        <v>5</v>
      </c>
      <c r="AK7">
        <f>RANK(TAcum[[#This Row],[j35]],TAcum[[#All],[j35]],0)</f>
        <v>5</v>
      </c>
      <c r="AL7">
        <f>RANK(TAcum[[#This Row],[j36]],TAcum[[#All],[j36]],0)</f>
        <v>5</v>
      </c>
      <c r="AM7">
        <f>RANK(TAcum[[#This Row],[j37]],TAcum[[#All],[j37]],0)</f>
        <v>5</v>
      </c>
      <c r="AN7">
        <f>RANK(TAcum[[#This Row],[j38]],TAcum[[#All],[j38]],0)</f>
        <v>5</v>
      </c>
      <c r="AO7">
        <f>RANK(TAcum[[#This Row],[j39]],TAcum[[#All],[j39]],0)</f>
        <v>5</v>
      </c>
      <c r="AP7">
        <f>RANK(TAcum[[#This Row],[j40]],TAcum[[#All],[j40]],0)</f>
        <v>5</v>
      </c>
      <c r="AQ7">
        <f>RANK(TAcum[[#This Row],[j41]],TAcum[[#All],[j41]],0)</f>
        <v>5</v>
      </c>
      <c r="AR7">
        <f>RANK(TAcum[[#This Row],[j42]],TAcum[[#All],[j42]],0)</f>
        <v>5</v>
      </c>
      <c r="AS7">
        <f>RANK(TAcum[[#This Row],[j43]],TAcum[[#All],[j43]],0)</f>
        <v>5</v>
      </c>
      <c r="AT7">
        <f>RANK(TAcum[[#This Row],[j44]],TAcum[[#All],[j44]],0)</f>
        <v>5</v>
      </c>
      <c r="AU7">
        <f>RANK(TAcum[[#This Row],[j45]],TAcum[[#All],[j45]],0)</f>
        <v>5</v>
      </c>
      <c r="AV7">
        <f>RANK(TAcum[[#This Row],[j46]],TAcum[[#All],[j46]],0)</f>
        <v>5</v>
      </c>
      <c r="AW7">
        <f>RANK(TAcum[[#This Row],[j47]],TAcum[[#All],[j47]],0)</f>
        <v>5</v>
      </c>
      <c r="AX7">
        <f>RANK(TAcum[[#This Row],[j48]],TAcum[[#All],[j48]],0)</f>
        <v>5</v>
      </c>
      <c r="AY7">
        <f>RANK(TAcum[[#This Row],[j49]],TAcum[[#All],[j49]],0)</f>
        <v>5</v>
      </c>
      <c r="AZ7">
        <f>RANK(TAcum[[#This Row],[j50]],TAcum[[#All],[j50]],0)</f>
        <v>5</v>
      </c>
      <c r="BA7">
        <f>RANK(TAcum[[#This Row],[j51]],TAcum[[#All],[j51]],0)</f>
        <v>5</v>
      </c>
      <c r="BB7">
        <f>RANK(TAcum[[#This Row],[j52]],TAcum[[#All],[j52]],0)</f>
        <v>5</v>
      </c>
      <c r="BC7">
        <f>RANK(TAcum[[#This Row],[j53]],TAcum[[#All],[j53]],0)</f>
        <v>5</v>
      </c>
      <c r="BD7">
        <f>RANK(TAcum[[#This Row],[j54]],TAcum[[#All],[j54]],0)</f>
        <v>5</v>
      </c>
      <c r="BE7">
        <f>RANK(TAcum[[#This Row],[j55]],TAcum[[#All],[j55]],0)</f>
        <v>5</v>
      </c>
      <c r="BF7">
        <f>RANK(TAcum[[#This Row],[j56]],TAcum[[#All],[j56]],0)</f>
        <v>5</v>
      </c>
      <c r="BG7">
        <f>RANK(TAcum[[#This Row],[j57]],TAcum[[#All],[j57]],0)</f>
        <v>5</v>
      </c>
      <c r="BH7">
        <f>RANK(TAcum[[#This Row],[j58]],TAcum[[#All],[j58]],0)</f>
        <v>5</v>
      </c>
      <c r="BI7">
        <f>RANK(TAcum[[#This Row],[j59]],TAcum[[#All],[j59]],0)</f>
        <v>5</v>
      </c>
      <c r="BJ7">
        <f>RANK(TAcum[[#This Row],[j60]],TAcum[[#All],[j60]],0)</f>
        <v>5</v>
      </c>
      <c r="BK7">
        <f>RANK(TAcum[[#This Row],[j61]],TAcum[[#All],[j61]],0)</f>
        <v>5</v>
      </c>
      <c r="BL7">
        <f>RANK(TAcum[[#This Row],[j62]],TAcum[[#All],[j62]],0)</f>
        <v>5</v>
      </c>
      <c r="BM7">
        <f>RANK(TAcum[[#This Row],[j63]],TAcum[[#All],[j63]],0)</f>
        <v>5</v>
      </c>
      <c r="BN7">
        <f>RANK(TAcum[[#This Row],[j64]],TAcum[[#All],[j64]],0)</f>
        <v>5</v>
      </c>
      <c r="BO7">
        <f>RANK(TAcum[[#This Row],[j65]],TAcum[[#All],[j65]],0)</f>
        <v>5</v>
      </c>
      <c r="BP7">
        <f>RANK(TAcum[[#This Row],[j66]],TAcum[[#All],[j66]],0)</f>
        <v>5</v>
      </c>
      <c r="BQ7">
        <f>RANK(TAcum[[#This Row],[j67]],TAcum[[#All],[j67]],0)</f>
        <v>5</v>
      </c>
      <c r="BR7">
        <f>RANK(TAcum[[#This Row],[j68]],TAcum[[#All],[j68]],0)</f>
        <v>5</v>
      </c>
      <c r="BS7">
        <f>RANK(TAcum[[#This Row],[j69]],TAcum[[#All],[j69]],0)</f>
        <v>5</v>
      </c>
      <c r="BT7">
        <f>RANK(TAcum[[#This Row],[j70]],TAcum[[#All],[j70]],0)</f>
        <v>5</v>
      </c>
      <c r="BU7">
        <f>RANK(TAcum[[#This Row],[j71]],TAcum[[#All],[j71]],0)</f>
        <v>5</v>
      </c>
      <c r="BV7">
        <f>RANK(TAcum[[#This Row],[j72]],TAcum[[#All],[j72]],0)</f>
        <v>5</v>
      </c>
      <c r="BW7">
        <f>RANK(TAcum[[#This Row],[j73]],TAcum[[#All],[j73]],0)</f>
        <v>5</v>
      </c>
    </row>
    <row r="8" spans="1:75" x14ac:dyDescent="0.25">
      <c r="A8" t="str">
        <f>TAcum[[#This Row],[Jogador]]</f>
        <v>Ivã das Neves Reis</v>
      </c>
      <c r="B8">
        <f>RANK(TAcum[[#This Row],[total]],TAcum[[#All],[total]],0)</f>
        <v>7</v>
      </c>
      <c r="C8">
        <f>RANK(TAcum[[#This Row],[j01]],TAcum[[#All],[j01]],0)</f>
        <v>13</v>
      </c>
      <c r="D8">
        <f>RANK(TAcum[[#This Row],[j02]],TAcum[[#All],[j02]],0)</f>
        <v>14</v>
      </c>
      <c r="E8">
        <f>RANK(TAcum[[#This Row],[j03]],TAcum[[#All],[j03]],0)</f>
        <v>3</v>
      </c>
      <c r="F8">
        <f>RANK(TAcum[[#This Row],[j04]],TAcum[[#All],[j04]],0)</f>
        <v>1</v>
      </c>
      <c r="G8">
        <f>RANK(TAcum[[#This Row],[j05]],TAcum[[#All],[j05]],0)</f>
        <v>1</v>
      </c>
      <c r="H8">
        <f>RANK(TAcum[[#This Row],[j06]],TAcum[[#All],[j06]],0)</f>
        <v>1</v>
      </c>
      <c r="I8">
        <f>RANK(TAcum[[#This Row],[j07]],TAcum[[#All],[j07]],0)</f>
        <v>1</v>
      </c>
      <c r="J8">
        <f>RANK(TAcum[[#This Row],[j08]],TAcum[[#All],[j08]],0)</f>
        <v>1</v>
      </c>
      <c r="K8">
        <f>RANK(TAcum[[#This Row],[j09]],TAcum[[#All],[j09]],0)</f>
        <v>1</v>
      </c>
      <c r="L8">
        <f>RANK(TAcum[[#This Row],[j10]],TAcum[[#All],[j10]],0)</f>
        <v>1</v>
      </c>
      <c r="M8">
        <f>RANK(TAcum[[#This Row],[j11]],TAcum[[#All],[j11]],0)</f>
        <v>1</v>
      </c>
      <c r="N8">
        <f>RANK(TAcum[[#This Row],[j12]],TAcum[[#All],[j12]],0)</f>
        <v>6</v>
      </c>
      <c r="O8">
        <f>RANK(TAcum[[#This Row],[j13]],TAcum[[#All],[j13]],0)</f>
        <v>22</v>
      </c>
      <c r="P8">
        <f>RANK(TAcum[[#This Row],[j14]],TAcum[[#All],[j14]],0)</f>
        <v>23</v>
      </c>
      <c r="Q8">
        <f>RANK(TAcum[[#This Row],[j15]],TAcum[[#All],[j15]],0)</f>
        <v>25</v>
      </c>
      <c r="R8">
        <f>RANK(TAcum[[#This Row],[j16]],TAcum[[#All],[j16]],0)</f>
        <v>30</v>
      </c>
      <c r="S8">
        <f>RANK(TAcum[[#This Row],[j17]],TAcum[[#All],[j17]],0)</f>
        <v>38</v>
      </c>
      <c r="T8">
        <f>RANK(TAcum[[#This Row],[j18]],TAcum[[#All],[j18]],0)</f>
        <v>16</v>
      </c>
      <c r="U8">
        <f>RANK(TAcum[[#This Row],[j19]],TAcum[[#All],[j19]],0)</f>
        <v>7</v>
      </c>
      <c r="V8">
        <f>RANK(TAcum[[#This Row],[j20]],TAcum[[#All],[j20]],0)</f>
        <v>7</v>
      </c>
      <c r="W8">
        <f>RANK(TAcum[[#This Row],[j21]],TAcum[[#All],[j21]],0)</f>
        <v>10</v>
      </c>
      <c r="X8">
        <f>RANK(TAcum[[#This Row],[j22]],TAcum[[#All],[j22]],0)</f>
        <v>3</v>
      </c>
      <c r="Y8">
        <f>RANK(TAcum[[#This Row],[j23]],TAcum[[#All],[j23]],0)</f>
        <v>4</v>
      </c>
      <c r="Z8">
        <f>RANK(TAcum[[#This Row],[j24]],TAcum[[#All],[j24]],0)</f>
        <v>2</v>
      </c>
      <c r="AA8">
        <f>RANK(TAcum[[#This Row],[j25]],TAcum[[#All],[j25]],0)</f>
        <v>7</v>
      </c>
      <c r="AB8">
        <f>RANK(TAcum[[#This Row],[j26]],TAcum[[#All],[j26]],0)</f>
        <v>7</v>
      </c>
      <c r="AC8">
        <f>RANK(TAcum[[#This Row],[j27]],TAcum[[#All],[j27]],0)</f>
        <v>7</v>
      </c>
      <c r="AD8">
        <f>RANK(TAcum[[#This Row],[j28]],TAcum[[#All],[j28]],0)</f>
        <v>8</v>
      </c>
      <c r="AE8">
        <f>RANK(TAcum[[#This Row],[j29]],TAcum[[#All],[j29]],0)</f>
        <v>7</v>
      </c>
      <c r="AF8">
        <f>RANK(TAcum[[#This Row],[j30]],TAcum[[#All],[j30]],0)</f>
        <v>7</v>
      </c>
      <c r="AG8">
        <f>RANK(TAcum[[#This Row],[j31]],TAcum[[#All],[j31]],0)</f>
        <v>7</v>
      </c>
      <c r="AH8">
        <f>RANK(TAcum[[#This Row],[j32]],TAcum[[#All],[j32]],0)</f>
        <v>7</v>
      </c>
      <c r="AI8">
        <f>RANK(TAcum[[#This Row],[j33]],TAcum[[#All],[j33]],0)</f>
        <v>7</v>
      </c>
      <c r="AJ8">
        <f>RANK(TAcum[[#This Row],[j34]],TAcum[[#All],[j34]],0)</f>
        <v>7</v>
      </c>
      <c r="AK8">
        <f>RANK(TAcum[[#This Row],[j35]],TAcum[[#All],[j35]],0)</f>
        <v>7</v>
      </c>
      <c r="AL8">
        <f>RANK(TAcum[[#This Row],[j36]],TAcum[[#All],[j36]],0)</f>
        <v>7</v>
      </c>
      <c r="AM8">
        <f>RANK(TAcum[[#This Row],[j37]],TAcum[[#All],[j37]],0)</f>
        <v>7</v>
      </c>
      <c r="AN8">
        <f>RANK(TAcum[[#This Row],[j38]],TAcum[[#All],[j38]],0)</f>
        <v>7</v>
      </c>
      <c r="AO8">
        <f>RANK(TAcum[[#This Row],[j39]],TAcum[[#All],[j39]],0)</f>
        <v>7</v>
      </c>
      <c r="AP8">
        <f>RANK(TAcum[[#This Row],[j40]],TAcum[[#All],[j40]],0)</f>
        <v>7</v>
      </c>
      <c r="AQ8">
        <f>RANK(TAcum[[#This Row],[j41]],TAcum[[#All],[j41]],0)</f>
        <v>7</v>
      </c>
      <c r="AR8">
        <f>RANK(TAcum[[#This Row],[j42]],TAcum[[#All],[j42]],0)</f>
        <v>7</v>
      </c>
      <c r="AS8">
        <f>RANK(TAcum[[#This Row],[j43]],TAcum[[#All],[j43]],0)</f>
        <v>7</v>
      </c>
      <c r="AT8">
        <f>RANK(TAcum[[#This Row],[j44]],TAcum[[#All],[j44]],0)</f>
        <v>7</v>
      </c>
      <c r="AU8">
        <f>RANK(TAcum[[#This Row],[j45]],TAcum[[#All],[j45]],0)</f>
        <v>7</v>
      </c>
      <c r="AV8">
        <f>RANK(TAcum[[#This Row],[j46]],TAcum[[#All],[j46]],0)</f>
        <v>7</v>
      </c>
      <c r="AW8">
        <f>RANK(TAcum[[#This Row],[j47]],TAcum[[#All],[j47]],0)</f>
        <v>7</v>
      </c>
      <c r="AX8">
        <f>RANK(TAcum[[#This Row],[j48]],TAcum[[#All],[j48]],0)</f>
        <v>7</v>
      </c>
      <c r="AY8">
        <f>RANK(TAcum[[#This Row],[j49]],TAcum[[#All],[j49]],0)</f>
        <v>7</v>
      </c>
      <c r="AZ8">
        <f>RANK(TAcum[[#This Row],[j50]],TAcum[[#All],[j50]],0)</f>
        <v>7</v>
      </c>
      <c r="BA8">
        <f>RANK(TAcum[[#This Row],[j51]],TAcum[[#All],[j51]],0)</f>
        <v>7</v>
      </c>
      <c r="BB8">
        <f>RANK(TAcum[[#This Row],[j52]],TAcum[[#All],[j52]],0)</f>
        <v>7</v>
      </c>
      <c r="BC8">
        <f>RANK(TAcum[[#This Row],[j53]],TAcum[[#All],[j53]],0)</f>
        <v>7</v>
      </c>
      <c r="BD8">
        <f>RANK(TAcum[[#This Row],[j54]],TAcum[[#All],[j54]],0)</f>
        <v>7</v>
      </c>
      <c r="BE8">
        <f>RANK(TAcum[[#This Row],[j55]],TAcum[[#All],[j55]],0)</f>
        <v>7</v>
      </c>
      <c r="BF8">
        <f>RANK(TAcum[[#This Row],[j56]],TAcum[[#All],[j56]],0)</f>
        <v>7</v>
      </c>
      <c r="BG8">
        <f>RANK(TAcum[[#This Row],[j57]],TAcum[[#All],[j57]],0)</f>
        <v>7</v>
      </c>
      <c r="BH8">
        <f>RANK(TAcum[[#This Row],[j58]],TAcum[[#All],[j58]],0)</f>
        <v>7</v>
      </c>
      <c r="BI8">
        <f>RANK(TAcum[[#This Row],[j59]],TAcum[[#All],[j59]],0)</f>
        <v>7</v>
      </c>
      <c r="BJ8">
        <f>RANK(TAcum[[#This Row],[j60]],TAcum[[#All],[j60]],0)</f>
        <v>7</v>
      </c>
      <c r="BK8">
        <f>RANK(TAcum[[#This Row],[j61]],TAcum[[#All],[j61]],0)</f>
        <v>7</v>
      </c>
      <c r="BL8">
        <f>RANK(TAcum[[#This Row],[j62]],TAcum[[#All],[j62]],0)</f>
        <v>7</v>
      </c>
      <c r="BM8">
        <f>RANK(TAcum[[#This Row],[j63]],TAcum[[#All],[j63]],0)</f>
        <v>7</v>
      </c>
      <c r="BN8">
        <f>RANK(TAcum[[#This Row],[j64]],TAcum[[#All],[j64]],0)</f>
        <v>7</v>
      </c>
      <c r="BO8">
        <f>RANK(TAcum[[#This Row],[j65]],TAcum[[#All],[j65]],0)</f>
        <v>7</v>
      </c>
      <c r="BP8">
        <f>RANK(TAcum[[#This Row],[j66]],TAcum[[#All],[j66]],0)</f>
        <v>7</v>
      </c>
      <c r="BQ8">
        <f>RANK(TAcum[[#This Row],[j67]],TAcum[[#All],[j67]],0)</f>
        <v>7</v>
      </c>
      <c r="BR8">
        <f>RANK(TAcum[[#This Row],[j68]],TAcum[[#All],[j68]],0)</f>
        <v>7</v>
      </c>
      <c r="BS8">
        <f>RANK(TAcum[[#This Row],[j69]],TAcum[[#All],[j69]],0)</f>
        <v>7</v>
      </c>
      <c r="BT8">
        <f>RANK(TAcum[[#This Row],[j70]],TAcum[[#All],[j70]],0)</f>
        <v>7</v>
      </c>
      <c r="BU8">
        <f>RANK(TAcum[[#This Row],[j71]],TAcum[[#All],[j71]],0)</f>
        <v>7</v>
      </c>
      <c r="BV8">
        <f>RANK(TAcum[[#This Row],[j72]],TAcum[[#All],[j72]],0)</f>
        <v>7</v>
      </c>
      <c r="BW8">
        <f>RANK(TAcum[[#This Row],[j73]],TAcum[[#All],[j73]],0)</f>
        <v>7</v>
      </c>
    </row>
    <row r="9" spans="1:75" x14ac:dyDescent="0.25">
      <c r="A9" t="str">
        <f>TAcum[[#This Row],[Jogador]]</f>
        <v>Rafael Vieira Valente</v>
      </c>
      <c r="B9">
        <f>RANK(TAcum[[#This Row],[total]],TAcum[[#All],[total]],0)</f>
        <v>8</v>
      </c>
      <c r="C9">
        <f>RANK(TAcum[[#This Row],[j01]],TAcum[[#All],[j01]],0)</f>
        <v>13</v>
      </c>
      <c r="D9">
        <f>RANK(TAcum[[#This Row],[j02]],TAcum[[#All],[j02]],0)</f>
        <v>14</v>
      </c>
      <c r="E9">
        <f>RANK(TAcum[[#This Row],[j03]],TAcum[[#All],[j03]],0)</f>
        <v>24</v>
      </c>
      <c r="F9">
        <f>RANK(TAcum[[#This Row],[j04]],TAcum[[#All],[j04]],0)</f>
        <v>9</v>
      </c>
      <c r="G9">
        <f>RANK(TAcum[[#This Row],[j05]],TAcum[[#All],[j05]],0)</f>
        <v>9</v>
      </c>
      <c r="H9">
        <f>RANK(TAcum[[#This Row],[j06]],TAcum[[#All],[j06]],0)</f>
        <v>23</v>
      </c>
      <c r="I9">
        <f>RANK(TAcum[[#This Row],[j07]],TAcum[[#All],[j07]],0)</f>
        <v>16</v>
      </c>
      <c r="J9">
        <f>RANK(TAcum[[#This Row],[j08]],TAcum[[#All],[j08]],0)</f>
        <v>20</v>
      </c>
      <c r="K9">
        <f>RANK(TAcum[[#This Row],[j09]],TAcum[[#All],[j09]],0)</f>
        <v>21</v>
      </c>
      <c r="L9">
        <f>RANK(TAcum[[#This Row],[j10]],TAcum[[#All],[j10]],0)</f>
        <v>21</v>
      </c>
      <c r="M9">
        <f>RANK(TAcum[[#This Row],[j11]],TAcum[[#All],[j11]],0)</f>
        <v>17</v>
      </c>
      <c r="N9">
        <f>RANK(TAcum[[#This Row],[j12]],TAcum[[#All],[j12]],0)</f>
        <v>7</v>
      </c>
      <c r="O9">
        <f>RANK(TAcum[[#This Row],[j13]],TAcum[[#All],[j13]],0)</f>
        <v>1</v>
      </c>
      <c r="P9">
        <f>RANK(TAcum[[#This Row],[j14]],TAcum[[#All],[j14]],0)</f>
        <v>3</v>
      </c>
      <c r="Q9">
        <f>RANK(TAcum[[#This Row],[j15]],TAcum[[#All],[j15]],0)</f>
        <v>13</v>
      </c>
      <c r="R9">
        <f>RANK(TAcum[[#This Row],[j16]],TAcum[[#All],[j16]],0)</f>
        <v>24</v>
      </c>
      <c r="S9">
        <f>RANK(TAcum[[#This Row],[j17]],TAcum[[#All],[j17]],0)</f>
        <v>28</v>
      </c>
      <c r="T9">
        <f>RANK(TAcum[[#This Row],[j18]],TAcum[[#All],[j18]],0)</f>
        <v>10</v>
      </c>
      <c r="U9">
        <f>RANK(TAcum[[#This Row],[j19]],TAcum[[#All],[j19]],0)</f>
        <v>10</v>
      </c>
      <c r="V9">
        <f>RANK(TAcum[[#This Row],[j20]],TAcum[[#All],[j20]],0)</f>
        <v>15</v>
      </c>
      <c r="W9">
        <f>RANK(TAcum[[#This Row],[j21]],TAcum[[#All],[j21]],0)</f>
        <v>16</v>
      </c>
      <c r="X9">
        <f>RANK(TAcum[[#This Row],[j22]],TAcum[[#All],[j22]],0)</f>
        <v>21</v>
      </c>
      <c r="Y9">
        <f>RANK(TAcum[[#This Row],[j23]],TAcum[[#All],[j23]],0)</f>
        <v>13</v>
      </c>
      <c r="Z9">
        <f>RANK(TAcum[[#This Row],[j24]],TAcum[[#All],[j24]],0)</f>
        <v>28</v>
      </c>
      <c r="AA9">
        <f>RANK(TAcum[[#This Row],[j25]],TAcum[[#All],[j25]],0)</f>
        <v>28</v>
      </c>
      <c r="AB9">
        <f>RANK(TAcum[[#This Row],[j26]],TAcum[[#All],[j26]],0)</f>
        <v>10</v>
      </c>
      <c r="AC9">
        <f>RANK(TAcum[[#This Row],[j27]],TAcum[[#All],[j27]],0)</f>
        <v>10</v>
      </c>
      <c r="AD9">
        <f>RANK(TAcum[[#This Row],[j28]],TAcum[[#All],[j28]],0)</f>
        <v>9</v>
      </c>
      <c r="AE9">
        <f>RANK(TAcum[[#This Row],[j29]],TAcum[[#All],[j29]],0)</f>
        <v>8</v>
      </c>
      <c r="AF9">
        <f>RANK(TAcum[[#This Row],[j30]],TAcum[[#All],[j30]],0)</f>
        <v>8</v>
      </c>
      <c r="AG9">
        <f>RANK(TAcum[[#This Row],[j31]],TAcum[[#All],[j31]],0)</f>
        <v>8</v>
      </c>
      <c r="AH9">
        <f>RANK(TAcum[[#This Row],[j32]],TAcum[[#All],[j32]],0)</f>
        <v>8</v>
      </c>
      <c r="AI9">
        <f>RANK(TAcum[[#This Row],[j33]],TAcum[[#All],[j33]],0)</f>
        <v>8</v>
      </c>
      <c r="AJ9">
        <f>RANK(TAcum[[#This Row],[j34]],TAcum[[#All],[j34]],0)</f>
        <v>8</v>
      </c>
      <c r="AK9">
        <f>RANK(TAcum[[#This Row],[j35]],TAcum[[#All],[j35]],0)</f>
        <v>8</v>
      </c>
      <c r="AL9">
        <f>RANK(TAcum[[#This Row],[j36]],TAcum[[#All],[j36]],0)</f>
        <v>8</v>
      </c>
      <c r="AM9">
        <f>RANK(TAcum[[#This Row],[j37]],TAcum[[#All],[j37]],0)</f>
        <v>8</v>
      </c>
      <c r="AN9">
        <f>RANK(TAcum[[#This Row],[j38]],TAcum[[#All],[j38]],0)</f>
        <v>8</v>
      </c>
      <c r="AO9">
        <f>RANK(TAcum[[#This Row],[j39]],TAcum[[#All],[j39]],0)</f>
        <v>8</v>
      </c>
      <c r="AP9">
        <f>RANK(TAcum[[#This Row],[j40]],TAcum[[#All],[j40]],0)</f>
        <v>8</v>
      </c>
      <c r="AQ9">
        <f>RANK(TAcum[[#This Row],[j41]],TAcum[[#All],[j41]],0)</f>
        <v>8</v>
      </c>
      <c r="AR9">
        <f>RANK(TAcum[[#This Row],[j42]],TAcum[[#All],[j42]],0)</f>
        <v>8</v>
      </c>
      <c r="AS9">
        <f>RANK(TAcum[[#This Row],[j43]],TAcum[[#All],[j43]],0)</f>
        <v>8</v>
      </c>
      <c r="AT9">
        <f>RANK(TAcum[[#This Row],[j44]],TAcum[[#All],[j44]],0)</f>
        <v>8</v>
      </c>
      <c r="AU9">
        <f>RANK(TAcum[[#This Row],[j45]],TAcum[[#All],[j45]],0)</f>
        <v>8</v>
      </c>
      <c r="AV9">
        <f>RANK(TAcum[[#This Row],[j46]],TAcum[[#All],[j46]],0)</f>
        <v>8</v>
      </c>
      <c r="AW9">
        <f>RANK(TAcum[[#This Row],[j47]],TAcum[[#All],[j47]],0)</f>
        <v>8</v>
      </c>
      <c r="AX9">
        <f>RANK(TAcum[[#This Row],[j48]],TAcum[[#All],[j48]],0)</f>
        <v>8</v>
      </c>
      <c r="AY9">
        <f>RANK(TAcum[[#This Row],[j49]],TAcum[[#All],[j49]],0)</f>
        <v>8</v>
      </c>
      <c r="AZ9">
        <f>RANK(TAcum[[#This Row],[j50]],TAcum[[#All],[j50]],0)</f>
        <v>8</v>
      </c>
      <c r="BA9">
        <f>RANK(TAcum[[#This Row],[j51]],TAcum[[#All],[j51]],0)</f>
        <v>8</v>
      </c>
      <c r="BB9">
        <f>RANK(TAcum[[#This Row],[j52]],TAcum[[#All],[j52]],0)</f>
        <v>8</v>
      </c>
      <c r="BC9">
        <f>RANK(TAcum[[#This Row],[j53]],TAcum[[#All],[j53]],0)</f>
        <v>8</v>
      </c>
      <c r="BD9">
        <f>RANK(TAcum[[#This Row],[j54]],TAcum[[#All],[j54]],0)</f>
        <v>8</v>
      </c>
      <c r="BE9">
        <f>RANK(TAcum[[#This Row],[j55]],TAcum[[#All],[j55]],0)</f>
        <v>8</v>
      </c>
      <c r="BF9">
        <f>RANK(TAcum[[#This Row],[j56]],TAcum[[#All],[j56]],0)</f>
        <v>8</v>
      </c>
      <c r="BG9">
        <f>RANK(TAcum[[#This Row],[j57]],TAcum[[#All],[j57]],0)</f>
        <v>8</v>
      </c>
      <c r="BH9">
        <f>RANK(TAcum[[#This Row],[j58]],TAcum[[#All],[j58]],0)</f>
        <v>8</v>
      </c>
      <c r="BI9">
        <f>RANK(TAcum[[#This Row],[j59]],TAcum[[#All],[j59]],0)</f>
        <v>8</v>
      </c>
      <c r="BJ9">
        <f>RANK(TAcum[[#This Row],[j60]],TAcum[[#All],[j60]],0)</f>
        <v>8</v>
      </c>
      <c r="BK9">
        <f>RANK(TAcum[[#This Row],[j61]],TAcum[[#All],[j61]],0)</f>
        <v>8</v>
      </c>
      <c r="BL9">
        <f>RANK(TAcum[[#This Row],[j62]],TAcum[[#All],[j62]],0)</f>
        <v>8</v>
      </c>
      <c r="BM9">
        <f>RANK(TAcum[[#This Row],[j63]],TAcum[[#All],[j63]],0)</f>
        <v>8</v>
      </c>
      <c r="BN9">
        <f>RANK(TAcum[[#This Row],[j64]],TAcum[[#All],[j64]],0)</f>
        <v>8</v>
      </c>
      <c r="BO9">
        <f>RANK(TAcum[[#This Row],[j65]],TAcum[[#All],[j65]],0)</f>
        <v>8</v>
      </c>
      <c r="BP9">
        <f>RANK(TAcum[[#This Row],[j66]],TAcum[[#All],[j66]],0)</f>
        <v>8</v>
      </c>
      <c r="BQ9">
        <f>RANK(TAcum[[#This Row],[j67]],TAcum[[#All],[j67]],0)</f>
        <v>8</v>
      </c>
      <c r="BR9">
        <f>RANK(TAcum[[#This Row],[j68]],TAcum[[#All],[j68]],0)</f>
        <v>8</v>
      </c>
      <c r="BS9">
        <f>RANK(TAcum[[#This Row],[j69]],TAcum[[#All],[j69]],0)</f>
        <v>8</v>
      </c>
      <c r="BT9">
        <f>RANK(TAcum[[#This Row],[j70]],TAcum[[#All],[j70]],0)</f>
        <v>8</v>
      </c>
      <c r="BU9">
        <f>RANK(TAcum[[#This Row],[j71]],TAcum[[#All],[j71]],0)</f>
        <v>8</v>
      </c>
      <c r="BV9">
        <f>RANK(TAcum[[#This Row],[j72]],TAcum[[#All],[j72]],0)</f>
        <v>8</v>
      </c>
      <c r="BW9">
        <f>RANK(TAcum[[#This Row],[j73]],TAcum[[#All],[j73]],0)</f>
        <v>8</v>
      </c>
    </row>
    <row r="10" spans="1:75" x14ac:dyDescent="0.25">
      <c r="A10" t="str">
        <f>TAcum[[#This Row],[Jogador]]</f>
        <v>Brunner Victor de Almeida</v>
      </c>
      <c r="B10">
        <f>RANK(TAcum[[#This Row],[total]],TAcum[[#All],[total]],0)</f>
        <v>9</v>
      </c>
      <c r="C10">
        <f>RANK(TAcum[[#This Row],[j01]],TAcum[[#All],[j01]],0)</f>
        <v>13</v>
      </c>
      <c r="D10">
        <f>RANK(TAcum[[#This Row],[j02]],TAcum[[#All],[j02]],0)</f>
        <v>14</v>
      </c>
      <c r="E10">
        <f>RANK(TAcum[[#This Row],[j03]],TAcum[[#All],[j03]],0)</f>
        <v>3</v>
      </c>
      <c r="F10">
        <f>RANK(TAcum[[#This Row],[j04]],TAcum[[#All],[j04]],0)</f>
        <v>1</v>
      </c>
      <c r="G10">
        <f>RANK(TAcum[[#This Row],[j05]],TAcum[[#All],[j05]],0)</f>
        <v>1</v>
      </c>
      <c r="H10">
        <f>RANK(TAcum[[#This Row],[j06]],TAcum[[#All],[j06]],0)</f>
        <v>1</v>
      </c>
      <c r="I10">
        <f>RANK(TAcum[[#This Row],[j07]],TAcum[[#All],[j07]],0)</f>
        <v>1</v>
      </c>
      <c r="J10">
        <f>RANK(TAcum[[#This Row],[j08]],TAcum[[#All],[j08]],0)</f>
        <v>2</v>
      </c>
      <c r="K10">
        <f>RANK(TAcum[[#This Row],[j09]],TAcum[[#All],[j09]],0)</f>
        <v>2</v>
      </c>
      <c r="L10">
        <f>RANK(TAcum[[#This Row],[j10]],TAcum[[#All],[j10]],0)</f>
        <v>3</v>
      </c>
      <c r="M10">
        <f>RANK(TAcum[[#This Row],[j11]],TAcum[[#All],[j11]],0)</f>
        <v>3</v>
      </c>
      <c r="N10">
        <f>RANK(TAcum[[#This Row],[j12]],TAcum[[#All],[j12]],0)</f>
        <v>1</v>
      </c>
      <c r="O10">
        <f>RANK(TAcum[[#This Row],[j13]],TAcum[[#All],[j13]],0)</f>
        <v>1</v>
      </c>
      <c r="P10">
        <f>RANK(TAcum[[#This Row],[j14]],TAcum[[#All],[j14]],0)</f>
        <v>3</v>
      </c>
      <c r="Q10">
        <f>RANK(TAcum[[#This Row],[j15]],TAcum[[#All],[j15]],0)</f>
        <v>4</v>
      </c>
      <c r="R10">
        <f>RANK(TAcum[[#This Row],[j16]],TAcum[[#All],[j16]],0)</f>
        <v>4</v>
      </c>
      <c r="S10">
        <f>RANK(TAcum[[#This Row],[j17]],TAcum[[#All],[j17]],0)</f>
        <v>3</v>
      </c>
      <c r="T10">
        <f>RANK(TAcum[[#This Row],[j18]],TAcum[[#All],[j18]],0)</f>
        <v>4</v>
      </c>
      <c r="U10">
        <f>RANK(TAcum[[#This Row],[j19]],TAcum[[#All],[j19]],0)</f>
        <v>2</v>
      </c>
      <c r="V10">
        <f>RANK(TAcum[[#This Row],[j20]],TAcum[[#All],[j20]],0)</f>
        <v>2</v>
      </c>
      <c r="W10">
        <f>RANK(TAcum[[#This Row],[j21]],TAcum[[#All],[j21]],0)</f>
        <v>4</v>
      </c>
      <c r="X10">
        <f>RANK(TAcum[[#This Row],[j22]],TAcum[[#All],[j22]],0)</f>
        <v>9</v>
      </c>
      <c r="Y10">
        <f>RANK(TAcum[[#This Row],[j23]],TAcum[[#All],[j23]],0)</f>
        <v>6</v>
      </c>
      <c r="Z10">
        <f>RANK(TAcum[[#This Row],[j24]],TAcum[[#All],[j24]],0)</f>
        <v>4</v>
      </c>
      <c r="AA10">
        <f>RANK(TAcum[[#This Row],[j25]],TAcum[[#All],[j25]],0)</f>
        <v>3</v>
      </c>
      <c r="AB10">
        <f>RANK(TAcum[[#This Row],[j26]],TAcum[[#All],[j26]],0)</f>
        <v>4</v>
      </c>
      <c r="AC10">
        <f>RANK(TAcum[[#This Row],[j27]],TAcum[[#All],[j27]],0)</f>
        <v>4</v>
      </c>
      <c r="AD10">
        <f>RANK(TAcum[[#This Row],[j28]],TAcum[[#All],[j28]],0)</f>
        <v>7</v>
      </c>
      <c r="AE10">
        <f>RANK(TAcum[[#This Row],[j29]],TAcum[[#All],[j29]],0)</f>
        <v>9</v>
      </c>
      <c r="AF10">
        <f>RANK(TAcum[[#This Row],[j30]],TAcum[[#All],[j30]],0)</f>
        <v>9</v>
      </c>
      <c r="AG10">
        <f>RANK(TAcum[[#This Row],[j31]],TAcum[[#All],[j31]],0)</f>
        <v>9</v>
      </c>
      <c r="AH10">
        <f>RANK(TAcum[[#This Row],[j32]],TAcum[[#All],[j32]],0)</f>
        <v>9</v>
      </c>
      <c r="AI10">
        <f>RANK(TAcum[[#This Row],[j33]],TAcum[[#All],[j33]],0)</f>
        <v>9</v>
      </c>
      <c r="AJ10">
        <f>RANK(TAcum[[#This Row],[j34]],TAcum[[#All],[j34]],0)</f>
        <v>9</v>
      </c>
      <c r="AK10">
        <f>RANK(TAcum[[#This Row],[j35]],TAcum[[#All],[j35]],0)</f>
        <v>9</v>
      </c>
      <c r="AL10">
        <f>RANK(TAcum[[#This Row],[j36]],TAcum[[#All],[j36]],0)</f>
        <v>9</v>
      </c>
      <c r="AM10">
        <f>RANK(TAcum[[#This Row],[j37]],TAcum[[#All],[j37]],0)</f>
        <v>9</v>
      </c>
      <c r="AN10">
        <f>RANK(TAcum[[#This Row],[j38]],TAcum[[#All],[j38]],0)</f>
        <v>9</v>
      </c>
      <c r="AO10">
        <f>RANK(TAcum[[#This Row],[j39]],TAcum[[#All],[j39]],0)</f>
        <v>9</v>
      </c>
      <c r="AP10">
        <f>RANK(TAcum[[#This Row],[j40]],TAcum[[#All],[j40]],0)</f>
        <v>9</v>
      </c>
      <c r="AQ10">
        <f>RANK(TAcum[[#This Row],[j41]],TAcum[[#All],[j41]],0)</f>
        <v>9</v>
      </c>
      <c r="AR10">
        <f>RANK(TAcum[[#This Row],[j42]],TAcum[[#All],[j42]],0)</f>
        <v>9</v>
      </c>
      <c r="AS10">
        <f>RANK(TAcum[[#This Row],[j43]],TAcum[[#All],[j43]],0)</f>
        <v>9</v>
      </c>
      <c r="AT10">
        <f>RANK(TAcum[[#This Row],[j44]],TAcum[[#All],[j44]],0)</f>
        <v>9</v>
      </c>
      <c r="AU10">
        <f>RANK(TAcum[[#This Row],[j45]],TAcum[[#All],[j45]],0)</f>
        <v>9</v>
      </c>
      <c r="AV10">
        <f>RANK(TAcum[[#This Row],[j46]],TAcum[[#All],[j46]],0)</f>
        <v>9</v>
      </c>
      <c r="AW10">
        <f>RANK(TAcum[[#This Row],[j47]],TAcum[[#All],[j47]],0)</f>
        <v>9</v>
      </c>
      <c r="AX10">
        <f>RANK(TAcum[[#This Row],[j48]],TAcum[[#All],[j48]],0)</f>
        <v>9</v>
      </c>
      <c r="AY10">
        <f>RANK(TAcum[[#This Row],[j49]],TAcum[[#All],[j49]],0)</f>
        <v>9</v>
      </c>
      <c r="AZ10">
        <f>RANK(TAcum[[#This Row],[j50]],TAcum[[#All],[j50]],0)</f>
        <v>9</v>
      </c>
      <c r="BA10">
        <f>RANK(TAcum[[#This Row],[j51]],TAcum[[#All],[j51]],0)</f>
        <v>9</v>
      </c>
      <c r="BB10">
        <f>RANK(TAcum[[#This Row],[j52]],TAcum[[#All],[j52]],0)</f>
        <v>9</v>
      </c>
      <c r="BC10">
        <f>RANK(TAcum[[#This Row],[j53]],TAcum[[#All],[j53]],0)</f>
        <v>9</v>
      </c>
      <c r="BD10">
        <f>RANK(TAcum[[#This Row],[j54]],TAcum[[#All],[j54]],0)</f>
        <v>9</v>
      </c>
      <c r="BE10">
        <f>RANK(TAcum[[#This Row],[j55]],TAcum[[#All],[j55]],0)</f>
        <v>9</v>
      </c>
      <c r="BF10">
        <f>RANK(TAcum[[#This Row],[j56]],TAcum[[#All],[j56]],0)</f>
        <v>9</v>
      </c>
      <c r="BG10">
        <f>RANK(TAcum[[#This Row],[j57]],TAcum[[#All],[j57]],0)</f>
        <v>9</v>
      </c>
      <c r="BH10">
        <f>RANK(TAcum[[#This Row],[j58]],TAcum[[#All],[j58]],0)</f>
        <v>9</v>
      </c>
      <c r="BI10">
        <f>RANK(TAcum[[#This Row],[j59]],TAcum[[#All],[j59]],0)</f>
        <v>9</v>
      </c>
      <c r="BJ10">
        <f>RANK(TAcum[[#This Row],[j60]],TAcum[[#All],[j60]],0)</f>
        <v>9</v>
      </c>
      <c r="BK10">
        <f>RANK(TAcum[[#This Row],[j61]],TAcum[[#All],[j61]],0)</f>
        <v>9</v>
      </c>
      <c r="BL10">
        <f>RANK(TAcum[[#This Row],[j62]],TAcum[[#All],[j62]],0)</f>
        <v>9</v>
      </c>
      <c r="BM10">
        <f>RANK(TAcum[[#This Row],[j63]],TAcum[[#All],[j63]],0)</f>
        <v>9</v>
      </c>
      <c r="BN10">
        <f>RANK(TAcum[[#This Row],[j64]],TAcum[[#All],[j64]],0)</f>
        <v>9</v>
      </c>
      <c r="BO10">
        <f>RANK(TAcum[[#This Row],[j65]],TAcum[[#All],[j65]],0)</f>
        <v>9</v>
      </c>
      <c r="BP10">
        <f>RANK(TAcum[[#This Row],[j66]],TAcum[[#All],[j66]],0)</f>
        <v>9</v>
      </c>
      <c r="BQ10">
        <f>RANK(TAcum[[#This Row],[j67]],TAcum[[#All],[j67]],0)</f>
        <v>9</v>
      </c>
      <c r="BR10">
        <f>RANK(TAcum[[#This Row],[j68]],TAcum[[#All],[j68]],0)</f>
        <v>9</v>
      </c>
      <c r="BS10">
        <f>RANK(TAcum[[#This Row],[j69]],TAcum[[#All],[j69]],0)</f>
        <v>9</v>
      </c>
      <c r="BT10">
        <f>RANK(TAcum[[#This Row],[j70]],TAcum[[#All],[j70]],0)</f>
        <v>9</v>
      </c>
      <c r="BU10">
        <f>RANK(TAcum[[#This Row],[j71]],TAcum[[#All],[j71]],0)</f>
        <v>9</v>
      </c>
      <c r="BV10">
        <f>RANK(TAcum[[#This Row],[j72]],TAcum[[#All],[j72]],0)</f>
        <v>9</v>
      </c>
      <c r="BW10">
        <f>RANK(TAcum[[#This Row],[j73]],TAcum[[#All],[j73]],0)</f>
        <v>9</v>
      </c>
    </row>
    <row r="11" spans="1:75" x14ac:dyDescent="0.25">
      <c r="A11" t="str">
        <f>TAcum[[#This Row],[Jogador]]</f>
        <v>Risia Gouveia</v>
      </c>
      <c r="B11">
        <f>RANK(TAcum[[#This Row],[total]],TAcum[[#All],[total]],0)</f>
        <v>10</v>
      </c>
      <c r="C11">
        <f>RANK(TAcum[[#This Row],[j01]],TAcum[[#All],[j01]],0)</f>
        <v>78</v>
      </c>
      <c r="D11">
        <f>RANK(TAcum[[#This Row],[j02]],TAcum[[#All],[j02]],0)</f>
        <v>77</v>
      </c>
      <c r="E11">
        <f>RANK(TAcum[[#This Row],[j03]],TAcum[[#All],[j03]],0)</f>
        <v>61</v>
      </c>
      <c r="F11">
        <f>RANK(TAcum[[#This Row],[j04]],TAcum[[#All],[j04]],0)</f>
        <v>32</v>
      </c>
      <c r="G11">
        <f>RANK(TAcum[[#This Row],[j05]],TAcum[[#All],[j05]],0)</f>
        <v>32</v>
      </c>
      <c r="H11">
        <f>RANK(TAcum[[#This Row],[j06]],TAcum[[#All],[j06]],0)</f>
        <v>33</v>
      </c>
      <c r="I11">
        <f>RANK(TAcum[[#This Row],[j07]],TAcum[[#All],[j07]],0)</f>
        <v>42</v>
      </c>
      <c r="J11">
        <f>RANK(TAcum[[#This Row],[j08]],TAcum[[#All],[j08]],0)</f>
        <v>43</v>
      </c>
      <c r="K11">
        <f>RANK(TAcum[[#This Row],[j09]],TAcum[[#All],[j09]],0)</f>
        <v>48</v>
      </c>
      <c r="L11">
        <f>RANK(TAcum[[#This Row],[j10]],TAcum[[#All],[j10]],0)</f>
        <v>50</v>
      </c>
      <c r="M11">
        <f>RANK(TAcum[[#This Row],[j11]],TAcum[[#All],[j11]],0)</f>
        <v>57</v>
      </c>
      <c r="N11">
        <f>RANK(TAcum[[#This Row],[j12]],TAcum[[#All],[j12]],0)</f>
        <v>62</v>
      </c>
      <c r="O11">
        <f>RANK(TAcum[[#This Row],[j13]],TAcum[[#All],[j13]],0)</f>
        <v>68</v>
      </c>
      <c r="P11">
        <f>RANK(TAcum[[#This Row],[j14]],TAcum[[#All],[j14]],0)</f>
        <v>68</v>
      </c>
      <c r="Q11">
        <f>RANK(TAcum[[#This Row],[j15]],TAcum[[#All],[j15]],0)</f>
        <v>66</v>
      </c>
      <c r="R11">
        <f>RANK(TAcum[[#This Row],[j16]],TAcum[[#All],[j16]],0)</f>
        <v>55</v>
      </c>
      <c r="S11">
        <f>RANK(TAcum[[#This Row],[j17]],TAcum[[#All],[j17]],0)</f>
        <v>61</v>
      </c>
      <c r="T11">
        <f>RANK(TAcum[[#This Row],[j18]],TAcum[[#All],[j18]],0)</f>
        <v>63</v>
      </c>
      <c r="U11">
        <f>RANK(TAcum[[#This Row],[j19]],TAcum[[#All],[j19]],0)</f>
        <v>57</v>
      </c>
      <c r="V11">
        <f>RANK(TAcum[[#This Row],[j20]],TAcum[[#All],[j20]],0)</f>
        <v>55</v>
      </c>
      <c r="W11">
        <f>RANK(TAcum[[#This Row],[j21]],TAcum[[#All],[j21]],0)</f>
        <v>56</v>
      </c>
      <c r="X11">
        <f>RANK(TAcum[[#This Row],[j22]],TAcum[[#All],[j22]],0)</f>
        <v>28</v>
      </c>
      <c r="Y11">
        <f>RANK(TAcum[[#This Row],[j23]],TAcum[[#All],[j23]],0)</f>
        <v>22</v>
      </c>
      <c r="Z11">
        <f>RANK(TAcum[[#This Row],[j24]],TAcum[[#All],[j24]],0)</f>
        <v>13</v>
      </c>
      <c r="AA11">
        <f>RANK(TAcum[[#This Row],[j25]],TAcum[[#All],[j25]],0)</f>
        <v>8</v>
      </c>
      <c r="AB11">
        <f>RANK(TAcum[[#This Row],[j26]],TAcum[[#All],[j26]],0)</f>
        <v>9</v>
      </c>
      <c r="AC11">
        <f>RANK(TAcum[[#This Row],[j27]],TAcum[[#All],[j27]],0)</f>
        <v>9</v>
      </c>
      <c r="AD11">
        <f>RANK(TAcum[[#This Row],[j28]],TAcum[[#All],[j28]],0)</f>
        <v>9</v>
      </c>
      <c r="AE11">
        <f>RANK(TAcum[[#This Row],[j29]],TAcum[[#All],[j29]],0)</f>
        <v>10</v>
      </c>
      <c r="AF11">
        <f>RANK(TAcum[[#This Row],[j30]],TAcum[[#All],[j30]],0)</f>
        <v>10</v>
      </c>
      <c r="AG11">
        <f>RANK(TAcum[[#This Row],[j31]],TAcum[[#All],[j31]],0)</f>
        <v>10</v>
      </c>
      <c r="AH11">
        <f>RANK(TAcum[[#This Row],[j32]],TAcum[[#All],[j32]],0)</f>
        <v>10</v>
      </c>
      <c r="AI11">
        <f>RANK(TAcum[[#This Row],[j33]],TAcum[[#All],[j33]],0)</f>
        <v>10</v>
      </c>
      <c r="AJ11">
        <f>RANK(TAcum[[#This Row],[j34]],TAcum[[#All],[j34]],0)</f>
        <v>10</v>
      </c>
      <c r="AK11">
        <f>RANK(TAcum[[#This Row],[j35]],TAcum[[#All],[j35]],0)</f>
        <v>10</v>
      </c>
      <c r="AL11">
        <f>RANK(TAcum[[#This Row],[j36]],TAcum[[#All],[j36]],0)</f>
        <v>10</v>
      </c>
      <c r="AM11">
        <f>RANK(TAcum[[#This Row],[j37]],TAcum[[#All],[j37]],0)</f>
        <v>10</v>
      </c>
      <c r="AN11">
        <f>RANK(TAcum[[#This Row],[j38]],TAcum[[#All],[j38]],0)</f>
        <v>10</v>
      </c>
      <c r="AO11">
        <f>RANK(TAcum[[#This Row],[j39]],TAcum[[#All],[j39]],0)</f>
        <v>10</v>
      </c>
      <c r="AP11">
        <f>RANK(TAcum[[#This Row],[j40]],TAcum[[#All],[j40]],0)</f>
        <v>10</v>
      </c>
      <c r="AQ11">
        <f>RANK(TAcum[[#This Row],[j41]],TAcum[[#All],[j41]],0)</f>
        <v>10</v>
      </c>
      <c r="AR11">
        <f>RANK(TAcum[[#This Row],[j42]],TAcum[[#All],[j42]],0)</f>
        <v>10</v>
      </c>
      <c r="AS11">
        <f>RANK(TAcum[[#This Row],[j43]],TAcum[[#All],[j43]],0)</f>
        <v>10</v>
      </c>
      <c r="AT11">
        <f>RANK(TAcum[[#This Row],[j44]],TAcum[[#All],[j44]],0)</f>
        <v>10</v>
      </c>
      <c r="AU11">
        <f>RANK(TAcum[[#This Row],[j45]],TAcum[[#All],[j45]],0)</f>
        <v>10</v>
      </c>
      <c r="AV11">
        <f>RANK(TAcum[[#This Row],[j46]],TAcum[[#All],[j46]],0)</f>
        <v>10</v>
      </c>
      <c r="AW11">
        <f>RANK(TAcum[[#This Row],[j47]],TAcum[[#All],[j47]],0)</f>
        <v>10</v>
      </c>
      <c r="AX11">
        <f>RANK(TAcum[[#This Row],[j48]],TAcum[[#All],[j48]],0)</f>
        <v>10</v>
      </c>
      <c r="AY11">
        <f>RANK(TAcum[[#This Row],[j49]],TAcum[[#All],[j49]],0)</f>
        <v>10</v>
      </c>
      <c r="AZ11">
        <f>RANK(TAcum[[#This Row],[j50]],TAcum[[#All],[j50]],0)</f>
        <v>10</v>
      </c>
      <c r="BA11">
        <f>RANK(TAcum[[#This Row],[j51]],TAcum[[#All],[j51]],0)</f>
        <v>10</v>
      </c>
      <c r="BB11">
        <f>RANK(TAcum[[#This Row],[j52]],TAcum[[#All],[j52]],0)</f>
        <v>10</v>
      </c>
      <c r="BC11">
        <f>RANK(TAcum[[#This Row],[j53]],TAcum[[#All],[j53]],0)</f>
        <v>10</v>
      </c>
      <c r="BD11">
        <f>RANK(TAcum[[#This Row],[j54]],TAcum[[#All],[j54]],0)</f>
        <v>10</v>
      </c>
      <c r="BE11">
        <f>RANK(TAcum[[#This Row],[j55]],TAcum[[#All],[j55]],0)</f>
        <v>10</v>
      </c>
      <c r="BF11">
        <f>RANK(TAcum[[#This Row],[j56]],TAcum[[#All],[j56]],0)</f>
        <v>10</v>
      </c>
      <c r="BG11">
        <f>RANK(TAcum[[#This Row],[j57]],TAcum[[#All],[j57]],0)</f>
        <v>10</v>
      </c>
      <c r="BH11">
        <f>RANK(TAcum[[#This Row],[j58]],TAcum[[#All],[j58]],0)</f>
        <v>10</v>
      </c>
      <c r="BI11">
        <f>RANK(TAcum[[#This Row],[j59]],TAcum[[#All],[j59]],0)</f>
        <v>10</v>
      </c>
      <c r="BJ11">
        <f>RANK(TAcum[[#This Row],[j60]],TAcum[[#All],[j60]],0)</f>
        <v>10</v>
      </c>
      <c r="BK11">
        <f>RANK(TAcum[[#This Row],[j61]],TAcum[[#All],[j61]],0)</f>
        <v>10</v>
      </c>
      <c r="BL11">
        <f>RANK(TAcum[[#This Row],[j62]],TAcum[[#All],[j62]],0)</f>
        <v>10</v>
      </c>
      <c r="BM11">
        <f>RANK(TAcum[[#This Row],[j63]],TAcum[[#All],[j63]],0)</f>
        <v>10</v>
      </c>
      <c r="BN11">
        <f>RANK(TAcum[[#This Row],[j64]],TAcum[[#All],[j64]],0)</f>
        <v>10</v>
      </c>
      <c r="BO11">
        <f>RANK(TAcum[[#This Row],[j65]],TAcum[[#All],[j65]],0)</f>
        <v>10</v>
      </c>
      <c r="BP11">
        <f>RANK(TAcum[[#This Row],[j66]],TAcum[[#All],[j66]],0)</f>
        <v>10</v>
      </c>
      <c r="BQ11">
        <f>RANK(TAcum[[#This Row],[j67]],TAcum[[#All],[j67]],0)</f>
        <v>10</v>
      </c>
      <c r="BR11">
        <f>RANK(TAcum[[#This Row],[j68]],TAcum[[#All],[j68]],0)</f>
        <v>10</v>
      </c>
      <c r="BS11">
        <f>RANK(TAcum[[#This Row],[j69]],TAcum[[#All],[j69]],0)</f>
        <v>10</v>
      </c>
      <c r="BT11">
        <f>RANK(TAcum[[#This Row],[j70]],TAcum[[#All],[j70]],0)</f>
        <v>10</v>
      </c>
      <c r="BU11">
        <f>RANK(TAcum[[#This Row],[j71]],TAcum[[#All],[j71]],0)</f>
        <v>10</v>
      </c>
      <c r="BV11">
        <f>RANK(TAcum[[#This Row],[j72]],TAcum[[#All],[j72]],0)</f>
        <v>10</v>
      </c>
      <c r="BW11">
        <f>RANK(TAcum[[#This Row],[j73]],TAcum[[#All],[j73]],0)</f>
        <v>10</v>
      </c>
    </row>
    <row r="12" spans="1:75" x14ac:dyDescent="0.25">
      <c r="A12" t="str">
        <f>TAcum[[#This Row],[Jogador]]</f>
        <v>Simara Magalhães</v>
      </c>
      <c r="B12">
        <f>RANK(TAcum[[#This Row],[total]],TAcum[[#All],[total]],0)</f>
        <v>10</v>
      </c>
      <c r="C12">
        <f>RANK(TAcum[[#This Row],[j01]],TAcum[[#All],[j01]],0)</f>
        <v>65</v>
      </c>
      <c r="D12">
        <f>RANK(TAcum[[#This Row],[j02]],TAcum[[#All],[j02]],0)</f>
        <v>62</v>
      </c>
      <c r="E12">
        <f>RANK(TAcum[[#This Row],[j03]],TAcum[[#All],[j03]],0)</f>
        <v>75</v>
      </c>
      <c r="F12">
        <f>RANK(TAcum[[#This Row],[j04]],TAcum[[#All],[j04]],0)</f>
        <v>96</v>
      </c>
      <c r="G12">
        <f>RANK(TAcum[[#This Row],[j05]],TAcum[[#All],[j05]],0)</f>
        <v>96</v>
      </c>
      <c r="H12">
        <f>RANK(TAcum[[#This Row],[j06]],TAcum[[#All],[j06]],0)</f>
        <v>93</v>
      </c>
      <c r="I12">
        <f>RANK(TAcum[[#This Row],[j07]],TAcum[[#All],[j07]],0)</f>
        <v>82</v>
      </c>
      <c r="J12">
        <f>RANK(TAcum[[#This Row],[j08]],TAcum[[#All],[j08]],0)</f>
        <v>80</v>
      </c>
      <c r="K12">
        <f>RANK(TAcum[[#This Row],[j09]],TAcum[[#All],[j09]],0)</f>
        <v>85</v>
      </c>
      <c r="L12">
        <f>RANK(TAcum[[#This Row],[j10]],TAcum[[#All],[j10]],0)</f>
        <v>86</v>
      </c>
      <c r="M12">
        <f>RANK(TAcum[[#This Row],[j11]],TAcum[[#All],[j11]],0)</f>
        <v>88</v>
      </c>
      <c r="N12">
        <f>RANK(TAcum[[#This Row],[j12]],TAcum[[#All],[j12]],0)</f>
        <v>85</v>
      </c>
      <c r="O12">
        <f>RANK(TAcum[[#This Row],[j13]],TAcum[[#All],[j13]],0)</f>
        <v>87</v>
      </c>
      <c r="P12">
        <f>RANK(TAcum[[#This Row],[j14]],TAcum[[#All],[j14]],0)</f>
        <v>87</v>
      </c>
      <c r="Q12">
        <f>RANK(TAcum[[#This Row],[j15]],TAcum[[#All],[j15]],0)</f>
        <v>86</v>
      </c>
      <c r="R12">
        <f>RANK(TAcum[[#This Row],[j16]],TAcum[[#All],[j16]],0)</f>
        <v>72</v>
      </c>
      <c r="S12">
        <f>RANK(TAcum[[#This Row],[j17]],TAcum[[#All],[j17]],0)</f>
        <v>57</v>
      </c>
      <c r="T12">
        <f>RANK(TAcum[[#This Row],[j18]],TAcum[[#All],[j18]],0)</f>
        <v>60</v>
      </c>
      <c r="U12">
        <f>RANK(TAcum[[#This Row],[j19]],TAcum[[#All],[j19]],0)</f>
        <v>60</v>
      </c>
      <c r="V12">
        <f>RANK(TAcum[[#This Row],[j20]],TAcum[[#All],[j20]],0)</f>
        <v>58</v>
      </c>
      <c r="W12">
        <f>RANK(TAcum[[#This Row],[j21]],TAcum[[#All],[j21]],0)</f>
        <v>47</v>
      </c>
      <c r="X12">
        <f>RANK(TAcum[[#This Row],[j22]],TAcum[[#All],[j22]],0)</f>
        <v>22</v>
      </c>
      <c r="Y12">
        <f>RANK(TAcum[[#This Row],[j23]],TAcum[[#All],[j23]],0)</f>
        <v>25</v>
      </c>
      <c r="Z12">
        <f>RANK(TAcum[[#This Row],[j24]],TAcum[[#All],[j24]],0)</f>
        <v>15</v>
      </c>
      <c r="AA12">
        <f>RANK(TAcum[[#This Row],[j25]],TAcum[[#All],[j25]],0)</f>
        <v>10</v>
      </c>
      <c r="AB12">
        <f>RANK(TAcum[[#This Row],[j26]],TAcum[[#All],[j26]],0)</f>
        <v>10</v>
      </c>
      <c r="AC12">
        <f>RANK(TAcum[[#This Row],[j27]],TAcum[[#All],[j27]],0)</f>
        <v>10</v>
      </c>
      <c r="AD12">
        <f>RANK(TAcum[[#This Row],[j28]],TAcum[[#All],[j28]],0)</f>
        <v>9</v>
      </c>
      <c r="AE12">
        <f>RANK(TAcum[[#This Row],[j29]],TAcum[[#All],[j29]],0)</f>
        <v>10</v>
      </c>
      <c r="AF12">
        <f>RANK(TAcum[[#This Row],[j30]],TAcum[[#All],[j30]],0)</f>
        <v>10</v>
      </c>
      <c r="AG12">
        <f>RANK(TAcum[[#This Row],[j31]],TAcum[[#All],[j31]],0)</f>
        <v>10</v>
      </c>
      <c r="AH12">
        <f>RANK(TAcum[[#This Row],[j32]],TAcum[[#All],[j32]],0)</f>
        <v>10</v>
      </c>
      <c r="AI12">
        <f>RANK(TAcum[[#This Row],[j33]],TAcum[[#All],[j33]],0)</f>
        <v>10</v>
      </c>
      <c r="AJ12">
        <f>RANK(TAcum[[#This Row],[j34]],TAcum[[#All],[j34]],0)</f>
        <v>10</v>
      </c>
      <c r="AK12">
        <f>RANK(TAcum[[#This Row],[j35]],TAcum[[#All],[j35]],0)</f>
        <v>10</v>
      </c>
      <c r="AL12">
        <f>RANK(TAcum[[#This Row],[j36]],TAcum[[#All],[j36]],0)</f>
        <v>10</v>
      </c>
      <c r="AM12">
        <f>RANK(TAcum[[#This Row],[j37]],TAcum[[#All],[j37]],0)</f>
        <v>10</v>
      </c>
      <c r="AN12">
        <f>RANK(TAcum[[#This Row],[j38]],TAcum[[#All],[j38]],0)</f>
        <v>10</v>
      </c>
      <c r="AO12">
        <f>RANK(TAcum[[#This Row],[j39]],TAcum[[#All],[j39]],0)</f>
        <v>10</v>
      </c>
      <c r="AP12">
        <f>RANK(TAcum[[#This Row],[j40]],TAcum[[#All],[j40]],0)</f>
        <v>10</v>
      </c>
      <c r="AQ12">
        <f>RANK(TAcum[[#This Row],[j41]],TAcum[[#All],[j41]],0)</f>
        <v>10</v>
      </c>
      <c r="AR12">
        <f>RANK(TAcum[[#This Row],[j42]],TAcum[[#All],[j42]],0)</f>
        <v>10</v>
      </c>
      <c r="AS12">
        <f>RANK(TAcum[[#This Row],[j43]],TAcum[[#All],[j43]],0)</f>
        <v>10</v>
      </c>
      <c r="AT12">
        <f>RANK(TAcum[[#This Row],[j44]],TAcum[[#All],[j44]],0)</f>
        <v>10</v>
      </c>
      <c r="AU12">
        <f>RANK(TAcum[[#This Row],[j45]],TAcum[[#All],[j45]],0)</f>
        <v>10</v>
      </c>
      <c r="AV12">
        <f>RANK(TAcum[[#This Row],[j46]],TAcum[[#All],[j46]],0)</f>
        <v>10</v>
      </c>
      <c r="AW12">
        <f>RANK(TAcum[[#This Row],[j47]],TAcum[[#All],[j47]],0)</f>
        <v>10</v>
      </c>
      <c r="AX12">
        <f>RANK(TAcum[[#This Row],[j48]],TAcum[[#All],[j48]],0)</f>
        <v>10</v>
      </c>
      <c r="AY12">
        <f>RANK(TAcum[[#This Row],[j49]],TAcum[[#All],[j49]],0)</f>
        <v>10</v>
      </c>
      <c r="AZ12">
        <f>RANK(TAcum[[#This Row],[j50]],TAcum[[#All],[j50]],0)</f>
        <v>10</v>
      </c>
      <c r="BA12">
        <f>RANK(TAcum[[#This Row],[j51]],TAcum[[#All],[j51]],0)</f>
        <v>10</v>
      </c>
      <c r="BB12">
        <f>RANK(TAcum[[#This Row],[j52]],TAcum[[#All],[j52]],0)</f>
        <v>10</v>
      </c>
      <c r="BC12">
        <f>RANK(TAcum[[#This Row],[j53]],TAcum[[#All],[j53]],0)</f>
        <v>10</v>
      </c>
      <c r="BD12">
        <f>RANK(TAcum[[#This Row],[j54]],TAcum[[#All],[j54]],0)</f>
        <v>10</v>
      </c>
      <c r="BE12">
        <f>RANK(TAcum[[#This Row],[j55]],TAcum[[#All],[j55]],0)</f>
        <v>10</v>
      </c>
      <c r="BF12">
        <f>RANK(TAcum[[#This Row],[j56]],TAcum[[#All],[j56]],0)</f>
        <v>10</v>
      </c>
      <c r="BG12">
        <f>RANK(TAcum[[#This Row],[j57]],TAcum[[#All],[j57]],0)</f>
        <v>10</v>
      </c>
      <c r="BH12">
        <f>RANK(TAcum[[#This Row],[j58]],TAcum[[#All],[j58]],0)</f>
        <v>10</v>
      </c>
      <c r="BI12">
        <f>RANK(TAcum[[#This Row],[j59]],TAcum[[#All],[j59]],0)</f>
        <v>10</v>
      </c>
      <c r="BJ12">
        <f>RANK(TAcum[[#This Row],[j60]],TAcum[[#All],[j60]],0)</f>
        <v>10</v>
      </c>
      <c r="BK12">
        <f>RANK(TAcum[[#This Row],[j61]],TAcum[[#All],[j61]],0)</f>
        <v>10</v>
      </c>
      <c r="BL12">
        <f>RANK(TAcum[[#This Row],[j62]],TAcum[[#All],[j62]],0)</f>
        <v>10</v>
      </c>
      <c r="BM12">
        <f>RANK(TAcum[[#This Row],[j63]],TAcum[[#All],[j63]],0)</f>
        <v>10</v>
      </c>
      <c r="BN12">
        <f>RANK(TAcum[[#This Row],[j64]],TAcum[[#All],[j64]],0)</f>
        <v>10</v>
      </c>
      <c r="BO12">
        <f>RANK(TAcum[[#This Row],[j65]],TAcum[[#All],[j65]],0)</f>
        <v>10</v>
      </c>
      <c r="BP12">
        <f>RANK(TAcum[[#This Row],[j66]],TAcum[[#All],[j66]],0)</f>
        <v>10</v>
      </c>
      <c r="BQ12">
        <f>RANK(TAcum[[#This Row],[j67]],TAcum[[#All],[j67]],0)</f>
        <v>10</v>
      </c>
      <c r="BR12">
        <f>RANK(TAcum[[#This Row],[j68]],TAcum[[#All],[j68]],0)</f>
        <v>10</v>
      </c>
      <c r="BS12">
        <f>RANK(TAcum[[#This Row],[j69]],TAcum[[#All],[j69]],0)</f>
        <v>10</v>
      </c>
      <c r="BT12">
        <f>RANK(TAcum[[#This Row],[j70]],TAcum[[#All],[j70]],0)</f>
        <v>10</v>
      </c>
      <c r="BU12">
        <f>RANK(TAcum[[#This Row],[j71]],TAcum[[#All],[j71]],0)</f>
        <v>10</v>
      </c>
      <c r="BV12">
        <f>RANK(TAcum[[#This Row],[j72]],TAcum[[#All],[j72]],0)</f>
        <v>10</v>
      </c>
      <c r="BW12">
        <f>RANK(TAcum[[#This Row],[j73]],TAcum[[#All],[j73]],0)</f>
        <v>10</v>
      </c>
    </row>
    <row r="13" spans="1:75" x14ac:dyDescent="0.25">
      <c r="A13" t="str">
        <f>TAcum[[#This Row],[Jogador]]</f>
        <v>Luciano Santana Barros 1</v>
      </c>
      <c r="B13">
        <f>RANK(TAcum[[#This Row],[total]],TAcum[[#All],[total]],0)</f>
        <v>12</v>
      </c>
      <c r="C13">
        <f>RANK(TAcum[[#This Row],[j01]],TAcum[[#All],[j01]],0)</f>
        <v>1</v>
      </c>
      <c r="D13">
        <f>RANK(TAcum[[#This Row],[j02]],TAcum[[#All],[j02]],0)</f>
        <v>1</v>
      </c>
      <c r="E13">
        <f>RANK(TAcum[[#This Row],[j03]],TAcum[[#All],[j03]],0)</f>
        <v>3</v>
      </c>
      <c r="F13">
        <f>RANK(TAcum[[#This Row],[j04]],TAcum[[#All],[j04]],0)</f>
        <v>54</v>
      </c>
      <c r="G13">
        <f>RANK(TAcum[[#This Row],[j05]],TAcum[[#All],[j05]],0)</f>
        <v>55</v>
      </c>
      <c r="H13">
        <f>RANK(TAcum[[#This Row],[j06]],TAcum[[#All],[j06]],0)</f>
        <v>53</v>
      </c>
      <c r="I13">
        <f>RANK(TAcum[[#This Row],[j07]],TAcum[[#All],[j07]],0)</f>
        <v>71</v>
      </c>
      <c r="J13">
        <f>RANK(TAcum[[#This Row],[j08]],TAcum[[#All],[j08]],0)</f>
        <v>65</v>
      </c>
      <c r="K13">
        <f>RANK(TAcum[[#This Row],[j09]],TAcum[[#All],[j09]],0)</f>
        <v>16</v>
      </c>
      <c r="L13">
        <f>RANK(TAcum[[#This Row],[j10]],TAcum[[#All],[j10]],0)</f>
        <v>10</v>
      </c>
      <c r="M13">
        <f>RANK(TAcum[[#This Row],[j11]],TAcum[[#All],[j11]],0)</f>
        <v>9</v>
      </c>
      <c r="N13">
        <f>RANK(TAcum[[#This Row],[j12]],TAcum[[#All],[j12]],0)</f>
        <v>3</v>
      </c>
      <c r="O13">
        <f>RANK(TAcum[[#This Row],[j13]],TAcum[[#All],[j13]],0)</f>
        <v>10</v>
      </c>
      <c r="P13">
        <f>RANK(TAcum[[#This Row],[j14]],TAcum[[#All],[j14]],0)</f>
        <v>10</v>
      </c>
      <c r="Q13">
        <f>RANK(TAcum[[#This Row],[j15]],TAcum[[#All],[j15]],0)</f>
        <v>9</v>
      </c>
      <c r="R13">
        <f>RANK(TAcum[[#This Row],[j16]],TAcum[[#All],[j16]],0)</f>
        <v>10</v>
      </c>
      <c r="S13">
        <f>RANK(TAcum[[#This Row],[j17]],TAcum[[#All],[j17]],0)</f>
        <v>13</v>
      </c>
      <c r="T13">
        <f>RANK(TAcum[[#This Row],[j18]],TAcum[[#All],[j18]],0)</f>
        <v>11</v>
      </c>
      <c r="U13">
        <f>RANK(TAcum[[#This Row],[j19]],TAcum[[#All],[j19]],0)</f>
        <v>10</v>
      </c>
      <c r="V13">
        <f>RANK(TAcum[[#This Row],[j20]],TAcum[[#All],[j20]],0)</f>
        <v>16</v>
      </c>
      <c r="W13">
        <f>RANK(TAcum[[#This Row],[j21]],TAcum[[#All],[j21]],0)</f>
        <v>20</v>
      </c>
      <c r="X13">
        <f>RANK(TAcum[[#This Row],[j22]],TAcum[[#All],[j22]],0)</f>
        <v>16</v>
      </c>
      <c r="Y13">
        <f>RANK(TAcum[[#This Row],[j23]],TAcum[[#All],[j23]],0)</f>
        <v>17</v>
      </c>
      <c r="Z13">
        <f>RANK(TAcum[[#This Row],[j24]],TAcum[[#All],[j24]],0)</f>
        <v>9</v>
      </c>
      <c r="AA13">
        <f>RANK(TAcum[[#This Row],[j25]],TAcum[[#All],[j25]],0)</f>
        <v>11</v>
      </c>
      <c r="AB13">
        <f>RANK(TAcum[[#This Row],[j26]],TAcum[[#All],[j26]],0)</f>
        <v>13</v>
      </c>
      <c r="AC13">
        <f>RANK(TAcum[[#This Row],[j27]],TAcum[[#All],[j27]],0)</f>
        <v>13</v>
      </c>
      <c r="AD13">
        <f>RANK(TAcum[[#This Row],[j28]],TAcum[[#All],[j28]],0)</f>
        <v>13</v>
      </c>
      <c r="AE13">
        <f>RANK(TAcum[[#This Row],[j29]],TAcum[[#All],[j29]],0)</f>
        <v>12</v>
      </c>
      <c r="AF13">
        <f>RANK(TAcum[[#This Row],[j30]],TAcum[[#All],[j30]],0)</f>
        <v>12</v>
      </c>
      <c r="AG13">
        <f>RANK(TAcum[[#This Row],[j31]],TAcum[[#All],[j31]],0)</f>
        <v>12</v>
      </c>
      <c r="AH13">
        <f>RANK(TAcum[[#This Row],[j32]],TAcum[[#All],[j32]],0)</f>
        <v>12</v>
      </c>
      <c r="AI13">
        <f>RANK(TAcum[[#This Row],[j33]],TAcum[[#All],[j33]],0)</f>
        <v>12</v>
      </c>
      <c r="AJ13">
        <f>RANK(TAcum[[#This Row],[j34]],TAcum[[#All],[j34]],0)</f>
        <v>12</v>
      </c>
      <c r="AK13">
        <f>RANK(TAcum[[#This Row],[j35]],TAcum[[#All],[j35]],0)</f>
        <v>12</v>
      </c>
      <c r="AL13">
        <f>RANK(TAcum[[#This Row],[j36]],TAcum[[#All],[j36]],0)</f>
        <v>12</v>
      </c>
      <c r="AM13">
        <f>RANK(TAcum[[#This Row],[j37]],TAcum[[#All],[j37]],0)</f>
        <v>12</v>
      </c>
      <c r="AN13">
        <f>RANK(TAcum[[#This Row],[j38]],TAcum[[#All],[j38]],0)</f>
        <v>12</v>
      </c>
      <c r="AO13">
        <f>RANK(TAcum[[#This Row],[j39]],TAcum[[#All],[j39]],0)</f>
        <v>12</v>
      </c>
      <c r="AP13">
        <f>RANK(TAcum[[#This Row],[j40]],TAcum[[#All],[j40]],0)</f>
        <v>12</v>
      </c>
      <c r="AQ13">
        <f>RANK(TAcum[[#This Row],[j41]],TAcum[[#All],[j41]],0)</f>
        <v>12</v>
      </c>
      <c r="AR13">
        <f>RANK(TAcum[[#This Row],[j42]],TAcum[[#All],[j42]],0)</f>
        <v>12</v>
      </c>
      <c r="AS13">
        <f>RANK(TAcum[[#This Row],[j43]],TAcum[[#All],[j43]],0)</f>
        <v>12</v>
      </c>
      <c r="AT13">
        <f>RANK(TAcum[[#This Row],[j44]],TAcum[[#All],[j44]],0)</f>
        <v>12</v>
      </c>
      <c r="AU13">
        <f>RANK(TAcum[[#This Row],[j45]],TAcum[[#All],[j45]],0)</f>
        <v>12</v>
      </c>
      <c r="AV13">
        <f>RANK(TAcum[[#This Row],[j46]],TAcum[[#All],[j46]],0)</f>
        <v>12</v>
      </c>
      <c r="AW13">
        <f>RANK(TAcum[[#This Row],[j47]],TAcum[[#All],[j47]],0)</f>
        <v>12</v>
      </c>
      <c r="AX13">
        <f>RANK(TAcum[[#This Row],[j48]],TAcum[[#All],[j48]],0)</f>
        <v>12</v>
      </c>
      <c r="AY13">
        <f>RANK(TAcum[[#This Row],[j49]],TAcum[[#All],[j49]],0)</f>
        <v>12</v>
      </c>
      <c r="AZ13">
        <f>RANK(TAcum[[#This Row],[j50]],TAcum[[#All],[j50]],0)</f>
        <v>12</v>
      </c>
      <c r="BA13">
        <f>RANK(TAcum[[#This Row],[j51]],TAcum[[#All],[j51]],0)</f>
        <v>12</v>
      </c>
      <c r="BB13">
        <f>RANK(TAcum[[#This Row],[j52]],TAcum[[#All],[j52]],0)</f>
        <v>12</v>
      </c>
      <c r="BC13">
        <f>RANK(TAcum[[#This Row],[j53]],TAcum[[#All],[j53]],0)</f>
        <v>12</v>
      </c>
      <c r="BD13">
        <f>RANK(TAcum[[#This Row],[j54]],TAcum[[#All],[j54]],0)</f>
        <v>12</v>
      </c>
      <c r="BE13">
        <f>RANK(TAcum[[#This Row],[j55]],TAcum[[#All],[j55]],0)</f>
        <v>12</v>
      </c>
      <c r="BF13">
        <f>RANK(TAcum[[#This Row],[j56]],TAcum[[#All],[j56]],0)</f>
        <v>12</v>
      </c>
      <c r="BG13">
        <f>RANK(TAcum[[#This Row],[j57]],TAcum[[#All],[j57]],0)</f>
        <v>12</v>
      </c>
      <c r="BH13">
        <f>RANK(TAcum[[#This Row],[j58]],TAcum[[#All],[j58]],0)</f>
        <v>12</v>
      </c>
      <c r="BI13">
        <f>RANK(TAcum[[#This Row],[j59]],TAcum[[#All],[j59]],0)</f>
        <v>12</v>
      </c>
      <c r="BJ13">
        <f>RANK(TAcum[[#This Row],[j60]],TAcum[[#All],[j60]],0)</f>
        <v>12</v>
      </c>
      <c r="BK13">
        <f>RANK(TAcum[[#This Row],[j61]],TAcum[[#All],[j61]],0)</f>
        <v>12</v>
      </c>
      <c r="BL13">
        <f>RANK(TAcum[[#This Row],[j62]],TAcum[[#All],[j62]],0)</f>
        <v>12</v>
      </c>
      <c r="BM13">
        <f>RANK(TAcum[[#This Row],[j63]],TAcum[[#All],[j63]],0)</f>
        <v>12</v>
      </c>
      <c r="BN13">
        <f>RANK(TAcum[[#This Row],[j64]],TAcum[[#All],[j64]],0)</f>
        <v>12</v>
      </c>
      <c r="BO13">
        <f>RANK(TAcum[[#This Row],[j65]],TAcum[[#All],[j65]],0)</f>
        <v>12</v>
      </c>
      <c r="BP13">
        <f>RANK(TAcum[[#This Row],[j66]],TAcum[[#All],[j66]],0)</f>
        <v>12</v>
      </c>
      <c r="BQ13">
        <f>RANK(TAcum[[#This Row],[j67]],TAcum[[#All],[j67]],0)</f>
        <v>12</v>
      </c>
      <c r="BR13">
        <f>RANK(TAcum[[#This Row],[j68]],TAcum[[#All],[j68]],0)</f>
        <v>12</v>
      </c>
      <c r="BS13">
        <f>RANK(TAcum[[#This Row],[j69]],TAcum[[#All],[j69]],0)</f>
        <v>12</v>
      </c>
      <c r="BT13">
        <f>RANK(TAcum[[#This Row],[j70]],TAcum[[#All],[j70]],0)</f>
        <v>12</v>
      </c>
      <c r="BU13">
        <f>RANK(TAcum[[#This Row],[j71]],TAcum[[#All],[j71]],0)</f>
        <v>12</v>
      </c>
      <c r="BV13">
        <f>RANK(TAcum[[#This Row],[j72]],TAcum[[#All],[j72]],0)</f>
        <v>12</v>
      </c>
      <c r="BW13">
        <f>RANK(TAcum[[#This Row],[j73]],TAcum[[#All],[j73]],0)</f>
        <v>12</v>
      </c>
    </row>
    <row r="14" spans="1:75" x14ac:dyDescent="0.25">
      <c r="A14" t="str">
        <f>TAcum[[#This Row],[Jogador]]</f>
        <v>Luciano Santana Barros 2</v>
      </c>
      <c r="B14">
        <f>RANK(TAcum[[#This Row],[total]],TAcum[[#All],[total]],0)</f>
        <v>12</v>
      </c>
      <c r="C14">
        <f>RANK(TAcum[[#This Row],[j01]],TAcum[[#All],[j01]],0)</f>
        <v>1</v>
      </c>
      <c r="D14">
        <f>RANK(TAcum[[#This Row],[j02]],TAcum[[#All],[j02]],0)</f>
        <v>1</v>
      </c>
      <c r="E14">
        <f>RANK(TAcum[[#This Row],[j03]],TAcum[[#All],[j03]],0)</f>
        <v>3</v>
      </c>
      <c r="F14">
        <f>RANK(TAcum[[#This Row],[j04]],TAcum[[#All],[j04]],0)</f>
        <v>54</v>
      </c>
      <c r="G14">
        <f>RANK(TAcum[[#This Row],[j05]],TAcum[[#All],[j05]],0)</f>
        <v>55</v>
      </c>
      <c r="H14">
        <f>RANK(TAcum[[#This Row],[j06]],TAcum[[#All],[j06]],0)</f>
        <v>53</v>
      </c>
      <c r="I14">
        <f>RANK(TAcum[[#This Row],[j07]],TAcum[[#All],[j07]],0)</f>
        <v>71</v>
      </c>
      <c r="J14">
        <f>RANK(TAcum[[#This Row],[j08]],TAcum[[#All],[j08]],0)</f>
        <v>65</v>
      </c>
      <c r="K14">
        <f>RANK(TAcum[[#This Row],[j09]],TAcum[[#All],[j09]],0)</f>
        <v>16</v>
      </c>
      <c r="L14">
        <f>RANK(TAcum[[#This Row],[j10]],TAcum[[#All],[j10]],0)</f>
        <v>10</v>
      </c>
      <c r="M14">
        <f>RANK(TAcum[[#This Row],[j11]],TAcum[[#All],[j11]],0)</f>
        <v>9</v>
      </c>
      <c r="N14">
        <f>RANK(TAcum[[#This Row],[j12]],TAcum[[#All],[j12]],0)</f>
        <v>3</v>
      </c>
      <c r="O14">
        <f>RANK(TAcum[[#This Row],[j13]],TAcum[[#All],[j13]],0)</f>
        <v>10</v>
      </c>
      <c r="P14">
        <f>RANK(TAcum[[#This Row],[j14]],TAcum[[#All],[j14]],0)</f>
        <v>10</v>
      </c>
      <c r="Q14">
        <f>RANK(TAcum[[#This Row],[j15]],TAcum[[#All],[j15]],0)</f>
        <v>9</v>
      </c>
      <c r="R14">
        <f>RANK(TAcum[[#This Row],[j16]],TAcum[[#All],[j16]],0)</f>
        <v>10</v>
      </c>
      <c r="S14">
        <f>RANK(TAcum[[#This Row],[j17]],TAcum[[#All],[j17]],0)</f>
        <v>13</v>
      </c>
      <c r="T14">
        <f>RANK(TAcum[[#This Row],[j18]],TAcum[[#All],[j18]],0)</f>
        <v>11</v>
      </c>
      <c r="U14">
        <f>RANK(TAcum[[#This Row],[j19]],TAcum[[#All],[j19]],0)</f>
        <v>10</v>
      </c>
      <c r="V14">
        <f>RANK(TAcum[[#This Row],[j20]],TAcum[[#All],[j20]],0)</f>
        <v>16</v>
      </c>
      <c r="W14">
        <f>RANK(TAcum[[#This Row],[j21]],TAcum[[#All],[j21]],0)</f>
        <v>20</v>
      </c>
      <c r="X14">
        <f>RANK(TAcum[[#This Row],[j22]],TAcum[[#All],[j22]],0)</f>
        <v>16</v>
      </c>
      <c r="Y14">
        <f>RANK(TAcum[[#This Row],[j23]],TAcum[[#All],[j23]],0)</f>
        <v>17</v>
      </c>
      <c r="Z14">
        <f>RANK(TAcum[[#This Row],[j24]],TAcum[[#All],[j24]],0)</f>
        <v>9</v>
      </c>
      <c r="AA14">
        <f>RANK(TAcum[[#This Row],[j25]],TAcum[[#All],[j25]],0)</f>
        <v>11</v>
      </c>
      <c r="AB14">
        <f>RANK(TAcum[[#This Row],[j26]],TAcum[[#All],[j26]],0)</f>
        <v>13</v>
      </c>
      <c r="AC14">
        <f>RANK(TAcum[[#This Row],[j27]],TAcum[[#All],[j27]],0)</f>
        <v>13</v>
      </c>
      <c r="AD14">
        <f>RANK(TAcum[[#This Row],[j28]],TAcum[[#All],[j28]],0)</f>
        <v>13</v>
      </c>
      <c r="AE14">
        <f>RANK(TAcum[[#This Row],[j29]],TAcum[[#All],[j29]],0)</f>
        <v>12</v>
      </c>
      <c r="AF14">
        <f>RANK(TAcum[[#This Row],[j30]],TAcum[[#All],[j30]],0)</f>
        <v>12</v>
      </c>
      <c r="AG14">
        <f>RANK(TAcum[[#This Row],[j31]],TAcum[[#All],[j31]],0)</f>
        <v>12</v>
      </c>
      <c r="AH14">
        <f>RANK(TAcum[[#This Row],[j32]],TAcum[[#All],[j32]],0)</f>
        <v>12</v>
      </c>
      <c r="AI14">
        <f>RANK(TAcum[[#This Row],[j33]],TAcum[[#All],[j33]],0)</f>
        <v>12</v>
      </c>
      <c r="AJ14">
        <f>RANK(TAcum[[#This Row],[j34]],TAcum[[#All],[j34]],0)</f>
        <v>12</v>
      </c>
      <c r="AK14">
        <f>RANK(TAcum[[#This Row],[j35]],TAcum[[#All],[j35]],0)</f>
        <v>12</v>
      </c>
      <c r="AL14">
        <f>RANK(TAcum[[#This Row],[j36]],TAcum[[#All],[j36]],0)</f>
        <v>12</v>
      </c>
      <c r="AM14">
        <f>RANK(TAcum[[#This Row],[j37]],TAcum[[#All],[j37]],0)</f>
        <v>12</v>
      </c>
      <c r="AN14">
        <f>RANK(TAcum[[#This Row],[j38]],TAcum[[#All],[j38]],0)</f>
        <v>12</v>
      </c>
      <c r="AO14">
        <f>RANK(TAcum[[#This Row],[j39]],TAcum[[#All],[j39]],0)</f>
        <v>12</v>
      </c>
      <c r="AP14">
        <f>RANK(TAcum[[#This Row],[j40]],TAcum[[#All],[j40]],0)</f>
        <v>12</v>
      </c>
      <c r="AQ14">
        <f>RANK(TAcum[[#This Row],[j41]],TAcum[[#All],[j41]],0)</f>
        <v>12</v>
      </c>
      <c r="AR14">
        <f>RANK(TAcum[[#This Row],[j42]],TAcum[[#All],[j42]],0)</f>
        <v>12</v>
      </c>
      <c r="AS14">
        <f>RANK(TAcum[[#This Row],[j43]],TAcum[[#All],[j43]],0)</f>
        <v>12</v>
      </c>
      <c r="AT14">
        <f>RANK(TAcum[[#This Row],[j44]],TAcum[[#All],[j44]],0)</f>
        <v>12</v>
      </c>
      <c r="AU14">
        <f>RANK(TAcum[[#This Row],[j45]],TAcum[[#All],[j45]],0)</f>
        <v>12</v>
      </c>
      <c r="AV14">
        <f>RANK(TAcum[[#This Row],[j46]],TAcum[[#All],[j46]],0)</f>
        <v>12</v>
      </c>
      <c r="AW14">
        <f>RANK(TAcum[[#This Row],[j47]],TAcum[[#All],[j47]],0)</f>
        <v>12</v>
      </c>
      <c r="AX14">
        <f>RANK(TAcum[[#This Row],[j48]],TAcum[[#All],[j48]],0)</f>
        <v>12</v>
      </c>
      <c r="AY14">
        <f>RANK(TAcum[[#This Row],[j49]],TAcum[[#All],[j49]],0)</f>
        <v>12</v>
      </c>
      <c r="AZ14">
        <f>RANK(TAcum[[#This Row],[j50]],TAcum[[#All],[j50]],0)</f>
        <v>12</v>
      </c>
      <c r="BA14">
        <f>RANK(TAcum[[#This Row],[j51]],TAcum[[#All],[j51]],0)</f>
        <v>12</v>
      </c>
      <c r="BB14">
        <f>RANK(TAcum[[#This Row],[j52]],TAcum[[#All],[j52]],0)</f>
        <v>12</v>
      </c>
      <c r="BC14">
        <f>RANK(TAcum[[#This Row],[j53]],TAcum[[#All],[j53]],0)</f>
        <v>12</v>
      </c>
      <c r="BD14">
        <f>RANK(TAcum[[#This Row],[j54]],TAcum[[#All],[j54]],0)</f>
        <v>12</v>
      </c>
      <c r="BE14">
        <f>RANK(TAcum[[#This Row],[j55]],TAcum[[#All],[j55]],0)</f>
        <v>12</v>
      </c>
      <c r="BF14">
        <f>RANK(TAcum[[#This Row],[j56]],TAcum[[#All],[j56]],0)</f>
        <v>12</v>
      </c>
      <c r="BG14">
        <f>RANK(TAcum[[#This Row],[j57]],TAcum[[#All],[j57]],0)</f>
        <v>12</v>
      </c>
      <c r="BH14">
        <f>RANK(TAcum[[#This Row],[j58]],TAcum[[#All],[j58]],0)</f>
        <v>12</v>
      </c>
      <c r="BI14">
        <f>RANK(TAcum[[#This Row],[j59]],TAcum[[#All],[j59]],0)</f>
        <v>12</v>
      </c>
      <c r="BJ14">
        <f>RANK(TAcum[[#This Row],[j60]],TAcum[[#All],[j60]],0)</f>
        <v>12</v>
      </c>
      <c r="BK14">
        <f>RANK(TAcum[[#This Row],[j61]],TAcum[[#All],[j61]],0)</f>
        <v>12</v>
      </c>
      <c r="BL14">
        <f>RANK(TAcum[[#This Row],[j62]],TAcum[[#All],[j62]],0)</f>
        <v>12</v>
      </c>
      <c r="BM14">
        <f>RANK(TAcum[[#This Row],[j63]],TAcum[[#All],[j63]],0)</f>
        <v>12</v>
      </c>
      <c r="BN14">
        <f>RANK(TAcum[[#This Row],[j64]],TAcum[[#All],[j64]],0)</f>
        <v>12</v>
      </c>
      <c r="BO14">
        <f>RANK(TAcum[[#This Row],[j65]],TAcum[[#All],[j65]],0)</f>
        <v>12</v>
      </c>
      <c r="BP14">
        <f>RANK(TAcum[[#This Row],[j66]],TAcum[[#All],[j66]],0)</f>
        <v>12</v>
      </c>
      <c r="BQ14">
        <f>RANK(TAcum[[#This Row],[j67]],TAcum[[#All],[j67]],0)</f>
        <v>12</v>
      </c>
      <c r="BR14">
        <f>RANK(TAcum[[#This Row],[j68]],TAcum[[#All],[j68]],0)</f>
        <v>12</v>
      </c>
      <c r="BS14">
        <f>RANK(TAcum[[#This Row],[j69]],TAcum[[#All],[j69]],0)</f>
        <v>12</v>
      </c>
      <c r="BT14">
        <f>RANK(TAcum[[#This Row],[j70]],TAcum[[#All],[j70]],0)</f>
        <v>12</v>
      </c>
      <c r="BU14">
        <f>RANK(TAcum[[#This Row],[j71]],TAcum[[#All],[j71]],0)</f>
        <v>12</v>
      </c>
      <c r="BV14">
        <f>RANK(TAcum[[#This Row],[j72]],TAcum[[#All],[j72]],0)</f>
        <v>12</v>
      </c>
      <c r="BW14">
        <f>RANK(TAcum[[#This Row],[j73]],TAcum[[#All],[j73]],0)</f>
        <v>12</v>
      </c>
    </row>
    <row r="15" spans="1:75" x14ac:dyDescent="0.25">
      <c r="A15" t="str">
        <f>TAcum[[#This Row],[Jogador]]</f>
        <v>Ney Boa Sorte</v>
      </c>
      <c r="B15">
        <f>RANK(TAcum[[#This Row],[total]],TAcum[[#All],[total]],0)</f>
        <v>12</v>
      </c>
      <c r="C15">
        <f>RANK(TAcum[[#This Row],[j01]],TAcum[[#All],[j01]],0)</f>
        <v>13</v>
      </c>
      <c r="D15">
        <f>RANK(TAcum[[#This Row],[j02]],TAcum[[#All],[j02]],0)</f>
        <v>14</v>
      </c>
      <c r="E15">
        <f>RANK(TAcum[[#This Row],[j03]],TAcum[[#All],[j03]],0)</f>
        <v>3</v>
      </c>
      <c r="F15">
        <f>RANK(TAcum[[#This Row],[j04]],TAcum[[#All],[j04]],0)</f>
        <v>1</v>
      </c>
      <c r="G15">
        <f>RANK(TAcum[[#This Row],[j05]],TAcum[[#All],[j05]],0)</f>
        <v>1</v>
      </c>
      <c r="H15">
        <f>RANK(TAcum[[#This Row],[j06]],TAcum[[#All],[j06]],0)</f>
        <v>1</v>
      </c>
      <c r="I15">
        <f>RANK(TAcum[[#This Row],[j07]],TAcum[[#All],[j07]],0)</f>
        <v>11</v>
      </c>
      <c r="J15">
        <f>RANK(TAcum[[#This Row],[j08]],TAcum[[#All],[j08]],0)</f>
        <v>15</v>
      </c>
      <c r="K15">
        <f>RANK(TAcum[[#This Row],[j09]],TAcum[[#All],[j09]],0)</f>
        <v>23</v>
      </c>
      <c r="L15">
        <f>RANK(TAcum[[#This Row],[j10]],TAcum[[#All],[j10]],0)</f>
        <v>23</v>
      </c>
      <c r="M15">
        <f>RANK(TAcum[[#This Row],[j11]],TAcum[[#All],[j11]],0)</f>
        <v>20</v>
      </c>
      <c r="N15">
        <f>RANK(TAcum[[#This Row],[j12]],TAcum[[#All],[j12]],0)</f>
        <v>19</v>
      </c>
      <c r="O15">
        <f>RANK(TAcum[[#This Row],[j13]],TAcum[[#All],[j13]],0)</f>
        <v>14</v>
      </c>
      <c r="P15">
        <f>RANK(TAcum[[#This Row],[j14]],TAcum[[#All],[j14]],0)</f>
        <v>19</v>
      </c>
      <c r="Q15">
        <f>RANK(TAcum[[#This Row],[j15]],TAcum[[#All],[j15]],0)</f>
        <v>13</v>
      </c>
      <c r="R15">
        <f>RANK(TAcum[[#This Row],[j16]],TAcum[[#All],[j16]],0)</f>
        <v>15</v>
      </c>
      <c r="S15">
        <f>RANK(TAcum[[#This Row],[j17]],TAcum[[#All],[j17]],0)</f>
        <v>7</v>
      </c>
      <c r="T15">
        <f>RANK(TAcum[[#This Row],[j18]],TAcum[[#All],[j18]],0)</f>
        <v>7</v>
      </c>
      <c r="U15">
        <f>RANK(TAcum[[#This Row],[j19]],TAcum[[#All],[j19]],0)</f>
        <v>5</v>
      </c>
      <c r="V15">
        <f>RANK(TAcum[[#This Row],[j20]],TAcum[[#All],[j20]],0)</f>
        <v>5</v>
      </c>
      <c r="W15">
        <f>RANK(TAcum[[#This Row],[j21]],TAcum[[#All],[j21]],0)</f>
        <v>7</v>
      </c>
      <c r="X15">
        <f>RANK(TAcum[[#This Row],[j22]],TAcum[[#All],[j22]],0)</f>
        <v>14</v>
      </c>
      <c r="Y15">
        <f>RANK(TAcum[[#This Row],[j23]],TAcum[[#All],[j23]],0)</f>
        <v>11</v>
      </c>
      <c r="Z15">
        <f>RANK(TAcum[[#This Row],[j24]],TAcum[[#All],[j24]],0)</f>
        <v>17</v>
      </c>
      <c r="AA15">
        <f>RANK(TAcum[[#This Row],[j25]],TAcum[[#All],[j25]],0)</f>
        <v>20</v>
      </c>
      <c r="AB15">
        <f>RANK(TAcum[[#This Row],[j26]],TAcum[[#All],[j26]],0)</f>
        <v>22</v>
      </c>
      <c r="AC15">
        <f>RANK(TAcum[[#This Row],[j27]],TAcum[[#All],[j27]],0)</f>
        <v>22</v>
      </c>
      <c r="AD15">
        <f>RANK(TAcum[[#This Row],[j28]],TAcum[[#All],[j28]],0)</f>
        <v>25</v>
      </c>
      <c r="AE15">
        <f>RANK(TAcum[[#This Row],[j29]],TAcum[[#All],[j29]],0)</f>
        <v>12</v>
      </c>
      <c r="AF15">
        <f>RANK(TAcum[[#This Row],[j30]],TAcum[[#All],[j30]],0)</f>
        <v>12</v>
      </c>
      <c r="AG15">
        <f>RANK(TAcum[[#This Row],[j31]],TAcum[[#All],[j31]],0)</f>
        <v>12</v>
      </c>
      <c r="AH15">
        <f>RANK(TAcum[[#This Row],[j32]],TAcum[[#All],[j32]],0)</f>
        <v>12</v>
      </c>
      <c r="AI15">
        <f>RANK(TAcum[[#This Row],[j33]],TAcum[[#All],[j33]],0)</f>
        <v>12</v>
      </c>
      <c r="AJ15">
        <f>RANK(TAcum[[#This Row],[j34]],TAcum[[#All],[j34]],0)</f>
        <v>12</v>
      </c>
      <c r="AK15">
        <f>RANK(TAcum[[#This Row],[j35]],TAcum[[#All],[j35]],0)</f>
        <v>12</v>
      </c>
      <c r="AL15">
        <f>RANK(TAcum[[#This Row],[j36]],TAcum[[#All],[j36]],0)</f>
        <v>12</v>
      </c>
      <c r="AM15">
        <f>RANK(TAcum[[#This Row],[j37]],TAcum[[#All],[j37]],0)</f>
        <v>12</v>
      </c>
      <c r="AN15">
        <f>RANK(TAcum[[#This Row],[j38]],TAcum[[#All],[j38]],0)</f>
        <v>12</v>
      </c>
      <c r="AO15">
        <f>RANK(TAcum[[#This Row],[j39]],TAcum[[#All],[j39]],0)</f>
        <v>12</v>
      </c>
      <c r="AP15">
        <f>RANK(TAcum[[#This Row],[j40]],TAcum[[#All],[j40]],0)</f>
        <v>12</v>
      </c>
      <c r="AQ15">
        <f>RANK(TAcum[[#This Row],[j41]],TAcum[[#All],[j41]],0)</f>
        <v>12</v>
      </c>
      <c r="AR15">
        <f>RANK(TAcum[[#This Row],[j42]],TAcum[[#All],[j42]],0)</f>
        <v>12</v>
      </c>
      <c r="AS15">
        <f>RANK(TAcum[[#This Row],[j43]],TAcum[[#All],[j43]],0)</f>
        <v>12</v>
      </c>
      <c r="AT15">
        <f>RANK(TAcum[[#This Row],[j44]],TAcum[[#All],[j44]],0)</f>
        <v>12</v>
      </c>
      <c r="AU15">
        <f>RANK(TAcum[[#This Row],[j45]],TAcum[[#All],[j45]],0)</f>
        <v>12</v>
      </c>
      <c r="AV15">
        <f>RANK(TAcum[[#This Row],[j46]],TAcum[[#All],[j46]],0)</f>
        <v>12</v>
      </c>
      <c r="AW15">
        <f>RANK(TAcum[[#This Row],[j47]],TAcum[[#All],[j47]],0)</f>
        <v>12</v>
      </c>
      <c r="AX15">
        <f>RANK(TAcum[[#This Row],[j48]],TAcum[[#All],[j48]],0)</f>
        <v>12</v>
      </c>
      <c r="AY15">
        <f>RANK(TAcum[[#This Row],[j49]],TAcum[[#All],[j49]],0)</f>
        <v>12</v>
      </c>
      <c r="AZ15">
        <f>RANK(TAcum[[#This Row],[j50]],TAcum[[#All],[j50]],0)</f>
        <v>12</v>
      </c>
      <c r="BA15">
        <f>RANK(TAcum[[#This Row],[j51]],TAcum[[#All],[j51]],0)</f>
        <v>12</v>
      </c>
      <c r="BB15">
        <f>RANK(TAcum[[#This Row],[j52]],TAcum[[#All],[j52]],0)</f>
        <v>12</v>
      </c>
      <c r="BC15">
        <f>RANK(TAcum[[#This Row],[j53]],TAcum[[#All],[j53]],0)</f>
        <v>12</v>
      </c>
      <c r="BD15">
        <f>RANK(TAcum[[#This Row],[j54]],TAcum[[#All],[j54]],0)</f>
        <v>12</v>
      </c>
      <c r="BE15">
        <f>RANK(TAcum[[#This Row],[j55]],TAcum[[#All],[j55]],0)</f>
        <v>12</v>
      </c>
      <c r="BF15">
        <f>RANK(TAcum[[#This Row],[j56]],TAcum[[#All],[j56]],0)</f>
        <v>12</v>
      </c>
      <c r="BG15">
        <f>RANK(TAcum[[#This Row],[j57]],TAcum[[#All],[j57]],0)</f>
        <v>12</v>
      </c>
      <c r="BH15">
        <f>RANK(TAcum[[#This Row],[j58]],TAcum[[#All],[j58]],0)</f>
        <v>12</v>
      </c>
      <c r="BI15">
        <f>RANK(TAcum[[#This Row],[j59]],TAcum[[#All],[j59]],0)</f>
        <v>12</v>
      </c>
      <c r="BJ15">
        <f>RANK(TAcum[[#This Row],[j60]],TAcum[[#All],[j60]],0)</f>
        <v>12</v>
      </c>
      <c r="BK15">
        <f>RANK(TAcum[[#This Row],[j61]],TAcum[[#All],[j61]],0)</f>
        <v>12</v>
      </c>
      <c r="BL15">
        <f>RANK(TAcum[[#This Row],[j62]],TAcum[[#All],[j62]],0)</f>
        <v>12</v>
      </c>
      <c r="BM15">
        <f>RANK(TAcum[[#This Row],[j63]],TAcum[[#All],[j63]],0)</f>
        <v>12</v>
      </c>
      <c r="BN15">
        <f>RANK(TAcum[[#This Row],[j64]],TAcum[[#All],[j64]],0)</f>
        <v>12</v>
      </c>
      <c r="BO15">
        <f>RANK(TAcum[[#This Row],[j65]],TAcum[[#All],[j65]],0)</f>
        <v>12</v>
      </c>
      <c r="BP15">
        <f>RANK(TAcum[[#This Row],[j66]],TAcum[[#All],[j66]],0)</f>
        <v>12</v>
      </c>
      <c r="BQ15">
        <f>RANK(TAcum[[#This Row],[j67]],TAcum[[#All],[j67]],0)</f>
        <v>12</v>
      </c>
      <c r="BR15">
        <f>RANK(TAcum[[#This Row],[j68]],TAcum[[#All],[j68]],0)</f>
        <v>12</v>
      </c>
      <c r="BS15">
        <f>RANK(TAcum[[#This Row],[j69]],TAcum[[#All],[j69]],0)</f>
        <v>12</v>
      </c>
      <c r="BT15">
        <f>RANK(TAcum[[#This Row],[j70]],TAcum[[#All],[j70]],0)</f>
        <v>12</v>
      </c>
      <c r="BU15">
        <f>RANK(TAcum[[#This Row],[j71]],TAcum[[#All],[j71]],0)</f>
        <v>12</v>
      </c>
      <c r="BV15">
        <f>RANK(TAcum[[#This Row],[j72]],TAcum[[#All],[j72]],0)</f>
        <v>12</v>
      </c>
      <c r="BW15">
        <f>RANK(TAcum[[#This Row],[j73]],TAcum[[#All],[j73]],0)</f>
        <v>12</v>
      </c>
    </row>
    <row r="16" spans="1:75" x14ac:dyDescent="0.25">
      <c r="A16" t="str">
        <f>TAcum[[#This Row],[Jogador]]</f>
        <v>Alexandre Saback 2</v>
      </c>
      <c r="B16">
        <f>RANK(TAcum[[#This Row],[total]],TAcum[[#All],[total]],0)</f>
        <v>15</v>
      </c>
      <c r="C16">
        <f>RANK(TAcum[[#This Row],[j01]],TAcum[[#All],[j01]],0)</f>
        <v>1</v>
      </c>
      <c r="D16">
        <f>RANK(TAcum[[#This Row],[j02]],TAcum[[#All],[j02]],0)</f>
        <v>1</v>
      </c>
      <c r="E16">
        <f>RANK(TAcum[[#This Row],[j03]],TAcum[[#All],[j03]],0)</f>
        <v>1</v>
      </c>
      <c r="F16">
        <f>RANK(TAcum[[#This Row],[j04]],TAcum[[#All],[j04]],0)</f>
        <v>26</v>
      </c>
      <c r="G16">
        <f>RANK(TAcum[[#This Row],[j05]],TAcum[[#All],[j05]],0)</f>
        <v>26</v>
      </c>
      <c r="H16">
        <f>RANK(TAcum[[#This Row],[j06]],TAcum[[#All],[j06]],0)</f>
        <v>22</v>
      </c>
      <c r="I16">
        <f>RANK(TAcum[[#This Row],[j07]],TAcum[[#All],[j07]],0)</f>
        <v>11</v>
      </c>
      <c r="J16">
        <f>RANK(TAcum[[#This Row],[j08]],TAcum[[#All],[j08]],0)</f>
        <v>15</v>
      </c>
      <c r="K16">
        <f>RANK(TAcum[[#This Row],[j09]],TAcum[[#All],[j09]],0)</f>
        <v>16</v>
      </c>
      <c r="L16">
        <f>RANK(TAcum[[#This Row],[j10]],TAcum[[#All],[j10]],0)</f>
        <v>19</v>
      </c>
      <c r="M16">
        <f>RANK(TAcum[[#This Row],[j11]],TAcum[[#All],[j11]],0)</f>
        <v>20</v>
      </c>
      <c r="N16">
        <f>RANK(TAcum[[#This Row],[j12]],TAcum[[#All],[j12]],0)</f>
        <v>19</v>
      </c>
      <c r="O16">
        <f>RANK(TAcum[[#This Row],[j13]],TAcum[[#All],[j13]],0)</f>
        <v>14</v>
      </c>
      <c r="P16">
        <f>RANK(TAcum[[#This Row],[j14]],TAcum[[#All],[j14]],0)</f>
        <v>14</v>
      </c>
      <c r="Q16">
        <f>RANK(TAcum[[#This Row],[j15]],TAcum[[#All],[j15]],0)</f>
        <v>13</v>
      </c>
      <c r="R16">
        <f>RANK(TAcum[[#This Row],[j16]],TAcum[[#All],[j16]],0)</f>
        <v>15</v>
      </c>
      <c r="S16">
        <f>RANK(TAcum[[#This Row],[j17]],TAcum[[#All],[j17]],0)</f>
        <v>18</v>
      </c>
      <c r="T16">
        <f>RANK(TAcum[[#This Row],[j18]],TAcum[[#All],[j18]],0)</f>
        <v>18</v>
      </c>
      <c r="U16">
        <f>RANK(TAcum[[#This Row],[j19]],TAcum[[#All],[j19]],0)</f>
        <v>20</v>
      </c>
      <c r="V16">
        <f>RANK(TAcum[[#This Row],[j20]],TAcum[[#All],[j20]],0)</f>
        <v>27</v>
      </c>
      <c r="W16">
        <f>RANK(TAcum[[#This Row],[j21]],TAcum[[#All],[j21]],0)</f>
        <v>25</v>
      </c>
      <c r="X16">
        <f>RANK(TAcum[[#This Row],[j22]],TAcum[[#All],[j22]],0)</f>
        <v>29</v>
      </c>
      <c r="Y16">
        <f>RANK(TAcum[[#This Row],[j23]],TAcum[[#All],[j23]],0)</f>
        <v>23</v>
      </c>
      <c r="Z16">
        <f>RANK(TAcum[[#This Row],[j24]],TAcum[[#All],[j24]],0)</f>
        <v>23</v>
      </c>
      <c r="AA16">
        <f>RANK(TAcum[[#This Row],[j25]],TAcum[[#All],[j25]],0)</f>
        <v>28</v>
      </c>
      <c r="AB16">
        <f>RANK(TAcum[[#This Row],[j26]],TAcum[[#All],[j26]],0)</f>
        <v>10</v>
      </c>
      <c r="AC16">
        <f>RANK(TAcum[[#This Row],[j27]],TAcum[[#All],[j27]],0)</f>
        <v>10</v>
      </c>
      <c r="AD16">
        <f>RANK(TAcum[[#This Row],[j28]],TAcum[[#All],[j28]],0)</f>
        <v>9</v>
      </c>
      <c r="AE16">
        <f>RANK(TAcum[[#This Row],[j29]],TAcum[[#All],[j29]],0)</f>
        <v>15</v>
      </c>
      <c r="AF16">
        <f>RANK(TAcum[[#This Row],[j30]],TAcum[[#All],[j30]],0)</f>
        <v>15</v>
      </c>
      <c r="AG16">
        <f>RANK(TAcum[[#This Row],[j31]],TAcum[[#All],[j31]],0)</f>
        <v>15</v>
      </c>
      <c r="AH16">
        <f>RANK(TAcum[[#This Row],[j32]],TAcum[[#All],[j32]],0)</f>
        <v>15</v>
      </c>
      <c r="AI16">
        <f>RANK(TAcum[[#This Row],[j33]],TAcum[[#All],[j33]],0)</f>
        <v>15</v>
      </c>
      <c r="AJ16">
        <f>RANK(TAcum[[#This Row],[j34]],TAcum[[#All],[j34]],0)</f>
        <v>15</v>
      </c>
      <c r="AK16">
        <f>RANK(TAcum[[#This Row],[j35]],TAcum[[#All],[j35]],0)</f>
        <v>15</v>
      </c>
      <c r="AL16">
        <f>RANK(TAcum[[#This Row],[j36]],TAcum[[#All],[j36]],0)</f>
        <v>15</v>
      </c>
      <c r="AM16">
        <f>RANK(TAcum[[#This Row],[j37]],TAcum[[#All],[j37]],0)</f>
        <v>15</v>
      </c>
      <c r="AN16">
        <f>RANK(TAcum[[#This Row],[j38]],TAcum[[#All],[j38]],0)</f>
        <v>15</v>
      </c>
      <c r="AO16">
        <f>RANK(TAcum[[#This Row],[j39]],TAcum[[#All],[j39]],0)</f>
        <v>15</v>
      </c>
      <c r="AP16">
        <f>RANK(TAcum[[#This Row],[j40]],TAcum[[#All],[j40]],0)</f>
        <v>15</v>
      </c>
      <c r="AQ16">
        <f>RANK(TAcum[[#This Row],[j41]],TAcum[[#All],[j41]],0)</f>
        <v>15</v>
      </c>
      <c r="AR16">
        <f>RANK(TAcum[[#This Row],[j42]],TAcum[[#All],[j42]],0)</f>
        <v>15</v>
      </c>
      <c r="AS16">
        <f>RANK(TAcum[[#This Row],[j43]],TAcum[[#All],[j43]],0)</f>
        <v>15</v>
      </c>
      <c r="AT16">
        <f>RANK(TAcum[[#This Row],[j44]],TAcum[[#All],[j44]],0)</f>
        <v>15</v>
      </c>
      <c r="AU16">
        <f>RANK(TAcum[[#This Row],[j45]],TAcum[[#All],[j45]],0)</f>
        <v>15</v>
      </c>
      <c r="AV16">
        <f>RANK(TAcum[[#This Row],[j46]],TAcum[[#All],[j46]],0)</f>
        <v>15</v>
      </c>
      <c r="AW16">
        <f>RANK(TAcum[[#This Row],[j47]],TAcum[[#All],[j47]],0)</f>
        <v>15</v>
      </c>
      <c r="AX16">
        <f>RANK(TAcum[[#This Row],[j48]],TAcum[[#All],[j48]],0)</f>
        <v>15</v>
      </c>
      <c r="AY16">
        <f>RANK(TAcum[[#This Row],[j49]],TAcum[[#All],[j49]],0)</f>
        <v>15</v>
      </c>
      <c r="AZ16">
        <f>RANK(TAcum[[#This Row],[j50]],TAcum[[#All],[j50]],0)</f>
        <v>15</v>
      </c>
      <c r="BA16">
        <f>RANK(TAcum[[#This Row],[j51]],TAcum[[#All],[j51]],0)</f>
        <v>15</v>
      </c>
      <c r="BB16">
        <f>RANK(TAcum[[#This Row],[j52]],TAcum[[#All],[j52]],0)</f>
        <v>15</v>
      </c>
      <c r="BC16">
        <f>RANK(TAcum[[#This Row],[j53]],TAcum[[#All],[j53]],0)</f>
        <v>15</v>
      </c>
      <c r="BD16">
        <f>RANK(TAcum[[#This Row],[j54]],TAcum[[#All],[j54]],0)</f>
        <v>15</v>
      </c>
      <c r="BE16">
        <f>RANK(TAcum[[#This Row],[j55]],TAcum[[#All],[j55]],0)</f>
        <v>15</v>
      </c>
      <c r="BF16">
        <f>RANK(TAcum[[#This Row],[j56]],TAcum[[#All],[j56]],0)</f>
        <v>15</v>
      </c>
      <c r="BG16">
        <f>RANK(TAcum[[#This Row],[j57]],TAcum[[#All],[j57]],0)</f>
        <v>15</v>
      </c>
      <c r="BH16">
        <f>RANK(TAcum[[#This Row],[j58]],TAcum[[#All],[j58]],0)</f>
        <v>15</v>
      </c>
      <c r="BI16">
        <f>RANK(TAcum[[#This Row],[j59]],TAcum[[#All],[j59]],0)</f>
        <v>15</v>
      </c>
      <c r="BJ16">
        <f>RANK(TAcum[[#This Row],[j60]],TAcum[[#All],[j60]],0)</f>
        <v>15</v>
      </c>
      <c r="BK16">
        <f>RANK(TAcum[[#This Row],[j61]],TAcum[[#All],[j61]],0)</f>
        <v>15</v>
      </c>
      <c r="BL16">
        <f>RANK(TAcum[[#This Row],[j62]],TAcum[[#All],[j62]],0)</f>
        <v>15</v>
      </c>
      <c r="BM16">
        <f>RANK(TAcum[[#This Row],[j63]],TAcum[[#All],[j63]],0)</f>
        <v>15</v>
      </c>
      <c r="BN16">
        <f>RANK(TAcum[[#This Row],[j64]],TAcum[[#All],[j64]],0)</f>
        <v>15</v>
      </c>
      <c r="BO16">
        <f>RANK(TAcum[[#This Row],[j65]],TAcum[[#All],[j65]],0)</f>
        <v>15</v>
      </c>
      <c r="BP16">
        <f>RANK(TAcum[[#This Row],[j66]],TAcum[[#All],[j66]],0)</f>
        <v>15</v>
      </c>
      <c r="BQ16">
        <f>RANK(TAcum[[#This Row],[j67]],TAcum[[#All],[j67]],0)</f>
        <v>15</v>
      </c>
      <c r="BR16">
        <f>RANK(TAcum[[#This Row],[j68]],TAcum[[#All],[j68]],0)</f>
        <v>15</v>
      </c>
      <c r="BS16">
        <f>RANK(TAcum[[#This Row],[j69]],TAcum[[#All],[j69]],0)</f>
        <v>15</v>
      </c>
      <c r="BT16">
        <f>RANK(TAcum[[#This Row],[j70]],TAcum[[#All],[j70]],0)</f>
        <v>15</v>
      </c>
      <c r="BU16">
        <f>RANK(TAcum[[#This Row],[j71]],TAcum[[#All],[j71]],0)</f>
        <v>15</v>
      </c>
      <c r="BV16">
        <f>RANK(TAcum[[#This Row],[j72]],TAcum[[#All],[j72]],0)</f>
        <v>15</v>
      </c>
      <c r="BW16">
        <f>RANK(TAcum[[#This Row],[j73]],TAcum[[#All],[j73]],0)</f>
        <v>15</v>
      </c>
    </row>
    <row r="17" spans="1:75" x14ac:dyDescent="0.25">
      <c r="A17" t="str">
        <f>TAcum[[#This Row],[Jogador]]</f>
        <v>Heraldo Gouvêa</v>
      </c>
      <c r="B17">
        <f>RANK(TAcum[[#This Row],[total]],TAcum[[#All],[total]],0)</f>
        <v>16</v>
      </c>
      <c r="C17">
        <f>RANK(TAcum[[#This Row],[j01]],TAcum[[#All],[j01]],0)</f>
        <v>13</v>
      </c>
      <c r="D17">
        <f>RANK(TAcum[[#This Row],[j02]],TAcum[[#All],[j02]],0)</f>
        <v>14</v>
      </c>
      <c r="E17">
        <f>RANK(TAcum[[#This Row],[j03]],TAcum[[#All],[j03]],0)</f>
        <v>3</v>
      </c>
      <c r="F17">
        <f>RANK(TAcum[[#This Row],[j04]],TAcum[[#All],[j04]],0)</f>
        <v>38</v>
      </c>
      <c r="G17">
        <f>RANK(TAcum[[#This Row],[j05]],TAcum[[#All],[j05]],0)</f>
        <v>39</v>
      </c>
      <c r="H17">
        <f>RANK(TAcum[[#This Row],[j06]],TAcum[[#All],[j06]],0)</f>
        <v>41</v>
      </c>
      <c r="I17">
        <f>RANK(TAcum[[#This Row],[j07]],TAcum[[#All],[j07]],0)</f>
        <v>27</v>
      </c>
      <c r="J17">
        <f>RANK(TAcum[[#This Row],[j08]],TAcum[[#All],[j08]],0)</f>
        <v>27</v>
      </c>
      <c r="K17">
        <f>RANK(TAcum[[#This Row],[j09]],TAcum[[#All],[j09]],0)</f>
        <v>27</v>
      </c>
      <c r="L17">
        <f>RANK(TAcum[[#This Row],[j10]],TAcum[[#All],[j10]],0)</f>
        <v>25</v>
      </c>
      <c r="M17">
        <f>RANK(TAcum[[#This Row],[j11]],TAcum[[#All],[j11]],0)</f>
        <v>23</v>
      </c>
      <c r="N17">
        <f>RANK(TAcum[[#This Row],[j12]],TAcum[[#All],[j12]],0)</f>
        <v>22</v>
      </c>
      <c r="O17">
        <f>RANK(TAcum[[#This Row],[j13]],TAcum[[#All],[j13]],0)</f>
        <v>16</v>
      </c>
      <c r="P17">
        <f>RANK(TAcum[[#This Row],[j14]],TAcum[[#All],[j14]],0)</f>
        <v>15</v>
      </c>
      <c r="Q17">
        <f>RANK(TAcum[[#This Row],[j15]],TAcum[[#All],[j15]],0)</f>
        <v>16</v>
      </c>
      <c r="R17">
        <f>RANK(TAcum[[#This Row],[j16]],TAcum[[#All],[j16]],0)</f>
        <v>5</v>
      </c>
      <c r="S17">
        <f>RANK(TAcum[[#This Row],[j17]],TAcum[[#All],[j17]],0)</f>
        <v>9</v>
      </c>
      <c r="T17">
        <f>RANK(TAcum[[#This Row],[j18]],TAcum[[#All],[j18]],0)</f>
        <v>11</v>
      </c>
      <c r="U17">
        <f>RANK(TAcum[[#This Row],[j19]],TAcum[[#All],[j19]],0)</f>
        <v>15</v>
      </c>
      <c r="V17">
        <f>RANK(TAcum[[#This Row],[j20]],TAcum[[#All],[j20]],0)</f>
        <v>16</v>
      </c>
      <c r="W17">
        <f>RANK(TAcum[[#This Row],[j21]],TAcum[[#All],[j21]],0)</f>
        <v>17</v>
      </c>
      <c r="X17">
        <f>RANK(TAcum[[#This Row],[j22]],TAcum[[#All],[j22]],0)</f>
        <v>22</v>
      </c>
      <c r="Y17">
        <f>RANK(TAcum[[#This Row],[j23]],TAcum[[#All],[j23]],0)</f>
        <v>25</v>
      </c>
      <c r="Z17">
        <f>RANK(TAcum[[#This Row],[j24]],TAcum[[#All],[j24]],0)</f>
        <v>15</v>
      </c>
      <c r="AA17">
        <f>RANK(TAcum[[#This Row],[j25]],TAcum[[#All],[j25]],0)</f>
        <v>17</v>
      </c>
      <c r="AB17">
        <f>RANK(TAcum[[#This Row],[j26]],TAcum[[#All],[j26]],0)</f>
        <v>18</v>
      </c>
      <c r="AC17">
        <f>RANK(TAcum[[#This Row],[j27]],TAcum[[#All],[j27]],0)</f>
        <v>18</v>
      </c>
      <c r="AD17">
        <f>RANK(TAcum[[#This Row],[j28]],TAcum[[#All],[j28]],0)</f>
        <v>17</v>
      </c>
      <c r="AE17">
        <f>RANK(TAcum[[#This Row],[j29]],TAcum[[#All],[j29]],0)</f>
        <v>16</v>
      </c>
      <c r="AF17">
        <f>RANK(TAcum[[#This Row],[j30]],TAcum[[#All],[j30]],0)</f>
        <v>16</v>
      </c>
      <c r="AG17">
        <f>RANK(TAcum[[#This Row],[j31]],TAcum[[#All],[j31]],0)</f>
        <v>16</v>
      </c>
      <c r="AH17">
        <f>RANK(TAcum[[#This Row],[j32]],TAcum[[#All],[j32]],0)</f>
        <v>16</v>
      </c>
      <c r="AI17">
        <f>RANK(TAcum[[#This Row],[j33]],TAcum[[#All],[j33]],0)</f>
        <v>16</v>
      </c>
      <c r="AJ17">
        <f>RANK(TAcum[[#This Row],[j34]],TAcum[[#All],[j34]],0)</f>
        <v>16</v>
      </c>
      <c r="AK17">
        <f>RANK(TAcum[[#This Row],[j35]],TAcum[[#All],[j35]],0)</f>
        <v>16</v>
      </c>
      <c r="AL17">
        <f>RANK(TAcum[[#This Row],[j36]],TAcum[[#All],[j36]],0)</f>
        <v>16</v>
      </c>
      <c r="AM17">
        <f>RANK(TAcum[[#This Row],[j37]],TAcum[[#All],[j37]],0)</f>
        <v>16</v>
      </c>
      <c r="AN17">
        <f>RANK(TAcum[[#This Row],[j38]],TAcum[[#All],[j38]],0)</f>
        <v>16</v>
      </c>
      <c r="AO17">
        <f>RANK(TAcum[[#This Row],[j39]],TAcum[[#All],[j39]],0)</f>
        <v>16</v>
      </c>
      <c r="AP17">
        <f>RANK(TAcum[[#This Row],[j40]],TAcum[[#All],[j40]],0)</f>
        <v>16</v>
      </c>
      <c r="AQ17">
        <f>RANK(TAcum[[#This Row],[j41]],TAcum[[#All],[j41]],0)</f>
        <v>16</v>
      </c>
      <c r="AR17">
        <f>RANK(TAcum[[#This Row],[j42]],TAcum[[#All],[j42]],0)</f>
        <v>16</v>
      </c>
      <c r="AS17">
        <f>RANK(TAcum[[#This Row],[j43]],TAcum[[#All],[j43]],0)</f>
        <v>16</v>
      </c>
      <c r="AT17">
        <f>RANK(TAcum[[#This Row],[j44]],TAcum[[#All],[j44]],0)</f>
        <v>16</v>
      </c>
      <c r="AU17">
        <f>RANK(TAcum[[#This Row],[j45]],TAcum[[#All],[j45]],0)</f>
        <v>16</v>
      </c>
      <c r="AV17">
        <f>RANK(TAcum[[#This Row],[j46]],TAcum[[#All],[j46]],0)</f>
        <v>16</v>
      </c>
      <c r="AW17">
        <f>RANK(TAcum[[#This Row],[j47]],TAcum[[#All],[j47]],0)</f>
        <v>16</v>
      </c>
      <c r="AX17">
        <f>RANK(TAcum[[#This Row],[j48]],TAcum[[#All],[j48]],0)</f>
        <v>16</v>
      </c>
      <c r="AY17">
        <f>RANK(TAcum[[#This Row],[j49]],TAcum[[#All],[j49]],0)</f>
        <v>16</v>
      </c>
      <c r="AZ17">
        <f>RANK(TAcum[[#This Row],[j50]],TAcum[[#All],[j50]],0)</f>
        <v>16</v>
      </c>
      <c r="BA17">
        <f>RANK(TAcum[[#This Row],[j51]],TAcum[[#All],[j51]],0)</f>
        <v>16</v>
      </c>
      <c r="BB17">
        <f>RANK(TAcum[[#This Row],[j52]],TAcum[[#All],[j52]],0)</f>
        <v>16</v>
      </c>
      <c r="BC17">
        <f>RANK(TAcum[[#This Row],[j53]],TAcum[[#All],[j53]],0)</f>
        <v>16</v>
      </c>
      <c r="BD17">
        <f>RANK(TAcum[[#This Row],[j54]],TAcum[[#All],[j54]],0)</f>
        <v>16</v>
      </c>
      <c r="BE17">
        <f>RANK(TAcum[[#This Row],[j55]],TAcum[[#All],[j55]],0)</f>
        <v>16</v>
      </c>
      <c r="BF17">
        <f>RANK(TAcum[[#This Row],[j56]],TAcum[[#All],[j56]],0)</f>
        <v>16</v>
      </c>
      <c r="BG17">
        <f>RANK(TAcum[[#This Row],[j57]],TAcum[[#All],[j57]],0)</f>
        <v>16</v>
      </c>
      <c r="BH17">
        <f>RANK(TAcum[[#This Row],[j58]],TAcum[[#All],[j58]],0)</f>
        <v>16</v>
      </c>
      <c r="BI17">
        <f>RANK(TAcum[[#This Row],[j59]],TAcum[[#All],[j59]],0)</f>
        <v>16</v>
      </c>
      <c r="BJ17">
        <f>RANK(TAcum[[#This Row],[j60]],TAcum[[#All],[j60]],0)</f>
        <v>16</v>
      </c>
      <c r="BK17">
        <f>RANK(TAcum[[#This Row],[j61]],TAcum[[#All],[j61]],0)</f>
        <v>16</v>
      </c>
      <c r="BL17">
        <f>RANK(TAcum[[#This Row],[j62]],TAcum[[#All],[j62]],0)</f>
        <v>16</v>
      </c>
      <c r="BM17">
        <f>RANK(TAcum[[#This Row],[j63]],TAcum[[#All],[j63]],0)</f>
        <v>16</v>
      </c>
      <c r="BN17">
        <f>RANK(TAcum[[#This Row],[j64]],TAcum[[#All],[j64]],0)</f>
        <v>16</v>
      </c>
      <c r="BO17">
        <f>RANK(TAcum[[#This Row],[j65]],TAcum[[#All],[j65]],0)</f>
        <v>16</v>
      </c>
      <c r="BP17">
        <f>RANK(TAcum[[#This Row],[j66]],TAcum[[#All],[j66]],0)</f>
        <v>16</v>
      </c>
      <c r="BQ17">
        <f>RANK(TAcum[[#This Row],[j67]],TAcum[[#All],[j67]],0)</f>
        <v>16</v>
      </c>
      <c r="BR17">
        <f>RANK(TAcum[[#This Row],[j68]],TAcum[[#All],[j68]],0)</f>
        <v>16</v>
      </c>
      <c r="BS17">
        <f>RANK(TAcum[[#This Row],[j69]],TAcum[[#All],[j69]],0)</f>
        <v>16</v>
      </c>
      <c r="BT17">
        <f>RANK(TAcum[[#This Row],[j70]],TAcum[[#All],[j70]],0)</f>
        <v>16</v>
      </c>
      <c r="BU17">
        <f>RANK(TAcum[[#This Row],[j71]],TAcum[[#All],[j71]],0)</f>
        <v>16</v>
      </c>
      <c r="BV17">
        <f>RANK(TAcum[[#This Row],[j72]],TAcum[[#All],[j72]],0)</f>
        <v>16</v>
      </c>
      <c r="BW17">
        <f>RANK(TAcum[[#This Row],[j73]],TAcum[[#All],[j73]],0)</f>
        <v>16</v>
      </c>
    </row>
    <row r="18" spans="1:75" x14ac:dyDescent="0.25">
      <c r="A18" t="str">
        <f>TAcum[[#This Row],[Jogador]]</f>
        <v>Fabiano Fonseca</v>
      </c>
      <c r="B18">
        <f>RANK(TAcum[[#This Row],[total]],TAcum[[#All],[total]],0)</f>
        <v>17</v>
      </c>
      <c r="C18">
        <f>RANK(TAcum[[#This Row],[j01]],TAcum[[#All],[j01]],0)</f>
        <v>13</v>
      </c>
      <c r="D18">
        <f>RANK(TAcum[[#This Row],[j02]],TAcum[[#All],[j02]],0)</f>
        <v>14</v>
      </c>
      <c r="E18">
        <f>RANK(TAcum[[#This Row],[j03]],TAcum[[#All],[j03]],0)</f>
        <v>24</v>
      </c>
      <c r="F18">
        <f>RANK(TAcum[[#This Row],[j04]],TAcum[[#All],[j04]],0)</f>
        <v>9</v>
      </c>
      <c r="G18">
        <f>RANK(TAcum[[#This Row],[j05]],TAcum[[#All],[j05]],0)</f>
        <v>9</v>
      </c>
      <c r="H18">
        <f>RANK(TAcum[[#This Row],[j06]],TAcum[[#All],[j06]],0)</f>
        <v>9</v>
      </c>
      <c r="I18">
        <f>RANK(TAcum[[#This Row],[j07]],TAcum[[#All],[j07]],0)</f>
        <v>27</v>
      </c>
      <c r="J18">
        <f>RANK(TAcum[[#This Row],[j08]],TAcum[[#All],[j08]],0)</f>
        <v>27</v>
      </c>
      <c r="K18">
        <f>RANK(TAcum[[#This Row],[j09]],TAcum[[#All],[j09]],0)</f>
        <v>41</v>
      </c>
      <c r="L18">
        <f>RANK(TAcum[[#This Row],[j10]],TAcum[[#All],[j10]],0)</f>
        <v>42</v>
      </c>
      <c r="M18">
        <f>RANK(TAcum[[#This Row],[j11]],TAcum[[#All],[j11]],0)</f>
        <v>40</v>
      </c>
      <c r="N18">
        <f>RANK(TAcum[[#This Row],[j12]],TAcum[[#All],[j12]],0)</f>
        <v>41</v>
      </c>
      <c r="O18">
        <f>RANK(TAcum[[#This Row],[j13]],TAcum[[#All],[j13]],0)</f>
        <v>37</v>
      </c>
      <c r="P18">
        <f>RANK(TAcum[[#This Row],[j14]],TAcum[[#All],[j14]],0)</f>
        <v>45</v>
      </c>
      <c r="Q18">
        <f>RANK(TAcum[[#This Row],[j15]],TAcum[[#All],[j15]],0)</f>
        <v>45</v>
      </c>
      <c r="R18">
        <f>RANK(TAcum[[#This Row],[j16]],TAcum[[#All],[j16]],0)</f>
        <v>36</v>
      </c>
      <c r="S18">
        <f>RANK(TAcum[[#This Row],[j17]],TAcum[[#All],[j17]],0)</f>
        <v>18</v>
      </c>
      <c r="T18">
        <f>RANK(TAcum[[#This Row],[j18]],TAcum[[#All],[j18]],0)</f>
        <v>24</v>
      </c>
      <c r="U18">
        <f>RANK(TAcum[[#This Row],[j19]],TAcum[[#All],[j19]],0)</f>
        <v>26</v>
      </c>
      <c r="V18">
        <f>RANK(TAcum[[#This Row],[j20]],TAcum[[#All],[j20]],0)</f>
        <v>27</v>
      </c>
      <c r="W18">
        <f>RANK(TAcum[[#This Row],[j21]],TAcum[[#All],[j21]],0)</f>
        <v>25</v>
      </c>
      <c r="X18">
        <f>RANK(TAcum[[#This Row],[j22]],TAcum[[#All],[j22]],0)</f>
        <v>29</v>
      </c>
      <c r="Y18">
        <f>RANK(TAcum[[#This Row],[j23]],TAcum[[#All],[j23]],0)</f>
        <v>23</v>
      </c>
      <c r="Z18">
        <f>RANK(TAcum[[#This Row],[j24]],TAcum[[#All],[j24]],0)</f>
        <v>14</v>
      </c>
      <c r="AA18">
        <f>RANK(TAcum[[#This Row],[j25]],TAcum[[#All],[j25]],0)</f>
        <v>16</v>
      </c>
      <c r="AB18">
        <f>RANK(TAcum[[#This Row],[j26]],TAcum[[#All],[j26]],0)</f>
        <v>17</v>
      </c>
      <c r="AC18">
        <f>RANK(TAcum[[#This Row],[j27]],TAcum[[#All],[j27]],0)</f>
        <v>17</v>
      </c>
      <c r="AD18">
        <f>RANK(TAcum[[#This Row],[j28]],TAcum[[#All],[j28]],0)</f>
        <v>15</v>
      </c>
      <c r="AE18">
        <f>RANK(TAcum[[#This Row],[j29]],TAcum[[#All],[j29]],0)</f>
        <v>17</v>
      </c>
      <c r="AF18">
        <f>RANK(TAcum[[#This Row],[j30]],TAcum[[#All],[j30]],0)</f>
        <v>17</v>
      </c>
      <c r="AG18">
        <f>RANK(TAcum[[#This Row],[j31]],TAcum[[#All],[j31]],0)</f>
        <v>17</v>
      </c>
      <c r="AH18">
        <f>RANK(TAcum[[#This Row],[j32]],TAcum[[#All],[j32]],0)</f>
        <v>17</v>
      </c>
      <c r="AI18">
        <f>RANK(TAcum[[#This Row],[j33]],TAcum[[#All],[j33]],0)</f>
        <v>17</v>
      </c>
      <c r="AJ18">
        <f>RANK(TAcum[[#This Row],[j34]],TAcum[[#All],[j34]],0)</f>
        <v>17</v>
      </c>
      <c r="AK18">
        <f>RANK(TAcum[[#This Row],[j35]],TAcum[[#All],[j35]],0)</f>
        <v>17</v>
      </c>
      <c r="AL18">
        <f>RANK(TAcum[[#This Row],[j36]],TAcum[[#All],[j36]],0)</f>
        <v>17</v>
      </c>
      <c r="AM18">
        <f>RANK(TAcum[[#This Row],[j37]],TAcum[[#All],[j37]],0)</f>
        <v>17</v>
      </c>
      <c r="AN18">
        <f>RANK(TAcum[[#This Row],[j38]],TAcum[[#All],[j38]],0)</f>
        <v>17</v>
      </c>
      <c r="AO18">
        <f>RANK(TAcum[[#This Row],[j39]],TAcum[[#All],[j39]],0)</f>
        <v>17</v>
      </c>
      <c r="AP18">
        <f>RANK(TAcum[[#This Row],[j40]],TAcum[[#All],[j40]],0)</f>
        <v>17</v>
      </c>
      <c r="AQ18">
        <f>RANK(TAcum[[#This Row],[j41]],TAcum[[#All],[j41]],0)</f>
        <v>17</v>
      </c>
      <c r="AR18">
        <f>RANK(TAcum[[#This Row],[j42]],TAcum[[#All],[j42]],0)</f>
        <v>17</v>
      </c>
      <c r="AS18">
        <f>RANK(TAcum[[#This Row],[j43]],TAcum[[#All],[j43]],0)</f>
        <v>17</v>
      </c>
      <c r="AT18">
        <f>RANK(TAcum[[#This Row],[j44]],TAcum[[#All],[j44]],0)</f>
        <v>17</v>
      </c>
      <c r="AU18">
        <f>RANK(TAcum[[#This Row],[j45]],TAcum[[#All],[j45]],0)</f>
        <v>17</v>
      </c>
      <c r="AV18">
        <f>RANK(TAcum[[#This Row],[j46]],TAcum[[#All],[j46]],0)</f>
        <v>17</v>
      </c>
      <c r="AW18">
        <f>RANK(TAcum[[#This Row],[j47]],TAcum[[#All],[j47]],0)</f>
        <v>17</v>
      </c>
      <c r="AX18">
        <f>RANK(TAcum[[#This Row],[j48]],TAcum[[#All],[j48]],0)</f>
        <v>17</v>
      </c>
      <c r="AY18">
        <f>RANK(TAcum[[#This Row],[j49]],TAcum[[#All],[j49]],0)</f>
        <v>17</v>
      </c>
      <c r="AZ18">
        <f>RANK(TAcum[[#This Row],[j50]],TAcum[[#All],[j50]],0)</f>
        <v>17</v>
      </c>
      <c r="BA18">
        <f>RANK(TAcum[[#This Row],[j51]],TAcum[[#All],[j51]],0)</f>
        <v>17</v>
      </c>
      <c r="BB18">
        <f>RANK(TAcum[[#This Row],[j52]],TAcum[[#All],[j52]],0)</f>
        <v>17</v>
      </c>
      <c r="BC18">
        <f>RANK(TAcum[[#This Row],[j53]],TAcum[[#All],[j53]],0)</f>
        <v>17</v>
      </c>
      <c r="BD18">
        <f>RANK(TAcum[[#This Row],[j54]],TAcum[[#All],[j54]],0)</f>
        <v>17</v>
      </c>
      <c r="BE18">
        <f>RANK(TAcum[[#This Row],[j55]],TAcum[[#All],[j55]],0)</f>
        <v>17</v>
      </c>
      <c r="BF18">
        <f>RANK(TAcum[[#This Row],[j56]],TAcum[[#All],[j56]],0)</f>
        <v>17</v>
      </c>
      <c r="BG18">
        <f>RANK(TAcum[[#This Row],[j57]],TAcum[[#All],[j57]],0)</f>
        <v>17</v>
      </c>
      <c r="BH18">
        <f>RANK(TAcum[[#This Row],[j58]],TAcum[[#All],[j58]],0)</f>
        <v>17</v>
      </c>
      <c r="BI18">
        <f>RANK(TAcum[[#This Row],[j59]],TAcum[[#All],[j59]],0)</f>
        <v>17</v>
      </c>
      <c r="BJ18">
        <f>RANK(TAcum[[#This Row],[j60]],TAcum[[#All],[j60]],0)</f>
        <v>17</v>
      </c>
      <c r="BK18">
        <f>RANK(TAcum[[#This Row],[j61]],TAcum[[#All],[j61]],0)</f>
        <v>17</v>
      </c>
      <c r="BL18">
        <f>RANK(TAcum[[#This Row],[j62]],TAcum[[#All],[j62]],0)</f>
        <v>17</v>
      </c>
      <c r="BM18">
        <f>RANK(TAcum[[#This Row],[j63]],TAcum[[#All],[j63]],0)</f>
        <v>17</v>
      </c>
      <c r="BN18">
        <f>RANK(TAcum[[#This Row],[j64]],TAcum[[#All],[j64]],0)</f>
        <v>17</v>
      </c>
      <c r="BO18">
        <f>RANK(TAcum[[#This Row],[j65]],TAcum[[#All],[j65]],0)</f>
        <v>17</v>
      </c>
      <c r="BP18">
        <f>RANK(TAcum[[#This Row],[j66]],TAcum[[#All],[j66]],0)</f>
        <v>17</v>
      </c>
      <c r="BQ18">
        <f>RANK(TAcum[[#This Row],[j67]],TAcum[[#All],[j67]],0)</f>
        <v>17</v>
      </c>
      <c r="BR18">
        <f>RANK(TAcum[[#This Row],[j68]],TAcum[[#All],[j68]],0)</f>
        <v>17</v>
      </c>
      <c r="BS18">
        <f>RANK(TAcum[[#This Row],[j69]],TAcum[[#All],[j69]],0)</f>
        <v>17</v>
      </c>
      <c r="BT18">
        <f>RANK(TAcum[[#This Row],[j70]],TAcum[[#All],[j70]],0)</f>
        <v>17</v>
      </c>
      <c r="BU18">
        <f>RANK(TAcum[[#This Row],[j71]],TAcum[[#All],[j71]],0)</f>
        <v>17</v>
      </c>
      <c r="BV18">
        <f>RANK(TAcum[[#This Row],[j72]],TAcum[[#All],[j72]],0)</f>
        <v>17</v>
      </c>
      <c r="BW18">
        <f>RANK(TAcum[[#This Row],[j73]],TAcum[[#All],[j73]],0)</f>
        <v>17</v>
      </c>
    </row>
    <row r="19" spans="1:75" x14ac:dyDescent="0.25">
      <c r="A19" t="str">
        <f>TAcum[[#This Row],[Jogador]]</f>
        <v>Juliana Fiuza</v>
      </c>
      <c r="B19">
        <f>RANK(TAcum[[#This Row],[total]],TAcum[[#All],[total]],0)</f>
        <v>17</v>
      </c>
      <c r="C19">
        <f>RANK(TAcum[[#This Row],[j01]],TAcum[[#All],[j01]],0)</f>
        <v>1</v>
      </c>
      <c r="D19">
        <f>RANK(TAcum[[#This Row],[j02]],TAcum[[#All],[j02]],0)</f>
        <v>1</v>
      </c>
      <c r="E19">
        <f>RANK(TAcum[[#This Row],[j03]],TAcum[[#All],[j03]],0)</f>
        <v>3</v>
      </c>
      <c r="F19">
        <f>RANK(TAcum[[#This Row],[j04]],TAcum[[#All],[j04]],0)</f>
        <v>38</v>
      </c>
      <c r="G19">
        <f>RANK(TAcum[[#This Row],[j05]],TAcum[[#All],[j05]],0)</f>
        <v>39</v>
      </c>
      <c r="H19">
        <f>RANK(TAcum[[#This Row],[j06]],TAcum[[#All],[j06]],0)</f>
        <v>41</v>
      </c>
      <c r="I19">
        <f>RANK(TAcum[[#This Row],[j07]],TAcum[[#All],[j07]],0)</f>
        <v>49</v>
      </c>
      <c r="J19">
        <f>RANK(TAcum[[#This Row],[j08]],TAcum[[#All],[j08]],0)</f>
        <v>49</v>
      </c>
      <c r="K19">
        <f>RANK(TAcum[[#This Row],[j09]],TAcum[[#All],[j09]],0)</f>
        <v>52</v>
      </c>
      <c r="L19">
        <f>RANK(TAcum[[#This Row],[j10]],TAcum[[#All],[j10]],0)</f>
        <v>56</v>
      </c>
      <c r="M19">
        <f>RANK(TAcum[[#This Row],[j11]],TAcum[[#All],[j11]],0)</f>
        <v>51</v>
      </c>
      <c r="N19">
        <f>RANK(TAcum[[#This Row],[j12]],TAcum[[#All],[j12]],0)</f>
        <v>54</v>
      </c>
      <c r="O19">
        <f>RANK(TAcum[[#This Row],[j13]],TAcum[[#All],[j13]],0)</f>
        <v>33</v>
      </c>
      <c r="P19">
        <f>RANK(TAcum[[#This Row],[j14]],TAcum[[#All],[j14]],0)</f>
        <v>35</v>
      </c>
      <c r="Q19">
        <f>RANK(TAcum[[#This Row],[j15]],TAcum[[#All],[j15]],0)</f>
        <v>36</v>
      </c>
      <c r="R19">
        <f>RANK(TAcum[[#This Row],[j16]],TAcum[[#All],[j16]],0)</f>
        <v>41</v>
      </c>
      <c r="S19">
        <f>RANK(TAcum[[#This Row],[j17]],TAcum[[#All],[j17]],0)</f>
        <v>50</v>
      </c>
      <c r="T19">
        <f>RANK(TAcum[[#This Row],[j18]],TAcum[[#All],[j18]],0)</f>
        <v>29</v>
      </c>
      <c r="U19">
        <f>RANK(TAcum[[#This Row],[j19]],TAcum[[#All],[j19]],0)</f>
        <v>31</v>
      </c>
      <c r="V19">
        <f>RANK(TAcum[[#This Row],[j20]],TAcum[[#All],[j20]],0)</f>
        <v>7</v>
      </c>
      <c r="W19">
        <f>RANK(TAcum[[#This Row],[j21]],TAcum[[#All],[j21]],0)</f>
        <v>6</v>
      </c>
      <c r="X19">
        <f>RANK(TAcum[[#This Row],[j22]],TAcum[[#All],[j22]],0)</f>
        <v>13</v>
      </c>
      <c r="Y19">
        <f>RANK(TAcum[[#This Row],[j23]],TAcum[[#All],[j23]],0)</f>
        <v>15</v>
      </c>
      <c r="Z19">
        <f>RANK(TAcum[[#This Row],[j24]],TAcum[[#All],[j24]],0)</f>
        <v>17</v>
      </c>
      <c r="AA19">
        <f>RANK(TAcum[[#This Row],[j25]],TAcum[[#All],[j25]],0)</f>
        <v>19</v>
      </c>
      <c r="AB19">
        <f>RANK(TAcum[[#This Row],[j26]],TAcum[[#All],[j26]],0)</f>
        <v>21</v>
      </c>
      <c r="AC19">
        <f>RANK(TAcum[[#This Row],[j27]],TAcum[[#All],[j27]],0)</f>
        <v>21</v>
      </c>
      <c r="AD19">
        <f>RANK(TAcum[[#This Row],[j28]],TAcum[[#All],[j28]],0)</f>
        <v>19</v>
      </c>
      <c r="AE19">
        <f>RANK(TAcum[[#This Row],[j29]],TAcum[[#All],[j29]],0)</f>
        <v>17</v>
      </c>
      <c r="AF19">
        <f>RANK(TAcum[[#This Row],[j30]],TAcum[[#All],[j30]],0)</f>
        <v>17</v>
      </c>
      <c r="AG19">
        <f>RANK(TAcum[[#This Row],[j31]],TAcum[[#All],[j31]],0)</f>
        <v>17</v>
      </c>
      <c r="AH19">
        <f>RANK(TAcum[[#This Row],[j32]],TAcum[[#All],[j32]],0)</f>
        <v>17</v>
      </c>
      <c r="AI19">
        <f>RANK(TAcum[[#This Row],[j33]],TAcum[[#All],[j33]],0)</f>
        <v>17</v>
      </c>
      <c r="AJ19">
        <f>RANK(TAcum[[#This Row],[j34]],TAcum[[#All],[j34]],0)</f>
        <v>17</v>
      </c>
      <c r="AK19">
        <f>RANK(TAcum[[#This Row],[j35]],TAcum[[#All],[j35]],0)</f>
        <v>17</v>
      </c>
      <c r="AL19">
        <f>RANK(TAcum[[#This Row],[j36]],TAcum[[#All],[j36]],0)</f>
        <v>17</v>
      </c>
      <c r="AM19">
        <f>RANK(TAcum[[#This Row],[j37]],TAcum[[#All],[j37]],0)</f>
        <v>17</v>
      </c>
      <c r="AN19">
        <f>RANK(TAcum[[#This Row],[j38]],TAcum[[#All],[j38]],0)</f>
        <v>17</v>
      </c>
      <c r="AO19">
        <f>RANK(TAcum[[#This Row],[j39]],TAcum[[#All],[j39]],0)</f>
        <v>17</v>
      </c>
      <c r="AP19">
        <f>RANK(TAcum[[#This Row],[j40]],TAcum[[#All],[j40]],0)</f>
        <v>17</v>
      </c>
      <c r="AQ19">
        <f>RANK(TAcum[[#This Row],[j41]],TAcum[[#All],[j41]],0)</f>
        <v>17</v>
      </c>
      <c r="AR19">
        <f>RANK(TAcum[[#This Row],[j42]],TAcum[[#All],[j42]],0)</f>
        <v>17</v>
      </c>
      <c r="AS19">
        <f>RANK(TAcum[[#This Row],[j43]],TAcum[[#All],[j43]],0)</f>
        <v>17</v>
      </c>
      <c r="AT19">
        <f>RANK(TAcum[[#This Row],[j44]],TAcum[[#All],[j44]],0)</f>
        <v>17</v>
      </c>
      <c r="AU19">
        <f>RANK(TAcum[[#This Row],[j45]],TAcum[[#All],[j45]],0)</f>
        <v>17</v>
      </c>
      <c r="AV19">
        <f>RANK(TAcum[[#This Row],[j46]],TAcum[[#All],[j46]],0)</f>
        <v>17</v>
      </c>
      <c r="AW19">
        <f>RANK(TAcum[[#This Row],[j47]],TAcum[[#All],[j47]],0)</f>
        <v>17</v>
      </c>
      <c r="AX19">
        <f>RANK(TAcum[[#This Row],[j48]],TAcum[[#All],[j48]],0)</f>
        <v>17</v>
      </c>
      <c r="AY19">
        <f>RANK(TAcum[[#This Row],[j49]],TAcum[[#All],[j49]],0)</f>
        <v>17</v>
      </c>
      <c r="AZ19">
        <f>RANK(TAcum[[#This Row],[j50]],TAcum[[#All],[j50]],0)</f>
        <v>17</v>
      </c>
      <c r="BA19">
        <f>RANK(TAcum[[#This Row],[j51]],TAcum[[#All],[j51]],0)</f>
        <v>17</v>
      </c>
      <c r="BB19">
        <f>RANK(TAcum[[#This Row],[j52]],TAcum[[#All],[j52]],0)</f>
        <v>17</v>
      </c>
      <c r="BC19">
        <f>RANK(TAcum[[#This Row],[j53]],TAcum[[#All],[j53]],0)</f>
        <v>17</v>
      </c>
      <c r="BD19">
        <f>RANK(TAcum[[#This Row],[j54]],TAcum[[#All],[j54]],0)</f>
        <v>17</v>
      </c>
      <c r="BE19">
        <f>RANK(TAcum[[#This Row],[j55]],TAcum[[#All],[j55]],0)</f>
        <v>17</v>
      </c>
      <c r="BF19">
        <f>RANK(TAcum[[#This Row],[j56]],TAcum[[#All],[j56]],0)</f>
        <v>17</v>
      </c>
      <c r="BG19">
        <f>RANK(TAcum[[#This Row],[j57]],TAcum[[#All],[j57]],0)</f>
        <v>17</v>
      </c>
      <c r="BH19">
        <f>RANK(TAcum[[#This Row],[j58]],TAcum[[#All],[j58]],0)</f>
        <v>17</v>
      </c>
      <c r="BI19">
        <f>RANK(TAcum[[#This Row],[j59]],TAcum[[#All],[j59]],0)</f>
        <v>17</v>
      </c>
      <c r="BJ19">
        <f>RANK(TAcum[[#This Row],[j60]],TAcum[[#All],[j60]],0)</f>
        <v>17</v>
      </c>
      <c r="BK19">
        <f>RANK(TAcum[[#This Row],[j61]],TAcum[[#All],[j61]],0)</f>
        <v>17</v>
      </c>
      <c r="BL19">
        <f>RANK(TAcum[[#This Row],[j62]],TAcum[[#All],[j62]],0)</f>
        <v>17</v>
      </c>
      <c r="BM19">
        <f>RANK(TAcum[[#This Row],[j63]],TAcum[[#All],[j63]],0)</f>
        <v>17</v>
      </c>
      <c r="BN19">
        <f>RANK(TAcum[[#This Row],[j64]],TAcum[[#All],[j64]],0)</f>
        <v>17</v>
      </c>
      <c r="BO19">
        <f>RANK(TAcum[[#This Row],[j65]],TAcum[[#All],[j65]],0)</f>
        <v>17</v>
      </c>
      <c r="BP19">
        <f>RANK(TAcum[[#This Row],[j66]],TAcum[[#All],[j66]],0)</f>
        <v>17</v>
      </c>
      <c r="BQ19">
        <f>RANK(TAcum[[#This Row],[j67]],TAcum[[#All],[j67]],0)</f>
        <v>17</v>
      </c>
      <c r="BR19">
        <f>RANK(TAcum[[#This Row],[j68]],TAcum[[#All],[j68]],0)</f>
        <v>17</v>
      </c>
      <c r="BS19">
        <f>RANK(TAcum[[#This Row],[j69]],TAcum[[#All],[j69]],0)</f>
        <v>17</v>
      </c>
      <c r="BT19">
        <f>RANK(TAcum[[#This Row],[j70]],TAcum[[#All],[j70]],0)</f>
        <v>17</v>
      </c>
      <c r="BU19">
        <f>RANK(TAcum[[#This Row],[j71]],TAcum[[#All],[j71]],0)</f>
        <v>17</v>
      </c>
      <c r="BV19">
        <f>RANK(TAcum[[#This Row],[j72]],TAcum[[#All],[j72]],0)</f>
        <v>17</v>
      </c>
      <c r="BW19">
        <f>RANK(TAcum[[#This Row],[j73]],TAcum[[#All],[j73]],0)</f>
        <v>17</v>
      </c>
    </row>
    <row r="20" spans="1:75" x14ac:dyDescent="0.25">
      <c r="A20" t="str">
        <f>TAcum[[#This Row],[Jogador]]</f>
        <v>Luis Moreno Munoz</v>
      </c>
      <c r="B20">
        <f>RANK(TAcum[[#This Row],[total]],TAcum[[#All],[total]],0)</f>
        <v>17</v>
      </c>
      <c r="C20">
        <f>RANK(TAcum[[#This Row],[j01]],TAcum[[#All],[j01]],0)</f>
        <v>13</v>
      </c>
      <c r="D20">
        <f>RANK(TAcum[[#This Row],[j02]],TAcum[[#All],[j02]],0)</f>
        <v>14</v>
      </c>
      <c r="E20">
        <f>RANK(TAcum[[#This Row],[j03]],TAcum[[#All],[j03]],0)</f>
        <v>24</v>
      </c>
      <c r="F20">
        <f>RANK(TAcum[[#This Row],[j04]],TAcum[[#All],[j04]],0)</f>
        <v>9</v>
      </c>
      <c r="G20">
        <f>RANK(TAcum[[#This Row],[j05]],TAcum[[#All],[j05]],0)</f>
        <v>9</v>
      </c>
      <c r="H20">
        <f>RANK(TAcum[[#This Row],[j06]],TAcum[[#All],[j06]],0)</f>
        <v>9</v>
      </c>
      <c r="I20">
        <f>RANK(TAcum[[#This Row],[j07]],TAcum[[#All],[j07]],0)</f>
        <v>5</v>
      </c>
      <c r="J20">
        <f>RANK(TAcum[[#This Row],[j08]],TAcum[[#All],[j08]],0)</f>
        <v>4</v>
      </c>
      <c r="K20">
        <f>RANK(TAcum[[#This Row],[j09]],TAcum[[#All],[j09]],0)</f>
        <v>6</v>
      </c>
      <c r="L20">
        <f>RANK(TAcum[[#This Row],[j10]],TAcum[[#All],[j10]],0)</f>
        <v>7</v>
      </c>
      <c r="M20">
        <f>RANK(TAcum[[#This Row],[j11]],TAcum[[#All],[j11]],0)</f>
        <v>6</v>
      </c>
      <c r="N20">
        <f>RANK(TAcum[[#This Row],[j12]],TAcum[[#All],[j12]],0)</f>
        <v>9</v>
      </c>
      <c r="O20">
        <f>RANK(TAcum[[#This Row],[j13]],TAcum[[#All],[j13]],0)</f>
        <v>26</v>
      </c>
      <c r="P20">
        <f>RANK(TAcum[[#This Row],[j14]],TAcum[[#All],[j14]],0)</f>
        <v>19</v>
      </c>
      <c r="Q20">
        <f>RANK(TAcum[[#This Row],[j15]],TAcum[[#All],[j15]],0)</f>
        <v>20</v>
      </c>
      <c r="R20">
        <f>RANK(TAcum[[#This Row],[j16]],TAcum[[#All],[j16]],0)</f>
        <v>24</v>
      </c>
      <c r="S20">
        <f>RANK(TAcum[[#This Row],[j17]],TAcum[[#All],[j17]],0)</f>
        <v>28</v>
      </c>
      <c r="T20">
        <f>RANK(TAcum[[#This Row],[j18]],TAcum[[#All],[j18]],0)</f>
        <v>34</v>
      </c>
      <c r="U20">
        <f>RANK(TAcum[[#This Row],[j19]],TAcum[[#All],[j19]],0)</f>
        <v>35</v>
      </c>
      <c r="V20">
        <f>RANK(TAcum[[#This Row],[j20]],TAcum[[#All],[j20]],0)</f>
        <v>10</v>
      </c>
      <c r="W20">
        <f>RANK(TAcum[[#This Row],[j21]],TAcum[[#All],[j21]],0)</f>
        <v>13</v>
      </c>
      <c r="X20">
        <f>RANK(TAcum[[#This Row],[j22]],TAcum[[#All],[j22]],0)</f>
        <v>6</v>
      </c>
      <c r="Y20">
        <f>RANK(TAcum[[#This Row],[j23]],TAcum[[#All],[j23]],0)</f>
        <v>6</v>
      </c>
      <c r="Z20">
        <f>RANK(TAcum[[#This Row],[j24]],TAcum[[#All],[j24]],0)</f>
        <v>11</v>
      </c>
      <c r="AA20">
        <f>RANK(TAcum[[#This Row],[j25]],TAcum[[#All],[j25]],0)</f>
        <v>14</v>
      </c>
      <c r="AB20">
        <f>RANK(TAcum[[#This Row],[j26]],TAcum[[#All],[j26]],0)</f>
        <v>15</v>
      </c>
      <c r="AC20">
        <f>RANK(TAcum[[#This Row],[j27]],TAcum[[#All],[j27]],0)</f>
        <v>15</v>
      </c>
      <c r="AD20">
        <f>RANK(TAcum[[#This Row],[j28]],TAcum[[#All],[j28]],0)</f>
        <v>15</v>
      </c>
      <c r="AE20">
        <f>RANK(TAcum[[#This Row],[j29]],TAcum[[#All],[j29]],0)</f>
        <v>17</v>
      </c>
      <c r="AF20">
        <f>RANK(TAcum[[#This Row],[j30]],TAcum[[#All],[j30]],0)</f>
        <v>17</v>
      </c>
      <c r="AG20">
        <f>RANK(TAcum[[#This Row],[j31]],TAcum[[#All],[j31]],0)</f>
        <v>17</v>
      </c>
      <c r="AH20">
        <f>RANK(TAcum[[#This Row],[j32]],TAcum[[#All],[j32]],0)</f>
        <v>17</v>
      </c>
      <c r="AI20">
        <f>RANK(TAcum[[#This Row],[j33]],TAcum[[#All],[j33]],0)</f>
        <v>17</v>
      </c>
      <c r="AJ20">
        <f>RANK(TAcum[[#This Row],[j34]],TAcum[[#All],[j34]],0)</f>
        <v>17</v>
      </c>
      <c r="AK20">
        <f>RANK(TAcum[[#This Row],[j35]],TAcum[[#All],[j35]],0)</f>
        <v>17</v>
      </c>
      <c r="AL20">
        <f>RANK(TAcum[[#This Row],[j36]],TAcum[[#All],[j36]],0)</f>
        <v>17</v>
      </c>
      <c r="AM20">
        <f>RANK(TAcum[[#This Row],[j37]],TAcum[[#All],[j37]],0)</f>
        <v>17</v>
      </c>
      <c r="AN20">
        <f>RANK(TAcum[[#This Row],[j38]],TAcum[[#All],[j38]],0)</f>
        <v>17</v>
      </c>
      <c r="AO20">
        <f>RANK(TAcum[[#This Row],[j39]],TAcum[[#All],[j39]],0)</f>
        <v>17</v>
      </c>
      <c r="AP20">
        <f>RANK(TAcum[[#This Row],[j40]],TAcum[[#All],[j40]],0)</f>
        <v>17</v>
      </c>
      <c r="AQ20">
        <f>RANK(TAcum[[#This Row],[j41]],TAcum[[#All],[j41]],0)</f>
        <v>17</v>
      </c>
      <c r="AR20">
        <f>RANK(TAcum[[#This Row],[j42]],TAcum[[#All],[j42]],0)</f>
        <v>17</v>
      </c>
      <c r="AS20">
        <f>RANK(TAcum[[#This Row],[j43]],TAcum[[#All],[j43]],0)</f>
        <v>17</v>
      </c>
      <c r="AT20">
        <f>RANK(TAcum[[#This Row],[j44]],TAcum[[#All],[j44]],0)</f>
        <v>17</v>
      </c>
      <c r="AU20">
        <f>RANK(TAcum[[#This Row],[j45]],TAcum[[#All],[j45]],0)</f>
        <v>17</v>
      </c>
      <c r="AV20">
        <f>RANK(TAcum[[#This Row],[j46]],TAcum[[#All],[j46]],0)</f>
        <v>17</v>
      </c>
      <c r="AW20">
        <f>RANK(TAcum[[#This Row],[j47]],TAcum[[#All],[j47]],0)</f>
        <v>17</v>
      </c>
      <c r="AX20">
        <f>RANK(TAcum[[#This Row],[j48]],TAcum[[#All],[j48]],0)</f>
        <v>17</v>
      </c>
      <c r="AY20">
        <f>RANK(TAcum[[#This Row],[j49]],TAcum[[#All],[j49]],0)</f>
        <v>17</v>
      </c>
      <c r="AZ20">
        <f>RANK(TAcum[[#This Row],[j50]],TAcum[[#All],[j50]],0)</f>
        <v>17</v>
      </c>
      <c r="BA20">
        <f>RANK(TAcum[[#This Row],[j51]],TAcum[[#All],[j51]],0)</f>
        <v>17</v>
      </c>
      <c r="BB20">
        <f>RANK(TAcum[[#This Row],[j52]],TAcum[[#All],[j52]],0)</f>
        <v>17</v>
      </c>
      <c r="BC20">
        <f>RANK(TAcum[[#This Row],[j53]],TAcum[[#All],[j53]],0)</f>
        <v>17</v>
      </c>
      <c r="BD20">
        <f>RANK(TAcum[[#This Row],[j54]],TAcum[[#All],[j54]],0)</f>
        <v>17</v>
      </c>
      <c r="BE20">
        <f>RANK(TAcum[[#This Row],[j55]],TAcum[[#All],[j55]],0)</f>
        <v>17</v>
      </c>
      <c r="BF20">
        <f>RANK(TAcum[[#This Row],[j56]],TAcum[[#All],[j56]],0)</f>
        <v>17</v>
      </c>
      <c r="BG20">
        <f>RANK(TAcum[[#This Row],[j57]],TAcum[[#All],[j57]],0)</f>
        <v>17</v>
      </c>
      <c r="BH20">
        <f>RANK(TAcum[[#This Row],[j58]],TAcum[[#All],[j58]],0)</f>
        <v>17</v>
      </c>
      <c r="BI20">
        <f>RANK(TAcum[[#This Row],[j59]],TAcum[[#All],[j59]],0)</f>
        <v>17</v>
      </c>
      <c r="BJ20">
        <f>RANK(TAcum[[#This Row],[j60]],TAcum[[#All],[j60]],0)</f>
        <v>17</v>
      </c>
      <c r="BK20">
        <f>RANK(TAcum[[#This Row],[j61]],TAcum[[#All],[j61]],0)</f>
        <v>17</v>
      </c>
      <c r="BL20">
        <f>RANK(TAcum[[#This Row],[j62]],TAcum[[#All],[j62]],0)</f>
        <v>17</v>
      </c>
      <c r="BM20">
        <f>RANK(TAcum[[#This Row],[j63]],TAcum[[#All],[j63]],0)</f>
        <v>17</v>
      </c>
      <c r="BN20">
        <f>RANK(TAcum[[#This Row],[j64]],TAcum[[#All],[j64]],0)</f>
        <v>17</v>
      </c>
      <c r="BO20">
        <f>RANK(TAcum[[#This Row],[j65]],TAcum[[#All],[j65]],0)</f>
        <v>17</v>
      </c>
      <c r="BP20">
        <f>RANK(TAcum[[#This Row],[j66]],TAcum[[#All],[j66]],0)</f>
        <v>17</v>
      </c>
      <c r="BQ20">
        <f>RANK(TAcum[[#This Row],[j67]],TAcum[[#All],[j67]],0)</f>
        <v>17</v>
      </c>
      <c r="BR20">
        <f>RANK(TAcum[[#This Row],[j68]],TAcum[[#All],[j68]],0)</f>
        <v>17</v>
      </c>
      <c r="BS20">
        <f>RANK(TAcum[[#This Row],[j69]],TAcum[[#All],[j69]],0)</f>
        <v>17</v>
      </c>
      <c r="BT20">
        <f>RANK(TAcum[[#This Row],[j70]],TAcum[[#All],[j70]],0)</f>
        <v>17</v>
      </c>
      <c r="BU20">
        <f>RANK(TAcum[[#This Row],[j71]],TAcum[[#All],[j71]],0)</f>
        <v>17</v>
      </c>
      <c r="BV20">
        <f>RANK(TAcum[[#This Row],[j72]],TAcum[[#All],[j72]],0)</f>
        <v>17</v>
      </c>
      <c r="BW20">
        <f>RANK(TAcum[[#This Row],[j73]],TAcum[[#All],[j73]],0)</f>
        <v>17</v>
      </c>
    </row>
    <row r="21" spans="1:75" x14ac:dyDescent="0.25">
      <c r="A21" t="str">
        <f>TAcum[[#This Row],[Jogador]]</f>
        <v>Admar</v>
      </c>
      <c r="B21">
        <f>RANK(TAcum[[#This Row],[total]],TAcum[[#All],[total]],0)</f>
        <v>20</v>
      </c>
      <c r="C21">
        <f>RANK(TAcum[[#This Row],[j01]],TAcum[[#All],[j01]],0)</f>
        <v>1</v>
      </c>
      <c r="D21">
        <f>RANK(TAcum[[#This Row],[j02]],TAcum[[#All],[j02]],0)</f>
        <v>1</v>
      </c>
      <c r="E21">
        <f>RANK(TAcum[[#This Row],[j03]],TAcum[[#All],[j03]],0)</f>
        <v>3</v>
      </c>
      <c r="F21">
        <f>RANK(TAcum[[#This Row],[j04]],TAcum[[#All],[j04]],0)</f>
        <v>38</v>
      </c>
      <c r="G21">
        <f>RANK(TAcum[[#This Row],[j05]],TAcum[[#All],[j05]],0)</f>
        <v>39</v>
      </c>
      <c r="H21">
        <f>RANK(TAcum[[#This Row],[j06]],TAcum[[#All],[j06]],0)</f>
        <v>41</v>
      </c>
      <c r="I21">
        <f>RANK(TAcum[[#This Row],[j07]],TAcum[[#All],[j07]],0)</f>
        <v>49</v>
      </c>
      <c r="J21">
        <f>RANK(TAcum[[#This Row],[j08]],TAcum[[#All],[j08]],0)</f>
        <v>39</v>
      </c>
      <c r="K21">
        <f>RANK(TAcum[[#This Row],[j09]],TAcum[[#All],[j09]],0)</f>
        <v>41</v>
      </c>
      <c r="L21">
        <f>RANK(TAcum[[#This Row],[j10]],TAcum[[#All],[j10]],0)</f>
        <v>42</v>
      </c>
      <c r="M21">
        <f>RANK(TAcum[[#This Row],[j11]],TAcum[[#All],[j11]],0)</f>
        <v>40</v>
      </c>
      <c r="N21">
        <f>RANK(TAcum[[#This Row],[j12]],TAcum[[#All],[j12]],0)</f>
        <v>41</v>
      </c>
      <c r="O21">
        <f>RANK(TAcum[[#This Row],[j13]],TAcum[[#All],[j13]],0)</f>
        <v>37</v>
      </c>
      <c r="P21">
        <f>RANK(TAcum[[#This Row],[j14]],TAcum[[#All],[j14]],0)</f>
        <v>39</v>
      </c>
      <c r="Q21">
        <f>RANK(TAcum[[#This Row],[j15]],TAcum[[#All],[j15]],0)</f>
        <v>39</v>
      </c>
      <c r="R21">
        <f>RANK(TAcum[[#This Row],[j16]],TAcum[[#All],[j16]],0)</f>
        <v>30</v>
      </c>
      <c r="S21">
        <f>RANK(TAcum[[#This Row],[j17]],TAcum[[#All],[j17]],0)</f>
        <v>38</v>
      </c>
      <c r="T21">
        <f>RANK(TAcum[[#This Row],[j18]],TAcum[[#All],[j18]],0)</f>
        <v>43</v>
      </c>
      <c r="U21">
        <f>RANK(TAcum[[#This Row],[j19]],TAcum[[#All],[j19]],0)</f>
        <v>54</v>
      </c>
      <c r="V21">
        <f>RANK(TAcum[[#This Row],[j20]],TAcum[[#All],[j20]],0)</f>
        <v>54</v>
      </c>
      <c r="W21">
        <f>RANK(TAcum[[#This Row],[j21]],TAcum[[#All],[j21]],0)</f>
        <v>53</v>
      </c>
      <c r="X21">
        <f>RANK(TAcum[[#This Row],[j22]],TAcum[[#All],[j22]],0)</f>
        <v>25</v>
      </c>
      <c r="Y21">
        <f>RANK(TAcum[[#This Row],[j23]],TAcum[[#All],[j23]],0)</f>
        <v>20</v>
      </c>
      <c r="Z21">
        <f>RANK(TAcum[[#This Row],[j24]],TAcum[[#All],[j24]],0)</f>
        <v>23</v>
      </c>
      <c r="AA21">
        <f>RANK(TAcum[[#This Row],[j25]],TAcum[[#All],[j25]],0)</f>
        <v>22</v>
      </c>
      <c r="AB21">
        <f>RANK(TAcum[[#This Row],[j26]],TAcum[[#All],[j26]],0)</f>
        <v>27</v>
      </c>
      <c r="AC21">
        <f>RANK(TAcum[[#This Row],[j27]],TAcum[[#All],[j27]],0)</f>
        <v>27</v>
      </c>
      <c r="AD21">
        <f>RANK(TAcum[[#This Row],[j28]],TAcum[[#All],[j28]],0)</f>
        <v>35</v>
      </c>
      <c r="AE21">
        <f>RANK(TAcum[[#This Row],[j29]],TAcum[[#All],[j29]],0)</f>
        <v>20</v>
      </c>
      <c r="AF21">
        <f>RANK(TAcum[[#This Row],[j30]],TAcum[[#All],[j30]],0)</f>
        <v>20</v>
      </c>
      <c r="AG21">
        <f>RANK(TAcum[[#This Row],[j31]],TAcum[[#All],[j31]],0)</f>
        <v>20</v>
      </c>
      <c r="AH21">
        <f>RANK(TAcum[[#This Row],[j32]],TAcum[[#All],[j32]],0)</f>
        <v>20</v>
      </c>
      <c r="AI21">
        <f>RANK(TAcum[[#This Row],[j33]],TAcum[[#All],[j33]],0)</f>
        <v>20</v>
      </c>
      <c r="AJ21">
        <f>RANK(TAcum[[#This Row],[j34]],TAcum[[#All],[j34]],0)</f>
        <v>20</v>
      </c>
      <c r="AK21">
        <f>RANK(TAcum[[#This Row],[j35]],TAcum[[#All],[j35]],0)</f>
        <v>20</v>
      </c>
      <c r="AL21">
        <f>RANK(TAcum[[#This Row],[j36]],TAcum[[#All],[j36]],0)</f>
        <v>20</v>
      </c>
      <c r="AM21">
        <f>RANK(TAcum[[#This Row],[j37]],TAcum[[#All],[j37]],0)</f>
        <v>20</v>
      </c>
      <c r="AN21">
        <f>RANK(TAcum[[#This Row],[j38]],TAcum[[#All],[j38]],0)</f>
        <v>20</v>
      </c>
      <c r="AO21">
        <f>RANK(TAcum[[#This Row],[j39]],TAcum[[#All],[j39]],0)</f>
        <v>20</v>
      </c>
      <c r="AP21">
        <f>RANK(TAcum[[#This Row],[j40]],TAcum[[#All],[j40]],0)</f>
        <v>20</v>
      </c>
      <c r="AQ21">
        <f>RANK(TAcum[[#This Row],[j41]],TAcum[[#All],[j41]],0)</f>
        <v>20</v>
      </c>
      <c r="AR21">
        <f>RANK(TAcum[[#This Row],[j42]],TAcum[[#All],[j42]],0)</f>
        <v>20</v>
      </c>
      <c r="AS21">
        <f>RANK(TAcum[[#This Row],[j43]],TAcum[[#All],[j43]],0)</f>
        <v>20</v>
      </c>
      <c r="AT21">
        <f>RANK(TAcum[[#This Row],[j44]],TAcum[[#All],[j44]],0)</f>
        <v>20</v>
      </c>
      <c r="AU21">
        <f>RANK(TAcum[[#This Row],[j45]],TAcum[[#All],[j45]],0)</f>
        <v>20</v>
      </c>
      <c r="AV21">
        <f>RANK(TAcum[[#This Row],[j46]],TAcum[[#All],[j46]],0)</f>
        <v>20</v>
      </c>
      <c r="AW21">
        <f>RANK(TAcum[[#This Row],[j47]],TAcum[[#All],[j47]],0)</f>
        <v>20</v>
      </c>
      <c r="AX21">
        <f>RANK(TAcum[[#This Row],[j48]],TAcum[[#All],[j48]],0)</f>
        <v>20</v>
      </c>
      <c r="AY21">
        <f>RANK(TAcum[[#This Row],[j49]],TAcum[[#All],[j49]],0)</f>
        <v>20</v>
      </c>
      <c r="AZ21">
        <f>RANK(TAcum[[#This Row],[j50]],TAcum[[#All],[j50]],0)</f>
        <v>20</v>
      </c>
      <c r="BA21">
        <f>RANK(TAcum[[#This Row],[j51]],TAcum[[#All],[j51]],0)</f>
        <v>20</v>
      </c>
      <c r="BB21">
        <f>RANK(TAcum[[#This Row],[j52]],TAcum[[#All],[j52]],0)</f>
        <v>20</v>
      </c>
      <c r="BC21">
        <f>RANK(TAcum[[#This Row],[j53]],TAcum[[#All],[j53]],0)</f>
        <v>20</v>
      </c>
      <c r="BD21">
        <f>RANK(TAcum[[#This Row],[j54]],TAcum[[#All],[j54]],0)</f>
        <v>20</v>
      </c>
      <c r="BE21">
        <f>RANK(TAcum[[#This Row],[j55]],TAcum[[#All],[j55]],0)</f>
        <v>20</v>
      </c>
      <c r="BF21">
        <f>RANK(TAcum[[#This Row],[j56]],TAcum[[#All],[j56]],0)</f>
        <v>20</v>
      </c>
      <c r="BG21">
        <f>RANK(TAcum[[#This Row],[j57]],TAcum[[#All],[j57]],0)</f>
        <v>20</v>
      </c>
      <c r="BH21">
        <f>RANK(TAcum[[#This Row],[j58]],TAcum[[#All],[j58]],0)</f>
        <v>20</v>
      </c>
      <c r="BI21">
        <f>RANK(TAcum[[#This Row],[j59]],TAcum[[#All],[j59]],0)</f>
        <v>20</v>
      </c>
      <c r="BJ21">
        <f>RANK(TAcum[[#This Row],[j60]],TAcum[[#All],[j60]],0)</f>
        <v>20</v>
      </c>
      <c r="BK21">
        <f>RANK(TAcum[[#This Row],[j61]],TAcum[[#All],[j61]],0)</f>
        <v>20</v>
      </c>
      <c r="BL21">
        <f>RANK(TAcum[[#This Row],[j62]],TAcum[[#All],[j62]],0)</f>
        <v>20</v>
      </c>
      <c r="BM21">
        <f>RANK(TAcum[[#This Row],[j63]],TAcum[[#All],[j63]],0)</f>
        <v>20</v>
      </c>
      <c r="BN21">
        <f>RANK(TAcum[[#This Row],[j64]],TAcum[[#All],[j64]],0)</f>
        <v>20</v>
      </c>
      <c r="BO21">
        <f>RANK(TAcum[[#This Row],[j65]],TAcum[[#All],[j65]],0)</f>
        <v>20</v>
      </c>
      <c r="BP21">
        <f>RANK(TAcum[[#This Row],[j66]],TAcum[[#All],[j66]],0)</f>
        <v>20</v>
      </c>
      <c r="BQ21">
        <f>RANK(TAcum[[#This Row],[j67]],TAcum[[#All],[j67]],0)</f>
        <v>20</v>
      </c>
      <c r="BR21">
        <f>RANK(TAcum[[#This Row],[j68]],TAcum[[#All],[j68]],0)</f>
        <v>20</v>
      </c>
      <c r="BS21">
        <f>RANK(TAcum[[#This Row],[j69]],TAcum[[#All],[j69]],0)</f>
        <v>20</v>
      </c>
      <c r="BT21">
        <f>RANK(TAcum[[#This Row],[j70]],TAcum[[#All],[j70]],0)</f>
        <v>20</v>
      </c>
      <c r="BU21">
        <f>RANK(TAcum[[#This Row],[j71]],TAcum[[#All],[j71]],0)</f>
        <v>20</v>
      </c>
      <c r="BV21">
        <f>RANK(TAcum[[#This Row],[j72]],TAcum[[#All],[j72]],0)</f>
        <v>20</v>
      </c>
      <c r="BW21">
        <f>RANK(TAcum[[#This Row],[j73]],TAcum[[#All],[j73]],0)</f>
        <v>20</v>
      </c>
    </row>
    <row r="22" spans="1:75" x14ac:dyDescent="0.25">
      <c r="A22" t="str">
        <f>TAcum[[#This Row],[Jogador]]</f>
        <v>Ana Julia</v>
      </c>
      <c r="B22">
        <f>RANK(TAcum[[#This Row],[total]],TAcum[[#All],[total]],0)</f>
        <v>20</v>
      </c>
      <c r="C22">
        <f>RANK(TAcum[[#This Row],[j01]],TAcum[[#All],[j01]],0)</f>
        <v>13</v>
      </c>
      <c r="D22">
        <f>RANK(TAcum[[#This Row],[j02]],TAcum[[#All],[j02]],0)</f>
        <v>14</v>
      </c>
      <c r="E22">
        <f>RANK(TAcum[[#This Row],[j03]],TAcum[[#All],[j03]],0)</f>
        <v>24</v>
      </c>
      <c r="F22">
        <f>RANK(TAcum[[#This Row],[j04]],TAcum[[#All],[j04]],0)</f>
        <v>9</v>
      </c>
      <c r="G22">
        <f>RANK(TAcum[[#This Row],[j05]],TAcum[[#All],[j05]],0)</f>
        <v>9</v>
      </c>
      <c r="H22">
        <f>RANK(TAcum[[#This Row],[j06]],TAcum[[#All],[j06]],0)</f>
        <v>9</v>
      </c>
      <c r="I22">
        <f>RANK(TAcum[[#This Row],[j07]],TAcum[[#All],[j07]],0)</f>
        <v>24</v>
      </c>
      <c r="J22">
        <f>RANK(TAcum[[#This Row],[j08]],TAcum[[#All],[j08]],0)</f>
        <v>25</v>
      </c>
      <c r="K22">
        <f>RANK(TAcum[[#This Row],[j09]],TAcum[[#All],[j09]],0)</f>
        <v>27</v>
      </c>
      <c r="L22">
        <f>RANK(TAcum[[#This Row],[j10]],TAcum[[#All],[j10]],0)</f>
        <v>31</v>
      </c>
      <c r="M22">
        <f>RANK(TAcum[[#This Row],[j11]],TAcum[[#All],[j11]],0)</f>
        <v>30</v>
      </c>
      <c r="N22">
        <f>RANK(TAcum[[#This Row],[j12]],TAcum[[#All],[j12]],0)</f>
        <v>29</v>
      </c>
      <c r="O22">
        <f>RANK(TAcum[[#This Row],[j13]],TAcum[[#All],[j13]],0)</f>
        <v>19</v>
      </c>
      <c r="P22">
        <f>RANK(TAcum[[#This Row],[j14]],TAcum[[#All],[j14]],0)</f>
        <v>23</v>
      </c>
      <c r="Q22">
        <f>RANK(TAcum[[#This Row],[j15]],TAcum[[#All],[j15]],0)</f>
        <v>25</v>
      </c>
      <c r="R22">
        <f>RANK(TAcum[[#This Row],[j16]],TAcum[[#All],[j16]],0)</f>
        <v>30</v>
      </c>
      <c r="S22">
        <f>RANK(TAcum[[#This Row],[j17]],TAcum[[#All],[j17]],0)</f>
        <v>13</v>
      </c>
      <c r="T22">
        <f>RANK(TAcum[[#This Row],[j18]],TAcum[[#All],[j18]],0)</f>
        <v>18</v>
      </c>
      <c r="U22">
        <f>RANK(TAcum[[#This Row],[j19]],TAcum[[#All],[j19]],0)</f>
        <v>20</v>
      </c>
      <c r="V22">
        <f>RANK(TAcum[[#This Row],[j20]],TAcum[[#All],[j20]],0)</f>
        <v>22</v>
      </c>
      <c r="W22">
        <f>RANK(TAcum[[#This Row],[j21]],TAcum[[#All],[j21]],0)</f>
        <v>20</v>
      </c>
      <c r="X22">
        <f>RANK(TAcum[[#This Row],[j22]],TAcum[[#All],[j22]],0)</f>
        <v>9</v>
      </c>
      <c r="Y22">
        <f>RANK(TAcum[[#This Row],[j23]],TAcum[[#All],[j23]],0)</f>
        <v>6</v>
      </c>
      <c r="Z22">
        <f>RANK(TAcum[[#This Row],[j24]],TAcum[[#All],[j24]],0)</f>
        <v>11</v>
      </c>
      <c r="AA22">
        <f>RANK(TAcum[[#This Row],[j25]],TAcum[[#All],[j25]],0)</f>
        <v>25</v>
      </c>
      <c r="AB22">
        <f>RANK(TAcum[[#This Row],[j26]],TAcum[[#All],[j26]],0)</f>
        <v>22</v>
      </c>
      <c r="AC22">
        <f>RANK(TAcum[[#This Row],[j27]],TAcum[[#All],[j27]],0)</f>
        <v>22</v>
      </c>
      <c r="AD22">
        <f>RANK(TAcum[[#This Row],[j28]],TAcum[[#All],[j28]],0)</f>
        <v>20</v>
      </c>
      <c r="AE22">
        <f>RANK(TAcum[[#This Row],[j29]],TAcum[[#All],[j29]],0)</f>
        <v>20</v>
      </c>
      <c r="AF22">
        <f>RANK(TAcum[[#This Row],[j30]],TAcum[[#All],[j30]],0)</f>
        <v>20</v>
      </c>
      <c r="AG22">
        <f>RANK(TAcum[[#This Row],[j31]],TAcum[[#All],[j31]],0)</f>
        <v>20</v>
      </c>
      <c r="AH22">
        <f>RANK(TAcum[[#This Row],[j32]],TAcum[[#All],[j32]],0)</f>
        <v>20</v>
      </c>
      <c r="AI22">
        <f>RANK(TAcum[[#This Row],[j33]],TAcum[[#All],[j33]],0)</f>
        <v>20</v>
      </c>
      <c r="AJ22">
        <f>RANK(TAcum[[#This Row],[j34]],TAcum[[#All],[j34]],0)</f>
        <v>20</v>
      </c>
      <c r="AK22">
        <f>RANK(TAcum[[#This Row],[j35]],TAcum[[#All],[j35]],0)</f>
        <v>20</v>
      </c>
      <c r="AL22">
        <f>RANK(TAcum[[#This Row],[j36]],TAcum[[#All],[j36]],0)</f>
        <v>20</v>
      </c>
      <c r="AM22">
        <f>RANK(TAcum[[#This Row],[j37]],TAcum[[#All],[j37]],0)</f>
        <v>20</v>
      </c>
      <c r="AN22">
        <f>RANK(TAcum[[#This Row],[j38]],TAcum[[#All],[j38]],0)</f>
        <v>20</v>
      </c>
      <c r="AO22">
        <f>RANK(TAcum[[#This Row],[j39]],TAcum[[#All],[j39]],0)</f>
        <v>20</v>
      </c>
      <c r="AP22">
        <f>RANK(TAcum[[#This Row],[j40]],TAcum[[#All],[j40]],0)</f>
        <v>20</v>
      </c>
      <c r="AQ22">
        <f>RANK(TAcum[[#This Row],[j41]],TAcum[[#All],[j41]],0)</f>
        <v>20</v>
      </c>
      <c r="AR22">
        <f>RANK(TAcum[[#This Row],[j42]],TAcum[[#All],[j42]],0)</f>
        <v>20</v>
      </c>
      <c r="AS22">
        <f>RANK(TAcum[[#This Row],[j43]],TAcum[[#All],[j43]],0)</f>
        <v>20</v>
      </c>
      <c r="AT22">
        <f>RANK(TAcum[[#This Row],[j44]],TAcum[[#All],[j44]],0)</f>
        <v>20</v>
      </c>
      <c r="AU22">
        <f>RANK(TAcum[[#This Row],[j45]],TAcum[[#All],[j45]],0)</f>
        <v>20</v>
      </c>
      <c r="AV22">
        <f>RANK(TAcum[[#This Row],[j46]],TAcum[[#All],[j46]],0)</f>
        <v>20</v>
      </c>
      <c r="AW22">
        <f>RANK(TAcum[[#This Row],[j47]],TAcum[[#All],[j47]],0)</f>
        <v>20</v>
      </c>
      <c r="AX22">
        <f>RANK(TAcum[[#This Row],[j48]],TAcum[[#All],[j48]],0)</f>
        <v>20</v>
      </c>
      <c r="AY22">
        <f>RANK(TAcum[[#This Row],[j49]],TAcum[[#All],[j49]],0)</f>
        <v>20</v>
      </c>
      <c r="AZ22">
        <f>RANK(TAcum[[#This Row],[j50]],TAcum[[#All],[j50]],0)</f>
        <v>20</v>
      </c>
      <c r="BA22">
        <f>RANK(TAcum[[#This Row],[j51]],TAcum[[#All],[j51]],0)</f>
        <v>20</v>
      </c>
      <c r="BB22">
        <f>RANK(TAcum[[#This Row],[j52]],TAcum[[#All],[j52]],0)</f>
        <v>20</v>
      </c>
      <c r="BC22">
        <f>RANK(TAcum[[#This Row],[j53]],TAcum[[#All],[j53]],0)</f>
        <v>20</v>
      </c>
      <c r="BD22">
        <f>RANK(TAcum[[#This Row],[j54]],TAcum[[#All],[j54]],0)</f>
        <v>20</v>
      </c>
      <c r="BE22">
        <f>RANK(TAcum[[#This Row],[j55]],TAcum[[#All],[j55]],0)</f>
        <v>20</v>
      </c>
      <c r="BF22">
        <f>RANK(TAcum[[#This Row],[j56]],TAcum[[#All],[j56]],0)</f>
        <v>20</v>
      </c>
      <c r="BG22">
        <f>RANK(TAcum[[#This Row],[j57]],TAcum[[#All],[j57]],0)</f>
        <v>20</v>
      </c>
      <c r="BH22">
        <f>RANK(TAcum[[#This Row],[j58]],TAcum[[#All],[j58]],0)</f>
        <v>20</v>
      </c>
      <c r="BI22">
        <f>RANK(TAcum[[#This Row],[j59]],TAcum[[#All],[j59]],0)</f>
        <v>20</v>
      </c>
      <c r="BJ22">
        <f>RANK(TAcum[[#This Row],[j60]],TAcum[[#All],[j60]],0)</f>
        <v>20</v>
      </c>
      <c r="BK22">
        <f>RANK(TAcum[[#This Row],[j61]],TAcum[[#All],[j61]],0)</f>
        <v>20</v>
      </c>
      <c r="BL22">
        <f>RANK(TAcum[[#This Row],[j62]],TAcum[[#All],[j62]],0)</f>
        <v>20</v>
      </c>
      <c r="BM22">
        <f>RANK(TAcum[[#This Row],[j63]],TAcum[[#All],[j63]],0)</f>
        <v>20</v>
      </c>
      <c r="BN22">
        <f>RANK(TAcum[[#This Row],[j64]],TAcum[[#All],[j64]],0)</f>
        <v>20</v>
      </c>
      <c r="BO22">
        <f>RANK(TAcum[[#This Row],[j65]],TAcum[[#All],[j65]],0)</f>
        <v>20</v>
      </c>
      <c r="BP22">
        <f>RANK(TAcum[[#This Row],[j66]],TAcum[[#All],[j66]],0)</f>
        <v>20</v>
      </c>
      <c r="BQ22">
        <f>RANK(TAcum[[#This Row],[j67]],TAcum[[#All],[j67]],0)</f>
        <v>20</v>
      </c>
      <c r="BR22">
        <f>RANK(TAcum[[#This Row],[j68]],TAcum[[#All],[j68]],0)</f>
        <v>20</v>
      </c>
      <c r="BS22">
        <f>RANK(TAcum[[#This Row],[j69]],TAcum[[#All],[j69]],0)</f>
        <v>20</v>
      </c>
      <c r="BT22">
        <f>RANK(TAcum[[#This Row],[j70]],TAcum[[#All],[j70]],0)</f>
        <v>20</v>
      </c>
      <c r="BU22">
        <f>RANK(TAcum[[#This Row],[j71]],TAcum[[#All],[j71]],0)</f>
        <v>20</v>
      </c>
      <c r="BV22">
        <f>RANK(TAcum[[#This Row],[j72]],TAcum[[#All],[j72]],0)</f>
        <v>20</v>
      </c>
      <c r="BW22">
        <f>RANK(TAcum[[#This Row],[j73]],TAcum[[#All],[j73]],0)</f>
        <v>20</v>
      </c>
    </row>
    <row r="23" spans="1:75" x14ac:dyDescent="0.25">
      <c r="A23" t="str">
        <f>TAcum[[#This Row],[Jogador]]</f>
        <v>Antonio Neves</v>
      </c>
      <c r="B23">
        <f>RANK(TAcum[[#This Row],[total]],TAcum[[#All],[total]],0)</f>
        <v>22</v>
      </c>
      <c r="C23">
        <f>RANK(TAcum[[#This Row],[j01]],TAcum[[#All],[j01]],0)</f>
        <v>1</v>
      </c>
      <c r="D23">
        <f>RANK(TAcum[[#This Row],[j02]],TAcum[[#All],[j02]],0)</f>
        <v>1</v>
      </c>
      <c r="E23">
        <f>RANK(TAcum[[#This Row],[j03]],TAcum[[#All],[j03]],0)</f>
        <v>3</v>
      </c>
      <c r="F23">
        <f>RANK(TAcum[[#This Row],[j04]],TAcum[[#All],[j04]],0)</f>
        <v>27</v>
      </c>
      <c r="G23">
        <f>RANK(TAcum[[#This Row],[j05]],TAcum[[#All],[j05]],0)</f>
        <v>27</v>
      </c>
      <c r="H23">
        <f>RANK(TAcum[[#This Row],[j06]],TAcum[[#All],[j06]],0)</f>
        <v>39</v>
      </c>
      <c r="I23">
        <f>RANK(TAcum[[#This Row],[j07]],TAcum[[#All],[j07]],0)</f>
        <v>49</v>
      </c>
      <c r="J23">
        <f>RANK(TAcum[[#This Row],[j08]],TAcum[[#All],[j08]],0)</f>
        <v>49</v>
      </c>
      <c r="K23">
        <f>RANK(TAcum[[#This Row],[j09]],TAcum[[#All],[j09]],0)</f>
        <v>64</v>
      </c>
      <c r="L23">
        <f>RANK(TAcum[[#This Row],[j10]],TAcum[[#All],[j10]],0)</f>
        <v>65</v>
      </c>
      <c r="M23">
        <f>RANK(TAcum[[#This Row],[j11]],TAcum[[#All],[j11]],0)</f>
        <v>61</v>
      </c>
      <c r="N23">
        <f>RANK(TAcum[[#This Row],[j12]],TAcum[[#All],[j12]],0)</f>
        <v>54</v>
      </c>
      <c r="O23">
        <f>RANK(TAcum[[#This Row],[j13]],TAcum[[#All],[j13]],0)</f>
        <v>59</v>
      </c>
      <c r="P23">
        <f>RANK(TAcum[[#This Row],[j14]],TAcum[[#All],[j14]],0)</f>
        <v>59</v>
      </c>
      <c r="Q23">
        <f>RANK(TAcum[[#This Row],[j15]],TAcum[[#All],[j15]],0)</f>
        <v>55</v>
      </c>
      <c r="R23">
        <f>RANK(TAcum[[#This Row],[j16]],TAcum[[#All],[j16]],0)</f>
        <v>41</v>
      </c>
      <c r="S23">
        <f>RANK(TAcum[[#This Row],[j17]],TAcum[[#All],[j17]],0)</f>
        <v>50</v>
      </c>
      <c r="T23">
        <f>RANK(TAcum[[#This Row],[j18]],TAcum[[#All],[j18]],0)</f>
        <v>54</v>
      </c>
      <c r="U23">
        <f>RANK(TAcum[[#This Row],[j19]],TAcum[[#All],[j19]],0)</f>
        <v>51</v>
      </c>
      <c r="V23">
        <f>RANK(TAcum[[#This Row],[j20]],TAcum[[#All],[j20]],0)</f>
        <v>50</v>
      </c>
      <c r="W23">
        <f>RANK(TAcum[[#This Row],[j21]],TAcum[[#All],[j21]],0)</f>
        <v>53</v>
      </c>
      <c r="X23">
        <f>RANK(TAcum[[#This Row],[j22]],TAcum[[#All],[j22]],0)</f>
        <v>59</v>
      </c>
      <c r="Y23">
        <f>RANK(TAcum[[#This Row],[j23]],TAcum[[#All],[j23]],0)</f>
        <v>60</v>
      </c>
      <c r="Z23">
        <f>RANK(TAcum[[#This Row],[j24]],TAcum[[#All],[j24]],0)</f>
        <v>40</v>
      </c>
      <c r="AA23">
        <f>RANK(TAcum[[#This Row],[j25]],TAcum[[#All],[j25]],0)</f>
        <v>42</v>
      </c>
      <c r="AB23">
        <f>RANK(TAcum[[#This Row],[j26]],TAcum[[#All],[j26]],0)</f>
        <v>41</v>
      </c>
      <c r="AC23">
        <f>RANK(TAcum[[#This Row],[j27]],TAcum[[#All],[j27]],0)</f>
        <v>41</v>
      </c>
      <c r="AD23">
        <f>RANK(TAcum[[#This Row],[j28]],TAcum[[#All],[j28]],0)</f>
        <v>36</v>
      </c>
      <c r="AE23">
        <f>RANK(TAcum[[#This Row],[j29]],TAcum[[#All],[j29]],0)</f>
        <v>22</v>
      </c>
      <c r="AF23">
        <f>RANK(TAcum[[#This Row],[j30]],TAcum[[#All],[j30]],0)</f>
        <v>22</v>
      </c>
      <c r="AG23">
        <f>RANK(TAcum[[#This Row],[j31]],TAcum[[#All],[j31]],0)</f>
        <v>22</v>
      </c>
      <c r="AH23">
        <f>RANK(TAcum[[#This Row],[j32]],TAcum[[#All],[j32]],0)</f>
        <v>22</v>
      </c>
      <c r="AI23">
        <f>RANK(TAcum[[#This Row],[j33]],TAcum[[#All],[j33]],0)</f>
        <v>22</v>
      </c>
      <c r="AJ23">
        <f>RANK(TAcum[[#This Row],[j34]],TAcum[[#All],[j34]],0)</f>
        <v>22</v>
      </c>
      <c r="AK23">
        <f>RANK(TAcum[[#This Row],[j35]],TAcum[[#All],[j35]],0)</f>
        <v>22</v>
      </c>
      <c r="AL23">
        <f>RANK(TAcum[[#This Row],[j36]],TAcum[[#All],[j36]],0)</f>
        <v>22</v>
      </c>
      <c r="AM23">
        <f>RANK(TAcum[[#This Row],[j37]],TAcum[[#All],[j37]],0)</f>
        <v>22</v>
      </c>
      <c r="AN23">
        <f>RANK(TAcum[[#This Row],[j38]],TAcum[[#All],[j38]],0)</f>
        <v>22</v>
      </c>
      <c r="AO23">
        <f>RANK(TAcum[[#This Row],[j39]],TAcum[[#All],[j39]],0)</f>
        <v>22</v>
      </c>
      <c r="AP23">
        <f>RANK(TAcum[[#This Row],[j40]],TAcum[[#All],[j40]],0)</f>
        <v>22</v>
      </c>
      <c r="AQ23">
        <f>RANK(TAcum[[#This Row],[j41]],TAcum[[#All],[j41]],0)</f>
        <v>22</v>
      </c>
      <c r="AR23">
        <f>RANK(TAcum[[#This Row],[j42]],TAcum[[#All],[j42]],0)</f>
        <v>22</v>
      </c>
      <c r="AS23">
        <f>RANK(TAcum[[#This Row],[j43]],TAcum[[#All],[j43]],0)</f>
        <v>22</v>
      </c>
      <c r="AT23">
        <f>RANK(TAcum[[#This Row],[j44]],TAcum[[#All],[j44]],0)</f>
        <v>22</v>
      </c>
      <c r="AU23">
        <f>RANK(TAcum[[#This Row],[j45]],TAcum[[#All],[j45]],0)</f>
        <v>22</v>
      </c>
      <c r="AV23">
        <f>RANK(TAcum[[#This Row],[j46]],TAcum[[#All],[j46]],0)</f>
        <v>22</v>
      </c>
      <c r="AW23">
        <f>RANK(TAcum[[#This Row],[j47]],TAcum[[#All],[j47]],0)</f>
        <v>22</v>
      </c>
      <c r="AX23">
        <f>RANK(TAcum[[#This Row],[j48]],TAcum[[#All],[j48]],0)</f>
        <v>22</v>
      </c>
      <c r="AY23">
        <f>RANK(TAcum[[#This Row],[j49]],TAcum[[#All],[j49]],0)</f>
        <v>22</v>
      </c>
      <c r="AZ23">
        <f>RANK(TAcum[[#This Row],[j50]],TAcum[[#All],[j50]],0)</f>
        <v>22</v>
      </c>
      <c r="BA23">
        <f>RANK(TAcum[[#This Row],[j51]],TAcum[[#All],[j51]],0)</f>
        <v>22</v>
      </c>
      <c r="BB23">
        <f>RANK(TAcum[[#This Row],[j52]],TAcum[[#All],[j52]],0)</f>
        <v>22</v>
      </c>
      <c r="BC23">
        <f>RANK(TAcum[[#This Row],[j53]],TAcum[[#All],[j53]],0)</f>
        <v>22</v>
      </c>
      <c r="BD23">
        <f>RANK(TAcum[[#This Row],[j54]],TAcum[[#All],[j54]],0)</f>
        <v>22</v>
      </c>
      <c r="BE23">
        <f>RANK(TAcum[[#This Row],[j55]],TAcum[[#All],[j55]],0)</f>
        <v>22</v>
      </c>
      <c r="BF23">
        <f>RANK(TAcum[[#This Row],[j56]],TAcum[[#All],[j56]],0)</f>
        <v>22</v>
      </c>
      <c r="BG23">
        <f>RANK(TAcum[[#This Row],[j57]],TAcum[[#All],[j57]],0)</f>
        <v>22</v>
      </c>
      <c r="BH23">
        <f>RANK(TAcum[[#This Row],[j58]],TAcum[[#All],[j58]],0)</f>
        <v>22</v>
      </c>
      <c r="BI23">
        <f>RANK(TAcum[[#This Row],[j59]],TAcum[[#All],[j59]],0)</f>
        <v>22</v>
      </c>
      <c r="BJ23">
        <f>RANK(TAcum[[#This Row],[j60]],TAcum[[#All],[j60]],0)</f>
        <v>22</v>
      </c>
      <c r="BK23">
        <f>RANK(TAcum[[#This Row],[j61]],TAcum[[#All],[j61]],0)</f>
        <v>22</v>
      </c>
      <c r="BL23">
        <f>RANK(TAcum[[#This Row],[j62]],TAcum[[#All],[j62]],0)</f>
        <v>22</v>
      </c>
      <c r="BM23">
        <f>RANK(TAcum[[#This Row],[j63]],TAcum[[#All],[j63]],0)</f>
        <v>22</v>
      </c>
      <c r="BN23">
        <f>RANK(TAcum[[#This Row],[j64]],TAcum[[#All],[j64]],0)</f>
        <v>22</v>
      </c>
      <c r="BO23">
        <f>RANK(TAcum[[#This Row],[j65]],TAcum[[#All],[j65]],0)</f>
        <v>22</v>
      </c>
      <c r="BP23">
        <f>RANK(TAcum[[#This Row],[j66]],TAcum[[#All],[j66]],0)</f>
        <v>22</v>
      </c>
      <c r="BQ23">
        <f>RANK(TAcum[[#This Row],[j67]],TAcum[[#All],[j67]],0)</f>
        <v>22</v>
      </c>
      <c r="BR23">
        <f>RANK(TAcum[[#This Row],[j68]],TAcum[[#All],[j68]],0)</f>
        <v>22</v>
      </c>
      <c r="BS23">
        <f>RANK(TAcum[[#This Row],[j69]],TAcum[[#All],[j69]],0)</f>
        <v>22</v>
      </c>
      <c r="BT23">
        <f>RANK(TAcum[[#This Row],[j70]],TAcum[[#All],[j70]],0)</f>
        <v>22</v>
      </c>
      <c r="BU23">
        <f>RANK(TAcum[[#This Row],[j71]],TAcum[[#All],[j71]],0)</f>
        <v>22</v>
      </c>
      <c r="BV23">
        <f>RANK(TAcum[[#This Row],[j72]],TAcum[[#All],[j72]],0)</f>
        <v>22</v>
      </c>
      <c r="BW23">
        <f>RANK(TAcum[[#This Row],[j73]],TAcum[[#All],[j73]],0)</f>
        <v>22</v>
      </c>
    </row>
    <row r="24" spans="1:75" x14ac:dyDescent="0.25">
      <c r="A24" t="str">
        <f>TAcum[[#This Row],[Jogador]]</f>
        <v>Douglas Cordeiro Parente</v>
      </c>
      <c r="B24">
        <f>RANK(TAcum[[#This Row],[total]],TAcum[[#All],[total]],0)</f>
        <v>22</v>
      </c>
      <c r="C24">
        <f>RANK(TAcum[[#This Row],[j01]],TAcum[[#All],[j01]],0)</f>
        <v>13</v>
      </c>
      <c r="D24">
        <f>RANK(TAcum[[#This Row],[j02]],TAcum[[#All],[j02]],0)</f>
        <v>14</v>
      </c>
      <c r="E24">
        <f>RANK(TAcum[[#This Row],[j03]],TAcum[[#All],[j03]],0)</f>
        <v>3</v>
      </c>
      <c r="F24">
        <f>RANK(TAcum[[#This Row],[j04]],TAcum[[#All],[j04]],0)</f>
        <v>38</v>
      </c>
      <c r="G24">
        <f>RANK(TAcum[[#This Row],[j05]],TAcum[[#All],[j05]],0)</f>
        <v>39</v>
      </c>
      <c r="H24">
        <f>RANK(TAcum[[#This Row],[j06]],TAcum[[#All],[j06]],0)</f>
        <v>23</v>
      </c>
      <c r="I24">
        <f>RANK(TAcum[[#This Row],[j07]],TAcum[[#All],[j07]],0)</f>
        <v>27</v>
      </c>
      <c r="J24">
        <f>RANK(TAcum[[#This Row],[j08]],TAcum[[#All],[j08]],0)</f>
        <v>27</v>
      </c>
      <c r="K24">
        <f>RANK(TAcum[[#This Row],[j09]],TAcum[[#All],[j09]],0)</f>
        <v>27</v>
      </c>
      <c r="L24">
        <f>RANK(TAcum[[#This Row],[j10]],TAcum[[#All],[j10]],0)</f>
        <v>25</v>
      </c>
      <c r="M24">
        <f>RANK(TAcum[[#This Row],[j11]],TAcum[[#All],[j11]],0)</f>
        <v>23</v>
      </c>
      <c r="N24">
        <f>RANK(TAcum[[#This Row],[j12]],TAcum[[#All],[j12]],0)</f>
        <v>22</v>
      </c>
      <c r="O24">
        <f>RANK(TAcum[[#This Row],[j13]],TAcum[[#All],[j13]],0)</f>
        <v>16</v>
      </c>
      <c r="P24">
        <f>RANK(TAcum[[#This Row],[j14]],TAcum[[#All],[j14]],0)</f>
        <v>15</v>
      </c>
      <c r="Q24">
        <f>RANK(TAcum[[#This Row],[j15]],TAcum[[#All],[j15]],0)</f>
        <v>16</v>
      </c>
      <c r="R24">
        <f>RANK(TAcum[[#This Row],[j16]],TAcum[[#All],[j16]],0)</f>
        <v>19</v>
      </c>
      <c r="S24">
        <f>RANK(TAcum[[#This Row],[j17]],TAcum[[#All],[j17]],0)</f>
        <v>23</v>
      </c>
      <c r="T24">
        <f>RANK(TAcum[[#This Row],[j18]],TAcum[[#All],[j18]],0)</f>
        <v>29</v>
      </c>
      <c r="U24">
        <f>RANK(TAcum[[#This Row],[j19]],TAcum[[#All],[j19]],0)</f>
        <v>31</v>
      </c>
      <c r="V24">
        <f>RANK(TAcum[[#This Row],[j20]],TAcum[[#All],[j20]],0)</f>
        <v>31</v>
      </c>
      <c r="W24">
        <f>RANK(TAcum[[#This Row],[j21]],TAcum[[#All],[j21]],0)</f>
        <v>32</v>
      </c>
      <c r="X24">
        <f>RANK(TAcum[[#This Row],[j22]],TAcum[[#All],[j22]],0)</f>
        <v>16</v>
      </c>
      <c r="Y24">
        <f>RANK(TAcum[[#This Row],[j23]],TAcum[[#All],[j23]],0)</f>
        <v>17</v>
      </c>
      <c r="Z24">
        <f>RANK(TAcum[[#This Row],[j24]],TAcum[[#All],[j24]],0)</f>
        <v>17</v>
      </c>
      <c r="AA24">
        <f>RANK(TAcum[[#This Row],[j25]],TAcum[[#All],[j25]],0)</f>
        <v>11</v>
      </c>
      <c r="AB24">
        <f>RANK(TAcum[[#This Row],[j26]],TAcum[[#All],[j26]],0)</f>
        <v>16</v>
      </c>
      <c r="AC24">
        <f>RANK(TAcum[[#This Row],[j27]],TAcum[[#All],[j27]],0)</f>
        <v>16</v>
      </c>
      <c r="AD24">
        <f>RANK(TAcum[[#This Row],[j28]],TAcum[[#All],[j28]],0)</f>
        <v>22</v>
      </c>
      <c r="AE24">
        <f>RANK(TAcum[[#This Row],[j29]],TAcum[[#All],[j29]],0)</f>
        <v>22</v>
      </c>
      <c r="AF24">
        <f>RANK(TAcum[[#This Row],[j30]],TAcum[[#All],[j30]],0)</f>
        <v>22</v>
      </c>
      <c r="AG24">
        <f>RANK(TAcum[[#This Row],[j31]],TAcum[[#All],[j31]],0)</f>
        <v>22</v>
      </c>
      <c r="AH24">
        <f>RANK(TAcum[[#This Row],[j32]],TAcum[[#All],[j32]],0)</f>
        <v>22</v>
      </c>
      <c r="AI24">
        <f>RANK(TAcum[[#This Row],[j33]],TAcum[[#All],[j33]],0)</f>
        <v>22</v>
      </c>
      <c r="AJ24">
        <f>RANK(TAcum[[#This Row],[j34]],TAcum[[#All],[j34]],0)</f>
        <v>22</v>
      </c>
      <c r="AK24">
        <f>RANK(TAcum[[#This Row],[j35]],TAcum[[#All],[j35]],0)</f>
        <v>22</v>
      </c>
      <c r="AL24">
        <f>RANK(TAcum[[#This Row],[j36]],TAcum[[#All],[j36]],0)</f>
        <v>22</v>
      </c>
      <c r="AM24">
        <f>RANK(TAcum[[#This Row],[j37]],TAcum[[#All],[j37]],0)</f>
        <v>22</v>
      </c>
      <c r="AN24">
        <f>RANK(TAcum[[#This Row],[j38]],TAcum[[#All],[j38]],0)</f>
        <v>22</v>
      </c>
      <c r="AO24">
        <f>RANK(TAcum[[#This Row],[j39]],TAcum[[#All],[j39]],0)</f>
        <v>22</v>
      </c>
      <c r="AP24">
        <f>RANK(TAcum[[#This Row],[j40]],TAcum[[#All],[j40]],0)</f>
        <v>22</v>
      </c>
      <c r="AQ24">
        <f>RANK(TAcum[[#This Row],[j41]],TAcum[[#All],[j41]],0)</f>
        <v>22</v>
      </c>
      <c r="AR24">
        <f>RANK(TAcum[[#This Row],[j42]],TAcum[[#All],[j42]],0)</f>
        <v>22</v>
      </c>
      <c r="AS24">
        <f>RANK(TAcum[[#This Row],[j43]],TAcum[[#All],[j43]],0)</f>
        <v>22</v>
      </c>
      <c r="AT24">
        <f>RANK(TAcum[[#This Row],[j44]],TAcum[[#All],[j44]],0)</f>
        <v>22</v>
      </c>
      <c r="AU24">
        <f>RANK(TAcum[[#This Row],[j45]],TAcum[[#All],[j45]],0)</f>
        <v>22</v>
      </c>
      <c r="AV24">
        <f>RANK(TAcum[[#This Row],[j46]],TAcum[[#All],[j46]],0)</f>
        <v>22</v>
      </c>
      <c r="AW24">
        <f>RANK(TAcum[[#This Row],[j47]],TAcum[[#All],[j47]],0)</f>
        <v>22</v>
      </c>
      <c r="AX24">
        <f>RANK(TAcum[[#This Row],[j48]],TAcum[[#All],[j48]],0)</f>
        <v>22</v>
      </c>
      <c r="AY24">
        <f>RANK(TAcum[[#This Row],[j49]],TAcum[[#All],[j49]],0)</f>
        <v>22</v>
      </c>
      <c r="AZ24">
        <f>RANK(TAcum[[#This Row],[j50]],TAcum[[#All],[j50]],0)</f>
        <v>22</v>
      </c>
      <c r="BA24">
        <f>RANK(TAcum[[#This Row],[j51]],TAcum[[#All],[j51]],0)</f>
        <v>22</v>
      </c>
      <c r="BB24">
        <f>RANK(TAcum[[#This Row],[j52]],TAcum[[#All],[j52]],0)</f>
        <v>22</v>
      </c>
      <c r="BC24">
        <f>RANK(TAcum[[#This Row],[j53]],TAcum[[#All],[j53]],0)</f>
        <v>22</v>
      </c>
      <c r="BD24">
        <f>RANK(TAcum[[#This Row],[j54]],TAcum[[#All],[j54]],0)</f>
        <v>22</v>
      </c>
      <c r="BE24">
        <f>RANK(TAcum[[#This Row],[j55]],TAcum[[#All],[j55]],0)</f>
        <v>22</v>
      </c>
      <c r="BF24">
        <f>RANK(TAcum[[#This Row],[j56]],TAcum[[#All],[j56]],0)</f>
        <v>22</v>
      </c>
      <c r="BG24">
        <f>RANK(TAcum[[#This Row],[j57]],TAcum[[#All],[j57]],0)</f>
        <v>22</v>
      </c>
      <c r="BH24">
        <f>RANK(TAcum[[#This Row],[j58]],TAcum[[#All],[j58]],0)</f>
        <v>22</v>
      </c>
      <c r="BI24">
        <f>RANK(TAcum[[#This Row],[j59]],TAcum[[#All],[j59]],0)</f>
        <v>22</v>
      </c>
      <c r="BJ24">
        <f>RANK(TAcum[[#This Row],[j60]],TAcum[[#All],[j60]],0)</f>
        <v>22</v>
      </c>
      <c r="BK24">
        <f>RANK(TAcum[[#This Row],[j61]],TAcum[[#All],[j61]],0)</f>
        <v>22</v>
      </c>
      <c r="BL24">
        <f>RANK(TAcum[[#This Row],[j62]],TAcum[[#All],[j62]],0)</f>
        <v>22</v>
      </c>
      <c r="BM24">
        <f>RANK(TAcum[[#This Row],[j63]],TAcum[[#All],[j63]],0)</f>
        <v>22</v>
      </c>
      <c r="BN24">
        <f>RANK(TAcum[[#This Row],[j64]],TAcum[[#All],[j64]],0)</f>
        <v>22</v>
      </c>
      <c r="BO24">
        <f>RANK(TAcum[[#This Row],[j65]],TAcum[[#All],[j65]],0)</f>
        <v>22</v>
      </c>
      <c r="BP24">
        <f>RANK(TAcum[[#This Row],[j66]],TAcum[[#All],[j66]],0)</f>
        <v>22</v>
      </c>
      <c r="BQ24">
        <f>RANK(TAcum[[#This Row],[j67]],TAcum[[#All],[j67]],0)</f>
        <v>22</v>
      </c>
      <c r="BR24">
        <f>RANK(TAcum[[#This Row],[j68]],TAcum[[#All],[j68]],0)</f>
        <v>22</v>
      </c>
      <c r="BS24">
        <f>RANK(TAcum[[#This Row],[j69]],TAcum[[#All],[j69]],0)</f>
        <v>22</v>
      </c>
      <c r="BT24">
        <f>RANK(TAcum[[#This Row],[j70]],TAcum[[#All],[j70]],0)</f>
        <v>22</v>
      </c>
      <c r="BU24">
        <f>RANK(TAcum[[#This Row],[j71]],TAcum[[#All],[j71]],0)</f>
        <v>22</v>
      </c>
      <c r="BV24">
        <f>RANK(TAcum[[#This Row],[j72]],TAcum[[#All],[j72]],0)</f>
        <v>22</v>
      </c>
      <c r="BW24">
        <f>RANK(TAcum[[#This Row],[j73]],TAcum[[#All],[j73]],0)</f>
        <v>22</v>
      </c>
    </row>
    <row r="25" spans="1:75" x14ac:dyDescent="0.25">
      <c r="A25" t="str">
        <f>TAcum[[#This Row],[Jogador]]</f>
        <v>Moises Augusto</v>
      </c>
      <c r="B25">
        <f>RANK(TAcum[[#This Row],[total]],TAcum[[#All],[total]],0)</f>
        <v>22</v>
      </c>
      <c r="C25">
        <f>RANK(TAcum[[#This Row],[j01]],TAcum[[#All],[j01]],0)</f>
        <v>13</v>
      </c>
      <c r="D25">
        <f>RANK(TAcum[[#This Row],[j02]],TAcum[[#All],[j02]],0)</f>
        <v>14</v>
      </c>
      <c r="E25">
        <f>RANK(TAcum[[#This Row],[j03]],TAcum[[#All],[j03]],0)</f>
        <v>3</v>
      </c>
      <c r="F25">
        <f>RANK(TAcum[[#This Row],[j04]],TAcum[[#All],[j04]],0)</f>
        <v>38</v>
      </c>
      <c r="G25">
        <f>RANK(TAcum[[#This Row],[j05]],TAcum[[#All],[j05]],0)</f>
        <v>39</v>
      </c>
      <c r="H25">
        <f>RANK(TAcum[[#This Row],[j06]],TAcum[[#All],[j06]],0)</f>
        <v>41</v>
      </c>
      <c r="I25">
        <f>RANK(TAcum[[#This Row],[j07]],TAcum[[#All],[j07]],0)</f>
        <v>61</v>
      </c>
      <c r="J25">
        <f>RANK(TAcum[[#This Row],[j08]],TAcum[[#All],[j08]],0)</f>
        <v>65</v>
      </c>
      <c r="K25">
        <f>RANK(TAcum[[#This Row],[j09]],TAcum[[#All],[j09]],0)</f>
        <v>64</v>
      </c>
      <c r="L25">
        <f>RANK(TAcum[[#This Row],[j10]],TAcum[[#All],[j10]],0)</f>
        <v>65</v>
      </c>
      <c r="M25">
        <f>RANK(TAcum[[#This Row],[j11]],TAcum[[#All],[j11]],0)</f>
        <v>61</v>
      </c>
      <c r="N25">
        <f>RANK(TAcum[[#This Row],[j12]],TAcum[[#All],[j12]],0)</f>
        <v>54</v>
      </c>
      <c r="O25">
        <f>RANK(TAcum[[#This Row],[j13]],TAcum[[#All],[j13]],0)</f>
        <v>59</v>
      </c>
      <c r="P25">
        <f>RANK(TAcum[[#This Row],[j14]],TAcum[[#All],[j14]],0)</f>
        <v>70</v>
      </c>
      <c r="Q25">
        <f>RANK(TAcum[[#This Row],[j15]],TAcum[[#All],[j15]],0)</f>
        <v>69</v>
      </c>
      <c r="R25">
        <f>RANK(TAcum[[#This Row],[j16]],TAcum[[#All],[j16]],0)</f>
        <v>59</v>
      </c>
      <c r="S25">
        <f>RANK(TAcum[[#This Row],[j17]],TAcum[[#All],[j17]],0)</f>
        <v>43</v>
      </c>
      <c r="T25">
        <f>RANK(TAcum[[#This Row],[j18]],TAcum[[#All],[j18]],0)</f>
        <v>48</v>
      </c>
      <c r="U25">
        <f>RANK(TAcum[[#This Row],[j19]],TAcum[[#All],[j19]],0)</f>
        <v>49</v>
      </c>
      <c r="V25">
        <f>RANK(TAcum[[#This Row],[j20]],TAcum[[#All],[j20]],0)</f>
        <v>48</v>
      </c>
      <c r="W25">
        <f>RANK(TAcum[[#This Row],[j21]],TAcum[[#All],[j21]],0)</f>
        <v>46</v>
      </c>
      <c r="X25">
        <f>RANK(TAcum[[#This Row],[j22]],TAcum[[#All],[j22]],0)</f>
        <v>52</v>
      </c>
      <c r="Y25">
        <f>RANK(TAcum[[#This Row],[j23]],TAcum[[#All],[j23]],0)</f>
        <v>39</v>
      </c>
      <c r="Z25">
        <f>RANK(TAcum[[#This Row],[j24]],TAcum[[#All],[j24]],0)</f>
        <v>27</v>
      </c>
      <c r="AA25">
        <f>RANK(TAcum[[#This Row],[j25]],TAcum[[#All],[j25]],0)</f>
        <v>17</v>
      </c>
      <c r="AB25">
        <f>RANK(TAcum[[#This Row],[j26]],TAcum[[#All],[j26]],0)</f>
        <v>18</v>
      </c>
      <c r="AC25">
        <f>RANK(TAcum[[#This Row],[j27]],TAcum[[#All],[j27]],0)</f>
        <v>18</v>
      </c>
      <c r="AD25">
        <f>RANK(TAcum[[#This Row],[j28]],TAcum[[#All],[j28]],0)</f>
        <v>17</v>
      </c>
      <c r="AE25">
        <f>RANK(TAcum[[#This Row],[j29]],TAcum[[#All],[j29]],0)</f>
        <v>22</v>
      </c>
      <c r="AF25">
        <f>RANK(TAcum[[#This Row],[j30]],TAcum[[#All],[j30]],0)</f>
        <v>22</v>
      </c>
      <c r="AG25">
        <f>RANK(TAcum[[#This Row],[j31]],TAcum[[#All],[j31]],0)</f>
        <v>22</v>
      </c>
      <c r="AH25">
        <f>RANK(TAcum[[#This Row],[j32]],TAcum[[#All],[j32]],0)</f>
        <v>22</v>
      </c>
      <c r="AI25">
        <f>RANK(TAcum[[#This Row],[j33]],TAcum[[#All],[j33]],0)</f>
        <v>22</v>
      </c>
      <c r="AJ25">
        <f>RANK(TAcum[[#This Row],[j34]],TAcum[[#All],[j34]],0)</f>
        <v>22</v>
      </c>
      <c r="AK25">
        <f>RANK(TAcum[[#This Row],[j35]],TAcum[[#All],[j35]],0)</f>
        <v>22</v>
      </c>
      <c r="AL25">
        <f>RANK(TAcum[[#This Row],[j36]],TAcum[[#All],[j36]],0)</f>
        <v>22</v>
      </c>
      <c r="AM25">
        <f>RANK(TAcum[[#This Row],[j37]],TAcum[[#All],[j37]],0)</f>
        <v>22</v>
      </c>
      <c r="AN25">
        <f>RANK(TAcum[[#This Row],[j38]],TAcum[[#All],[j38]],0)</f>
        <v>22</v>
      </c>
      <c r="AO25">
        <f>RANK(TAcum[[#This Row],[j39]],TAcum[[#All],[j39]],0)</f>
        <v>22</v>
      </c>
      <c r="AP25">
        <f>RANK(TAcum[[#This Row],[j40]],TAcum[[#All],[j40]],0)</f>
        <v>22</v>
      </c>
      <c r="AQ25">
        <f>RANK(TAcum[[#This Row],[j41]],TAcum[[#All],[j41]],0)</f>
        <v>22</v>
      </c>
      <c r="AR25">
        <f>RANK(TAcum[[#This Row],[j42]],TAcum[[#All],[j42]],0)</f>
        <v>22</v>
      </c>
      <c r="AS25">
        <f>RANK(TAcum[[#This Row],[j43]],TAcum[[#All],[j43]],0)</f>
        <v>22</v>
      </c>
      <c r="AT25">
        <f>RANK(TAcum[[#This Row],[j44]],TAcum[[#All],[j44]],0)</f>
        <v>22</v>
      </c>
      <c r="AU25">
        <f>RANK(TAcum[[#This Row],[j45]],TAcum[[#All],[j45]],0)</f>
        <v>22</v>
      </c>
      <c r="AV25">
        <f>RANK(TAcum[[#This Row],[j46]],TAcum[[#All],[j46]],0)</f>
        <v>22</v>
      </c>
      <c r="AW25">
        <f>RANK(TAcum[[#This Row],[j47]],TAcum[[#All],[j47]],0)</f>
        <v>22</v>
      </c>
      <c r="AX25">
        <f>RANK(TAcum[[#This Row],[j48]],TAcum[[#All],[j48]],0)</f>
        <v>22</v>
      </c>
      <c r="AY25">
        <f>RANK(TAcum[[#This Row],[j49]],TAcum[[#All],[j49]],0)</f>
        <v>22</v>
      </c>
      <c r="AZ25">
        <f>RANK(TAcum[[#This Row],[j50]],TAcum[[#All],[j50]],0)</f>
        <v>22</v>
      </c>
      <c r="BA25">
        <f>RANK(TAcum[[#This Row],[j51]],TAcum[[#All],[j51]],0)</f>
        <v>22</v>
      </c>
      <c r="BB25">
        <f>RANK(TAcum[[#This Row],[j52]],TAcum[[#All],[j52]],0)</f>
        <v>22</v>
      </c>
      <c r="BC25">
        <f>RANK(TAcum[[#This Row],[j53]],TAcum[[#All],[j53]],0)</f>
        <v>22</v>
      </c>
      <c r="BD25">
        <f>RANK(TAcum[[#This Row],[j54]],TAcum[[#All],[j54]],0)</f>
        <v>22</v>
      </c>
      <c r="BE25">
        <f>RANK(TAcum[[#This Row],[j55]],TAcum[[#All],[j55]],0)</f>
        <v>22</v>
      </c>
      <c r="BF25">
        <f>RANK(TAcum[[#This Row],[j56]],TAcum[[#All],[j56]],0)</f>
        <v>22</v>
      </c>
      <c r="BG25">
        <f>RANK(TAcum[[#This Row],[j57]],TAcum[[#All],[j57]],0)</f>
        <v>22</v>
      </c>
      <c r="BH25">
        <f>RANK(TAcum[[#This Row],[j58]],TAcum[[#All],[j58]],0)</f>
        <v>22</v>
      </c>
      <c r="BI25">
        <f>RANK(TAcum[[#This Row],[j59]],TAcum[[#All],[j59]],0)</f>
        <v>22</v>
      </c>
      <c r="BJ25">
        <f>RANK(TAcum[[#This Row],[j60]],TAcum[[#All],[j60]],0)</f>
        <v>22</v>
      </c>
      <c r="BK25">
        <f>RANK(TAcum[[#This Row],[j61]],TAcum[[#All],[j61]],0)</f>
        <v>22</v>
      </c>
      <c r="BL25">
        <f>RANK(TAcum[[#This Row],[j62]],TAcum[[#All],[j62]],0)</f>
        <v>22</v>
      </c>
      <c r="BM25">
        <f>RANK(TAcum[[#This Row],[j63]],TAcum[[#All],[j63]],0)</f>
        <v>22</v>
      </c>
      <c r="BN25">
        <f>RANK(TAcum[[#This Row],[j64]],TAcum[[#All],[j64]],0)</f>
        <v>22</v>
      </c>
      <c r="BO25">
        <f>RANK(TAcum[[#This Row],[j65]],TAcum[[#All],[j65]],0)</f>
        <v>22</v>
      </c>
      <c r="BP25">
        <f>RANK(TAcum[[#This Row],[j66]],TAcum[[#All],[j66]],0)</f>
        <v>22</v>
      </c>
      <c r="BQ25">
        <f>RANK(TAcum[[#This Row],[j67]],TAcum[[#All],[j67]],0)</f>
        <v>22</v>
      </c>
      <c r="BR25">
        <f>RANK(TAcum[[#This Row],[j68]],TAcum[[#All],[j68]],0)</f>
        <v>22</v>
      </c>
      <c r="BS25">
        <f>RANK(TAcum[[#This Row],[j69]],TAcum[[#All],[j69]],0)</f>
        <v>22</v>
      </c>
      <c r="BT25">
        <f>RANK(TAcum[[#This Row],[j70]],TAcum[[#All],[j70]],0)</f>
        <v>22</v>
      </c>
      <c r="BU25">
        <f>RANK(TAcum[[#This Row],[j71]],TAcum[[#All],[j71]],0)</f>
        <v>22</v>
      </c>
      <c r="BV25">
        <f>RANK(TAcum[[#This Row],[j72]],TAcum[[#All],[j72]],0)</f>
        <v>22</v>
      </c>
      <c r="BW25">
        <f>RANK(TAcum[[#This Row],[j73]],TAcum[[#All],[j73]],0)</f>
        <v>22</v>
      </c>
    </row>
    <row r="26" spans="1:75" x14ac:dyDescent="0.25">
      <c r="A26" t="str">
        <f>TAcum[[#This Row],[Jogador]]</f>
        <v>William Soares da Silva</v>
      </c>
      <c r="B26">
        <f>RANK(TAcum[[#This Row],[total]],TAcum[[#All],[total]],0)</f>
        <v>25</v>
      </c>
      <c r="C26">
        <f>RANK(TAcum[[#This Row],[j01]],TAcum[[#All],[j01]],0)</f>
        <v>13</v>
      </c>
      <c r="D26">
        <f>RANK(TAcum[[#This Row],[j02]],TAcum[[#All],[j02]],0)</f>
        <v>62</v>
      </c>
      <c r="E26">
        <f>RANK(TAcum[[#This Row],[j03]],TAcum[[#All],[j03]],0)</f>
        <v>82</v>
      </c>
      <c r="F26">
        <f>RANK(TAcum[[#This Row],[j04]],TAcum[[#All],[j04]],0)</f>
        <v>54</v>
      </c>
      <c r="G26">
        <f>RANK(TAcum[[#This Row],[j05]],TAcum[[#All],[j05]],0)</f>
        <v>55</v>
      </c>
      <c r="H26">
        <f>RANK(TAcum[[#This Row],[j06]],TAcum[[#All],[j06]],0)</f>
        <v>53</v>
      </c>
      <c r="I26">
        <f>RANK(TAcum[[#This Row],[j07]],TAcum[[#All],[j07]],0)</f>
        <v>71</v>
      </c>
      <c r="J26">
        <f>RANK(TAcum[[#This Row],[j08]],TAcum[[#All],[j08]],0)</f>
        <v>76</v>
      </c>
      <c r="K26">
        <f>RANK(TAcum[[#This Row],[j09]],TAcum[[#All],[j09]],0)</f>
        <v>52</v>
      </c>
      <c r="L26">
        <f>RANK(TAcum[[#This Row],[j10]],TAcum[[#All],[j10]],0)</f>
        <v>42</v>
      </c>
      <c r="M26">
        <f>RANK(TAcum[[#This Row],[j11]],TAcum[[#All],[j11]],0)</f>
        <v>40</v>
      </c>
      <c r="N26">
        <f>RANK(TAcum[[#This Row],[j12]],TAcum[[#All],[j12]],0)</f>
        <v>41</v>
      </c>
      <c r="O26">
        <f>RANK(TAcum[[#This Row],[j13]],TAcum[[#All],[j13]],0)</f>
        <v>22</v>
      </c>
      <c r="P26">
        <f>RANK(TAcum[[#This Row],[j14]],TAcum[[#All],[j14]],0)</f>
        <v>23</v>
      </c>
      <c r="Q26">
        <f>RANK(TAcum[[#This Row],[j15]],TAcum[[#All],[j15]],0)</f>
        <v>21</v>
      </c>
      <c r="R26">
        <f>RANK(TAcum[[#This Row],[j16]],TAcum[[#All],[j16]],0)</f>
        <v>26</v>
      </c>
      <c r="S26">
        <f>RANK(TAcum[[#This Row],[j17]],TAcum[[#All],[j17]],0)</f>
        <v>9</v>
      </c>
      <c r="T26">
        <f>RANK(TAcum[[#This Row],[j18]],TAcum[[#All],[j18]],0)</f>
        <v>5</v>
      </c>
      <c r="U26">
        <f>RANK(TAcum[[#This Row],[j19]],TAcum[[#All],[j19]],0)</f>
        <v>10</v>
      </c>
      <c r="V26">
        <f>RANK(TAcum[[#This Row],[j20]],TAcum[[#All],[j20]],0)</f>
        <v>16</v>
      </c>
      <c r="W26">
        <f>RANK(TAcum[[#This Row],[j21]],TAcum[[#All],[j21]],0)</f>
        <v>17</v>
      </c>
      <c r="X26">
        <f>RANK(TAcum[[#This Row],[j22]],TAcum[[#All],[j22]],0)</f>
        <v>8</v>
      </c>
      <c r="Y26">
        <f>RANK(TAcum[[#This Row],[j23]],TAcum[[#All],[j23]],0)</f>
        <v>20</v>
      </c>
      <c r="Z26">
        <f>RANK(TAcum[[#This Row],[j24]],TAcum[[#All],[j24]],0)</f>
        <v>32</v>
      </c>
      <c r="AA26">
        <f>RANK(TAcum[[#This Row],[j25]],TAcum[[#All],[j25]],0)</f>
        <v>20</v>
      </c>
      <c r="AB26">
        <f>RANK(TAcum[[#This Row],[j26]],TAcum[[#All],[j26]],0)</f>
        <v>22</v>
      </c>
      <c r="AC26">
        <f>RANK(TAcum[[#This Row],[j27]],TAcum[[#All],[j27]],0)</f>
        <v>22</v>
      </c>
      <c r="AD26">
        <f>RANK(TAcum[[#This Row],[j28]],TAcum[[#All],[j28]],0)</f>
        <v>25</v>
      </c>
      <c r="AE26">
        <f>RANK(TAcum[[#This Row],[j29]],TAcum[[#All],[j29]],0)</f>
        <v>25</v>
      </c>
      <c r="AF26">
        <f>RANK(TAcum[[#This Row],[j30]],TAcum[[#All],[j30]],0)</f>
        <v>25</v>
      </c>
      <c r="AG26">
        <f>RANK(TAcum[[#This Row],[j31]],TAcum[[#All],[j31]],0)</f>
        <v>25</v>
      </c>
      <c r="AH26">
        <f>RANK(TAcum[[#This Row],[j32]],TAcum[[#All],[j32]],0)</f>
        <v>25</v>
      </c>
      <c r="AI26">
        <f>RANK(TAcum[[#This Row],[j33]],TAcum[[#All],[j33]],0)</f>
        <v>25</v>
      </c>
      <c r="AJ26">
        <f>RANK(TAcum[[#This Row],[j34]],TAcum[[#All],[j34]],0)</f>
        <v>25</v>
      </c>
      <c r="AK26">
        <f>RANK(TAcum[[#This Row],[j35]],TAcum[[#All],[j35]],0)</f>
        <v>25</v>
      </c>
      <c r="AL26">
        <f>RANK(TAcum[[#This Row],[j36]],TAcum[[#All],[j36]],0)</f>
        <v>25</v>
      </c>
      <c r="AM26">
        <f>RANK(TAcum[[#This Row],[j37]],TAcum[[#All],[j37]],0)</f>
        <v>25</v>
      </c>
      <c r="AN26">
        <f>RANK(TAcum[[#This Row],[j38]],TAcum[[#All],[j38]],0)</f>
        <v>25</v>
      </c>
      <c r="AO26">
        <f>RANK(TAcum[[#This Row],[j39]],TAcum[[#All],[j39]],0)</f>
        <v>25</v>
      </c>
      <c r="AP26">
        <f>RANK(TAcum[[#This Row],[j40]],TAcum[[#All],[j40]],0)</f>
        <v>25</v>
      </c>
      <c r="AQ26">
        <f>RANK(TAcum[[#This Row],[j41]],TAcum[[#All],[j41]],0)</f>
        <v>25</v>
      </c>
      <c r="AR26">
        <f>RANK(TAcum[[#This Row],[j42]],TAcum[[#All],[j42]],0)</f>
        <v>25</v>
      </c>
      <c r="AS26">
        <f>RANK(TAcum[[#This Row],[j43]],TAcum[[#All],[j43]],0)</f>
        <v>25</v>
      </c>
      <c r="AT26">
        <f>RANK(TAcum[[#This Row],[j44]],TAcum[[#All],[j44]],0)</f>
        <v>25</v>
      </c>
      <c r="AU26">
        <f>RANK(TAcum[[#This Row],[j45]],TAcum[[#All],[j45]],0)</f>
        <v>25</v>
      </c>
      <c r="AV26">
        <f>RANK(TAcum[[#This Row],[j46]],TAcum[[#All],[j46]],0)</f>
        <v>25</v>
      </c>
      <c r="AW26">
        <f>RANK(TAcum[[#This Row],[j47]],TAcum[[#All],[j47]],0)</f>
        <v>25</v>
      </c>
      <c r="AX26">
        <f>RANK(TAcum[[#This Row],[j48]],TAcum[[#All],[j48]],0)</f>
        <v>25</v>
      </c>
      <c r="AY26">
        <f>RANK(TAcum[[#This Row],[j49]],TAcum[[#All],[j49]],0)</f>
        <v>25</v>
      </c>
      <c r="AZ26">
        <f>RANK(TAcum[[#This Row],[j50]],TAcum[[#All],[j50]],0)</f>
        <v>25</v>
      </c>
      <c r="BA26">
        <f>RANK(TAcum[[#This Row],[j51]],TAcum[[#All],[j51]],0)</f>
        <v>25</v>
      </c>
      <c r="BB26">
        <f>RANK(TAcum[[#This Row],[j52]],TAcum[[#All],[j52]],0)</f>
        <v>25</v>
      </c>
      <c r="BC26">
        <f>RANK(TAcum[[#This Row],[j53]],TAcum[[#All],[j53]],0)</f>
        <v>25</v>
      </c>
      <c r="BD26">
        <f>RANK(TAcum[[#This Row],[j54]],TAcum[[#All],[j54]],0)</f>
        <v>25</v>
      </c>
      <c r="BE26">
        <f>RANK(TAcum[[#This Row],[j55]],TAcum[[#All],[j55]],0)</f>
        <v>25</v>
      </c>
      <c r="BF26">
        <f>RANK(TAcum[[#This Row],[j56]],TAcum[[#All],[j56]],0)</f>
        <v>25</v>
      </c>
      <c r="BG26">
        <f>RANK(TAcum[[#This Row],[j57]],TAcum[[#All],[j57]],0)</f>
        <v>25</v>
      </c>
      <c r="BH26">
        <f>RANK(TAcum[[#This Row],[j58]],TAcum[[#All],[j58]],0)</f>
        <v>25</v>
      </c>
      <c r="BI26">
        <f>RANK(TAcum[[#This Row],[j59]],TAcum[[#All],[j59]],0)</f>
        <v>25</v>
      </c>
      <c r="BJ26">
        <f>RANK(TAcum[[#This Row],[j60]],TAcum[[#All],[j60]],0)</f>
        <v>25</v>
      </c>
      <c r="BK26">
        <f>RANK(TAcum[[#This Row],[j61]],TAcum[[#All],[j61]],0)</f>
        <v>25</v>
      </c>
      <c r="BL26">
        <f>RANK(TAcum[[#This Row],[j62]],TAcum[[#All],[j62]],0)</f>
        <v>25</v>
      </c>
      <c r="BM26">
        <f>RANK(TAcum[[#This Row],[j63]],TAcum[[#All],[j63]],0)</f>
        <v>25</v>
      </c>
      <c r="BN26">
        <f>RANK(TAcum[[#This Row],[j64]],TAcum[[#All],[j64]],0)</f>
        <v>25</v>
      </c>
      <c r="BO26">
        <f>RANK(TAcum[[#This Row],[j65]],TAcum[[#All],[j65]],0)</f>
        <v>25</v>
      </c>
      <c r="BP26">
        <f>RANK(TAcum[[#This Row],[j66]],TAcum[[#All],[j66]],0)</f>
        <v>25</v>
      </c>
      <c r="BQ26">
        <f>RANK(TAcum[[#This Row],[j67]],TAcum[[#All],[j67]],0)</f>
        <v>25</v>
      </c>
      <c r="BR26">
        <f>RANK(TAcum[[#This Row],[j68]],TAcum[[#All],[j68]],0)</f>
        <v>25</v>
      </c>
      <c r="BS26">
        <f>RANK(TAcum[[#This Row],[j69]],TAcum[[#All],[j69]],0)</f>
        <v>25</v>
      </c>
      <c r="BT26">
        <f>RANK(TAcum[[#This Row],[j70]],TAcum[[#All],[j70]],0)</f>
        <v>25</v>
      </c>
      <c r="BU26">
        <f>RANK(TAcum[[#This Row],[j71]],TAcum[[#All],[j71]],0)</f>
        <v>25</v>
      </c>
      <c r="BV26">
        <f>RANK(TAcum[[#This Row],[j72]],TAcum[[#All],[j72]],0)</f>
        <v>25</v>
      </c>
      <c r="BW26">
        <f>RANK(TAcum[[#This Row],[j73]],TAcum[[#All],[j73]],0)</f>
        <v>25</v>
      </c>
    </row>
    <row r="27" spans="1:75" x14ac:dyDescent="0.25">
      <c r="A27" t="str">
        <f>TAcum[[#This Row],[Jogador]]</f>
        <v>Álvaro Neto</v>
      </c>
      <c r="B27">
        <f>RANK(TAcum[[#This Row],[total]],TAcum[[#All],[total]],0)</f>
        <v>26</v>
      </c>
      <c r="C27">
        <f>RANK(TAcum[[#This Row],[j01]],TAcum[[#All],[j01]],0)</f>
        <v>13</v>
      </c>
      <c r="D27">
        <f>RANK(TAcum[[#This Row],[j02]],TAcum[[#All],[j02]],0)</f>
        <v>14</v>
      </c>
      <c r="E27">
        <f>RANK(TAcum[[#This Row],[j03]],TAcum[[#All],[j03]],0)</f>
        <v>24</v>
      </c>
      <c r="F27">
        <f>RANK(TAcum[[#This Row],[j04]],TAcum[[#All],[j04]],0)</f>
        <v>9</v>
      </c>
      <c r="G27">
        <f>RANK(TAcum[[#This Row],[j05]],TAcum[[#All],[j05]],0)</f>
        <v>9</v>
      </c>
      <c r="H27">
        <f>RANK(TAcum[[#This Row],[j06]],TAcum[[#All],[j06]],0)</f>
        <v>9</v>
      </c>
      <c r="I27">
        <f>RANK(TAcum[[#This Row],[j07]],TAcum[[#All],[j07]],0)</f>
        <v>27</v>
      </c>
      <c r="J27">
        <f>RANK(TAcum[[#This Row],[j08]],TAcum[[#All],[j08]],0)</f>
        <v>27</v>
      </c>
      <c r="K27">
        <f>RANK(TAcum[[#This Row],[j09]],TAcum[[#All],[j09]],0)</f>
        <v>27</v>
      </c>
      <c r="L27">
        <f>RANK(TAcum[[#This Row],[j10]],TAcum[[#All],[j10]],0)</f>
        <v>31</v>
      </c>
      <c r="M27">
        <f>RANK(TAcum[[#This Row],[j11]],TAcum[[#All],[j11]],0)</f>
        <v>30</v>
      </c>
      <c r="N27">
        <f>RANK(TAcum[[#This Row],[j12]],TAcum[[#All],[j12]],0)</f>
        <v>29</v>
      </c>
      <c r="O27">
        <f>RANK(TAcum[[#This Row],[j13]],TAcum[[#All],[j13]],0)</f>
        <v>37</v>
      </c>
      <c r="P27">
        <f>RANK(TAcum[[#This Row],[j14]],TAcum[[#All],[j14]],0)</f>
        <v>39</v>
      </c>
      <c r="Q27">
        <f>RANK(TAcum[[#This Row],[j15]],TAcum[[#All],[j15]],0)</f>
        <v>39</v>
      </c>
      <c r="R27">
        <f>RANK(TAcum[[#This Row],[j16]],TAcum[[#All],[j16]],0)</f>
        <v>46</v>
      </c>
      <c r="S27">
        <f>RANK(TAcum[[#This Row],[j17]],TAcum[[#All],[j17]],0)</f>
        <v>53</v>
      </c>
      <c r="T27">
        <f>RANK(TAcum[[#This Row],[j18]],TAcum[[#All],[j18]],0)</f>
        <v>56</v>
      </c>
      <c r="U27">
        <f>RANK(TAcum[[#This Row],[j19]],TAcum[[#All],[j19]],0)</f>
        <v>57</v>
      </c>
      <c r="V27">
        <f>RANK(TAcum[[#This Row],[j20]],TAcum[[#All],[j20]],0)</f>
        <v>61</v>
      </c>
      <c r="W27">
        <f>RANK(TAcum[[#This Row],[j21]],TAcum[[#All],[j21]],0)</f>
        <v>62</v>
      </c>
      <c r="X27">
        <f>RANK(TAcum[[#This Row],[j22]],TAcum[[#All],[j22]],0)</f>
        <v>67</v>
      </c>
      <c r="Y27">
        <f>RANK(TAcum[[#This Row],[j23]],TAcum[[#All],[j23]],0)</f>
        <v>56</v>
      </c>
      <c r="Z27">
        <f>RANK(TAcum[[#This Row],[j24]],TAcum[[#All],[j24]],0)</f>
        <v>37</v>
      </c>
      <c r="AA27">
        <f>RANK(TAcum[[#This Row],[j25]],TAcum[[#All],[j25]],0)</f>
        <v>37</v>
      </c>
      <c r="AB27">
        <f>RANK(TAcum[[#This Row],[j26]],TAcum[[#All],[j26]],0)</f>
        <v>41</v>
      </c>
      <c r="AC27">
        <f>RANK(TAcum[[#This Row],[j27]],TAcum[[#All],[j27]],0)</f>
        <v>41</v>
      </c>
      <c r="AD27">
        <f>RANK(TAcum[[#This Row],[j28]],TAcum[[#All],[j28]],0)</f>
        <v>42</v>
      </c>
      <c r="AE27">
        <f>RANK(TAcum[[#This Row],[j29]],TAcum[[#All],[j29]],0)</f>
        <v>26</v>
      </c>
      <c r="AF27">
        <f>RANK(TAcum[[#This Row],[j30]],TAcum[[#All],[j30]],0)</f>
        <v>26</v>
      </c>
      <c r="AG27">
        <f>RANK(TAcum[[#This Row],[j31]],TAcum[[#All],[j31]],0)</f>
        <v>26</v>
      </c>
      <c r="AH27">
        <f>RANK(TAcum[[#This Row],[j32]],TAcum[[#All],[j32]],0)</f>
        <v>26</v>
      </c>
      <c r="AI27">
        <f>RANK(TAcum[[#This Row],[j33]],TAcum[[#All],[j33]],0)</f>
        <v>26</v>
      </c>
      <c r="AJ27">
        <f>RANK(TAcum[[#This Row],[j34]],TAcum[[#All],[j34]],0)</f>
        <v>26</v>
      </c>
      <c r="AK27">
        <f>RANK(TAcum[[#This Row],[j35]],TAcum[[#All],[j35]],0)</f>
        <v>26</v>
      </c>
      <c r="AL27">
        <f>RANK(TAcum[[#This Row],[j36]],TAcum[[#All],[j36]],0)</f>
        <v>26</v>
      </c>
      <c r="AM27">
        <f>RANK(TAcum[[#This Row],[j37]],TAcum[[#All],[j37]],0)</f>
        <v>26</v>
      </c>
      <c r="AN27">
        <f>RANK(TAcum[[#This Row],[j38]],TAcum[[#All],[j38]],0)</f>
        <v>26</v>
      </c>
      <c r="AO27">
        <f>RANK(TAcum[[#This Row],[j39]],TAcum[[#All],[j39]],0)</f>
        <v>26</v>
      </c>
      <c r="AP27">
        <f>RANK(TAcum[[#This Row],[j40]],TAcum[[#All],[j40]],0)</f>
        <v>26</v>
      </c>
      <c r="AQ27">
        <f>RANK(TAcum[[#This Row],[j41]],TAcum[[#All],[j41]],0)</f>
        <v>26</v>
      </c>
      <c r="AR27">
        <f>RANK(TAcum[[#This Row],[j42]],TAcum[[#All],[j42]],0)</f>
        <v>26</v>
      </c>
      <c r="AS27">
        <f>RANK(TAcum[[#This Row],[j43]],TAcum[[#All],[j43]],0)</f>
        <v>26</v>
      </c>
      <c r="AT27">
        <f>RANK(TAcum[[#This Row],[j44]],TAcum[[#All],[j44]],0)</f>
        <v>26</v>
      </c>
      <c r="AU27">
        <f>RANK(TAcum[[#This Row],[j45]],TAcum[[#All],[j45]],0)</f>
        <v>26</v>
      </c>
      <c r="AV27">
        <f>RANK(TAcum[[#This Row],[j46]],TAcum[[#All],[j46]],0)</f>
        <v>26</v>
      </c>
      <c r="AW27">
        <f>RANK(TAcum[[#This Row],[j47]],TAcum[[#All],[j47]],0)</f>
        <v>26</v>
      </c>
      <c r="AX27">
        <f>RANK(TAcum[[#This Row],[j48]],TAcum[[#All],[j48]],0)</f>
        <v>26</v>
      </c>
      <c r="AY27">
        <f>RANK(TAcum[[#This Row],[j49]],TAcum[[#All],[j49]],0)</f>
        <v>26</v>
      </c>
      <c r="AZ27">
        <f>RANK(TAcum[[#This Row],[j50]],TAcum[[#All],[j50]],0)</f>
        <v>26</v>
      </c>
      <c r="BA27">
        <f>RANK(TAcum[[#This Row],[j51]],TAcum[[#All],[j51]],0)</f>
        <v>26</v>
      </c>
      <c r="BB27">
        <f>RANK(TAcum[[#This Row],[j52]],TAcum[[#All],[j52]],0)</f>
        <v>26</v>
      </c>
      <c r="BC27">
        <f>RANK(TAcum[[#This Row],[j53]],TAcum[[#All],[j53]],0)</f>
        <v>26</v>
      </c>
      <c r="BD27">
        <f>RANK(TAcum[[#This Row],[j54]],TAcum[[#All],[j54]],0)</f>
        <v>26</v>
      </c>
      <c r="BE27">
        <f>RANK(TAcum[[#This Row],[j55]],TAcum[[#All],[j55]],0)</f>
        <v>26</v>
      </c>
      <c r="BF27">
        <f>RANK(TAcum[[#This Row],[j56]],TAcum[[#All],[j56]],0)</f>
        <v>26</v>
      </c>
      <c r="BG27">
        <f>RANK(TAcum[[#This Row],[j57]],TAcum[[#All],[j57]],0)</f>
        <v>26</v>
      </c>
      <c r="BH27">
        <f>RANK(TAcum[[#This Row],[j58]],TAcum[[#All],[j58]],0)</f>
        <v>26</v>
      </c>
      <c r="BI27">
        <f>RANK(TAcum[[#This Row],[j59]],TAcum[[#All],[j59]],0)</f>
        <v>26</v>
      </c>
      <c r="BJ27">
        <f>RANK(TAcum[[#This Row],[j60]],TAcum[[#All],[j60]],0)</f>
        <v>26</v>
      </c>
      <c r="BK27">
        <f>RANK(TAcum[[#This Row],[j61]],TAcum[[#All],[j61]],0)</f>
        <v>26</v>
      </c>
      <c r="BL27">
        <f>RANK(TAcum[[#This Row],[j62]],TAcum[[#All],[j62]],0)</f>
        <v>26</v>
      </c>
      <c r="BM27">
        <f>RANK(TAcum[[#This Row],[j63]],TAcum[[#All],[j63]],0)</f>
        <v>26</v>
      </c>
      <c r="BN27">
        <f>RANK(TAcum[[#This Row],[j64]],TAcum[[#All],[j64]],0)</f>
        <v>26</v>
      </c>
      <c r="BO27">
        <f>RANK(TAcum[[#This Row],[j65]],TAcum[[#All],[j65]],0)</f>
        <v>26</v>
      </c>
      <c r="BP27">
        <f>RANK(TAcum[[#This Row],[j66]],TAcum[[#All],[j66]],0)</f>
        <v>26</v>
      </c>
      <c r="BQ27">
        <f>RANK(TAcum[[#This Row],[j67]],TAcum[[#All],[j67]],0)</f>
        <v>26</v>
      </c>
      <c r="BR27">
        <f>RANK(TAcum[[#This Row],[j68]],TAcum[[#All],[j68]],0)</f>
        <v>26</v>
      </c>
      <c r="BS27">
        <f>RANK(TAcum[[#This Row],[j69]],TAcum[[#All],[j69]],0)</f>
        <v>26</v>
      </c>
      <c r="BT27">
        <f>RANK(TAcum[[#This Row],[j70]],TAcum[[#All],[j70]],0)</f>
        <v>26</v>
      </c>
      <c r="BU27">
        <f>RANK(TAcum[[#This Row],[j71]],TAcum[[#All],[j71]],0)</f>
        <v>26</v>
      </c>
      <c r="BV27">
        <f>RANK(TAcum[[#This Row],[j72]],TAcum[[#All],[j72]],0)</f>
        <v>26</v>
      </c>
      <c r="BW27">
        <f>RANK(TAcum[[#This Row],[j73]],TAcum[[#All],[j73]],0)</f>
        <v>26</v>
      </c>
    </row>
    <row r="28" spans="1:75" x14ac:dyDescent="0.25">
      <c r="A28" t="str">
        <f>TAcum[[#This Row],[Jogador]]</f>
        <v>Cláudio Lima</v>
      </c>
      <c r="B28">
        <f>RANK(TAcum[[#This Row],[total]],TAcum[[#All],[total]],0)</f>
        <v>26</v>
      </c>
      <c r="C28">
        <f>RANK(TAcum[[#This Row],[j01]],TAcum[[#All],[j01]],0)</f>
        <v>13</v>
      </c>
      <c r="D28">
        <f>RANK(TAcum[[#This Row],[j02]],TAcum[[#All],[j02]],0)</f>
        <v>14</v>
      </c>
      <c r="E28">
        <f>RANK(TAcum[[#This Row],[j03]],TAcum[[#All],[j03]],0)</f>
        <v>24</v>
      </c>
      <c r="F28">
        <f>RANK(TAcum[[#This Row],[j04]],TAcum[[#All],[j04]],0)</f>
        <v>71</v>
      </c>
      <c r="G28">
        <f>RANK(TAcum[[#This Row],[j05]],TAcum[[#All],[j05]],0)</f>
        <v>71</v>
      </c>
      <c r="H28">
        <f>RANK(TAcum[[#This Row],[j06]],TAcum[[#All],[j06]],0)</f>
        <v>71</v>
      </c>
      <c r="I28">
        <f>RANK(TAcum[[#This Row],[j07]],TAcum[[#All],[j07]],0)</f>
        <v>82</v>
      </c>
      <c r="J28">
        <f>RANK(TAcum[[#This Row],[j08]],TAcum[[#All],[j08]],0)</f>
        <v>86</v>
      </c>
      <c r="K28">
        <f>RANK(TAcum[[#This Row],[j09]],TAcum[[#All],[j09]],0)</f>
        <v>85</v>
      </c>
      <c r="L28">
        <f>RANK(TAcum[[#This Row],[j10]],TAcum[[#All],[j10]],0)</f>
        <v>83</v>
      </c>
      <c r="M28">
        <f>RANK(TAcum[[#This Row],[j11]],TAcum[[#All],[j11]],0)</f>
        <v>80</v>
      </c>
      <c r="N28">
        <f>RANK(TAcum[[#This Row],[j12]],TAcum[[#All],[j12]],0)</f>
        <v>73</v>
      </c>
      <c r="O28">
        <f>RANK(TAcum[[#This Row],[j13]],TAcum[[#All],[j13]],0)</f>
        <v>46</v>
      </c>
      <c r="P28">
        <f>RANK(TAcum[[#This Row],[j14]],TAcum[[#All],[j14]],0)</f>
        <v>45</v>
      </c>
      <c r="Q28">
        <f>RANK(TAcum[[#This Row],[j15]],TAcum[[#All],[j15]],0)</f>
        <v>45</v>
      </c>
      <c r="R28">
        <f>RANK(TAcum[[#This Row],[j16]],TAcum[[#All],[j16]],0)</f>
        <v>55</v>
      </c>
      <c r="S28">
        <f>RANK(TAcum[[#This Row],[j17]],TAcum[[#All],[j17]],0)</f>
        <v>61</v>
      </c>
      <c r="T28">
        <f>RANK(TAcum[[#This Row],[j18]],TAcum[[#All],[j18]],0)</f>
        <v>63</v>
      </c>
      <c r="U28">
        <f>RANK(TAcum[[#This Row],[j19]],TAcum[[#All],[j19]],0)</f>
        <v>62</v>
      </c>
      <c r="V28">
        <f>RANK(TAcum[[#This Row],[j20]],TAcum[[#All],[j20]],0)</f>
        <v>61</v>
      </c>
      <c r="W28">
        <f>RANK(TAcum[[#This Row],[j21]],TAcum[[#All],[j21]],0)</f>
        <v>62</v>
      </c>
      <c r="X28">
        <f>RANK(TAcum[[#This Row],[j22]],TAcum[[#All],[j22]],0)</f>
        <v>67</v>
      </c>
      <c r="Y28">
        <f>RANK(TAcum[[#This Row],[j23]],TAcum[[#All],[j23]],0)</f>
        <v>68</v>
      </c>
      <c r="Z28">
        <f>RANK(TAcum[[#This Row],[j24]],TAcum[[#All],[j24]],0)</f>
        <v>49</v>
      </c>
      <c r="AA28">
        <f>RANK(TAcum[[#This Row],[j25]],TAcum[[#All],[j25]],0)</f>
        <v>37</v>
      </c>
      <c r="AB28">
        <f>RANK(TAcum[[#This Row],[j26]],TAcum[[#All],[j26]],0)</f>
        <v>41</v>
      </c>
      <c r="AC28">
        <f>RANK(TAcum[[#This Row],[j27]],TAcum[[#All],[j27]],0)</f>
        <v>41</v>
      </c>
      <c r="AD28">
        <f>RANK(TAcum[[#This Row],[j28]],TAcum[[#All],[j28]],0)</f>
        <v>42</v>
      </c>
      <c r="AE28">
        <f>RANK(TAcum[[#This Row],[j29]],TAcum[[#All],[j29]],0)</f>
        <v>26</v>
      </c>
      <c r="AF28">
        <f>RANK(TAcum[[#This Row],[j30]],TAcum[[#All],[j30]],0)</f>
        <v>26</v>
      </c>
      <c r="AG28">
        <f>RANK(TAcum[[#This Row],[j31]],TAcum[[#All],[j31]],0)</f>
        <v>26</v>
      </c>
      <c r="AH28">
        <f>RANK(TAcum[[#This Row],[j32]],TAcum[[#All],[j32]],0)</f>
        <v>26</v>
      </c>
      <c r="AI28">
        <f>RANK(TAcum[[#This Row],[j33]],TAcum[[#All],[j33]],0)</f>
        <v>26</v>
      </c>
      <c r="AJ28">
        <f>RANK(TAcum[[#This Row],[j34]],TAcum[[#All],[j34]],0)</f>
        <v>26</v>
      </c>
      <c r="AK28">
        <f>RANK(TAcum[[#This Row],[j35]],TAcum[[#All],[j35]],0)</f>
        <v>26</v>
      </c>
      <c r="AL28">
        <f>RANK(TAcum[[#This Row],[j36]],TAcum[[#All],[j36]],0)</f>
        <v>26</v>
      </c>
      <c r="AM28">
        <f>RANK(TAcum[[#This Row],[j37]],TAcum[[#All],[j37]],0)</f>
        <v>26</v>
      </c>
      <c r="AN28">
        <f>RANK(TAcum[[#This Row],[j38]],TAcum[[#All],[j38]],0)</f>
        <v>26</v>
      </c>
      <c r="AO28">
        <f>RANK(TAcum[[#This Row],[j39]],TAcum[[#All],[j39]],0)</f>
        <v>26</v>
      </c>
      <c r="AP28">
        <f>RANK(TAcum[[#This Row],[j40]],TAcum[[#All],[j40]],0)</f>
        <v>26</v>
      </c>
      <c r="AQ28">
        <f>RANK(TAcum[[#This Row],[j41]],TAcum[[#All],[j41]],0)</f>
        <v>26</v>
      </c>
      <c r="AR28">
        <f>RANK(TAcum[[#This Row],[j42]],TAcum[[#All],[j42]],0)</f>
        <v>26</v>
      </c>
      <c r="AS28">
        <f>RANK(TAcum[[#This Row],[j43]],TAcum[[#All],[j43]],0)</f>
        <v>26</v>
      </c>
      <c r="AT28">
        <f>RANK(TAcum[[#This Row],[j44]],TAcum[[#All],[j44]],0)</f>
        <v>26</v>
      </c>
      <c r="AU28">
        <f>RANK(TAcum[[#This Row],[j45]],TAcum[[#All],[j45]],0)</f>
        <v>26</v>
      </c>
      <c r="AV28">
        <f>RANK(TAcum[[#This Row],[j46]],TAcum[[#All],[j46]],0)</f>
        <v>26</v>
      </c>
      <c r="AW28">
        <f>RANK(TAcum[[#This Row],[j47]],TAcum[[#All],[j47]],0)</f>
        <v>26</v>
      </c>
      <c r="AX28">
        <f>RANK(TAcum[[#This Row],[j48]],TAcum[[#All],[j48]],0)</f>
        <v>26</v>
      </c>
      <c r="AY28">
        <f>RANK(TAcum[[#This Row],[j49]],TAcum[[#All],[j49]],0)</f>
        <v>26</v>
      </c>
      <c r="AZ28">
        <f>RANK(TAcum[[#This Row],[j50]],TAcum[[#All],[j50]],0)</f>
        <v>26</v>
      </c>
      <c r="BA28">
        <f>RANK(TAcum[[#This Row],[j51]],TAcum[[#All],[j51]],0)</f>
        <v>26</v>
      </c>
      <c r="BB28">
        <f>RANK(TAcum[[#This Row],[j52]],TAcum[[#All],[j52]],0)</f>
        <v>26</v>
      </c>
      <c r="BC28">
        <f>RANK(TAcum[[#This Row],[j53]],TAcum[[#All],[j53]],0)</f>
        <v>26</v>
      </c>
      <c r="BD28">
        <f>RANK(TAcum[[#This Row],[j54]],TAcum[[#All],[j54]],0)</f>
        <v>26</v>
      </c>
      <c r="BE28">
        <f>RANK(TAcum[[#This Row],[j55]],TAcum[[#All],[j55]],0)</f>
        <v>26</v>
      </c>
      <c r="BF28">
        <f>RANK(TAcum[[#This Row],[j56]],TAcum[[#All],[j56]],0)</f>
        <v>26</v>
      </c>
      <c r="BG28">
        <f>RANK(TAcum[[#This Row],[j57]],TAcum[[#All],[j57]],0)</f>
        <v>26</v>
      </c>
      <c r="BH28">
        <f>RANK(TAcum[[#This Row],[j58]],TAcum[[#All],[j58]],0)</f>
        <v>26</v>
      </c>
      <c r="BI28">
        <f>RANK(TAcum[[#This Row],[j59]],TAcum[[#All],[j59]],0)</f>
        <v>26</v>
      </c>
      <c r="BJ28">
        <f>RANK(TAcum[[#This Row],[j60]],TAcum[[#All],[j60]],0)</f>
        <v>26</v>
      </c>
      <c r="BK28">
        <f>RANK(TAcum[[#This Row],[j61]],TAcum[[#All],[j61]],0)</f>
        <v>26</v>
      </c>
      <c r="BL28">
        <f>RANK(TAcum[[#This Row],[j62]],TAcum[[#All],[j62]],0)</f>
        <v>26</v>
      </c>
      <c r="BM28">
        <f>RANK(TAcum[[#This Row],[j63]],TAcum[[#All],[j63]],0)</f>
        <v>26</v>
      </c>
      <c r="BN28">
        <f>RANK(TAcum[[#This Row],[j64]],TAcum[[#All],[j64]],0)</f>
        <v>26</v>
      </c>
      <c r="BO28">
        <f>RANK(TAcum[[#This Row],[j65]],TAcum[[#All],[j65]],0)</f>
        <v>26</v>
      </c>
      <c r="BP28">
        <f>RANK(TAcum[[#This Row],[j66]],TAcum[[#All],[j66]],0)</f>
        <v>26</v>
      </c>
      <c r="BQ28">
        <f>RANK(TAcum[[#This Row],[j67]],TAcum[[#All],[j67]],0)</f>
        <v>26</v>
      </c>
      <c r="BR28">
        <f>RANK(TAcum[[#This Row],[j68]],TAcum[[#All],[j68]],0)</f>
        <v>26</v>
      </c>
      <c r="BS28">
        <f>RANK(TAcum[[#This Row],[j69]],TAcum[[#All],[j69]],0)</f>
        <v>26</v>
      </c>
      <c r="BT28">
        <f>RANK(TAcum[[#This Row],[j70]],TAcum[[#All],[j70]],0)</f>
        <v>26</v>
      </c>
      <c r="BU28">
        <f>RANK(TAcum[[#This Row],[j71]],TAcum[[#All],[j71]],0)</f>
        <v>26</v>
      </c>
      <c r="BV28">
        <f>RANK(TAcum[[#This Row],[j72]],TAcum[[#All],[j72]],0)</f>
        <v>26</v>
      </c>
      <c r="BW28">
        <f>RANK(TAcum[[#This Row],[j73]],TAcum[[#All],[j73]],0)</f>
        <v>26</v>
      </c>
    </row>
    <row r="29" spans="1:75" x14ac:dyDescent="0.25">
      <c r="A29" t="str">
        <f>TAcum[[#This Row],[Jogador]]</f>
        <v>Rodolfo Schubach</v>
      </c>
      <c r="B29">
        <f>RANK(TAcum[[#This Row],[total]],TAcum[[#All],[total]],0)</f>
        <v>26</v>
      </c>
      <c r="C29">
        <f>RANK(TAcum[[#This Row],[j01]],TAcum[[#All],[j01]],0)</f>
        <v>13</v>
      </c>
      <c r="D29">
        <f>RANK(TAcum[[#This Row],[j02]],TAcum[[#All],[j02]],0)</f>
        <v>14</v>
      </c>
      <c r="E29">
        <f>RANK(TAcum[[#This Row],[j03]],TAcum[[#All],[j03]],0)</f>
        <v>24</v>
      </c>
      <c r="F29">
        <f>RANK(TAcum[[#This Row],[j04]],TAcum[[#All],[j04]],0)</f>
        <v>9</v>
      </c>
      <c r="G29">
        <f>RANK(TAcum[[#This Row],[j05]],TAcum[[#All],[j05]],0)</f>
        <v>9</v>
      </c>
      <c r="H29">
        <f>RANK(TAcum[[#This Row],[j06]],TAcum[[#All],[j06]],0)</f>
        <v>9</v>
      </c>
      <c r="I29">
        <f>RANK(TAcum[[#This Row],[j07]],TAcum[[#All],[j07]],0)</f>
        <v>24</v>
      </c>
      <c r="J29">
        <f>RANK(TAcum[[#This Row],[j08]],TAcum[[#All],[j08]],0)</f>
        <v>25</v>
      </c>
      <c r="K29">
        <f>RANK(TAcum[[#This Row],[j09]],TAcum[[#All],[j09]],0)</f>
        <v>27</v>
      </c>
      <c r="L29">
        <f>RANK(TAcum[[#This Row],[j10]],TAcum[[#All],[j10]],0)</f>
        <v>31</v>
      </c>
      <c r="M29">
        <f>RANK(TAcum[[#This Row],[j11]],TAcum[[#All],[j11]],0)</f>
        <v>30</v>
      </c>
      <c r="N29">
        <f>RANK(TAcum[[#This Row],[j12]],TAcum[[#All],[j12]],0)</f>
        <v>29</v>
      </c>
      <c r="O29">
        <f>RANK(TAcum[[#This Row],[j13]],TAcum[[#All],[j13]],0)</f>
        <v>37</v>
      </c>
      <c r="P29">
        <f>RANK(TAcum[[#This Row],[j14]],TAcum[[#All],[j14]],0)</f>
        <v>45</v>
      </c>
      <c r="Q29">
        <f>RANK(TAcum[[#This Row],[j15]],TAcum[[#All],[j15]],0)</f>
        <v>45</v>
      </c>
      <c r="R29">
        <f>RANK(TAcum[[#This Row],[j16]],TAcum[[#All],[j16]],0)</f>
        <v>55</v>
      </c>
      <c r="S29">
        <f>RANK(TAcum[[#This Row],[j17]],TAcum[[#All],[j17]],0)</f>
        <v>38</v>
      </c>
      <c r="T29">
        <f>RANK(TAcum[[#This Row],[j18]],TAcum[[#All],[j18]],0)</f>
        <v>43</v>
      </c>
      <c r="U29">
        <f>RANK(TAcum[[#This Row],[j19]],TAcum[[#All],[j19]],0)</f>
        <v>38</v>
      </c>
      <c r="V29">
        <f>RANK(TAcum[[#This Row],[j20]],TAcum[[#All],[j20]],0)</f>
        <v>39</v>
      </c>
      <c r="W29">
        <f>RANK(TAcum[[#This Row],[j21]],TAcum[[#All],[j21]],0)</f>
        <v>32</v>
      </c>
      <c r="X29">
        <f>RANK(TAcum[[#This Row],[j22]],TAcum[[#All],[j22]],0)</f>
        <v>48</v>
      </c>
      <c r="Y29">
        <f>RANK(TAcum[[#This Row],[j23]],TAcum[[#All],[j23]],0)</f>
        <v>36</v>
      </c>
      <c r="Z29">
        <f>RANK(TAcum[[#This Row],[j24]],TAcum[[#All],[j24]],0)</f>
        <v>23</v>
      </c>
      <c r="AA29">
        <f>RANK(TAcum[[#This Row],[j25]],TAcum[[#All],[j25]],0)</f>
        <v>22</v>
      </c>
      <c r="AB29">
        <f>RANK(TAcum[[#This Row],[j26]],TAcum[[#All],[j26]],0)</f>
        <v>27</v>
      </c>
      <c r="AC29">
        <f>RANK(TAcum[[#This Row],[j27]],TAcum[[#All],[j27]],0)</f>
        <v>27</v>
      </c>
      <c r="AD29">
        <f>RANK(TAcum[[#This Row],[j28]],TAcum[[#All],[j28]],0)</f>
        <v>28</v>
      </c>
      <c r="AE29">
        <f>RANK(TAcum[[#This Row],[j29]],TAcum[[#All],[j29]],0)</f>
        <v>26</v>
      </c>
      <c r="AF29">
        <f>RANK(TAcum[[#This Row],[j30]],TAcum[[#All],[j30]],0)</f>
        <v>26</v>
      </c>
      <c r="AG29">
        <f>RANK(TAcum[[#This Row],[j31]],TAcum[[#All],[j31]],0)</f>
        <v>26</v>
      </c>
      <c r="AH29">
        <f>RANK(TAcum[[#This Row],[j32]],TAcum[[#All],[j32]],0)</f>
        <v>26</v>
      </c>
      <c r="AI29">
        <f>RANK(TAcum[[#This Row],[j33]],TAcum[[#All],[j33]],0)</f>
        <v>26</v>
      </c>
      <c r="AJ29">
        <f>RANK(TAcum[[#This Row],[j34]],TAcum[[#All],[j34]],0)</f>
        <v>26</v>
      </c>
      <c r="AK29">
        <f>RANK(TAcum[[#This Row],[j35]],TAcum[[#All],[j35]],0)</f>
        <v>26</v>
      </c>
      <c r="AL29">
        <f>RANK(TAcum[[#This Row],[j36]],TAcum[[#All],[j36]],0)</f>
        <v>26</v>
      </c>
      <c r="AM29">
        <f>RANK(TAcum[[#This Row],[j37]],TAcum[[#All],[j37]],0)</f>
        <v>26</v>
      </c>
      <c r="AN29">
        <f>RANK(TAcum[[#This Row],[j38]],TAcum[[#All],[j38]],0)</f>
        <v>26</v>
      </c>
      <c r="AO29">
        <f>RANK(TAcum[[#This Row],[j39]],TAcum[[#All],[j39]],0)</f>
        <v>26</v>
      </c>
      <c r="AP29">
        <f>RANK(TAcum[[#This Row],[j40]],TAcum[[#All],[j40]],0)</f>
        <v>26</v>
      </c>
      <c r="AQ29">
        <f>RANK(TAcum[[#This Row],[j41]],TAcum[[#All],[j41]],0)</f>
        <v>26</v>
      </c>
      <c r="AR29">
        <f>RANK(TAcum[[#This Row],[j42]],TAcum[[#All],[j42]],0)</f>
        <v>26</v>
      </c>
      <c r="AS29">
        <f>RANK(TAcum[[#This Row],[j43]],TAcum[[#All],[j43]],0)</f>
        <v>26</v>
      </c>
      <c r="AT29">
        <f>RANK(TAcum[[#This Row],[j44]],TAcum[[#All],[j44]],0)</f>
        <v>26</v>
      </c>
      <c r="AU29">
        <f>RANK(TAcum[[#This Row],[j45]],TAcum[[#All],[j45]],0)</f>
        <v>26</v>
      </c>
      <c r="AV29">
        <f>RANK(TAcum[[#This Row],[j46]],TAcum[[#All],[j46]],0)</f>
        <v>26</v>
      </c>
      <c r="AW29">
        <f>RANK(TAcum[[#This Row],[j47]],TAcum[[#All],[j47]],0)</f>
        <v>26</v>
      </c>
      <c r="AX29">
        <f>RANK(TAcum[[#This Row],[j48]],TAcum[[#All],[j48]],0)</f>
        <v>26</v>
      </c>
      <c r="AY29">
        <f>RANK(TAcum[[#This Row],[j49]],TAcum[[#All],[j49]],0)</f>
        <v>26</v>
      </c>
      <c r="AZ29">
        <f>RANK(TAcum[[#This Row],[j50]],TAcum[[#All],[j50]],0)</f>
        <v>26</v>
      </c>
      <c r="BA29">
        <f>RANK(TAcum[[#This Row],[j51]],TAcum[[#All],[j51]],0)</f>
        <v>26</v>
      </c>
      <c r="BB29">
        <f>RANK(TAcum[[#This Row],[j52]],TAcum[[#All],[j52]],0)</f>
        <v>26</v>
      </c>
      <c r="BC29">
        <f>RANK(TAcum[[#This Row],[j53]],TAcum[[#All],[j53]],0)</f>
        <v>26</v>
      </c>
      <c r="BD29">
        <f>RANK(TAcum[[#This Row],[j54]],TAcum[[#All],[j54]],0)</f>
        <v>26</v>
      </c>
      <c r="BE29">
        <f>RANK(TAcum[[#This Row],[j55]],TAcum[[#All],[j55]],0)</f>
        <v>26</v>
      </c>
      <c r="BF29">
        <f>RANK(TAcum[[#This Row],[j56]],TAcum[[#All],[j56]],0)</f>
        <v>26</v>
      </c>
      <c r="BG29">
        <f>RANK(TAcum[[#This Row],[j57]],TAcum[[#All],[j57]],0)</f>
        <v>26</v>
      </c>
      <c r="BH29">
        <f>RANK(TAcum[[#This Row],[j58]],TAcum[[#All],[j58]],0)</f>
        <v>26</v>
      </c>
      <c r="BI29">
        <f>RANK(TAcum[[#This Row],[j59]],TAcum[[#All],[j59]],0)</f>
        <v>26</v>
      </c>
      <c r="BJ29">
        <f>RANK(TAcum[[#This Row],[j60]],TAcum[[#All],[j60]],0)</f>
        <v>26</v>
      </c>
      <c r="BK29">
        <f>RANK(TAcum[[#This Row],[j61]],TAcum[[#All],[j61]],0)</f>
        <v>26</v>
      </c>
      <c r="BL29">
        <f>RANK(TAcum[[#This Row],[j62]],TAcum[[#All],[j62]],0)</f>
        <v>26</v>
      </c>
      <c r="BM29">
        <f>RANK(TAcum[[#This Row],[j63]],TAcum[[#All],[j63]],0)</f>
        <v>26</v>
      </c>
      <c r="BN29">
        <f>RANK(TAcum[[#This Row],[j64]],TAcum[[#All],[j64]],0)</f>
        <v>26</v>
      </c>
      <c r="BO29">
        <f>RANK(TAcum[[#This Row],[j65]],TAcum[[#All],[j65]],0)</f>
        <v>26</v>
      </c>
      <c r="BP29">
        <f>RANK(TAcum[[#This Row],[j66]],TAcum[[#All],[j66]],0)</f>
        <v>26</v>
      </c>
      <c r="BQ29">
        <f>RANK(TAcum[[#This Row],[j67]],TAcum[[#All],[j67]],0)</f>
        <v>26</v>
      </c>
      <c r="BR29">
        <f>RANK(TAcum[[#This Row],[j68]],TAcum[[#All],[j68]],0)</f>
        <v>26</v>
      </c>
      <c r="BS29">
        <f>RANK(TAcum[[#This Row],[j69]],TAcum[[#All],[j69]],0)</f>
        <v>26</v>
      </c>
      <c r="BT29">
        <f>RANK(TAcum[[#This Row],[j70]],TAcum[[#All],[j70]],0)</f>
        <v>26</v>
      </c>
      <c r="BU29">
        <f>RANK(TAcum[[#This Row],[j71]],TAcum[[#All],[j71]],0)</f>
        <v>26</v>
      </c>
      <c r="BV29">
        <f>RANK(TAcum[[#This Row],[j72]],TAcum[[#All],[j72]],0)</f>
        <v>26</v>
      </c>
      <c r="BW29">
        <f>RANK(TAcum[[#This Row],[j73]],TAcum[[#All],[j73]],0)</f>
        <v>26</v>
      </c>
    </row>
    <row r="30" spans="1:75" x14ac:dyDescent="0.25">
      <c r="A30" t="str">
        <f>TAcum[[#This Row],[Jogador]]</f>
        <v>Marina Amorim</v>
      </c>
      <c r="B30">
        <f>RANK(TAcum[[#This Row],[total]],TAcum[[#All],[total]],0)</f>
        <v>29</v>
      </c>
      <c r="C30">
        <f>RANK(TAcum[[#This Row],[j01]],TAcum[[#All],[j01]],0)</f>
        <v>13</v>
      </c>
      <c r="D30">
        <f>RANK(TAcum[[#This Row],[j02]],TAcum[[#All],[j02]],0)</f>
        <v>14</v>
      </c>
      <c r="E30">
        <f>RANK(TAcum[[#This Row],[j03]],TAcum[[#All],[j03]],0)</f>
        <v>24</v>
      </c>
      <c r="F30">
        <f>RANK(TAcum[[#This Row],[j04]],TAcum[[#All],[j04]],0)</f>
        <v>9</v>
      </c>
      <c r="G30">
        <f>RANK(TAcum[[#This Row],[j05]],TAcum[[#All],[j05]],0)</f>
        <v>9</v>
      </c>
      <c r="H30">
        <f>RANK(TAcum[[#This Row],[j06]],TAcum[[#All],[j06]],0)</f>
        <v>23</v>
      </c>
      <c r="I30">
        <f>RANK(TAcum[[#This Row],[j07]],TAcum[[#All],[j07]],0)</f>
        <v>37</v>
      </c>
      <c r="J30">
        <f>RANK(TAcum[[#This Row],[j08]],TAcum[[#All],[j08]],0)</f>
        <v>39</v>
      </c>
      <c r="K30">
        <f>RANK(TAcum[[#This Row],[j09]],TAcum[[#All],[j09]],0)</f>
        <v>41</v>
      </c>
      <c r="L30">
        <f>RANK(TAcum[[#This Row],[j10]],TAcum[[#All],[j10]],0)</f>
        <v>42</v>
      </c>
      <c r="M30">
        <f>RANK(TAcum[[#This Row],[j11]],TAcum[[#All],[j11]],0)</f>
        <v>40</v>
      </c>
      <c r="N30">
        <f>RANK(TAcum[[#This Row],[j12]],TAcum[[#All],[j12]],0)</f>
        <v>50</v>
      </c>
      <c r="O30">
        <f>RANK(TAcum[[#This Row],[j13]],TAcum[[#All],[j13]],0)</f>
        <v>73</v>
      </c>
      <c r="P30">
        <f>RANK(TAcum[[#This Row],[j14]],TAcum[[#All],[j14]],0)</f>
        <v>77</v>
      </c>
      <c r="Q30">
        <f>RANK(TAcum[[#This Row],[j15]],TAcum[[#All],[j15]],0)</f>
        <v>76</v>
      </c>
      <c r="R30">
        <f>RANK(TAcum[[#This Row],[j16]],TAcum[[#All],[j16]],0)</f>
        <v>65</v>
      </c>
      <c r="S30">
        <f>RANK(TAcum[[#This Row],[j17]],TAcum[[#All],[j17]],0)</f>
        <v>46</v>
      </c>
      <c r="T30">
        <f>RANK(TAcum[[#This Row],[j18]],TAcum[[#All],[j18]],0)</f>
        <v>24</v>
      </c>
      <c r="U30">
        <f>RANK(TAcum[[#This Row],[j19]],TAcum[[#All],[j19]],0)</f>
        <v>9</v>
      </c>
      <c r="V30">
        <f>RANK(TAcum[[#This Row],[j20]],TAcum[[#All],[j20]],0)</f>
        <v>13</v>
      </c>
      <c r="W30">
        <f>RANK(TAcum[[#This Row],[j21]],TAcum[[#All],[j21]],0)</f>
        <v>13</v>
      </c>
      <c r="X30">
        <f>RANK(TAcum[[#This Row],[j22]],TAcum[[#All],[j22]],0)</f>
        <v>19</v>
      </c>
      <c r="Y30">
        <f>RANK(TAcum[[#This Row],[j23]],TAcum[[#All],[j23]],0)</f>
        <v>12</v>
      </c>
      <c r="Z30">
        <f>RANK(TAcum[[#This Row],[j24]],TAcum[[#All],[j24]],0)</f>
        <v>20</v>
      </c>
      <c r="AA30">
        <f>RANK(TAcum[[#This Row],[j25]],TAcum[[#All],[j25]],0)</f>
        <v>25</v>
      </c>
      <c r="AB30">
        <f>RANK(TAcum[[#This Row],[j26]],TAcum[[#All],[j26]],0)</f>
        <v>22</v>
      </c>
      <c r="AC30">
        <f>RANK(TAcum[[#This Row],[j27]],TAcum[[#All],[j27]],0)</f>
        <v>22</v>
      </c>
      <c r="AD30">
        <f>RANK(TAcum[[#This Row],[j28]],TAcum[[#All],[j28]],0)</f>
        <v>20</v>
      </c>
      <c r="AE30">
        <f>RANK(TAcum[[#This Row],[j29]],TAcum[[#All],[j29]],0)</f>
        <v>29</v>
      </c>
      <c r="AF30">
        <f>RANK(TAcum[[#This Row],[j30]],TAcum[[#All],[j30]],0)</f>
        <v>29</v>
      </c>
      <c r="AG30">
        <f>RANK(TAcum[[#This Row],[j31]],TAcum[[#All],[j31]],0)</f>
        <v>29</v>
      </c>
      <c r="AH30">
        <f>RANK(TAcum[[#This Row],[j32]],TAcum[[#All],[j32]],0)</f>
        <v>29</v>
      </c>
      <c r="AI30">
        <f>RANK(TAcum[[#This Row],[j33]],TAcum[[#All],[j33]],0)</f>
        <v>29</v>
      </c>
      <c r="AJ30">
        <f>RANK(TAcum[[#This Row],[j34]],TAcum[[#All],[j34]],0)</f>
        <v>29</v>
      </c>
      <c r="AK30">
        <f>RANK(TAcum[[#This Row],[j35]],TAcum[[#All],[j35]],0)</f>
        <v>29</v>
      </c>
      <c r="AL30">
        <f>RANK(TAcum[[#This Row],[j36]],TAcum[[#All],[j36]],0)</f>
        <v>29</v>
      </c>
      <c r="AM30">
        <f>RANK(TAcum[[#This Row],[j37]],TAcum[[#All],[j37]],0)</f>
        <v>29</v>
      </c>
      <c r="AN30">
        <f>RANK(TAcum[[#This Row],[j38]],TAcum[[#All],[j38]],0)</f>
        <v>29</v>
      </c>
      <c r="AO30">
        <f>RANK(TAcum[[#This Row],[j39]],TAcum[[#All],[j39]],0)</f>
        <v>29</v>
      </c>
      <c r="AP30">
        <f>RANK(TAcum[[#This Row],[j40]],TAcum[[#All],[j40]],0)</f>
        <v>29</v>
      </c>
      <c r="AQ30">
        <f>RANK(TAcum[[#This Row],[j41]],TAcum[[#All],[j41]],0)</f>
        <v>29</v>
      </c>
      <c r="AR30">
        <f>RANK(TAcum[[#This Row],[j42]],TAcum[[#All],[j42]],0)</f>
        <v>29</v>
      </c>
      <c r="AS30">
        <f>RANK(TAcum[[#This Row],[j43]],TAcum[[#All],[j43]],0)</f>
        <v>29</v>
      </c>
      <c r="AT30">
        <f>RANK(TAcum[[#This Row],[j44]],TAcum[[#All],[j44]],0)</f>
        <v>29</v>
      </c>
      <c r="AU30">
        <f>RANK(TAcum[[#This Row],[j45]],TAcum[[#All],[j45]],0)</f>
        <v>29</v>
      </c>
      <c r="AV30">
        <f>RANK(TAcum[[#This Row],[j46]],TAcum[[#All],[j46]],0)</f>
        <v>29</v>
      </c>
      <c r="AW30">
        <f>RANK(TAcum[[#This Row],[j47]],TAcum[[#All],[j47]],0)</f>
        <v>29</v>
      </c>
      <c r="AX30">
        <f>RANK(TAcum[[#This Row],[j48]],TAcum[[#All],[j48]],0)</f>
        <v>29</v>
      </c>
      <c r="AY30">
        <f>RANK(TAcum[[#This Row],[j49]],TAcum[[#All],[j49]],0)</f>
        <v>29</v>
      </c>
      <c r="AZ30">
        <f>RANK(TAcum[[#This Row],[j50]],TAcum[[#All],[j50]],0)</f>
        <v>29</v>
      </c>
      <c r="BA30">
        <f>RANK(TAcum[[#This Row],[j51]],TAcum[[#All],[j51]],0)</f>
        <v>29</v>
      </c>
      <c r="BB30">
        <f>RANK(TAcum[[#This Row],[j52]],TAcum[[#All],[j52]],0)</f>
        <v>29</v>
      </c>
      <c r="BC30">
        <f>RANK(TAcum[[#This Row],[j53]],TAcum[[#All],[j53]],0)</f>
        <v>29</v>
      </c>
      <c r="BD30">
        <f>RANK(TAcum[[#This Row],[j54]],TAcum[[#All],[j54]],0)</f>
        <v>29</v>
      </c>
      <c r="BE30">
        <f>RANK(TAcum[[#This Row],[j55]],TAcum[[#All],[j55]],0)</f>
        <v>29</v>
      </c>
      <c r="BF30">
        <f>RANK(TAcum[[#This Row],[j56]],TAcum[[#All],[j56]],0)</f>
        <v>29</v>
      </c>
      <c r="BG30">
        <f>RANK(TAcum[[#This Row],[j57]],TAcum[[#All],[j57]],0)</f>
        <v>29</v>
      </c>
      <c r="BH30">
        <f>RANK(TAcum[[#This Row],[j58]],TAcum[[#All],[j58]],0)</f>
        <v>29</v>
      </c>
      <c r="BI30">
        <f>RANK(TAcum[[#This Row],[j59]],TAcum[[#All],[j59]],0)</f>
        <v>29</v>
      </c>
      <c r="BJ30">
        <f>RANK(TAcum[[#This Row],[j60]],TAcum[[#All],[j60]],0)</f>
        <v>29</v>
      </c>
      <c r="BK30">
        <f>RANK(TAcum[[#This Row],[j61]],TAcum[[#All],[j61]],0)</f>
        <v>29</v>
      </c>
      <c r="BL30">
        <f>RANK(TAcum[[#This Row],[j62]],TAcum[[#All],[j62]],0)</f>
        <v>29</v>
      </c>
      <c r="BM30">
        <f>RANK(TAcum[[#This Row],[j63]],TAcum[[#All],[j63]],0)</f>
        <v>29</v>
      </c>
      <c r="BN30">
        <f>RANK(TAcum[[#This Row],[j64]],TAcum[[#All],[j64]],0)</f>
        <v>29</v>
      </c>
      <c r="BO30">
        <f>RANK(TAcum[[#This Row],[j65]],TAcum[[#All],[j65]],0)</f>
        <v>29</v>
      </c>
      <c r="BP30">
        <f>RANK(TAcum[[#This Row],[j66]],TAcum[[#All],[j66]],0)</f>
        <v>29</v>
      </c>
      <c r="BQ30">
        <f>RANK(TAcum[[#This Row],[j67]],TAcum[[#All],[j67]],0)</f>
        <v>29</v>
      </c>
      <c r="BR30">
        <f>RANK(TAcum[[#This Row],[j68]],TAcum[[#All],[j68]],0)</f>
        <v>29</v>
      </c>
      <c r="BS30">
        <f>RANK(TAcum[[#This Row],[j69]],TAcum[[#All],[j69]],0)</f>
        <v>29</v>
      </c>
      <c r="BT30">
        <f>RANK(TAcum[[#This Row],[j70]],TAcum[[#All],[j70]],0)</f>
        <v>29</v>
      </c>
      <c r="BU30">
        <f>RANK(TAcum[[#This Row],[j71]],TAcum[[#All],[j71]],0)</f>
        <v>29</v>
      </c>
      <c r="BV30">
        <f>RANK(TAcum[[#This Row],[j72]],TAcum[[#All],[j72]],0)</f>
        <v>29</v>
      </c>
      <c r="BW30">
        <f>RANK(TAcum[[#This Row],[j73]],TAcum[[#All],[j73]],0)</f>
        <v>29</v>
      </c>
    </row>
    <row r="31" spans="1:75" x14ac:dyDescent="0.25">
      <c r="A31" t="str">
        <f>TAcum[[#This Row],[Jogador]]</f>
        <v>Luis Coni</v>
      </c>
      <c r="B31">
        <f>RANK(TAcum[[#This Row],[total]],TAcum[[#All],[total]],0)</f>
        <v>30</v>
      </c>
      <c r="C31">
        <f>RANK(TAcum[[#This Row],[j01]],TAcum[[#All],[j01]],0)</f>
        <v>13</v>
      </c>
      <c r="D31">
        <f>RANK(TAcum[[#This Row],[j02]],TAcum[[#All],[j02]],0)</f>
        <v>14</v>
      </c>
      <c r="E31">
        <f>RANK(TAcum[[#This Row],[j03]],TAcum[[#All],[j03]],0)</f>
        <v>3</v>
      </c>
      <c r="F31">
        <f>RANK(TAcum[[#This Row],[j04]],TAcum[[#All],[j04]],0)</f>
        <v>1</v>
      </c>
      <c r="G31">
        <f>RANK(TAcum[[#This Row],[j05]],TAcum[[#All],[j05]],0)</f>
        <v>1</v>
      </c>
      <c r="H31">
        <f>RANK(TAcum[[#This Row],[j06]],TAcum[[#All],[j06]],0)</f>
        <v>1</v>
      </c>
      <c r="I31">
        <f>RANK(TAcum[[#This Row],[j07]],TAcum[[#All],[j07]],0)</f>
        <v>4</v>
      </c>
      <c r="J31">
        <f>RANK(TAcum[[#This Row],[j08]],TAcum[[#All],[j08]],0)</f>
        <v>6</v>
      </c>
      <c r="K31">
        <f>RANK(TAcum[[#This Row],[j09]],TAcum[[#All],[j09]],0)</f>
        <v>8</v>
      </c>
      <c r="L31">
        <f>RANK(TAcum[[#This Row],[j10]],TAcum[[#All],[j10]],0)</f>
        <v>10</v>
      </c>
      <c r="M31">
        <f>RANK(TAcum[[#This Row],[j11]],TAcum[[#All],[j11]],0)</f>
        <v>9</v>
      </c>
      <c r="N31">
        <f>RANK(TAcum[[#This Row],[j12]],TAcum[[#All],[j12]],0)</f>
        <v>12</v>
      </c>
      <c r="O31">
        <f>RANK(TAcum[[#This Row],[j13]],TAcum[[#All],[j13]],0)</f>
        <v>7</v>
      </c>
      <c r="P31">
        <f>RANK(TAcum[[#This Row],[j14]],TAcum[[#All],[j14]],0)</f>
        <v>6</v>
      </c>
      <c r="Q31">
        <f>RANK(TAcum[[#This Row],[j15]],TAcum[[#All],[j15]],0)</f>
        <v>5</v>
      </c>
      <c r="R31">
        <f>RANK(TAcum[[#This Row],[j16]],TAcum[[#All],[j16]],0)</f>
        <v>5</v>
      </c>
      <c r="S31">
        <f>RANK(TAcum[[#This Row],[j17]],TAcum[[#All],[j17]],0)</f>
        <v>4</v>
      </c>
      <c r="T31">
        <f>RANK(TAcum[[#This Row],[j18]],TAcum[[#All],[j18]],0)</f>
        <v>3</v>
      </c>
      <c r="U31">
        <f>RANK(TAcum[[#This Row],[j19]],TAcum[[#All],[j19]],0)</f>
        <v>2</v>
      </c>
      <c r="V31">
        <f>RANK(TAcum[[#This Row],[j20]],TAcum[[#All],[j20]],0)</f>
        <v>2</v>
      </c>
      <c r="W31">
        <f>RANK(TAcum[[#This Row],[j21]],TAcum[[#All],[j21]],0)</f>
        <v>2</v>
      </c>
      <c r="X31">
        <f>RANK(TAcum[[#This Row],[j22]],TAcum[[#All],[j22]],0)</f>
        <v>9</v>
      </c>
      <c r="Y31">
        <f>RANK(TAcum[[#This Row],[j23]],TAcum[[#All],[j23]],0)</f>
        <v>13</v>
      </c>
      <c r="Z31">
        <f>RANK(TAcum[[#This Row],[j24]],TAcum[[#All],[j24]],0)</f>
        <v>23</v>
      </c>
      <c r="AA31">
        <f>RANK(TAcum[[#This Row],[j25]],TAcum[[#All],[j25]],0)</f>
        <v>22</v>
      </c>
      <c r="AB31">
        <f>RANK(TAcum[[#This Row],[j26]],TAcum[[#All],[j26]],0)</f>
        <v>27</v>
      </c>
      <c r="AC31">
        <f>RANK(TAcum[[#This Row],[j27]],TAcum[[#All],[j27]],0)</f>
        <v>27</v>
      </c>
      <c r="AD31">
        <f>RANK(TAcum[[#This Row],[j28]],TAcum[[#All],[j28]],0)</f>
        <v>22</v>
      </c>
      <c r="AE31">
        <f>RANK(TAcum[[#This Row],[j29]],TAcum[[#All],[j29]],0)</f>
        <v>30</v>
      </c>
      <c r="AF31">
        <f>RANK(TAcum[[#This Row],[j30]],TAcum[[#All],[j30]],0)</f>
        <v>30</v>
      </c>
      <c r="AG31">
        <f>RANK(TAcum[[#This Row],[j31]],TAcum[[#All],[j31]],0)</f>
        <v>30</v>
      </c>
      <c r="AH31">
        <f>RANK(TAcum[[#This Row],[j32]],TAcum[[#All],[j32]],0)</f>
        <v>30</v>
      </c>
      <c r="AI31">
        <f>RANK(TAcum[[#This Row],[j33]],TAcum[[#All],[j33]],0)</f>
        <v>30</v>
      </c>
      <c r="AJ31">
        <f>RANK(TAcum[[#This Row],[j34]],TAcum[[#All],[j34]],0)</f>
        <v>30</v>
      </c>
      <c r="AK31">
        <f>RANK(TAcum[[#This Row],[j35]],TAcum[[#All],[j35]],0)</f>
        <v>30</v>
      </c>
      <c r="AL31">
        <f>RANK(TAcum[[#This Row],[j36]],TAcum[[#All],[j36]],0)</f>
        <v>30</v>
      </c>
      <c r="AM31">
        <f>RANK(TAcum[[#This Row],[j37]],TAcum[[#All],[j37]],0)</f>
        <v>30</v>
      </c>
      <c r="AN31">
        <f>RANK(TAcum[[#This Row],[j38]],TAcum[[#All],[j38]],0)</f>
        <v>30</v>
      </c>
      <c r="AO31">
        <f>RANK(TAcum[[#This Row],[j39]],TAcum[[#All],[j39]],0)</f>
        <v>30</v>
      </c>
      <c r="AP31">
        <f>RANK(TAcum[[#This Row],[j40]],TAcum[[#All],[j40]],0)</f>
        <v>30</v>
      </c>
      <c r="AQ31">
        <f>RANK(TAcum[[#This Row],[j41]],TAcum[[#All],[j41]],0)</f>
        <v>30</v>
      </c>
      <c r="AR31">
        <f>RANK(TAcum[[#This Row],[j42]],TAcum[[#All],[j42]],0)</f>
        <v>30</v>
      </c>
      <c r="AS31">
        <f>RANK(TAcum[[#This Row],[j43]],TAcum[[#All],[j43]],0)</f>
        <v>30</v>
      </c>
      <c r="AT31">
        <f>RANK(TAcum[[#This Row],[j44]],TAcum[[#All],[j44]],0)</f>
        <v>30</v>
      </c>
      <c r="AU31">
        <f>RANK(TAcum[[#This Row],[j45]],TAcum[[#All],[j45]],0)</f>
        <v>30</v>
      </c>
      <c r="AV31">
        <f>RANK(TAcum[[#This Row],[j46]],TAcum[[#All],[j46]],0)</f>
        <v>30</v>
      </c>
      <c r="AW31">
        <f>RANK(TAcum[[#This Row],[j47]],TAcum[[#All],[j47]],0)</f>
        <v>30</v>
      </c>
      <c r="AX31">
        <f>RANK(TAcum[[#This Row],[j48]],TAcum[[#All],[j48]],0)</f>
        <v>30</v>
      </c>
      <c r="AY31">
        <f>RANK(TAcum[[#This Row],[j49]],TAcum[[#All],[j49]],0)</f>
        <v>30</v>
      </c>
      <c r="AZ31">
        <f>RANK(TAcum[[#This Row],[j50]],TAcum[[#All],[j50]],0)</f>
        <v>30</v>
      </c>
      <c r="BA31">
        <f>RANK(TAcum[[#This Row],[j51]],TAcum[[#All],[j51]],0)</f>
        <v>30</v>
      </c>
      <c r="BB31">
        <f>RANK(TAcum[[#This Row],[j52]],TAcum[[#All],[j52]],0)</f>
        <v>30</v>
      </c>
      <c r="BC31">
        <f>RANK(TAcum[[#This Row],[j53]],TAcum[[#All],[j53]],0)</f>
        <v>30</v>
      </c>
      <c r="BD31">
        <f>RANK(TAcum[[#This Row],[j54]],TAcum[[#All],[j54]],0)</f>
        <v>30</v>
      </c>
      <c r="BE31">
        <f>RANK(TAcum[[#This Row],[j55]],TAcum[[#All],[j55]],0)</f>
        <v>30</v>
      </c>
      <c r="BF31">
        <f>RANK(TAcum[[#This Row],[j56]],TAcum[[#All],[j56]],0)</f>
        <v>30</v>
      </c>
      <c r="BG31">
        <f>RANK(TAcum[[#This Row],[j57]],TAcum[[#All],[j57]],0)</f>
        <v>30</v>
      </c>
      <c r="BH31">
        <f>RANK(TAcum[[#This Row],[j58]],TAcum[[#All],[j58]],0)</f>
        <v>30</v>
      </c>
      <c r="BI31">
        <f>RANK(TAcum[[#This Row],[j59]],TAcum[[#All],[j59]],0)</f>
        <v>30</v>
      </c>
      <c r="BJ31">
        <f>RANK(TAcum[[#This Row],[j60]],TAcum[[#All],[j60]],0)</f>
        <v>30</v>
      </c>
      <c r="BK31">
        <f>RANK(TAcum[[#This Row],[j61]],TAcum[[#All],[j61]],0)</f>
        <v>30</v>
      </c>
      <c r="BL31">
        <f>RANK(TAcum[[#This Row],[j62]],TAcum[[#All],[j62]],0)</f>
        <v>30</v>
      </c>
      <c r="BM31">
        <f>RANK(TAcum[[#This Row],[j63]],TAcum[[#All],[j63]],0)</f>
        <v>30</v>
      </c>
      <c r="BN31">
        <f>RANK(TAcum[[#This Row],[j64]],TAcum[[#All],[j64]],0)</f>
        <v>30</v>
      </c>
      <c r="BO31">
        <f>RANK(TAcum[[#This Row],[j65]],TAcum[[#All],[j65]],0)</f>
        <v>30</v>
      </c>
      <c r="BP31">
        <f>RANK(TAcum[[#This Row],[j66]],TAcum[[#All],[j66]],0)</f>
        <v>30</v>
      </c>
      <c r="BQ31">
        <f>RANK(TAcum[[#This Row],[j67]],TAcum[[#All],[j67]],0)</f>
        <v>30</v>
      </c>
      <c r="BR31">
        <f>RANK(TAcum[[#This Row],[j68]],TAcum[[#All],[j68]],0)</f>
        <v>30</v>
      </c>
      <c r="BS31">
        <f>RANK(TAcum[[#This Row],[j69]],TAcum[[#All],[j69]],0)</f>
        <v>30</v>
      </c>
      <c r="BT31">
        <f>RANK(TAcum[[#This Row],[j70]],TAcum[[#All],[j70]],0)</f>
        <v>30</v>
      </c>
      <c r="BU31">
        <f>RANK(TAcum[[#This Row],[j71]],TAcum[[#All],[j71]],0)</f>
        <v>30</v>
      </c>
      <c r="BV31">
        <f>RANK(TAcum[[#This Row],[j72]],TAcum[[#All],[j72]],0)</f>
        <v>30</v>
      </c>
      <c r="BW31">
        <f>RANK(TAcum[[#This Row],[j73]],TAcum[[#All],[j73]],0)</f>
        <v>30</v>
      </c>
    </row>
    <row r="32" spans="1:75" x14ac:dyDescent="0.25">
      <c r="A32" t="str">
        <f>TAcum[[#This Row],[Jogador]]</f>
        <v>Otávio Guilherme de Medeiros</v>
      </c>
      <c r="B32">
        <f>RANK(TAcum[[#This Row],[total]],TAcum[[#All],[total]],0)</f>
        <v>30</v>
      </c>
      <c r="C32">
        <f>RANK(TAcum[[#This Row],[j01]],TAcum[[#All],[j01]],0)</f>
        <v>13</v>
      </c>
      <c r="D32">
        <f>RANK(TAcum[[#This Row],[j02]],TAcum[[#All],[j02]],0)</f>
        <v>62</v>
      </c>
      <c r="E32">
        <f>RANK(TAcum[[#This Row],[j03]],TAcum[[#All],[j03]],0)</f>
        <v>50</v>
      </c>
      <c r="F32">
        <f>RANK(TAcum[[#This Row],[j04]],TAcum[[#All],[j04]],0)</f>
        <v>54</v>
      </c>
      <c r="G32">
        <f>RANK(TAcum[[#This Row],[j05]],TAcum[[#All],[j05]],0)</f>
        <v>55</v>
      </c>
      <c r="H32">
        <f>RANK(TAcum[[#This Row],[j06]],TAcum[[#All],[j06]],0)</f>
        <v>53</v>
      </c>
      <c r="I32">
        <f>RANK(TAcum[[#This Row],[j07]],TAcum[[#All],[j07]],0)</f>
        <v>61</v>
      </c>
      <c r="J32">
        <f>RANK(TAcum[[#This Row],[j08]],TAcum[[#All],[j08]],0)</f>
        <v>65</v>
      </c>
      <c r="K32">
        <f>RANK(TAcum[[#This Row],[j09]],TAcum[[#All],[j09]],0)</f>
        <v>64</v>
      </c>
      <c r="L32">
        <f>RANK(TAcum[[#This Row],[j10]],TAcum[[#All],[j10]],0)</f>
        <v>65</v>
      </c>
      <c r="M32">
        <f>RANK(TAcum[[#This Row],[j11]],TAcum[[#All],[j11]],0)</f>
        <v>75</v>
      </c>
      <c r="N32">
        <f>RANK(TAcum[[#This Row],[j12]],TAcum[[#All],[j12]],0)</f>
        <v>76</v>
      </c>
      <c r="O32">
        <f>RANK(TAcum[[#This Row],[j13]],TAcum[[#All],[j13]],0)</f>
        <v>50</v>
      </c>
      <c r="P32">
        <f>RANK(TAcum[[#This Row],[j14]],TAcum[[#All],[j14]],0)</f>
        <v>35</v>
      </c>
      <c r="Q32">
        <f>RANK(TAcum[[#This Row],[j15]],TAcum[[#All],[j15]],0)</f>
        <v>36</v>
      </c>
      <c r="R32">
        <f>RANK(TAcum[[#This Row],[j16]],TAcum[[#All],[j16]],0)</f>
        <v>27</v>
      </c>
      <c r="S32">
        <f>RANK(TAcum[[#This Row],[j17]],TAcum[[#All],[j17]],0)</f>
        <v>32</v>
      </c>
      <c r="T32">
        <f>RANK(TAcum[[#This Row],[j18]],TAcum[[#All],[j18]],0)</f>
        <v>37</v>
      </c>
      <c r="U32">
        <f>RANK(TAcum[[#This Row],[j19]],TAcum[[#All],[j19]],0)</f>
        <v>42</v>
      </c>
      <c r="V32">
        <f>RANK(TAcum[[#This Row],[j20]],TAcum[[#All],[j20]],0)</f>
        <v>41</v>
      </c>
      <c r="W32">
        <f>RANK(TAcum[[#This Row],[j21]],TAcum[[#All],[j21]],0)</f>
        <v>36</v>
      </c>
      <c r="X32">
        <f>RANK(TAcum[[#This Row],[j22]],TAcum[[#All],[j22]],0)</f>
        <v>40</v>
      </c>
      <c r="Y32">
        <f>RANK(TAcum[[#This Row],[j23]],TAcum[[#All],[j23]],0)</f>
        <v>32</v>
      </c>
      <c r="Z32">
        <f>RANK(TAcum[[#This Row],[j24]],TAcum[[#All],[j24]],0)</f>
        <v>20</v>
      </c>
      <c r="AA32">
        <f>RANK(TAcum[[#This Row],[j25]],TAcum[[#All],[j25]],0)</f>
        <v>15</v>
      </c>
      <c r="AB32">
        <f>RANK(TAcum[[#This Row],[j26]],TAcum[[#All],[j26]],0)</f>
        <v>18</v>
      </c>
      <c r="AC32">
        <f>RANK(TAcum[[#This Row],[j27]],TAcum[[#All],[j27]],0)</f>
        <v>18</v>
      </c>
      <c r="AD32">
        <f>RANK(TAcum[[#This Row],[j28]],TAcum[[#All],[j28]],0)</f>
        <v>22</v>
      </c>
      <c r="AE32">
        <f>RANK(TAcum[[#This Row],[j29]],TAcum[[#All],[j29]],0)</f>
        <v>30</v>
      </c>
      <c r="AF32">
        <f>RANK(TAcum[[#This Row],[j30]],TAcum[[#All],[j30]],0)</f>
        <v>30</v>
      </c>
      <c r="AG32">
        <f>RANK(TAcum[[#This Row],[j31]],TAcum[[#All],[j31]],0)</f>
        <v>30</v>
      </c>
      <c r="AH32">
        <f>RANK(TAcum[[#This Row],[j32]],TAcum[[#All],[j32]],0)</f>
        <v>30</v>
      </c>
      <c r="AI32">
        <f>RANK(TAcum[[#This Row],[j33]],TAcum[[#All],[j33]],0)</f>
        <v>30</v>
      </c>
      <c r="AJ32">
        <f>RANK(TAcum[[#This Row],[j34]],TAcum[[#All],[j34]],0)</f>
        <v>30</v>
      </c>
      <c r="AK32">
        <f>RANK(TAcum[[#This Row],[j35]],TAcum[[#All],[j35]],0)</f>
        <v>30</v>
      </c>
      <c r="AL32">
        <f>RANK(TAcum[[#This Row],[j36]],TAcum[[#All],[j36]],0)</f>
        <v>30</v>
      </c>
      <c r="AM32">
        <f>RANK(TAcum[[#This Row],[j37]],TAcum[[#All],[j37]],0)</f>
        <v>30</v>
      </c>
      <c r="AN32">
        <f>RANK(TAcum[[#This Row],[j38]],TAcum[[#All],[j38]],0)</f>
        <v>30</v>
      </c>
      <c r="AO32">
        <f>RANK(TAcum[[#This Row],[j39]],TAcum[[#All],[j39]],0)</f>
        <v>30</v>
      </c>
      <c r="AP32">
        <f>RANK(TAcum[[#This Row],[j40]],TAcum[[#All],[j40]],0)</f>
        <v>30</v>
      </c>
      <c r="AQ32">
        <f>RANK(TAcum[[#This Row],[j41]],TAcum[[#All],[j41]],0)</f>
        <v>30</v>
      </c>
      <c r="AR32">
        <f>RANK(TAcum[[#This Row],[j42]],TAcum[[#All],[j42]],0)</f>
        <v>30</v>
      </c>
      <c r="AS32">
        <f>RANK(TAcum[[#This Row],[j43]],TAcum[[#All],[j43]],0)</f>
        <v>30</v>
      </c>
      <c r="AT32">
        <f>RANK(TAcum[[#This Row],[j44]],TAcum[[#All],[j44]],0)</f>
        <v>30</v>
      </c>
      <c r="AU32">
        <f>RANK(TAcum[[#This Row],[j45]],TAcum[[#All],[j45]],0)</f>
        <v>30</v>
      </c>
      <c r="AV32">
        <f>RANK(TAcum[[#This Row],[j46]],TAcum[[#All],[j46]],0)</f>
        <v>30</v>
      </c>
      <c r="AW32">
        <f>RANK(TAcum[[#This Row],[j47]],TAcum[[#All],[j47]],0)</f>
        <v>30</v>
      </c>
      <c r="AX32">
        <f>RANK(TAcum[[#This Row],[j48]],TAcum[[#All],[j48]],0)</f>
        <v>30</v>
      </c>
      <c r="AY32">
        <f>RANK(TAcum[[#This Row],[j49]],TAcum[[#All],[j49]],0)</f>
        <v>30</v>
      </c>
      <c r="AZ32">
        <f>RANK(TAcum[[#This Row],[j50]],TAcum[[#All],[j50]],0)</f>
        <v>30</v>
      </c>
      <c r="BA32">
        <f>RANK(TAcum[[#This Row],[j51]],TAcum[[#All],[j51]],0)</f>
        <v>30</v>
      </c>
      <c r="BB32">
        <f>RANK(TAcum[[#This Row],[j52]],TAcum[[#All],[j52]],0)</f>
        <v>30</v>
      </c>
      <c r="BC32">
        <f>RANK(TAcum[[#This Row],[j53]],TAcum[[#All],[j53]],0)</f>
        <v>30</v>
      </c>
      <c r="BD32">
        <f>RANK(TAcum[[#This Row],[j54]],TAcum[[#All],[j54]],0)</f>
        <v>30</v>
      </c>
      <c r="BE32">
        <f>RANK(TAcum[[#This Row],[j55]],TAcum[[#All],[j55]],0)</f>
        <v>30</v>
      </c>
      <c r="BF32">
        <f>RANK(TAcum[[#This Row],[j56]],TAcum[[#All],[j56]],0)</f>
        <v>30</v>
      </c>
      <c r="BG32">
        <f>RANK(TAcum[[#This Row],[j57]],TAcum[[#All],[j57]],0)</f>
        <v>30</v>
      </c>
      <c r="BH32">
        <f>RANK(TAcum[[#This Row],[j58]],TAcum[[#All],[j58]],0)</f>
        <v>30</v>
      </c>
      <c r="BI32">
        <f>RANK(TAcum[[#This Row],[j59]],TAcum[[#All],[j59]],0)</f>
        <v>30</v>
      </c>
      <c r="BJ32">
        <f>RANK(TAcum[[#This Row],[j60]],TAcum[[#All],[j60]],0)</f>
        <v>30</v>
      </c>
      <c r="BK32">
        <f>RANK(TAcum[[#This Row],[j61]],TAcum[[#All],[j61]],0)</f>
        <v>30</v>
      </c>
      <c r="BL32">
        <f>RANK(TAcum[[#This Row],[j62]],TAcum[[#All],[j62]],0)</f>
        <v>30</v>
      </c>
      <c r="BM32">
        <f>RANK(TAcum[[#This Row],[j63]],TAcum[[#All],[j63]],0)</f>
        <v>30</v>
      </c>
      <c r="BN32">
        <f>RANK(TAcum[[#This Row],[j64]],TAcum[[#All],[j64]],0)</f>
        <v>30</v>
      </c>
      <c r="BO32">
        <f>RANK(TAcum[[#This Row],[j65]],TAcum[[#All],[j65]],0)</f>
        <v>30</v>
      </c>
      <c r="BP32">
        <f>RANK(TAcum[[#This Row],[j66]],TAcum[[#All],[j66]],0)</f>
        <v>30</v>
      </c>
      <c r="BQ32">
        <f>RANK(TAcum[[#This Row],[j67]],TAcum[[#All],[j67]],0)</f>
        <v>30</v>
      </c>
      <c r="BR32">
        <f>RANK(TAcum[[#This Row],[j68]],TAcum[[#All],[j68]],0)</f>
        <v>30</v>
      </c>
      <c r="BS32">
        <f>RANK(TAcum[[#This Row],[j69]],TAcum[[#All],[j69]],0)</f>
        <v>30</v>
      </c>
      <c r="BT32">
        <f>RANK(TAcum[[#This Row],[j70]],TAcum[[#All],[j70]],0)</f>
        <v>30</v>
      </c>
      <c r="BU32">
        <f>RANK(TAcum[[#This Row],[j71]],TAcum[[#All],[j71]],0)</f>
        <v>30</v>
      </c>
      <c r="BV32">
        <f>RANK(TAcum[[#This Row],[j72]],TAcum[[#All],[j72]],0)</f>
        <v>30</v>
      </c>
      <c r="BW32">
        <f>RANK(TAcum[[#This Row],[j73]],TAcum[[#All],[j73]],0)</f>
        <v>30</v>
      </c>
    </row>
    <row r="33" spans="1:75" x14ac:dyDescent="0.25">
      <c r="A33" t="str">
        <f>TAcum[[#This Row],[Jogador]]</f>
        <v>Afrânio 2</v>
      </c>
      <c r="B33">
        <f>RANK(TAcum[[#This Row],[total]],TAcum[[#All],[total]],0)</f>
        <v>32</v>
      </c>
      <c r="C33">
        <f>RANK(TAcum[[#This Row],[j01]],TAcum[[#All],[j01]],0)</f>
        <v>65</v>
      </c>
      <c r="D33">
        <f>RANK(TAcum[[#This Row],[j02]],TAcum[[#All],[j02]],0)</f>
        <v>62</v>
      </c>
      <c r="E33">
        <f>RANK(TAcum[[#This Row],[j03]],TAcum[[#All],[j03]],0)</f>
        <v>75</v>
      </c>
      <c r="F33">
        <f>RANK(TAcum[[#This Row],[j04]],TAcum[[#All],[j04]],0)</f>
        <v>38</v>
      </c>
      <c r="G33">
        <f>RANK(TAcum[[#This Row],[j05]],TAcum[[#All],[j05]],0)</f>
        <v>38</v>
      </c>
      <c r="H33">
        <f>RANK(TAcum[[#This Row],[j06]],TAcum[[#All],[j06]],0)</f>
        <v>9</v>
      </c>
      <c r="I33">
        <f>RANK(TAcum[[#This Row],[j07]],TAcum[[#All],[j07]],0)</f>
        <v>5</v>
      </c>
      <c r="J33">
        <f>RANK(TAcum[[#This Row],[j08]],TAcum[[#All],[j08]],0)</f>
        <v>8</v>
      </c>
      <c r="K33">
        <f>RANK(TAcum[[#This Row],[j09]],TAcum[[#All],[j09]],0)</f>
        <v>3</v>
      </c>
      <c r="L33">
        <f>RANK(TAcum[[#This Row],[j10]],TAcum[[#All],[j10]],0)</f>
        <v>2</v>
      </c>
      <c r="M33">
        <f>RANK(TAcum[[#This Row],[j11]],TAcum[[#All],[j11]],0)</f>
        <v>2</v>
      </c>
      <c r="N33">
        <f>RANK(TAcum[[#This Row],[j12]],TAcum[[#All],[j12]],0)</f>
        <v>3</v>
      </c>
      <c r="O33">
        <f>RANK(TAcum[[#This Row],[j13]],TAcum[[#All],[j13]],0)</f>
        <v>10</v>
      </c>
      <c r="P33">
        <f>RANK(TAcum[[#This Row],[j14]],TAcum[[#All],[j14]],0)</f>
        <v>10</v>
      </c>
      <c r="Q33">
        <f>RANK(TAcum[[#This Row],[j15]],TAcum[[#All],[j15]],0)</f>
        <v>9</v>
      </c>
      <c r="R33">
        <f>RANK(TAcum[[#This Row],[j16]],TAcum[[#All],[j16]],0)</f>
        <v>3</v>
      </c>
      <c r="S33">
        <f>RANK(TAcum[[#This Row],[j17]],TAcum[[#All],[j17]],0)</f>
        <v>7</v>
      </c>
      <c r="T33">
        <f>RANK(TAcum[[#This Row],[j18]],TAcum[[#All],[j18]],0)</f>
        <v>9</v>
      </c>
      <c r="U33">
        <f>RANK(TAcum[[#This Row],[j19]],TAcum[[#All],[j19]],0)</f>
        <v>16</v>
      </c>
      <c r="V33">
        <f>RANK(TAcum[[#This Row],[j20]],TAcum[[#All],[j20]],0)</f>
        <v>13</v>
      </c>
      <c r="W33">
        <f>RANK(TAcum[[#This Row],[j21]],TAcum[[#All],[j21]],0)</f>
        <v>13</v>
      </c>
      <c r="X33">
        <f>RANK(TAcum[[#This Row],[j22]],TAcum[[#All],[j22]],0)</f>
        <v>19</v>
      </c>
      <c r="Y33">
        <f>RANK(TAcum[[#This Row],[j23]],TAcum[[#All],[j23]],0)</f>
        <v>39</v>
      </c>
      <c r="Z33">
        <f>RANK(TAcum[[#This Row],[j24]],TAcum[[#All],[j24]],0)</f>
        <v>49</v>
      </c>
      <c r="AA33">
        <f>RANK(TAcum[[#This Row],[j25]],TAcum[[#All],[j25]],0)</f>
        <v>49</v>
      </c>
      <c r="AB33">
        <f>RANK(TAcum[[#This Row],[j26]],TAcum[[#All],[j26]],0)</f>
        <v>50</v>
      </c>
      <c r="AC33">
        <f>RANK(TAcum[[#This Row],[j27]],TAcum[[#All],[j27]],0)</f>
        <v>51</v>
      </c>
      <c r="AD33">
        <f>RANK(TAcum[[#This Row],[j28]],TAcum[[#All],[j28]],0)</f>
        <v>49</v>
      </c>
      <c r="AE33">
        <f>RANK(TAcum[[#This Row],[j29]],TAcum[[#All],[j29]],0)</f>
        <v>32</v>
      </c>
      <c r="AF33">
        <f>RANK(TAcum[[#This Row],[j30]],TAcum[[#All],[j30]],0)</f>
        <v>32</v>
      </c>
      <c r="AG33">
        <f>RANK(TAcum[[#This Row],[j31]],TAcum[[#All],[j31]],0)</f>
        <v>32</v>
      </c>
      <c r="AH33">
        <f>RANK(TAcum[[#This Row],[j32]],TAcum[[#All],[j32]],0)</f>
        <v>32</v>
      </c>
      <c r="AI33">
        <f>RANK(TAcum[[#This Row],[j33]],TAcum[[#All],[j33]],0)</f>
        <v>32</v>
      </c>
      <c r="AJ33">
        <f>RANK(TAcum[[#This Row],[j34]],TAcum[[#All],[j34]],0)</f>
        <v>32</v>
      </c>
      <c r="AK33">
        <f>RANK(TAcum[[#This Row],[j35]],TAcum[[#All],[j35]],0)</f>
        <v>32</v>
      </c>
      <c r="AL33">
        <f>RANK(TAcum[[#This Row],[j36]],TAcum[[#All],[j36]],0)</f>
        <v>32</v>
      </c>
      <c r="AM33">
        <f>RANK(TAcum[[#This Row],[j37]],TAcum[[#All],[j37]],0)</f>
        <v>32</v>
      </c>
      <c r="AN33">
        <f>RANK(TAcum[[#This Row],[j38]],TAcum[[#All],[j38]],0)</f>
        <v>32</v>
      </c>
      <c r="AO33">
        <f>RANK(TAcum[[#This Row],[j39]],TAcum[[#All],[j39]],0)</f>
        <v>32</v>
      </c>
      <c r="AP33">
        <f>RANK(TAcum[[#This Row],[j40]],TAcum[[#All],[j40]],0)</f>
        <v>32</v>
      </c>
      <c r="AQ33">
        <f>RANK(TAcum[[#This Row],[j41]],TAcum[[#All],[j41]],0)</f>
        <v>32</v>
      </c>
      <c r="AR33">
        <f>RANK(TAcum[[#This Row],[j42]],TAcum[[#All],[j42]],0)</f>
        <v>32</v>
      </c>
      <c r="AS33">
        <f>RANK(TAcum[[#This Row],[j43]],TAcum[[#All],[j43]],0)</f>
        <v>32</v>
      </c>
      <c r="AT33">
        <f>RANK(TAcum[[#This Row],[j44]],TAcum[[#All],[j44]],0)</f>
        <v>32</v>
      </c>
      <c r="AU33">
        <f>RANK(TAcum[[#This Row],[j45]],TAcum[[#All],[j45]],0)</f>
        <v>32</v>
      </c>
      <c r="AV33">
        <f>RANK(TAcum[[#This Row],[j46]],TAcum[[#All],[j46]],0)</f>
        <v>32</v>
      </c>
      <c r="AW33">
        <f>RANK(TAcum[[#This Row],[j47]],TAcum[[#All],[j47]],0)</f>
        <v>32</v>
      </c>
      <c r="AX33">
        <f>RANK(TAcum[[#This Row],[j48]],TAcum[[#All],[j48]],0)</f>
        <v>32</v>
      </c>
      <c r="AY33">
        <f>RANK(TAcum[[#This Row],[j49]],TAcum[[#All],[j49]],0)</f>
        <v>32</v>
      </c>
      <c r="AZ33">
        <f>RANK(TAcum[[#This Row],[j50]],TAcum[[#All],[j50]],0)</f>
        <v>32</v>
      </c>
      <c r="BA33">
        <f>RANK(TAcum[[#This Row],[j51]],TAcum[[#All],[j51]],0)</f>
        <v>32</v>
      </c>
      <c r="BB33">
        <f>RANK(TAcum[[#This Row],[j52]],TAcum[[#All],[j52]],0)</f>
        <v>32</v>
      </c>
      <c r="BC33">
        <f>RANK(TAcum[[#This Row],[j53]],TAcum[[#All],[j53]],0)</f>
        <v>32</v>
      </c>
      <c r="BD33">
        <f>RANK(TAcum[[#This Row],[j54]],TAcum[[#All],[j54]],0)</f>
        <v>32</v>
      </c>
      <c r="BE33">
        <f>RANK(TAcum[[#This Row],[j55]],TAcum[[#All],[j55]],0)</f>
        <v>32</v>
      </c>
      <c r="BF33">
        <f>RANK(TAcum[[#This Row],[j56]],TAcum[[#All],[j56]],0)</f>
        <v>32</v>
      </c>
      <c r="BG33">
        <f>RANK(TAcum[[#This Row],[j57]],TAcum[[#All],[j57]],0)</f>
        <v>32</v>
      </c>
      <c r="BH33">
        <f>RANK(TAcum[[#This Row],[j58]],TAcum[[#All],[j58]],0)</f>
        <v>32</v>
      </c>
      <c r="BI33">
        <f>RANK(TAcum[[#This Row],[j59]],TAcum[[#All],[j59]],0)</f>
        <v>32</v>
      </c>
      <c r="BJ33">
        <f>RANK(TAcum[[#This Row],[j60]],TAcum[[#All],[j60]],0)</f>
        <v>32</v>
      </c>
      <c r="BK33">
        <f>RANK(TAcum[[#This Row],[j61]],TAcum[[#All],[j61]],0)</f>
        <v>32</v>
      </c>
      <c r="BL33">
        <f>RANK(TAcum[[#This Row],[j62]],TAcum[[#All],[j62]],0)</f>
        <v>32</v>
      </c>
      <c r="BM33">
        <f>RANK(TAcum[[#This Row],[j63]],TAcum[[#All],[j63]],0)</f>
        <v>32</v>
      </c>
      <c r="BN33">
        <f>RANK(TAcum[[#This Row],[j64]],TAcum[[#All],[j64]],0)</f>
        <v>32</v>
      </c>
      <c r="BO33">
        <f>RANK(TAcum[[#This Row],[j65]],TAcum[[#All],[j65]],0)</f>
        <v>32</v>
      </c>
      <c r="BP33">
        <f>RANK(TAcum[[#This Row],[j66]],TAcum[[#All],[j66]],0)</f>
        <v>32</v>
      </c>
      <c r="BQ33">
        <f>RANK(TAcum[[#This Row],[j67]],TAcum[[#All],[j67]],0)</f>
        <v>32</v>
      </c>
      <c r="BR33">
        <f>RANK(TAcum[[#This Row],[j68]],TAcum[[#All],[j68]],0)</f>
        <v>32</v>
      </c>
      <c r="BS33">
        <f>RANK(TAcum[[#This Row],[j69]],TAcum[[#All],[j69]],0)</f>
        <v>32</v>
      </c>
      <c r="BT33">
        <f>RANK(TAcum[[#This Row],[j70]],TAcum[[#All],[j70]],0)</f>
        <v>32</v>
      </c>
      <c r="BU33">
        <f>RANK(TAcum[[#This Row],[j71]],TAcum[[#All],[j71]],0)</f>
        <v>32</v>
      </c>
      <c r="BV33">
        <f>RANK(TAcum[[#This Row],[j72]],TAcum[[#All],[j72]],0)</f>
        <v>32</v>
      </c>
      <c r="BW33">
        <f>RANK(TAcum[[#This Row],[j73]],TAcum[[#All],[j73]],0)</f>
        <v>32</v>
      </c>
    </row>
    <row r="34" spans="1:75" x14ac:dyDescent="0.25">
      <c r="A34" t="str">
        <f>TAcum[[#This Row],[Jogador]]</f>
        <v>Paulo Gargano</v>
      </c>
      <c r="B34">
        <f>RANK(TAcum[[#This Row],[total]],TAcum[[#All],[total]],0)</f>
        <v>32</v>
      </c>
      <c r="C34">
        <f>RANK(TAcum[[#This Row],[j01]],TAcum[[#All],[j01]],0)</f>
        <v>13</v>
      </c>
      <c r="D34">
        <f>RANK(TAcum[[#This Row],[j02]],TAcum[[#All],[j02]],0)</f>
        <v>14</v>
      </c>
      <c r="E34">
        <f>RANK(TAcum[[#This Row],[j03]],TAcum[[#All],[j03]],0)</f>
        <v>24</v>
      </c>
      <c r="F34">
        <f>RANK(TAcum[[#This Row],[j04]],TAcum[[#All],[j04]],0)</f>
        <v>71</v>
      </c>
      <c r="G34">
        <f>RANK(TAcum[[#This Row],[j05]],TAcum[[#All],[j05]],0)</f>
        <v>71</v>
      </c>
      <c r="H34">
        <f>RANK(TAcum[[#This Row],[j06]],TAcum[[#All],[j06]],0)</f>
        <v>71</v>
      </c>
      <c r="I34">
        <f>RANK(TAcum[[#This Row],[j07]],TAcum[[#All],[j07]],0)</f>
        <v>59</v>
      </c>
      <c r="J34">
        <f>RANK(TAcum[[#This Row],[j08]],TAcum[[#All],[j08]],0)</f>
        <v>61</v>
      </c>
      <c r="K34">
        <f>RANK(TAcum[[#This Row],[j09]],TAcum[[#All],[j09]],0)</f>
        <v>60</v>
      </c>
      <c r="L34">
        <f>RANK(TAcum[[#This Row],[j10]],TAcum[[#All],[j10]],0)</f>
        <v>62</v>
      </c>
      <c r="M34">
        <f>RANK(TAcum[[#This Row],[j11]],TAcum[[#All],[j11]],0)</f>
        <v>69</v>
      </c>
      <c r="N34">
        <f>RANK(TAcum[[#This Row],[j12]],TAcum[[#All],[j12]],0)</f>
        <v>62</v>
      </c>
      <c r="O34">
        <f>RANK(TAcum[[#This Row],[j13]],TAcum[[#All],[j13]],0)</f>
        <v>56</v>
      </c>
      <c r="P34">
        <f>RANK(TAcum[[#This Row],[j14]],TAcum[[#All],[j14]],0)</f>
        <v>43</v>
      </c>
      <c r="Q34">
        <f>RANK(TAcum[[#This Row],[j15]],TAcum[[#All],[j15]],0)</f>
        <v>43</v>
      </c>
      <c r="R34">
        <f>RANK(TAcum[[#This Row],[j16]],TAcum[[#All],[j16]],0)</f>
        <v>49</v>
      </c>
      <c r="S34">
        <f>RANK(TAcum[[#This Row],[j17]],TAcum[[#All],[j17]],0)</f>
        <v>32</v>
      </c>
      <c r="T34">
        <f>RANK(TAcum[[#This Row],[j18]],TAcum[[#All],[j18]],0)</f>
        <v>37</v>
      </c>
      <c r="U34">
        <f>RANK(TAcum[[#This Row],[j19]],TAcum[[#All],[j19]],0)</f>
        <v>42</v>
      </c>
      <c r="V34">
        <f>RANK(TAcum[[#This Row],[j20]],TAcum[[#All],[j20]],0)</f>
        <v>41</v>
      </c>
      <c r="W34">
        <f>RANK(TAcum[[#This Row],[j21]],TAcum[[#All],[j21]],0)</f>
        <v>36</v>
      </c>
      <c r="X34">
        <f>RANK(TAcum[[#This Row],[j22]],TAcum[[#All],[j22]],0)</f>
        <v>40</v>
      </c>
      <c r="Y34">
        <f>RANK(TAcum[[#This Row],[j23]],TAcum[[#All],[j23]],0)</f>
        <v>32</v>
      </c>
      <c r="Z34">
        <f>RANK(TAcum[[#This Row],[j24]],TAcum[[#All],[j24]],0)</f>
        <v>43</v>
      </c>
      <c r="AA34">
        <f>RANK(TAcum[[#This Row],[j25]],TAcum[[#All],[j25]],0)</f>
        <v>43</v>
      </c>
      <c r="AB34">
        <f>RANK(TAcum[[#This Row],[j26]],TAcum[[#All],[j26]],0)</f>
        <v>50</v>
      </c>
      <c r="AC34">
        <f>RANK(TAcum[[#This Row],[j27]],TAcum[[#All],[j27]],0)</f>
        <v>51</v>
      </c>
      <c r="AD34">
        <f>RANK(TAcum[[#This Row],[j28]],TAcum[[#All],[j28]],0)</f>
        <v>49</v>
      </c>
      <c r="AE34">
        <f>RANK(TAcum[[#This Row],[j29]],TAcum[[#All],[j29]],0)</f>
        <v>32</v>
      </c>
      <c r="AF34">
        <f>RANK(TAcum[[#This Row],[j30]],TAcum[[#All],[j30]],0)</f>
        <v>32</v>
      </c>
      <c r="AG34">
        <f>RANK(TAcum[[#This Row],[j31]],TAcum[[#All],[j31]],0)</f>
        <v>32</v>
      </c>
      <c r="AH34">
        <f>RANK(TAcum[[#This Row],[j32]],TAcum[[#All],[j32]],0)</f>
        <v>32</v>
      </c>
      <c r="AI34">
        <f>RANK(TAcum[[#This Row],[j33]],TAcum[[#All],[j33]],0)</f>
        <v>32</v>
      </c>
      <c r="AJ34">
        <f>RANK(TAcum[[#This Row],[j34]],TAcum[[#All],[j34]],0)</f>
        <v>32</v>
      </c>
      <c r="AK34">
        <f>RANK(TAcum[[#This Row],[j35]],TAcum[[#All],[j35]],0)</f>
        <v>32</v>
      </c>
      <c r="AL34">
        <f>RANK(TAcum[[#This Row],[j36]],TAcum[[#All],[j36]],0)</f>
        <v>32</v>
      </c>
      <c r="AM34">
        <f>RANK(TAcum[[#This Row],[j37]],TAcum[[#All],[j37]],0)</f>
        <v>32</v>
      </c>
      <c r="AN34">
        <f>RANK(TAcum[[#This Row],[j38]],TAcum[[#All],[j38]],0)</f>
        <v>32</v>
      </c>
      <c r="AO34">
        <f>RANK(TAcum[[#This Row],[j39]],TAcum[[#All],[j39]],0)</f>
        <v>32</v>
      </c>
      <c r="AP34">
        <f>RANK(TAcum[[#This Row],[j40]],TAcum[[#All],[j40]],0)</f>
        <v>32</v>
      </c>
      <c r="AQ34">
        <f>RANK(TAcum[[#This Row],[j41]],TAcum[[#All],[j41]],0)</f>
        <v>32</v>
      </c>
      <c r="AR34">
        <f>RANK(TAcum[[#This Row],[j42]],TAcum[[#All],[j42]],0)</f>
        <v>32</v>
      </c>
      <c r="AS34">
        <f>RANK(TAcum[[#This Row],[j43]],TAcum[[#All],[j43]],0)</f>
        <v>32</v>
      </c>
      <c r="AT34">
        <f>RANK(TAcum[[#This Row],[j44]],TAcum[[#All],[j44]],0)</f>
        <v>32</v>
      </c>
      <c r="AU34">
        <f>RANK(TAcum[[#This Row],[j45]],TAcum[[#All],[j45]],0)</f>
        <v>32</v>
      </c>
      <c r="AV34">
        <f>RANK(TAcum[[#This Row],[j46]],TAcum[[#All],[j46]],0)</f>
        <v>32</v>
      </c>
      <c r="AW34">
        <f>RANK(TAcum[[#This Row],[j47]],TAcum[[#All],[j47]],0)</f>
        <v>32</v>
      </c>
      <c r="AX34">
        <f>RANK(TAcum[[#This Row],[j48]],TAcum[[#All],[j48]],0)</f>
        <v>32</v>
      </c>
      <c r="AY34">
        <f>RANK(TAcum[[#This Row],[j49]],TAcum[[#All],[j49]],0)</f>
        <v>32</v>
      </c>
      <c r="AZ34">
        <f>RANK(TAcum[[#This Row],[j50]],TAcum[[#All],[j50]],0)</f>
        <v>32</v>
      </c>
      <c r="BA34">
        <f>RANK(TAcum[[#This Row],[j51]],TAcum[[#All],[j51]],0)</f>
        <v>32</v>
      </c>
      <c r="BB34">
        <f>RANK(TAcum[[#This Row],[j52]],TAcum[[#All],[j52]],0)</f>
        <v>32</v>
      </c>
      <c r="BC34">
        <f>RANK(TAcum[[#This Row],[j53]],TAcum[[#All],[j53]],0)</f>
        <v>32</v>
      </c>
      <c r="BD34">
        <f>RANK(TAcum[[#This Row],[j54]],TAcum[[#All],[j54]],0)</f>
        <v>32</v>
      </c>
      <c r="BE34">
        <f>RANK(TAcum[[#This Row],[j55]],TAcum[[#All],[j55]],0)</f>
        <v>32</v>
      </c>
      <c r="BF34">
        <f>RANK(TAcum[[#This Row],[j56]],TAcum[[#All],[j56]],0)</f>
        <v>32</v>
      </c>
      <c r="BG34">
        <f>RANK(TAcum[[#This Row],[j57]],TAcum[[#All],[j57]],0)</f>
        <v>32</v>
      </c>
      <c r="BH34">
        <f>RANK(TAcum[[#This Row],[j58]],TAcum[[#All],[j58]],0)</f>
        <v>32</v>
      </c>
      <c r="BI34">
        <f>RANK(TAcum[[#This Row],[j59]],TAcum[[#All],[j59]],0)</f>
        <v>32</v>
      </c>
      <c r="BJ34">
        <f>RANK(TAcum[[#This Row],[j60]],TAcum[[#All],[j60]],0)</f>
        <v>32</v>
      </c>
      <c r="BK34">
        <f>RANK(TAcum[[#This Row],[j61]],TAcum[[#All],[j61]],0)</f>
        <v>32</v>
      </c>
      <c r="BL34">
        <f>RANK(TAcum[[#This Row],[j62]],TAcum[[#All],[j62]],0)</f>
        <v>32</v>
      </c>
      <c r="BM34">
        <f>RANK(TAcum[[#This Row],[j63]],TAcum[[#All],[j63]],0)</f>
        <v>32</v>
      </c>
      <c r="BN34">
        <f>RANK(TAcum[[#This Row],[j64]],TAcum[[#All],[j64]],0)</f>
        <v>32</v>
      </c>
      <c r="BO34">
        <f>RANK(TAcum[[#This Row],[j65]],TAcum[[#All],[j65]],0)</f>
        <v>32</v>
      </c>
      <c r="BP34">
        <f>RANK(TAcum[[#This Row],[j66]],TAcum[[#All],[j66]],0)</f>
        <v>32</v>
      </c>
      <c r="BQ34">
        <f>RANK(TAcum[[#This Row],[j67]],TAcum[[#All],[j67]],0)</f>
        <v>32</v>
      </c>
      <c r="BR34">
        <f>RANK(TAcum[[#This Row],[j68]],TAcum[[#All],[j68]],0)</f>
        <v>32</v>
      </c>
      <c r="BS34">
        <f>RANK(TAcum[[#This Row],[j69]],TAcum[[#All],[j69]],0)</f>
        <v>32</v>
      </c>
      <c r="BT34">
        <f>RANK(TAcum[[#This Row],[j70]],TAcum[[#All],[j70]],0)</f>
        <v>32</v>
      </c>
      <c r="BU34">
        <f>RANK(TAcum[[#This Row],[j71]],TAcum[[#All],[j71]],0)</f>
        <v>32</v>
      </c>
      <c r="BV34">
        <f>RANK(TAcum[[#This Row],[j72]],TAcum[[#All],[j72]],0)</f>
        <v>32</v>
      </c>
      <c r="BW34">
        <f>RANK(TAcum[[#This Row],[j73]],TAcum[[#All],[j73]],0)</f>
        <v>32</v>
      </c>
    </row>
    <row r="35" spans="1:75" x14ac:dyDescent="0.25">
      <c r="A35" t="str">
        <f>TAcum[[#This Row],[Jogador]]</f>
        <v>Afrânio 1</v>
      </c>
      <c r="B35">
        <f>RANK(TAcum[[#This Row],[total]],TAcum[[#All],[total]],0)</f>
        <v>34</v>
      </c>
      <c r="C35">
        <f>RANK(TAcum[[#This Row],[j01]],TAcum[[#All],[j01]],0)</f>
        <v>65</v>
      </c>
      <c r="D35">
        <f>RANK(TAcum[[#This Row],[j02]],TAcum[[#All],[j02]],0)</f>
        <v>62</v>
      </c>
      <c r="E35">
        <f>RANK(TAcum[[#This Row],[j03]],TAcum[[#All],[j03]],0)</f>
        <v>50</v>
      </c>
      <c r="F35">
        <f>RANK(TAcum[[#This Row],[j04]],TAcum[[#All],[j04]],0)</f>
        <v>83</v>
      </c>
      <c r="G35">
        <f>RANK(TAcum[[#This Row],[j05]],TAcum[[#All],[j05]],0)</f>
        <v>77</v>
      </c>
      <c r="H35">
        <f>RANK(TAcum[[#This Row],[j06]],TAcum[[#All],[j06]],0)</f>
        <v>53</v>
      </c>
      <c r="I35">
        <f>RANK(TAcum[[#This Row],[j07]],TAcum[[#All],[j07]],0)</f>
        <v>71</v>
      </c>
      <c r="J35">
        <f>RANK(TAcum[[#This Row],[j08]],TAcum[[#All],[j08]],0)</f>
        <v>76</v>
      </c>
      <c r="K35">
        <f>RANK(TAcum[[#This Row],[j09]],TAcum[[#All],[j09]],0)</f>
        <v>52</v>
      </c>
      <c r="L35">
        <f>RANK(TAcum[[#This Row],[j10]],TAcum[[#All],[j10]],0)</f>
        <v>42</v>
      </c>
      <c r="M35">
        <f>RANK(TAcum[[#This Row],[j11]],TAcum[[#All],[j11]],0)</f>
        <v>40</v>
      </c>
      <c r="N35">
        <f>RANK(TAcum[[#This Row],[j12]],TAcum[[#All],[j12]],0)</f>
        <v>41</v>
      </c>
      <c r="O35">
        <f>RANK(TAcum[[#This Row],[j13]],TAcum[[#All],[j13]],0)</f>
        <v>22</v>
      </c>
      <c r="P35">
        <f>RANK(TAcum[[#This Row],[j14]],TAcum[[#All],[j14]],0)</f>
        <v>23</v>
      </c>
      <c r="Q35">
        <f>RANK(TAcum[[#This Row],[j15]],TAcum[[#All],[j15]],0)</f>
        <v>25</v>
      </c>
      <c r="R35">
        <f>RANK(TAcum[[#This Row],[j16]],TAcum[[#All],[j16]],0)</f>
        <v>15</v>
      </c>
      <c r="S35">
        <f>RANK(TAcum[[#This Row],[j17]],TAcum[[#All],[j17]],0)</f>
        <v>18</v>
      </c>
      <c r="T35">
        <f>RANK(TAcum[[#This Row],[j18]],TAcum[[#All],[j18]],0)</f>
        <v>18</v>
      </c>
      <c r="U35">
        <f>RANK(TAcum[[#This Row],[j19]],TAcum[[#All],[j19]],0)</f>
        <v>35</v>
      </c>
      <c r="V35">
        <f>RANK(TAcum[[#This Row],[j20]],TAcum[[#All],[j20]],0)</f>
        <v>34</v>
      </c>
      <c r="W35">
        <f>RANK(TAcum[[#This Row],[j21]],TAcum[[#All],[j21]],0)</f>
        <v>30</v>
      </c>
      <c r="X35">
        <f>RANK(TAcum[[#This Row],[j22]],TAcum[[#All],[j22]],0)</f>
        <v>40</v>
      </c>
      <c r="Y35">
        <f>RANK(TAcum[[#This Row],[j23]],TAcum[[#All],[j23]],0)</f>
        <v>47</v>
      </c>
      <c r="Z35">
        <f>RANK(TAcum[[#This Row],[j24]],TAcum[[#All],[j24]],0)</f>
        <v>45</v>
      </c>
      <c r="AA35">
        <f>RANK(TAcum[[#This Row],[j25]],TAcum[[#All],[j25]],0)</f>
        <v>45</v>
      </c>
      <c r="AB35">
        <f>RANK(TAcum[[#This Row],[j26]],TAcum[[#All],[j26]],0)</f>
        <v>53</v>
      </c>
      <c r="AC35">
        <f>RANK(TAcum[[#This Row],[j27]],TAcum[[#All],[j27]],0)</f>
        <v>54</v>
      </c>
      <c r="AD35">
        <f>RANK(TAcum[[#This Row],[j28]],TAcum[[#All],[j28]],0)</f>
        <v>54</v>
      </c>
      <c r="AE35">
        <f>RANK(TAcum[[#This Row],[j29]],TAcum[[#All],[j29]],0)</f>
        <v>34</v>
      </c>
      <c r="AF35">
        <f>RANK(TAcum[[#This Row],[j30]],TAcum[[#All],[j30]],0)</f>
        <v>34</v>
      </c>
      <c r="AG35">
        <f>RANK(TAcum[[#This Row],[j31]],TAcum[[#All],[j31]],0)</f>
        <v>34</v>
      </c>
      <c r="AH35">
        <f>RANK(TAcum[[#This Row],[j32]],TAcum[[#All],[j32]],0)</f>
        <v>34</v>
      </c>
      <c r="AI35">
        <f>RANK(TAcum[[#This Row],[j33]],TAcum[[#All],[j33]],0)</f>
        <v>34</v>
      </c>
      <c r="AJ35">
        <f>RANK(TAcum[[#This Row],[j34]],TAcum[[#All],[j34]],0)</f>
        <v>34</v>
      </c>
      <c r="AK35">
        <f>RANK(TAcum[[#This Row],[j35]],TAcum[[#All],[j35]],0)</f>
        <v>34</v>
      </c>
      <c r="AL35">
        <f>RANK(TAcum[[#This Row],[j36]],TAcum[[#All],[j36]],0)</f>
        <v>34</v>
      </c>
      <c r="AM35">
        <f>RANK(TAcum[[#This Row],[j37]],TAcum[[#All],[j37]],0)</f>
        <v>34</v>
      </c>
      <c r="AN35">
        <f>RANK(TAcum[[#This Row],[j38]],TAcum[[#All],[j38]],0)</f>
        <v>34</v>
      </c>
      <c r="AO35">
        <f>RANK(TAcum[[#This Row],[j39]],TAcum[[#All],[j39]],0)</f>
        <v>34</v>
      </c>
      <c r="AP35">
        <f>RANK(TAcum[[#This Row],[j40]],TAcum[[#All],[j40]],0)</f>
        <v>34</v>
      </c>
      <c r="AQ35">
        <f>RANK(TAcum[[#This Row],[j41]],TAcum[[#All],[j41]],0)</f>
        <v>34</v>
      </c>
      <c r="AR35">
        <f>RANK(TAcum[[#This Row],[j42]],TAcum[[#All],[j42]],0)</f>
        <v>34</v>
      </c>
      <c r="AS35">
        <f>RANK(TAcum[[#This Row],[j43]],TAcum[[#All],[j43]],0)</f>
        <v>34</v>
      </c>
      <c r="AT35">
        <f>RANK(TAcum[[#This Row],[j44]],TAcum[[#All],[j44]],0)</f>
        <v>34</v>
      </c>
      <c r="AU35">
        <f>RANK(TAcum[[#This Row],[j45]],TAcum[[#All],[j45]],0)</f>
        <v>34</v>
      </c>
      <c r="AV35">
        <f>RANK(TAcum[[#This Row],[j46]],TAcum[[#All],[j46]],0)</f>
        <v>34</v>
      </c>
      <c r="AW35">
        <f>RANK(TAcum[[#This Row],[j47]],TAcum[[#All],[j47]],0)</f>
        <v>34</v>
      </c>
      <c r="AX35">
        <f>RANK(TAcum[[#This Row],[j48]],TAcum[[#All],[j48]],0)</f>
        <v>34</v>
      </c>
      <c r="AY35">
        <f>RANK(TAcum[[#This Row],[j49]],TAcum[[#All],[j49]],0)</f>
        <v>34</v>
      </c>
      <c r="AZ35">
        <f>RANK(TAcum[[#This Row],[j50]],TAcum[[#All],[j50]],0)</f>
        <v>34</v>
      </c>
      <c r="BA35">
        <f>RANK(TAcum[[#This Row],[j51]],TAcum[[#All],[j51]],0)</f>
        <v>34</v>
      </c>
      <c r="BB35">
        <f>RANK(TAcum[[#This Row],[j52]],TAcum[[#All],[j52]],0)</f>
        <v>34</v>
      </c>
      <c r="BC35">
        <f>RANK(TAcum[[#This Row],[j53]],TAcum[[#All],[j53]],0)</f>
        <v>34</v>
      </c>
      <c r="BD35">
        <f>RANK(TAcum[[#This Row],[j54]],TAcum[[#All],[j54]],0)</f>
        <v>34</v>
      </c>
      <c r="BE35">
        <f>RANK(TAcum[[#This Row],[j55]],TAcum[[#All],[j55]],0)</f>
        <v>34</v>
      </c>
      <c r="BF35">
        <f>RANK(TAcum[[#This Row],[j56]],TAcum[[#All],[j56]],0)</f>
        <v>34</v>
      </c>
      <c r="BG35">
        <f>RANK(TAcum[[#This Row],[j57]],TAcum[[#All],[j57]],0)</f>
        <v>34</v>
      </c>
      <c r="BH35">
        <f>RANK(TAcum[[#This Row],[j58]],TAcum[[#All],[j58]],0)</f>
        <v>34</v>
      </c>
      <c r="BI35">
        <f>RANK(TAcum[[#This Row],[j59]],TAcum[[#All],[j59]],0)</f>
        <v>34</v>
      </c>
      <c r="BJ35">
        <f>RANK(TAcum[[#This Row],[j60]],TAcum[[#All],[j60]],0)</f>
        <v>34</v>
      </c>
      <c r="BK35">
        <f>RANK(TAcum[[#This Row],[j61]],TAcum[[#All],[j61]],0)</f>
        <v>34</v>
      </c>
      <c r="BL35">
        <f>RANK(TAcum[[#This Row],[j62]],TAcum[[#All],[j62]],0)</f>
        <v>34</v>
      </c>
      <c r="BM35">
        <f>RANK(TAcum[[#This Row],[j63]],TAcum[[#All],[j63]],0)</f>
        <v>34</v>
      </c>
      <c r="BN35">
        <f>RANK(TAcum[[#This Row],[j64]],TAcum[[#All],[j64]],0)</f>
        <v>34</v>
      </c>
      <c r="BO35">
        <f>RANK(TAcum[[#This Row],[j65]],TAcum[[#All],[j65]],0)</f>
        <v>34</v>
      </c>
      <c r="BP35">
        <f>RANK(TAcum[[#This Row],[j66]],TAcum[[#All],[j66]],0)</f>
        <v>34</v>
      </c>
      <c r="BQ35">
        <f>RANK(TAcum[[#This Row],[j67]],TAcum[[#All],[j67]],0)</f>
        <v>34</v>
      </c>
      <c r="BR35">
        <f>RANK(TAcum[[#This Row],[j68]],TAcum[[#All],[j68]],0)</f>
        <v>34</v>
      </c>
      <c r="BS35">
        <f>RANK(TAcum[[#This Row],[j69]],TAcum[[#All],[j69]],0)</f>
        <v>34</v>
      </c>
      <c r="BT35">
        <f>RANK(TAcum[[#This Row],[j70]],TAcum[[#All],[j70]],0)</f>
        <v>34</v>
      </c>
      <c r="BU35">
        <f>RANK(TAcum[[#This Row],[j71]],TAcum[[#All],[j71]],0)</f>
        <v>34</v>
      </c>
      <c r="BV35">
        <f>RANK(TAcum[[#This Row],[j72]],TAcum[[#All],[j72]],0)</f>
        <v>34</v>
      </c>
      <c r="BW35">
        <f>RANK(TAcum[[#This Row],[j73]],TAcum[[#All],[j73]],0)</f>
        <v>34</v>
      </c>
    </row>
    <row r="36" spans="1:75" x14ac:dyDescent="0.25">
      <c r="A36" t="str">
        <f>TAcum[[#This Row],[Jogador]]</f>
        <v>Marcio Borges 1</v>
      </c>
      <c r="B36">
        <f>RANK(TAcum[[#This Row],[total]],TAcum[[#All],[total]],0)</f>
        <v>35</v>
      </c>
      <c r="C36">
        <f>RANK(TAcum[[#This Row],[j01]],TAcum[[#All],[j01]],0)</f>
        <v>13</v>
      </c>
      <c r="D36">
        <f>RANK(TAcum[[#This Row],[j02]],TAcum[[#All],[j02]],0)</f>
        <v>14</v>
      </c>
      <c r="E36">
        <f>RANK(TAcum[[#This Row],[j03]],TAcum[[#All],[j03]],0)</f>
        <v>24</v>
      </c>
      <c r="F36">
        <f>RANK(TAcum[[#This Row],[j04]],TAcum[[#All],[j04]],0)</f>
        <v>52</v>
      </c>
      <c r="G36">
        <f>RANK(TAcum[[#This Row],[j05]],TAcum[[#All],[j05]],0)</f>
        <v>52</v>
      </c>
      <c r="H36">
        <f>RANK(TAcum[[#This Row],[j06]],TAcum[[#All],[j06]],0)</f>
        <v>66</v>
      </c>
      <c r="I36">
        <f>RANK(TAcum[[#This Row],[j07]],TAcum[[#All],[j07]],0)</f>
        <v>79</v>
      </c>
      <c r="J36">
        <f>RANK(TAcum[[#This Row],[j08]],TAcum[[#All],[j08]],0)</f>
        <v>73</v>
      </c>
      <c r="K36">
        <f>RANK(TAcum[[#This Row],[j09]],TAcum[[#All],[j09]],0)</f>
        <v>80</v>
      </c>
      <c r="L36">
        <f>RANK(TAcum[[#This Row],[j10]],TAcum[[#All],[j10]],0)</f>
        <v>83</v>
      </c>
      <c r="M36">
        <f>RANK(TAcum[[#This Row],[j11]],TAcum[[#All],[j11]],0)</f>
        <v>82</v>
      </c>
      <c r="N36">
        <f>RANK(TAcum[[#This Row],[j12]],TAcum[[#All],[j12]],0)</f>
        <v>85</v>
      </c>
      <c r="O36">
        <f>RANK(TAcum[[#This Row],[j13]],TAcum[[#All],[j13]],0)</f>
        <v>59</v>
      </c>
      <c r="P36">
        <f>RANK(TAcum[[#This Row],[j14]],TAcum[[#All],[j14]],0)</f>
        <v>59</v>
      </c>
      <c r="Q36">
        <f>RANK(TAcum[[#This Row],[j15]],TAcum[[#All],[j15]],0)</f>
        <v>61</v>
      </c>
      <c r="R36">
        <f>RANK(TAcum[[#This Row],[j16]],TAcum[[#All],[j16]],0)</f>
        <v>49</v>
      </c>
      <c r="S36">
        <f>RANK(TAcum[[#This Row],[j17]],TAcum[[#All],[j17]],0)</f>
        <v>32</v>
      </c>
      <c r="T36">
        <f>RANK(TAcum[[#This Row],[j18]],TAcum[[#All],[j18]],0)</f>
        <v>37</v>
      </c>
      <c r="U36">
        <f>RANK(TAcum[[#This Row],[j19]],TAcum[[#All],[j19]],0)</f>
        <v>16</v>
      </c>
      <c r="V36">
        <f>RANK(TAcum[[#This Row],[j20]],TAcum[[#All],[j20]],0)</f>
        <v>24</v>
      </c>
      <c r="W36">
        <f>RANK(TAcum[[#This Row],[j21]],TAcum[[#All],[j21]],0)</f>
        <v>29</v>
      </c>
      <c r="X36">
        <f>RANK(TAcum[[#This Row],[j22]],TAcum[[#All],[j22]],0)</f>
        <v>37</v>
      </c>
      <c r="Y36">
        <f>RANK(TAcum[[#This Row],[j23]],TAcum[[#All],[j23]],0)</f>
        <v>29</v>
      </c>
      <c r="Z36">
        <f>RANK(TAcum[[#This Row],[j24]],TAcum[[#All],[j24]],0)</f>
        <v>34</v>
      </c>
      <c r="AA36">
        <f>RANK(TAcum[[#This Row],[j25]],TAcum[[#All],[j25]],0)</f>
        <v>35</v>
      </c>
      <c r="AB36">
        <f>RANK(TAcum[[#This Row],[j26]],TAcum[[#All],[j26]],0)</f>
        <v>36</v>
      </c>
      <c r="AC36">
        <f>RANK(TAcum[[#This Row],[j27]],TAcum[[#All],[j27]],0)</f>
        <v>35</v>
      </c>
      <c r="AD36">
        <f>RANK(TAcum[[#This Row],[j28]],TAcum[[#All],[j28]],0)</f>
        <v>29</v>
      </c>
      <c r="AE36">
        <f>RANK(TAcum[[#This Row],[j29]],TAcum[[#All],[j29]],0)</f>
        <v>35</v>
      </c>
      <c r="AF36">
        <f>RANK(TAcum[[#This Row],[j30]],TAcum[[#All],[j30]],0)</f>
        <v>35</v>
      </c>
      <c r="AG36">
        <f>RANK(TAcum[[#This Row],[j31]],TAcum[[#All],[j31]],0)</f>
        <v>35</v>
      </c>
      <c r="AH36">
        <f>RANK(TAcum[[#This Row],[j32]],TAcum[[#All],[j32]],0)</f>
        <v>35</v>
      </c>
      <c r="AI36">
        <f>RANK(TAcum[[#This Row],[j33]],TAcum[[#All],[j33]],0)</f>
        <v>35</v>
      </c>
      <c r="AJ36">
        <f>RANK(TAcum[[#This Row],[j34]],TAcum[[#All],[j34]],0)</f>
        <v>35</v>
      </c>
      <c r="AK36">
        <f>RANK(TAcum[[#This Row],[j35]],TAcum[[#All],[j35]],0)</f>
        <v>35</v>
      </c>
      <c r="AL36">
        <f>RANK(TAcum[[#This Row],[j36]],TAcum[[#All],[j36]],0)</f>
        <v>35</v>
      </c>
      <c r="AM36">
        <f>RANK(TAcum[[#This Row],[j37]],TAcum[[#All],[j37]],0)</f>
        <v>35</v>
      </c>
      <c r="AN36">
        <f>RANK(TAcum[[#This Row],[j38]],TAcum[[#All],[j38]],0)</f>
        <v>35</v>
      </c>
      <c r="AO36">
        <f>RANK(TAcum[[#This Row],[j39]],TAcum[[#All],[j39]],0)</f>
        <v>35</v>
      </c>
      <c r="AP36">
        <f>RANK(TAcum[[#This Row],[j40]],TAcum[[#All],[j40]],0)</f>
        <v>35</v>
      </c>
      <c r="AQ36">
        <f>RANK(TAcum[[#This Row],[j41]],TAcum[[#All],[j41]],0)</f>
        <v>35</v>
      </c>
      <c r="AR36">
        <f>RANK(TAcum[[#This Row],[j42]],TAcum[[#All],[j42]],0)</f>
        <v>35</v>
      </c>
      <c r="AS36">
        <f>RANK(TAcum[[#This Row],[j43]],TAcum[[#All],[j43]],0)</f>
        <v>35</v>
      </c>
      <c r="AT36">
        <f>RANK(TAcum[[#This Row],[j44]],TAcum[[#All],[j44]],0)</f>
        <v>35</v>
      </c>
      <c r="AU36">
        <f>RANK(TAcum[[#This Row],[j45]],TAcum[[#All],[j45]],0)</f>
        <v>35</v>
      </c>
      <c r="AV36">
        <f>RANK(TAcum[[#This Row],[j46]],TAcum[[#All],[j46]],0)</f>
        <v>35</v>
      </c>
      <c r="AW36">
        <f>RANK(TAcum[[#This Row],[j47]],TAcum[[#All],[j47]],0)</f>
        <v>35</v>
      </c>
      <c r="AX36">
        <f>RANK(TAcum[[#This Row],[j48]],TAcum[[#All],[j48]],0)</f>
        <v>35</v>
      </c>
      <c r="AY36">
        <f>RANK(TAcum[[#This Row],[j49]],TAcum[[#All],[j49]],0)</f>
        <v>35</v>
      </c>
      <c r="AZ36">
        <f>RANK(TAcum[[#This Row],[j50]],TAcum[[#All],[j50]],0)</f>
        <v>35</v>
      </c>
      <c r="BA36">
        <f>RANK(TAcum[[#This Row],[j51]],TAcum[[#All],[j51]],0)</f>
        <v>35</v>
      </c>
      <c r="BB36">
        <f>RANK(TAcum[[#This Row],[j52]],TAcum[[#All],[j52]],0)</f>
        <v>35</v>
      </c>
      <c r="BC36">
        <f>RANK(TAcum[[#This Row],[j53]],TAcum[[#All],[j53]],0)</f>
        <v>35</v>
      </c>
      <c r="BD36">
        <f>RANK(TAcum[[#This Row],[j54]],TAcum[[#All],[j54]],0)</f>
        <v>35</v>
      </c>
      <c r="BE36">
        <f>RANK(TAcum[[#This Row],[j55]],TAcum[[#All],[j55]],0)</f>
        <v>35</v>
      </c>
      <c r="BF36">
        <f>RANK(TAcum[[#This Row],[j56]],TAcum[[#All],[j56]],0)</f>
        <v>35</v>
      </c>
      <c r="BG36">
        <f>RANK(TAcum[[#This Row],[j57]],TAcum[[#All],[j57]],0)</f>
        <v>35</v>
      </c>
      <c r="BH36">
        <f>RANK(TAcum[[#This Row],[j58]],TAcum[[#All],[j58]],0)</f>
        <v>35</v>
      </c>
      <c r="BI36">
        <f>RANK(TAcum[[#This Row],[j59]],TAcum[[#All],[j59]],0)</f>
        <v>35</v>
      </c>
      <c r="BJ36">
        <f>RANK(TAcum[[#This Row],[j60]],TAcum[[#All],[j60]],0)</f>
        <v>35</v>
      </c>
      <c r="BK36">
        <f>RANK(TAcum[[#This Row],[j61]],TAcum[[#All],[j61]],0)</f>
        <v>35</v>
      </c>
      <c r="BL36">
        <f>RANK(TAcum[[#This Row],[j62]],TAcum[[#All],[j62]],0)</f>
        <v>35</v>
      </c>
      <c r="BM36">
        <f>RANK(TAcum[[#This Row],[j63]],TAcum[[#All],[j63]],0)</f>
        <v>35</v>
      </c>
      <c r="BN36">
        <f>RANK(TAcum[[#This Row],[j64]],TAcum[[#All],[j64]],0)</f>
        <v>35</v>
      </c>
      <c r="BO36">
        <f>RANK(TAcum[[#This Row],[j65]],TAcum[[#All],[j65]],0)</f>
        <v>35</v>
      </c>
      <c r="BP36">
        <f>RANK(TAcum[[#This Row],[j66]],TAcum[[#All],[j66]],0)</f>
        <v>35</v>
      </c>
      <c r="BQ36">
        <f>RANK(TAcum[[#This Row],[j67]],TAcum[[#All],[j67]],0)</f>
        <v>35</v>
      </c>
      <c r="BR36">
        <f>RANK(TAcum[[#This Row],[j68]],TAcum[[#All],[j68]],0)</f>
        <v>35</v>
      </c>
      <c r="BS36">
        <f>RANK(TAcum[[#This Row],[j69]],TAcum[[#All],[j69]],0)</f>
        <v>35</v>
      </c>
      <c r="BT36">
        <f>RANK(TAcum[[#This Row],[j70]],TAcum[[#All],[j70]],0)</f>
        <v>35</v>
      </c>
      <c r="BU36">
        <f>RANK(TAcum[[#This Row],[j71]],TAcum[[#All],[j71]],0)</f>
        <v>35</v>
      </c>
      <c r="BV36">
        <f>RANK(TAcum[[#This Row],[j72]],TAcum[[#All],[j72]],0)</f>
        <v>35</v>
      </c>
      <c r="BW36">
        <f>RANK(TAcum[[#This Row],[j73]],TAcum[[#All],[j73]],0)</f>
        <v>35</v>
      </c>
    </row>
    <row r="37" spans="1:75" x14ac:dyDescent="0.25">
      <c r="A37" t="str">
        <f>TAcum[[#This Row],[Jogador]]</f>
        <v>Rafael Rebouças de Araujo</v>
      </c>
      <c r="B37">
        <f>RANK(TAcum[[#This Row],[total]],TAcum[[#All],[total]],0)</f>
        <v>35</v>
      </c>
      <c r="C37">
        <f>RANK(TAcum[[#This Row],[j01]],TAcum[[#All],[j01]],0)</f>
        <v>78</v>
      </c>
      <c r="D37">
        <f>RANK(TAcum[[#This Row],[j02]],TAcum[[#All],[j02]],0)</f>
        <v>77</v>
      </c>
      <c r="E37">
        <f>RANK(TAcum[[#This Row],[j03]],TAcum[[#All],[j03]],0)</f>
        <v>82</v>
      </c>
      <c r="F37">
        <f>RANK(TAcum[[#This Row],[j04]],TAcum[[#All],[j04]],0)</f>
        <v>105</v>
      </c>
      <c r="G37">
        <f>RANK(TAcum[[#This Row],[j05]],TAcum[[#All],[j05]],0)</f>
        <v>105</v>
      </c>
      <c r="H37">
        <f>RANK(TAcum[[#This Row],[j06]],TAcum[[#All],[j06]],0)</f>
        <v>105</v>
      </c>
      <c r="I37">
        <f>RANK(TAcum[[#This Row],[j07]],TAcum[[#All],[j07]],0)</f>
        <v>103</v>
      </c>
      <c r="J37">
        <f>RANK(TAcum[[#This Row],[j08]],TAcum[[#All],[j08]],0)</f>
        <v>102</v>
      </c>
      <c r="K37">
        <f>RANK(TAcum[[#This Row],[j09]],TAcum[[#All],[j09]],0)</f>
        <v>102</v>
      </c>
      <c r="L37">
        <f>RANK(TAcum[[#This Row],[j10]],TAcum[[#All],[j10]],0)</f>
        <v>98</v>
      </c>
      <c r="M37">
        <f>RANK(TAcum[[#This Row],[j11]],TAcum[[#All],[j11]],0)</f>
        <v>99</v>
      </c>
      <c r="N37">
        <f>RANK(TAcum[[#This Row],[j12]],TAcum[[#All],[j12]],0)</f>
        <v>98</v>
      </c>
      <c r="O37">
        <f>RANK(TAcum[[#This Row],[j13]],TAcum[[#All],[j13]],0)</f>
        <v>80</v>
      </c>
      <c r="P37">
        <f>RANK(TAcum[[#This Row],[j14]],TAcum[[#All],[j14]],0)</f>
        <v>77</v>
      </c>
      <c r="Q37">
        <f>RANK(TAcum[[#This Row],[j15]],TAcum[[#All],[j15]],0)</f>
        <v>76</v>
      </c>
      <c r="R37">
        <f>RANK(TAcum[[#This Row],[j16]],TAcum[[#All],[j16]],0)</f>
        <v>75</v>
      </c>
      <c r="S37">
        <f>RANK(TAcum[[#This Row],[j17]],TAcum[[#All],[j17]],0)</f>
        <v>64</v>
      </c>
      <c r="T37">
        <f>RANK(TAcum[[#This Row],[j18]],TAcum[[#All],[j18]],0)</f>
        <v>67</v>
      </c>
      <c r="U37">
        <f>RANK(TAcum[[#This Row],[j19]],TAcum[[#All],[j19]],0)</f>
        <v>64</v>
      </c>
      <c r="V37">
        <f>RANK(TAcum[[#This Row],[j20]],TAcum[[#All],[j20]],0)</f>
        <v>64</v>
      </c>
      <c r="W37">
        <f>RANK(TAcum[[#This Row],[j21]],TAcum[[#All],[j21]],0)</f>
        <v>53</v>
      </c>
      <c r="X37">
        <f>RANK(TAcum[[#This Row],[j22]],TAcum[[#All],[j22]],0)</f>
        <v>25</v>
      </c>
      <c r="Y37">
        <f>RANK(TAcum[[#This Row],[j23]],TAcum[[#All],[j23]],0)</f>
        <v>55</v>
      </c>
      <c r="Z37">
        <f>RANK(TAcum[[#This Row],[j24]],TAcum[[#All],[j24]],0)</f>
        <v>36</v>
      </c>
      <c r="AA37">
        <f>RANK(TAcum[[#This Row],[j25]],TAcum[[#All],[j25]],0)</f>
        <v>52</v>
      </c>
      <c r="AB37">
        <f>RANK(TAcum[[#This Row],[j26]],TAcum[[#All],[j26]],0)</f>
        <v>30</v>
      </c>
      <c r="AC37">
        <f>RANK(TAcum[[#This Row],[j27]],TAcum[[#All],[j27]],0)</f>
        <v>30</v>
      </c>
      <c r="AD37">
        <f>RANK(TAcum[[#This Row],[j28]],TAcum[[#All],[j28]],0)</f>
        <v>29</v>
      </c>
      <c r="AE37">
        <f>RANK(TAcum[[#This Row],[j29]],TAcum[[#All],[j29]],0)</f>
        <v>35</v>
      </c>
      <c r="AF37">
        <f>RANK(TAcum[[#This Row],[j30]],TAcum[[#All],[j30]],0)</f>
        <v>35</v>
      </c>
      <c r="AG37">
        <f>RANK(TAcum[[#This Row],[j31]],TAcum[[#All],[j31]],0)</f>
        <v>35</v>
      </c>
      <c r="AH37">
        <f>RANK(TAcum[[#This Row],[j32]],TAcum[[#All],[j32]],0)</f>
        <v>35</v>
      </c>
      <c r="AI37">
        <f>RANK(TAcum[[#This Row],[j33]],TAcum[[#All],[j33]],0)</f>
        <v>35</v>
      </c>
      <c r="AJ37">
        <f>RANK(TAcum[[#This Row],[j34]],TAcum[[#All],[j34]],0)</f>
        <v>35</v>
      </c>
      <c r="AK37">
        <f>RANK(TAcum[[#This Row],[j35]],TAcum[[#All],[j35]],0)</f>
        <v>35</v>
      </c>
      <c r="AL37">
        <f>RANK(TAcum[[#This Row],[j36]],TAcum[[#All],[j36]],0)</f>
        <v>35</v>
      </c>
      <c r="AM37">
        <f>RANK(TAcum[[#This Row],[j37]],TAcum[[#All],[j37]],0)</f>
        <v>35</v>
      </c>
      <c r="AN37">
        <f>RANK(TAcum[[#This Row],[j38]],TAcum[[#All],[j38]],0)</f>
        <v>35</v>
      </c>
      <c r="AO37">
        <f>RANK(TAcum[[#This Row],[j39]],TAcum[[#All],[j39]],0)</f>
        <v>35</v>
      </c>
      <c r="AP37">
        <f>RANK(TAcum[[#This Row],[j40]],TAcum[[#All],[j40]],0)</f>
        <v>35</v>
      </c>
      <c r="AQ37">
        <f>RANK(TAcum[[#This Row],[j41]],TAcum[[#All],[j41]],0)</f>
        <v>35</v>
      </c>
      <c r="AR37">
        <f>RANK(TAcum[[#This Row],[j42]],TAcum[[#All],[j42]],0)</f>
        <v>35</v>
      </c>
      <c r="AS37">
        <f>RANK(TAcum[[#This Row],[j43]],TAcum[[#All],[j43]],0)</f>
        <v>35</v>
      </c>
      <c r="AT37">
        <f>RANK(TAcum[[#This Row],[j44]],TAcum[[#All],[j44]],0)</f>
        <v>35</v>
      </c>
      <c r="AU37">
        <f>RANK(TAcum[[#This Row],[j45]],TAcum[[#All],[j45]],0)</f>
        <v>35</v>
      </c>
      <c r="AV37">
        <f>RANK(TAcum[[#This Row],[j46]],TAcum[[#All],[j46]],0)</f>
        <v>35</v>
      </c>
      <c r="AW37">
        <f>RANK(TAcum[[#This Row],[j47]],TAcum[[#All],[j47]],0)</f>
        <v>35</v>
      </c>
      <c r="AX37">
        <f>RANK(TAcum[[#This Row],[j48]],TAcum[[#All],[j48]],0)</f>
        <v>35</v>
      </c>
      <c r="AY37">
        <f>RANK(TAcum[[#This Row],[j49]],TAcum[[#All],[j49]],0)</f>
        <v>35</v>
      </c>
      <c r="AZ37">
        <f>RANK(TAcum[[#This Row],[j50]],TAcum[[#All],[j50]],0)</f>
        <v>35</v>
      </c>
      <c r="BA37">
        <f>RANK(TAcum[[#This Row],[j51]],TAcum[[#All],[j51]],0)</f>
        <v>35</v>
      </c>
      <c r="BB37">
        <f>RANK(TAcum[[#This Row],[j52]],TAcum[[#All],[j52]],0)</f>
        <v>35</v>
      </c>
      <c r="BC37">
        <f>RANK(TAcum[[#This Row],[j53]],TAcum[[#All],[j53]],0)</f>
        <v>35</v>
      </c>
      <c r="BD37">
        <f>RANK(TAcum[[#This Row],[j54]],TAcum[[#All],[j54]],0)</f>
        <v>35</v>
      </c>
      <c r="BE37">
        <f>RANK(TAcum[[#This Row],[j55]],TAcum[[#All],[j55]],0)</f>
        <v>35</v>
      </c>
      <c r="BF37">
        <f>RANK(TAcum[[#This Row],[j56]],TAcum[[#All],[j56]],0)</f>
        <v>35</v>
      </c>
      <c r="BG37">
        <f>RANK(TAcum[[#This Row],[j57]],TAcum[[#All],[j57]],0)</f>
        <v>35</v>
      </c>
      <c r="BH37">
        <f>RANK(TAcum[[#This Row],[j58]],TAcum[[#All],[j58]],0)</f>
        <v>35</v>
      </c>
      <c r="BI37">
        <f>RANK(TAcum[[#This Row],[j59]],TAcum[[#All],[j59]],0)</f>
        <v>35</v>
      </c>
      <c r="BJ37">
        <f>RANK(TAcum[[#This Row],[j60]],TAcum[[#All],[j60]],0)</f>
        <v>35</v>
      </c>
      <c r="BK37">
        <f>RANK(TAcum[[#This Row],[j61]],TAcum[[#All],[j61]],0)</f>
        <v>35</v>
      </c>
      <c r="BL37">
        <f>RANK(TAcum[[#This Row],[j62]],TAcum[[#All],[j62]],0)</f>
        <v>35</v>
      </c>
      <c r="BM37">
        <f>RANK(TAcum[[#This Row],[j63]],TAcum[[#All],[j63]],0)</f>
        <v>35</v>
      </c>
      <c r="BN37">
        <f>RANK(TAcum[[#This Row],[j64]],TAcum[[#All],[j64]],0)</f>
        <v>35</v>
      </c>
      <c r="BO37">
        <f>RANK(TAcum[[#This Row],[j65]],TAcum[[#All],[j65]],0)</f>
        <v>35</v>
      </c>
      <c r="BP37">
        <f>RANK(TAcum[[#This Row],[j66]],TAcum[[#All],[j66]],0)</f>
        <v>35</v>
      </c>
      <c r="BQ37">
        <f>RANK(TAcum[[#This Row],[j67]],TAcum[[#All],[j67]],0)</f>
        <v>35</v>
      </c>
      <c r="BR37">
        <f>RANK(TAcum[[#This Row],[j68]],TAcum[[#All],[j68]],0)</f>
        <v>35</v>
      </c>
      <c r="BS37">
        <f>RANK(TAcum[[#This Row],[j69]],TAcum[[#All],[j69]],0)</f>
        <v>35</v>
      </c>
      <c r="BT37">
        <f>RANK(TAcum[[#This Row],[j70]],TAcum[[#All],[j70]],0)</f>
        <v>35</v>
      </c>
      <c r="BU37">
        <f>RANK(TAcum[[#This Row],[j71]],TAcum[[#All],[j71]],0)</f>
        <v>35</v>
      </c>
      <c r="BV37">
        <f>RANK(TAcum[[#This Row],[j72]],TAcum[[#All],[j72]],0)</f>
        <v>35</v>
      </c>
      <c r="BW37">
        <f>RANK(TAcum[[#This Row],[j73]],TAcum[[#All],[j73]],0)</f>
        <v>35</v>
      </c>
    </row>
    <row r="38" spans="1:75" x14ac:dyDescent="0.25">
      <c r="A38" t="str">
        <f>TAcum[[#This Row],[Jogador]]</f>
        <v>Robson Guimarães</v>
      </c>
      <c r="B38">
        <f>RANK(TAcum[[#This Row],[total]],TAcum[[#All],[total]],0)</f>
        <v>35</v>
      </c>
      <c r="C38">
        <f>RANK(TAcum[[#This Row],[j01]],TAcum[[#All],[j01]],0)</f>
        <v>65</v>
      </c>
      <c r="D38">
        <f>RANK(TAcum[[#This Row],[j02]],TAcum[[#All],[j02]],0)</f>
        <v>62</v>
      </c>
      <c r="E38">
        <f>RANK(TAcum[[#This Row],[j03]],TAcum[[#All],[j03]],0)</f>
        <v>75</v>
      </c>
      <c r="F38">
        <f>RANK(TAcum[[#This Row],[j04]],TAcum[[#All],[j04]],0)</f>
        <v>77</v>
      </c>
      <c r="G38">
        <f>RANK(TAcum[[#This Row],[j05]],TAcum[[#All],[j05]],0)</f>
        <v>79</v>
      </c>
      <c r="H38">
        <f>RANK(TAcum[[#This Row],[j06]],TAcum[[#All],[j06]],0)</f>
        <v>77</v>
      </c>
      <c r="I38">
        <f>RANK(TAcum[[#This Row],[j07]],TAcum[[#All],[j07]],0)</f>
        <v>67</v>
      </c>
      <c r="J38">
        <f>RANK(TAcum[[#This Row],[j08]],TAcum[[#All],[j08]],0)</f>
        <v>61</v>
      </c>
      <c r="K38">
        <f>RANK(TAcum[[#This Row],[j09]],TAcum[[#All],[j09]],0)</f>
        <v>60</v>
      </c>
      <c r="L38">
        <f>RANK(TAcum[[#This Row],[j10]],TAcum[[#All],[j10]],0)</f>
        <v>50</v>
      </c>
      <c r="M38">
        <f>RANK(TAcum[[#This Row],[j11]],TAcum[[#All],[j11]],0)</f>
        <v>49</v>
      </c>
      <c r="N38">
        <f>RANK(TAcum[[#This Row],[j12]],TAcum[[#All],[j12]],0)</f>
        <v>48</v>
      </c>
      <c r="O38">
        <f>RANK(TAcum[[#This Row],[j13]],TAcum[[#All],[j13]],0)</f>
        <v>68</v>
      </c>
      <c r="P38">
        <f>RANK(TAcum[[#This Row],[j14]],TAcum[[#All],[j14]],0)</f>
        <v>52</v>
      </c>
      <c r="Q38">
        <f>RANK(TAcum[[#This Row],[j15]],TAcum[[#All],[j15]],0)</f>
        <v>51</v>
      </c>
      <c r="R38">
        <f>RANK(TAcum[[#This Row],[j16]],TAcum[[#All],[j16]],0)</f>
        <v>59</v>
      </c>
      <c r="S38">
        <f>RANK(TAcum[[#This Row],[j17]],TAcum[[#All],[j17]],0)</f>
        <v>64</v>
      </c>
      <c r="T38">
        <f>RANK(TAcum[[#This Row],[j18]],TAcum[[#All],[j18]],0)</f>
        <v>67</v>
      </c>
      <c r="U38">
        <f>RANK(TAcum[[#This Row],[j19]],TAcum[[#All],[j19]],0)</f>
        <v>64</v>
      </c>
      <c r="V38">
        <f>RANK(TAcum[[#This Row],[j20]],TAcum[[#All],[j20]],0)</f>
        <v>70</v>
      </c>
      <c r="W38">
        <f>RANK(TAcum[[#This Row],[j21]],TAcum[[#All],[j21]],0)</f>
        <v>67</v>
      </c>
      <c r="X38">
        <f>RANK(TAcum[[#This Row],[j22]],TAcum[[#All],[j22]],0)</f>
        <v>40</v>
      </c>
      <c r="Y38">
        <f>RANK(TAcum[[#This Row],[j23]],TAcum[[#All],[j23]],0)</f>
        <v>32</v>
      </c>
      <c r="Z38">
        <f>RANK(TAcum[[#This Row],[j24]],TAcum[[#All],[j24]],0)</f>
        <v>20</v>
      </c>
      <c r="AA38">
        <f>RANK(TAcum[[#This Row],[j25]],TAcum[[#All],[j25]],0)</f>
        <v>25</v>
      </c>
      <c r="AB38">
        <f>RANK(TAcum[[#This Row],[j26]],TAcum[[#All],[j26]],0)</f>
        <v>22</v>
      </c>
      <c r="AC38">
        <f>RANK(TAcum[[#This Row],[j27]],TAcum[[#All],[j27]],0)</f>
        <v>22</v>
      </c>
      <c r="AD38">
        <f>RANK(TAcum[[#This Row],[j28]],TAcum[[#All],[j28]],0)</f>
        <v>25</v>
      </c>
      <c r="AE38">
        <f>RANK(TAcum[[#This Row],[j29]],TAcum[[#All],[j29]],0)</f>
        <v>35</v>
      </c>
      <c r="AF38">
        <f>RANK(TAcum[[#This Row],[j30]],TAcum[[#All],[j30]],0)</f>
        <v>35</v>
      </c>
      <c r="AG38">
        <f>RANK(TAcum[[#This Row],[j31]],TAcum[[#All],[j31]],0)</f>
        <v>35</v>
      </c>
      <c r="AH38">
        <f>RANK(TAcum[[#This Row],[j32]],TAcum[[#All],[j32]],0)</f>
        <v>35</v>
      </c>
      <c r="AI38">
        <f>RANK(TAcum[[#This Row],[j33]],TAcum[[#All],[j33]],0)</f>
        <v>35</v>
      </c>
      <c r="AJ38">
        <f>RANK(TAcum[[#This Row],[j34]],TAcum[[#All],[j34]],0)</f>
        <v>35</v>
      </c>
      <c r="AK38">
        <f>RANK(TAcum[[#This Row],[j35]],TAcum[[#All],[j35]],0)</f>
        <v>35</v>
      </c>
      <c r="AL38">
        <f>RANK(TAcum[[#This Row],[j36]],TAcum[[#All],[j36]],0)</f>
        <v>35</v>
      </c>
      <c r="AM38">
        <f>RANK(TAcum[[#This Row],[j37]],TAcum[[#All],[j37]],0)</f>
        <v>35</v>
      </c>
      <c r="AN38">
        <f>RANK(TAcum[[#This Row],[j38]],TAcum[[#All],[j38]],0)</f>
        <v>35</v>
      </c>
      <c r="AO38">
        <f>RANK(TAcum[[#This Row],[j39]],TAcum[[#All],[j39]],0)</f>
        <v>35</v>
      </c>
      <c r="AP38">
        <f>RANK(TAcum[[#This Row],[j40]],TAcum[[#All],[j40]],0)</f>
        <v>35</v>
      </c>
      <c r="AQ38">
        <f>RANK(TAcum[[#This Row],[j41]],TAcum[[#All],[j41]],0)</f>
        <v>35</v>
      </c>
      <c r="AR38">
        <f>RANK(TAcum[[#This Row],[j42]],TAcum[[#All],[j42]],0)</f>
        <v>35</v>
      </c>
      <c r="AS38">
        <f>RANK(TAcum[[#This Row],[j43]],TAcum[[#All],[j43]],0)</f>
        <v>35</v>
      </c>
      <c r="AT38">
        <f>RANK(TAcum[[#This Row],[j44]],TAcum[[#All],[j44]],0)</f>
        <v>35</v>
      </c>
      <c r="AU38">
        <f>RANK(TAcum[[#This Row],[j45]],TAcum[[#All],[j45]],0)</f>
        <v>35</v>
      </c>
      <c r="AV38">
        <f>RANK(TAcum[[#This Row],[j46]],TAcum[[#All],[j46]],0)</f>
        <v>35</v>
      </c>
      <c r="AW38">
        <f>RANK(TAcum[[#This Row],[j47]],TAcum[[#All],[j47]],0)</f>
        <v>35</v>
      </c>
      <c r="AX38">
        <f>RANK(TAcum[[#This Row],[j48]],TAcum[[#All],[j48]],0)</f>
        <v>35</v>
      </c>
      <c r="AY38">
        <f>RANK(TAcum[[#This Row],[j49]],TAcum[[#All],[j49]],0)</f>
        <v>35</v>
      </c>
      <c r="AZ38">
        <f>RANK(TAcum[[#This Row],[j50]],TAcum[[#All],[j50]],0)</f>
        <v>35</v>
      </c>
      <c r="BA38">
        <f>RANK(TAcum[[#This Row],[j51]],TAcum[[#All],[j51]],0)</f>
        <v>35</v>
      </c>
      <c r="BB38">
        <f>RANK(TAcum[[#This Row],[j52]],TAcum[[#All],[j52]],0)</f>
        <v>35</v>
      </c>
      <c r="BC38">
        <f>RANK(TAcum[[#This Row],[j53]],TAcum[[#All],[j53]],0)</f>
        <v>35</v>
      </c>
      <c r="BD38">
        <f>RANK(TAcum[[#This Row],[j54]],TAcum[[#All],[j54]],0)</f>
        <v>35</v>
      </c>
      <c r="BE38">
        <f>RANK(TAcum[[#This Row],[j55]],TAcum[[#All],[j55]],0)</f>
        <v>35</v>
      </c>
      <c r="BF38">
        <f>RANK(TAcum[[#This Row],[j56]],TAcum[[#All],[j56]],0)</f>
        <v>35</v>
      </c>
      <c r="BG38">
        <f>RANK(TAcum[[#This Row],[j57]],TAcum[[#All],[j57]],0)</f>
        <v>35</v>
      </c>
      <c r="BH38">
        <f>RANK(TAcum[[#This Row],[j58]],TAcum[[#All],[j58]],0)</f>
        <v>35</v>
      </c>
      <c r="BI38">
        <f>RANK(TAcum[[#This Row],[j59]],TAcum[[#All],[j59]],0)</f>
        <v>35</v>
      </c>
      <c r="BJ38">
        <f>RANK(TAcum[[#This Row],[j60]],TAcum[[#All],[j60]],0)</f>
        <v>35</v>
      </c>
      <c r="BK38">
        <f>RANK(TAcum[[#This Row],[j61]],TAcum[[#All],[j61]],0)</f>
        <v>35</v>
      </c>
      <c r="BL38">
        <f>RANK(TAcum[[#This Row],[j62]],TAcum[[#All],[j62]],0)</f>
        <v>35</v>
      </c>
      <c r="BM38">
        <f>RANK(TAcum[[#This Row],[j63]],TAcum[[#All],[j63]],0)</f>
        <v>35</v>
      </c>
      <c r="BN38">
        <f>RANK(TAcum[[#This Row],[j64]],TAcum[[#All],[j64]],0)</f>
        <v>35</v>
      </c>
      <c r="BO38">
        <f>RANK(TAcum[[#This Row],[j65]],TAcum[[#All],[j65]],0)</f>
        <v>35</v>
      </c>
      <c r="BP38">
        <f>RANK(TAcum[[#This Row],[j66]],TAcum[[#All],[j66]],0)</f>
        <v>35</v>
      </c>
      <c r="BQ38">
        <f>RANK(TAcum[[#This Row],[j67]],TAcum[[#All],[j67]],0)</f>
        <v>35</v>
      </c>
      <c r="BR38">
        <f>RANK(TAcum[[#This Row],[j68]],TAcum[[#All],[j68]],0)</f>
        <v>35</v>
      </c>
      <c r="BS38">
        <f>RANK(TAcum[[#This Row],[j69]],TAcum[[#All],[j69]],0)</f>
        <v>35</v>
      </c>
      <c r="BT38">
        <f>RANK(TAcum[[#This Row],[j70]],TAcum[[#All],[j70]],0)</f>
        <v>35</v>
      </c>
      <c r="BU38">
        <f>RANK(TAcum[[#This Row],[j71]],TAcum[[#All],[j71]],0)</f>
        <v>35</v>
      </c>
      <c r="BV38">
        <f>RANK(TAcum[[#This Row],[j72]],TAcum[[#All],[j72]],0)</f>
        <v>35</v>
      </c>
      <c r="BW38">
        <f>RANK(TAcum[[#This Row],[j73]],TAcum[[#All],[j73]],0)</f>
        <v>35</v>
      </c>
    </row>
    <row r="39" spans="1:75" x14ac:dyDescent="0.25">
      <c r="A39" t="str">
        <f>TAcum[[#This Row],[Jogador]]</f>
        <v>Ronaldo Araújo</v>
      </c>
      <c r="B39">
        <f>RANK(TAcum[[#This Row],[total]],TAcum[[#All],[total]],0)</f>
        <v>35</v>
      </c>
      <c r="C39">
        <f>RANK(TAcum[[#This Row],[j01]],TAcum[[#All],[j01]],0)</f>
        <v>78</v>
      </c>
      <c r="D39">
        <f>RANK(TAcum[[#This Row],[j02]],TAcum[[#All],[j02]],0)</f>
        <v>77</v>
      </c>
      <c r="E39">
        <f>RANK(TAcum[[#This Row],[j03]],TAcum[[#All],[j03]],0)</f>
        <v>82</v>
      </c>
      <c r="F39">
        <f>RANK(TAcum[[#This Row],[j04]],TAcum[[#All],[j04]],0)</f>
        <v>105</v>
      </c>
      <c r="G39">
        <f>RANK(TAcum[[#This Row],[j05]],TAcum[[#All],[j05]],0)</f>
        <v>105</v>
      </c>
      <c r="H39">
        <f>RANK(TAcum[[#This Row],[j06]],TAcum[[#All],[j06]],0)</f>
        <v>105</v>
      </c>
      <c r="I39">
        <f>RANK(TAcum[[#This Row],[j07]],TAcum[[#All],[j07]],0)</f>
        <v>97</v>
      </c>
      <c r="J39">
        <f>RANK(TAcum[[#This Row],[j08]],TAcum[[#All],[j08]],0)</f>
        <v>98</v>
      </c>
      <c r="K39">
        <f>RANK(TAcum[[#This Row],[j09]],TAcum[[#All],[j09]],0)</f>
        <v>97</v>
      </c>
      <c r="L39">
        <f>RANK(TAcum[[#This Row],[j10]],TAcum[[#All],[j10]],0)</f>
        <v>96</v>
      </c>
      <c r="M39">
        <f>RANK(TAcum[[#This Row],[j11]],TAcum[[#All],[j11]],0)</f>
        <v>88</v>
      </c>
      <c r="N39">
        <f>RANK(TAcum[[#This Row],[j12]],TAcum[[#All],[j12]],0)</f>
        <v>85</v>
      </c>
      <c r="O39">
        <f>RANK(TAcum[[#This Row],[j13]],TAcum[[#All],[j13]],0)</f>
        <v>59</v>
      </c>
      <c r="P39">
        <f>RANK(TAcum[[#This Row],[j14]],TAcum[[#All],[j14]],0)</f>
        <v>59</v>
      </c>
      <c r="Q39">
        <f>RANK(TAcum[[#This Row],[j15]],TAcum[[#All],[j15]],0)</f>
        <v>61</v>
      </c>
      <c r="R39">
        <f>RANK(TAcum[[#This Row],[j16]],TAcum[[#All],[j16]],0)</f>
        <v>49</v>
      </c>
      <c r="S39">
        <f>RANK(TAcum[[#This Row],[j17]],TAcum[[#All],[j17]],0)</f>
        <v>57</v>
      </c>
      <c r="T39">
        <f>RANK(TAcum[[#This Row],[j18]],TAcum[[#All],[j18]],0)</f>
        <v>60</v>
      </c>
      <c r="U39">
        <f>RANK(TAcum[[#This Row],[j19]],TAcum[[#All],[j19]],0)</f>
        <v>60</v>
      </c>
      <c r="V39">
        <f>RANK(TAcum[[#This Row],[j20]],TAcum[[#All],[j20]],0)</f>
        <v>58</v>
      </c>
      <c r="W39">
        <f>RANK(TAcum[[#This Row],[j21]],TAcum[[#All],[j21]],0)</f>
        <v>60</v>
      </c>
      <c r="X39">
        <f>RANK(TAcum[[#This Row],[j22]],TAcum[[#All],[j22]],0)</f>
        <v>29</v>
      </c>
      <c r="Y39">
        <f>RANK(TAcum[[#This Row],[j23]],TAcum[[#All],[j23]],0)</f>
        <v>36</v>
      </c>
      <c r="Z39">
        <f>RANK(TAcum[[#This Row],[j24]],TAcum[[#All],[j24]],0)</f>
        <v>34</v>
      </c>
      <c r="AA39">
        <f>RANK(TAcum[[#This Row],[j25]],TAcum[[#All],[j25]],0)</f>
        <v>35</v>
      </c>
      <c r="AB39">
        <f>RANK(TAcum[[#This Row],[j26]],TAcum[[#All],[j26]],0)</f>
        <v>36</v>
      </c>
      <c r="AC39">
        <f>RANK(TAcum[[#This Row],[j27]],TAcum[[#All],[j27]],0)</f>
        <v>37</v>
      </c>
      <c r="AD39">
        <f>RANK(TAcum[[#This Row],[j28]],TAcum[[#All],[j28]],0)</f>
        <v>36</v>
      </c>
      <c r="AE39">
        <f>RANK(TAcum[[#This Row],[j29]],TAcum[[#All],[j29]],0)</f>
        <v>35</v>
      </c>
      <c r="AF39">
        <f>RANK(TAcum[[#This Row],[j30]],TAcum[[#All],[j30]],0)</f>
        <v>35</v>
      </c>
      <c r="AG39">
        <f>RANK(TAcum[[#This Row],[j31]],TAcum[[#All],[j31]],0)</f>
        <v>35</v>
      </c>
      <c r="AH39">
        <f>RANK(TAcum[[#This Row],[j32]],TAcum[[#All],[j32]],0)</f>
        <v>35</v>
      </c>
      <c r="AI39">
        <f>RANK(TAcum[[#This Row],[j33]],TAcum[[#All],[j33]],0)</f>
        <v>35</v>
      </c>
      <c r="AJ39">
        <f>RANK(TAcum[[#This Row],[j34]],TAcum[[#All],[j34]],0)</f>
        <v>35</v>
      </c>
      <c r="AK39">
        <f>RANK(TAcum[[#This Row],[j35]],TAcum[[#All],[j35]],0)</f>
        <v>35</v>
      </c>
      <c r="AL39">
        <f>RANK(TAcum[[#This Row],[j36]],TAcum[[#All],[j36]],0)</f>
        <v>35</v>
      </c>
      <c r="AM39">
        <f>RANK(TAcum[[#This Row],[j37]],TAcum[[#All],[j37]],0)</f>
        <v>35</v>
      </c>
      <c r="AN39">
        <f>RANK(TAcum[[#This Row],[j38]],TAcum[[#All],[j38]],0)</f>
        <v>35</v>
      </c>
      <c r="AO39">
        <f>RANK(TAcum[[#This Row],[j39]],TAcum[[#All],[j39]],0)</f>
        <v>35</v>
      </c>
      <c r="AP39">
        <f>RANK(TAcum[[#This Row],[j40]],TAcum[[#All],[j40]],0)</f>
        <v>35</v>
      </c>
      <c r="AQ39">
        <f>RANK(TAcum[[#This Row],[j41]],TAcum[[#All],[j41]],0)</f>
        <v>35</v>
      </c>
      <c r="AR39">
        <f>RANK(TAcum[[#This Row],[j42]],TAcum[[#All],[j42]],0)</f>
        <v>35</v>
      </c>
      <c r="AS39">
        <f>RANK(TAcum[[#This Row],[j43]],TAcum[[#All],[j43]],0)</f>
        <v>35</v>
      </c>
      <c r="AT39">
        <f>RANK(TAcum[[#This Row],[j44]],TAcum[[#All],[j44]],0)</f>
        <v>35</v>
      </c>
      <c r="AU39">
        <f>RANK(TAcum[[#This Row],[j45]],TAcum[[#All],[j45]],0)</f>
        <v>35</v>
      </c>
      <c r="AV39">
        <f>RANK(TAcum[[#This Row],[j46]],TAcum[[#All],[j46]],0)</f>
        <v>35</v>
      </c>
      <c r="AW39">
        <f>RANK(TAcum[[#This Row],[j47]],TAcum[[#All],[j47]],0)</f>
        <v>35</v>
      </c>
      <c r="AX39">
        <f>RANK(TAcum[[#This Row],[j48]],TAcum[[#All],[j48]],0)</f>
        <v>35</v>
      </c>
      <c r="AY39">
        <f>RANK(TAcum[[#This Row],[j49]],TAcum[[#All],[j49]],0)</f>
        <v>35</v>
      </c>
      <c r="AZ39">
        <f>RANK(TAcum[[#This Row],[j50]],TAcum[[#All],[j50]],0)</f>
        <v>35</v>
      </c>
      <c r="BA39">
        <f>RANK(TAcum[[#This Row],[j51]],TAcum[[#All],[j51]],0)</f>
        <v>35</v>
      </c>
      <c r="BB39">
        <f>RANK(TAcum[[#This Row],[j52]],TAcum[[#All],[j52]],0)</f>
        <v>35</v>
      </c>
      <c r="BC39">
        <f>RANK(TAcum[[#This Row],[j53]],TAcum[[#All],[j53]],0)</f>
        <v>35</v>
      </c>
      <c r="BD39">
        <f>RANK(TAcum[[#This Row],[j54]],TAcum[[#All],[j54]],0)</f>
        <v>35</v>
      </c>
      <c r="BE39">
        <f>RANK(TAcum[[#This Row],[j55]],TAcum[[#All],[j55]],0)</f>
        <v>35</v>
      </c>
      <c r="BF39">
        <f>RANK(TAcum[[#This Row],[j56]],TAcum[[#All],[j56]],0)</f>
        <v>35</v>
      </c>
      <c r="BG39">
        <f>RANK(TAcum[[#This Row],[j57]],TAcum[[#All],[j57]],0)</f>
        <v>35</v>
      </c>
      <c r="BH39">
        <f>RANK(TAcum[[#This Row],[j58]],TAcum[[#All],[j58]],0)</f>
        <v>35</v>
      </c>
      <c r="BI39">
        <f>RANK(TAcum[[#This Row],[j59]],TAcum[[#All],[j59]],0)</f>
        <v>35</v>
      </c>
      <c r="BJ39">
        <f>RANK(TAcum[[#This Row],[j60]],TAcum[[#All],[j60]],0)</f>
        <v>35</v>
      </c>
      <c r="BK39">
        <f>RANK(TAcum[[#This Row],[j61]],TAcum[[#All],[j61]],0)</f>
        <v>35</v>
      </c>
      <c r="BL39">
        <f>RANK(TAcum[[#This Row],[j62]],TAcum[[#All],[j62]],0)</f>
        <v>35</v>
      </c>
      <c r="BM39">
        <f>RANK(TAcum[[#This Row],[j63]],TAcum[[#All],[j63]],0)</f>
        <v>35</v>
      </c>
      <c r="BN39">
        <f>RANK(TAcum[[#This Row],[j64]],TAcum[[#All],[j64]],0)</f>
        <v>35</v>
      </c>
      <c r="BO39">
        <f>RANK(TAcum[[#This Row],[j65]],TAcum[[#All],[j65]],0)</f>
        <v>35</v>
      </c>
      <c r="BP39">
        <f>RANK(TAcum[[#This Row],[j66]],TAcum[[#All],[j66]],0)</f>
        <v>35</v>
      </c>
      <c r="BQ39">
        <f>RANK(TAcum[[#This Row],[j67]],TAcum[[#All],[j67]],0)</f>
        <v>35</v>
      </c>
      <c r="BR39">
        <f>RANK(TAcum[[#This Row],[j68]],TAcum[[#All],[j68]],0)</f>
        <v>35</v>
      </c>
      <c r="BS39">
        <f>RANK(TAcum[[#This Row],[j69]],TAcum[[#All],[j69]],0)</f>
        <v>35</v>
      </c>
      <c r="BT39">
        <f>RANK(TAcum[[#This Row],[j70]],TAcum[[#All],[j70]],0)</f>
        <v>35</v>
      </c>
      <c r="BU39">
        <f>RANK(TAcum[[#This Row],[j71]],TAcum[[#All],[j71]],0)</f>
        <v>35</v>
      </c>
      <c r="BV39">
        <f>RANK(TAcum[[#This Row],[j72]],TAcum[[#All],[j72]],0)</f>
        <v>35</v>
      </c>
      <c r="BW39">
        <f>RANK(TAcum[[#This Row],[j73]],TAcum[[#All],[j73]],0)</f>
        <v>35</v>
      </c>
    </row>
    <row r="40" spans="1:75" x14ac:dyDescent="0.25">
      <c r="A40" t="str">
        <f>TAcum[[#This Row],[Jogador]]</f>
        <v>Danilo Alves</v>
      </c>
      <c r="B40">
        <f>RANK(TAcum[[#This Row],[total]],TAcum[[#All],[total]],0)</f>
        <v>39</v>
      </c>
      <c r="C40">
        <f>RANK(TAcum[[#This Row],[j01]],TAcum[[#All],[j01]],0)</f>
        <v>13</v>
      </c>
      <c r="D40">
        <f>RANK(TAcum[[#This Row],[j02]],TAcum[[#All],[j02]],0)</f>
        <v>14</v>
      </c>
      <c r="E40">
        <f>RANK(TAcum[[#This Row],[j03]],TAcum[[#All],[j03]],0)</f>
        <v>3</v>
      </c>
      <c r="F40">
        <f>RANK(TAcum[[#This Row],[j04]],TAcum[[#All],[j04]],0)</f>
        <v>1</v>
      </c>
      <c r="G40">
        <f>RANK(TAcum[[#This Row],[j05]],TAcum[[#All],[j05]],0)</f>
        <v>1</v>
      </c>
      <c r="H40">
        <f>RANK(TAcum[[#This Row],[j06]],TAcum[[#All],[j06]],0)</f>
        <v>1</v>
      </c>
      <c r="I40">
        <f>RANK(TAcum[[#This Row],[j07]],TAcum[[#All],[j07]],0)</f>
        <v>1</v>
      </c>
      <c r="J40">
        <f>RANK(TAcum[[#This Row],[j08]],TAcum[[#All],[j08]],0)</f>
        <v>2</v>
      </c>
      <c r="K40">
        <f>RANK(TAcum[[#This Row],[j09]],TAcum[[#All],[j09]],0)</f>
        <v>5</v>
      </c>
      <c r="L40">
        <f>RANK(TAcum[[#This Row],[j10]],TAcum[[#All],[j10]],0)</f>
        <v>5</v>
      </c>
      <c r="M40">
        <f>RANK(TAcum[[#This Row],[j11]],TAcum[[#All],[j11]],0)</f>
        <v>4</v>
      </c>
      <c r="N40">
        <f>RANK(TAcum[[#This Row],[j12]],TAcum[[#All],[j12]],0)</f>
        <v>7</v>
      </c>
      <c r="O40">
        <f>RANK(TAcum[[#This Row],[j13]],TAcum[[#All],[j13]],0)</f>
        <v>1</v>
      </c>
      <c r="P40">
        <f>RANK(TAcum[[#This Row],[j14]],TAcum[[#All],[j14]],0)</f>
        <v>6</v>
      </c>
      <c r="Q40">
        <f>RANK(TAcum[[#This Row],[j15]],TAcum[[#All],[j15]],0)</f>
        <v>5</v>
      </c>
      <c r="R40">
        <f>RANK(TAcum[[#This Row],[j16]],TAcum[[#All],[j16]],0)</f>
        <v>5</v>
      </c>
      <c r="S40">
        <f>RANK(TAcum[[#This Row],[j17]],TAcum[[#All],[j17]],0)</f>
        <v>9</v>
      </c>
      <c r="T40">
        <f>RANK(TAcum[[#This Row],[j18]],TAcum[[#All],[j18]],0)</f>
        <v>11</v>
      </c>
      <c r="U40">
        <f>RANK(TAcum[[#This Row],[j19]],TAcum[[#All],[j19]],0)</f>
        <v>26</v>
      </c>
      <c r="V40">
        <f>RANK(TAcum[[#This Row],[j20]],TAcum[[#All],[j20]],0)</f>
        <v>27</v>
      </c>
      <c r="W40">
        <f>RANK(TAcum[[#This Row],[j21]],TAcum[[#All],[j21]],0)</f>
        <v>30</v>
      </c>
      <c r="X40">
        <f>RANK(TAcum[[#This Row],[j22]],TAcum[[#All],[j22]],0)</f>
        <v>34</v>
      </c>
      <c r="Y40">
        <f>RANK(TAcum[[#This Row],[j23]],TAcum[[#All],[j23]],0)</f>
        <v>43</v>
      </c>
      <c r="Z40">
        <f>RANK(TAcum[[#This Row],[j24]],TAcum[[#All],[j24]],0)</f>
        <v>28</v>
      </c>
      <c r="AA40">
        <f>RANK(TAcum[[#This Row],[j25]],TAcum[[#All],[j25]],0)</f>
        <v>32</v>
      </c>
      <c r="AB40">
        <f>RANK(TAcum[[#This Row],[j26]],TAcum[[#All],[j26]],0)</f>
        <v>31</v>
      </c>
      <c r="AC40">
        <f>RANK(TAcum[[#This Row],[j27]],TAcum[[#All],[j27]],0)</f>
        <v>31</v>
      </c>
      <c r="AD40">
        <f>RANK(TAcum[[#This Row],[j28]],TAcum[[#All],[j28]],0)</f>
        <v>31</v>
      </c>
      <c r="AE40">
        <f>RANK(TAcum[[#This Row],[j29]],TAcum[[#All],[j29]],0)</f>
        <v>39</v>
      </c>
      <c r="AF40">
        <f>RANK(TAcum[[#This Row],[j30]],TAcum[[#All],[j30]],0)</f>
        <v>39</v>
      </c>
      <c r="AG40">
        <f>RANK(TAcum[[#This Row],[j31]],TAcum[[#All],[j31]],0)</f>
        <v>39</v>
      </c>
      <c r="AH40">
        <f>RANK(TAcum[[#This Row],[j32]],TAcum[[#All],[j32]],0)</f>
        <v>39</v>
      </c>
      <c r="AI40">
        <f>RANK(TAcum[[#This Row],[j33]],TAcum[[#All],[j33]],0)</f>
        <v>39</v>
      </c>
      <c r="AJ40">
        <f>RANK(TAcum[[#This Row],[j34]],TAcum[[#All],[j34]],0)</f>
        <v>39</v>
      </c>
      <c r="AK40">
        <f>RANK(TAcum[[#This Row],[j35]],TAcum[[#All],[j35]],0)</f>
        <v>39</v>
      </c>
      <c r="AL40">
        <f>RANK(TAcum[[#This Row],[j36]],TAcum[[#All],[j36]],0)</f>
        <v>39</v>
      </c>
      <c r="AM40">
        <f>RANK(TAcum[[#This Row],[j37]],TAcum[[#All],[j37]],0)</f>
        <v>39</v>
      </c>
      <c r="AN40">
        <f>RANK(TAcum[[#This Row],[j38]],TAcum[[#All],[j38]],0)</f>
        <v>39</v>
      </c>
      <c r="AO40">
        <f>RANK(TAcum[[#This Row],[j39]],TAcum[[#All],[j39]],0)</f>
        <v>39</v>
      </c>
      <c r="AP40">
        <f>RANK(TAcum[[#This Row],[j40]],TAcum[[#All],[j40]],0)</f>
        <v>39</v>
      </c>
      <c r="AQ40">
        <f>RANK(TAcum[[#This Row],[j41]],TAcum[[#All],[j41]],0)</f>
        <v>39</v>
      </c>
      <c r="AR40">
        <f>RANK(TAcum[[#This Row],[j42]],TAcum[[#All],[j42]],0)</f>
        <v>39</v>
      </c>
      <c r="AS40">
        <f>RANK(TAcum[[#This Row],[j43]],TAcum[[#All],[j43]],0)</f>
        <v>39</v>
      </c>
      <c r="AT40">
        <f>RANK(TAcum[[#This Row],[j44]],TAcum[[#All],[j44]],0)</f>
        <v>39</v>
      </c>
      <c r="AU40">
        <f>RANK(TAcum[[#This Row],[j45]],TAcum[[#All],[j45]],0)</f>
        <v>39</v>
      </c>
      <c r="AV40">
        <f>RANK(TAcum[[#This Row],[j46]],TAcum[[#All],[j46]],0)</f>
        <v>39</v>
      </c>
      <c r="AW40">
        <f>RANK(TAcum[[#This Row],[j47]],TAcum[[#All],[j47]],0)</f>
        <v>39</v>
      </c>
      <c r="AX40">
        <f>RANK(TAcum[[#This Row],[j48]],TAcum[[#All],[j48]],0)</f>
        <v>39</v>
      </c>
      <c r="AY40">
        <f>RANK(TAcum[[#This Row],[j49]],TAcum[[#All],[j49]],0)</f>
        <v>39</v>
      </c>
      <c r="AZ40">
        <f>RANK(TAcum[[#This Row],[j50]],TAcum[[#All],[j50]],0)</f>
        <v>39</v>
      </c>
      <c r="BA40">
        <f>RANK(TAcum[[#This Row],[j51]],TAcum[[#All],[j51]],0)</f>
        <v>39</v>
      </c>
      <c r="BB40">
        <f>RANK(TAcum[[#This Row],[j52]],TAcum[[#All],[j52]],0)</f>
        <v>39</v>
      </c>
      <c r="BC40">
        <f>RANK(TAcum[[#This Row],[j53]],TAcum[[#All],[j53]],0)</f>
        <v>39</v>
      </c>
      <c r="BD40">
        <f>RANK(TAcum[[#This Row],[j54]],TAcum[[#All],[j54]],0)</f>
        <v>39</v>
      </c>
      <c r="BE40">
        <f>RANK(TAcum[[#This Row],[j55]],TAcum[[#All],[j55]],0)</f>
        <v>39</v>
      </c>
      <c r="BF40">
        <f>RANK(TAcum[[#This Row],[j56]],TAcum[[#All],[j56]],0)</f>
        <v>39</v>
      </c>
      <c r="BG40">
        <f>RANK(TAcum[[#This Row],[j57]],TAcum[[#All],[j57]],0)</f>
        <v>39</v>
      </c>
      <c r="BH40">
        <f>RANK(TAcum[[#This Row],[j58]],TAcum[[#All],[j58]],0)</f>
        <v>39</v>
      </c>
      <c r="BI40">
        <f>RANK(TAcum[[#This Row],[j59]],TAcum[[#All],[j59]],0)</f>
        <v>39</v>
      </c>
      <c r="BJ40">
        <f>RANK(TAcum[[#This Row],[j60]],TAcum[[#All],[j60]],0)</f>
        <v>39</v>
      </c>
      <c r="BK40">
        <f>RANK(TAcum[[#This Row],[j61]],TAcum[[#All],[j61]],0)</f>
        <v>39</v>
      </c>
      <c r="BL40">
        <f>RANK(TAcum[[#This Row],[j62]],TAcum[[#All],[j62]],0)</f>
        <v>39</v>
      </c>
      <c r="BM40">
        <f>RANK(TAcum[[#This Row],[j63]],TAcum[[#All],[j63]],0)</f>
        <v>39</v>
      </c>
      <c r="BN40">
        <f>RANK(TAcum[[#This Row],[j64]],TAcum[[#All],[j64]],0)</f>
        <v>39</v>
      </c>
      <c r="BO40">
        <f>RANK(TAcum[[#This Row],[j65]],TAcum[[#All],[j65]],0)</f>
        <v>39</v>
      </c>
      <c r="BP40">
        <f>RANK(TAcum[[#This Row],[j66]],TAcum[[#All],[j66]],0)</f>
        <v>39</v>
      </c>
      <c r="BQ40">
        <f>RANK(TAcum[[#This Row],[j67]],TAcum[[#All],[j67]],0)</f>
        <v>39</v>
      </c>
      <c r="BR40">
        <f>RANK(TAcum[[#This Row],[j68]],TAcum[[#All],[j68]],0)</f>
        <v>39</v>
      </c>
      <c r="BS40">
        <f>RANK(TAcum[[#This Row],[j69]],TAcum[[#All],[j69]],0)</f>
        <v>39</v>
      </c>
      <c r="BT40">
        <f>RANK(TAcum[[#This Row],[j70]],TAcum[[#All],[j70]],0)</f>
        <v>39</v>
      </c>
      <c r="BU40">
        <f>RANK(TAcum[[#This Row],[j71]],TAcum[[#All],[j71]],0)</f>
        <v>39</v>
      </c>
      <c r="BV40">
        <f>RANK(TAcum[[#This Row],[j72]],TAcum[[#All],[j72]],0)</f>
        <v>39</v>
      </c>
      <c r="BW40">
        <f>RANK(TAcum[[#This Row],[j73]],TAcum[[#All],[j73]],0)</f>
        <v>39</v>
      </c>
    </row>
    <row r="41" spans="1:75" x14ac:dyDescent="0.25">
      <c r="A41" t="str">
        <f>TAcum[[#This Row],[Jogador]]</f>
        <v>Eduardo Ivo</v>
      </c>
      <c r="B41">
        <f>RANK(TAcum[[#This Row],[total]],TAcum[[#All],[total]],0)</f>
        <v>39</v>
      </c>
      <c r="C41">
        <f>RANK(TAcum[[#This Row],[j01]],TAcum[[#All],[j01]],0)</f>
        <v>13</v>
      </c>
      <c r="D41">
        <f>RANK(TAcum[[#This Row],[j02]],TAcum[[#All],[j02]],0)</f>
        <v>14</v>
      </c>
      <c r="E41">
        <f>RANK(TAcum[[#This Row],[j03]],TAcum[[#All],[j03]],0)</f>
        <v>24</v>
      </c>
      <c r="F41">
        <f>RANK(TAcum[[#This Row],[j04]],TAcum[[#All],[j04]],0)</f>
        <v>71</v>
      </c>
      <c r="G41">
        <f>RANK(TAcum[[#This Row],[j05]],TAcum[[#All],[j05]],0)</f>
        <v>71</v>
      </c>
      <c r="H41">
        <f>RANK(TAcum[[#This Row],[j06]],TAcum[[#All],[j06]],0)</f>
        <v>71</v>
      </c>
      <c r="I41">
        <f>RANK(TAcum[[#This Row],[j07]],TAcum[[#All],[j07]],0)</f>
        <v>79</v>
      </c>
      <c r="J41">
        <f>RANK(TAcum[[#This Row],[j08]],TAcum[[#All],[j08]],0)</f>
        <v>80</v>
      </c>
      <c r="K41">
        <f>RANK(TAcum[[#This Row],[j09]],TAcum[[#All],[j09]],0)</f>
        <v>80</v>
      </c>
      <c r="L41">
        <f>RANK(TAcum[[#This Row],[j10]],TAcum[[#All],[j10]],0)</f>
        <v>74</v>
      </c>
      <c r="M41">
        <f>RANK(TAcum[[#This Row],[j11]],TAcum[[#All],[j11]],0)</f>
        <v>69</v>
      </c>
      <c r="N41">
        <f>RANK(TAcum[[#This Row],[j12]],TAcum[[#All],[j12]],0)</f>
        <v>73</v>
      </c>
      <c r="O41">
        <f>RANK(TAcum[[#This Row],[j13]],TAcum[[#All],[j13]],0)</f>
        <v>46</v>
      </c>
      <c r="P41">
        <f>RANK(TAcum[[#This Row],[j14]],TAcum[[#All],[j14]],0)</f>
        <v>32</v>
      </c>
      <c r="Q41">
        <f>RANK(TAcum[[#This Row],[j15]],TAcum[[#All],[j15]],0)</f>
        <v>29</v>
      </c>
      <c r="R41">
        <f>RANK(TAcum[[#This Row],[j16]],TAcum[[#All],[j16]],0)</f>
        <v>19</v>
      </c>
      <c r="S41">
        <f>RANK(TAcum[[#This Row],[j17]],TAcum[[#All],[j17]],0)</f>
        <v>23</v>
      </c>
      <c r="T41">
        <f>RANK(TAcum[[#This Row],[j18]],TAcum[[#All],[j18]],0)</f>
        <v>29</v>
      </c>
      <c r="U41">
        <f>RANK(TAcum[[#This Row],[j19]],TAcum[[#All],[j19]],0)</f>
        <v>23</v>
      </c>
      <c r="V41">
        <f>RANK(TAcum[[#This Row],[j20]],TAcum[[#All],[j20]],0)</f>
        <v>31</v>
      </c>
      <c r="W41">
        <f>RANK(TAcum[[#This Row],[j21]],TAcum[[#All],[j21]],0)</f>
        <v>32</v>
      </c>
      <c r="X41">
        <f>RANK(TAcum[[#This Row],[j22]],TAcum[[#All],[j22]],0)</f>
        <v>37</v>
      </c>
      <c r="Y41">
        <f>RANK(TAcum[[#This Row],[j23]],TAcum[[#All],[j23]],0)</f>
        <v>29</v>
      </c>
      <c r="Z41">
        <f>RANK(TAcum[[#This Row],[j24]],TAcum[[#All],[j24]],0)</f>
        <v>40</v>
      </c>
      <c r="AA41">
        <f>RANK(TAcum[[#This Row],[j25]],TAcum[[#All],[j25]],0)</f>
        <v>32</v>
      </c>
      <c r="AB41">
        <f>RANK(TAcum[[#This Row],[j26]],TAcum[[#All],[j26]],0)</f>
        <v>31</v>
      </c>
      <c r="AC41">
        <f>RANK(TAcum[[#This Row],[j27]],TAcum[[#All],[j27]],0)</f>
        <v>31</v>
      </c>
      <c r="AD41">
        <f>RANK(TAcum[[#This Row],[j28]],TAcum[[#All],[j28]],0)</f>
        <v>31</v>
      </c>
      <c r="AE41">
        <f>RANK(TAcum[[#This Row],[j29]],TAcum[[#All],[j29]],0)</f>
        <v>39</v>
      </c>
      <c r="AF41">
        <f>RANK(TAcum[[#This Row],[j30]],TAcum[[#All],[j30]],0)</f>
        <v>39</v>
      </c>
      <c r="AG41">
        <f>RANK(TAcum[[#This Row],[j31]],TAcum[[#All],[j31]],0)</f>
        <v>39</v>
      </c>
      <c r="AH41">
        <f>RANK(TAcum[[#This Row],[j32]],TAcum[[#All],[j32]],0)</f>
        <v>39</v>
      </c>
      <c r="AI41">
        <f>RANK(TAcum[[#This Row],[j33]],TAcum[[#All],[j33]],0)</f>
        <v>39</v>
      </c>
      <c r="AJ41">
        <f>RANK(TAcum[[#This Row],[j34]],TAcum[[#All],[j34]],0)</f>
        <v>39</v>
      </c>
      <c r="AK41">
        <f>RANK(TAcum[[#This Row],[j35]],TAcum[[#All],[j35]],0)</f>
        <v>39</v>
      </c>
      <c r="AL41">
        <f>RANK(TAcum[[#This Row],[j36]],TAcum[[#All],[j36]],0)</f>
        <v>39</v>
      </c>
      <c r="AM41">
        <f>RANK(TAcum[[#This Row],[j37]],TAcum[[#All],[j37]],0)</f>
        <v>39</v>
      </c>
      <c r="AN41">
        <f>RANK(TAcum[[#This Row],[j38]],TAcum[[#All],[j38]],0)</f>
        <v>39</v>
      </c>
      <c r="AO41">
        <f>RANK(TAcum[[#This Row],[j39]],TAcum[[#All],[j39]],0)</f>
        <v>39</v>
      </c>
      <c r="AP41">
        <f>RANK(TAcum[[#This Row],[j40]],TAcum[[#All],[j40]],0)</f>
        <v>39</v>
      </c>
      <c r="AQ41">
        <f>RANK(TAcum[[#This Row],[j41]],TAcum[[#All],[j41]],0)</f>
        <v>39</v>
      </c>
      <c r="AR41">
        <f>RANK(TAcum[[#This Row],[j42]],TAcum[[#All],[j42]],0)</f>
        <v>39</v>
      </c>
      <c r="AS41">
        <f>RANK(TAcum[[#This Row],[j43]],TAcum[[#All],[j43]],0)</f>
        <v>39</v>
      </c>
      <c r="AT41">
        <f>RANK(TAcum[[#This Row],[j44]],TAcum[[#All],[j44]],0)</f>
        <v>39</v>
      </c>
      <c r="AU41">
        <f>RANK(TAcum[[#This Row],[j45]],TAcum[[#All],[j45]],0)</f>
        <v>39</v>
      </c>
      <c r="AV41">
        <f>RANK(TAcum[[#This Row],[j46]],TAcum[[#All],[j46]],0)</f>
        <v>39</v>
      </c>
      <c r="AW41">
        <f>RANK(TAcum[[#This Row],[j47]],TAcum[[#All],[j47]],0)</f>
        <v>39</v>
      </c>
      <c r="AX41">
        <f>RANK(TAcum[[#This Row],[j48]],TAcum[[#All],[j48]],0)</f>
        <v>39</v>
      </c>
      <c r="AY41">
        <f>RANK(TAcum[[#This Row],[j49]],TAcum[[#All],[j49]],0)</f>
        <v>39</v>
      </c>
      <c r="AZ41">
        <f>RANK(TAcum[[#This Row],[j50]],TAcum[[#All],[j50]],0)</f>
        <v>39</v>
      </c>
      <c r="BA41">
        <f>RANK(TAcum[[#This Row],[j51]],TAcum[[#All],[j51]],0)</f>
        <v>39</v>
      </c>
      <c r="BB41">
        <f>RANK(TAcum[[#This Row],[j52]],TAcum[[#All],[j52]],0)</f>
        <v>39</v>
      </c>
      <c r="BC41">
        <f>RANK(TAcum[[#This Row],[j53]],TAcum[[#All],[j53]],0)</f>
        <v>39</v>
      </c>
      <c r="BD41">
        <f>RANK(TAcum[[#This Row],[j54]],TAcum[[#All],[j54]],0)</f>
        <v>39</v>
      </c>
      <c r="BE41">
        <f>RANK(TAcum[[#This Row],[j55]],TAcum[[#All],[j55]],0)</f>
        <v>39</v>
      </c>
      <c r="BF41">
        <f>RANK(TAcum[[#This Row],[j56]],TAcum[[#All],[j56]],0)</f>
        <v>39</v>
      </c>
      <c r="BG41">
        <f>RANK(TAcum[[#This Row],[j57]],TAcum[[#All],[j57]],0)</f>
        <v>39</v>
      </c>
      <c r="BH41">
        <f>RANK(TAcum[[#This Row],[j58]],TAcum[[#All],[j58]],0)</f>
        <v>39</v>
      </c>
      <c r="BI41">
        <f>RANK(TAcum[[#This Row],[j59]],TAcum[[#All],[j59]],0)</f>
        <v>39</v>
      </c>
      <c r="BJ41">
        <f>RANK(TAcum[[#This Row],[j60]],TAcum[[#All],[j60]],0)</f>
        <v>39</v>
      </c>
      <c r="BK41">
        <f>RANK(TAcum[[#This Row],[j61]],TAcum[[#All],[j61]],0)</f>
        <v>39</v>
      </c>
      <c r="BL41">
        <f>RANK(TAcum[[#This Row],[j62]],TAcum[[#All],[j62]],0)</f>
        <v>39</v>
      </c>
      <c r="BM41">
        <f>RANK(TAcum[[#This Row],[j63]],TAcum[[#All],[j63]],0)</f>
        <v>39</v>
      </c>
      <c r="BN41">
        <f>RANK(TAcum[[#This Row],[j64]],TAcum[[#All],[j64]],0)</f>
        <v>39</v>
      </c>
      <c r="BO41">
        <f>RANK(TAcum[[#This Row],[j65]],TAcum[[#All],[j65]],0)</f>
        <v>39</v>
      </c>
      <c r="BP41">
        <f>RANK(TAcum[[#This Row],[j66]],TAcum[[#All],[j66]],0)</f>
        <v>39</v>
      </c>
      <c r="BQ41">
        <f>RANK(TAcum[[#This Row],[j67]],TAcum[[#All],[j67]],0)</f>
        <v>39</v>
      </c>
      <c r="BR41">
        <f>RANK(TAcum[[#This Row],[j68]],TAcum[[#All],[j68]],0)</f>
        <v>39</v>
      </c>
      <c r="BS41">
        <f>RANK(TAcum[[#This Row],[j69]],TAcum[[#All],[j69]],0)</f>
        <v>39</v>
      </c>
      <c r="BT41">
        <f>RANK(TAcum[[#This Row],[j70]],TAcum[[#All],[j70]],0)</f>
        <v>39</v>
      </c>
      <c r="BU41">
        <f>RANK(TAcum[[#This Row],[j71]],TAcum[[#All],[j71]],0)</f>
        <v>39</v>
      </c>
      <c r="BV41">
        <f>RANK(TAcum[[#This Row],[j72]],TAcum[[#All],[j72]],0)</f>
        <v>39</v>
      </c>
      <c r="BW41">
        <f>RANK(TAcum[[#This Row],[j73]],TAcum[[#All],[j73]],0)</f>
        <v>39</v>
      </c>
    </row>
    <row r="42" spans="1:75" x14ac:dyDescent="0.25">
      <c r="A42" t="str">
        <f>TAcum[[#This Row],[Jogador]]</f>
        <v>Marcelo Menezes</v>
      </c>
      <c r="B42">
        <f>RANK(TAcum[[#This Row],[total]],TAcum[[#All],[total]],0)</f>
        <v>39</v>
      </c>
      <c r="C42">
        <f>RANK(TAcum[[#This Row],[j01]],TAcum[[#All],[j01]],0)</f>
        <v>78</v>
      </c>
      <c r="D42">
        <f>RANK(TAcum[[#This Row],[j02]],TAcum[[#All],[j02]],0)</f>
        <v>77</v>
      </c>
      <c r="E42">
        <f>RANK(TAcum[[#This Row],[j03]],TAcum[[#All],[j03]],0)</f>
        <v>82</v>
      </c>
      <c r="F42">
        <f>RANK(TAcum[[#This Row],[j04]],TAcum[[#All],[j04]],0)</f>
        <v>54</v>
      </c>
      <c r="G42">
        <f>RANK(TAcum[[#This Row],[j05]],TAcum[[#All],[j05]],0)</f>
        <v>55</v>
      </c>
      <c r="H42">
        <f>RANK(TAcum[[#This Row],[j06]],TAcum[[#All],[j06]],0)</f>
        <v>68</v>
      </c>
      <c r="I42">
        <f>RANK(TAcum[[#This Row],[j07]],TAcum[[#All],[j07]],0)</f>
        <v>49</v>
      </c>
      <c r="J42">
        <f>RANK(TAcum[[#This Row],[j08]],TAcum[[#All],[j08]],0)</f>
        <v>49</v>
      </c>
      <c r="K42">
        <f>RANK(TAcum[[#This Row],[j09]],TAcum[[#All],[j09]],0)</f>
        <v>64</v>
      </c>
      <c r="L42">
        <f>RANK(TAcum[[#This Row],[j10]],TAcum[[#All],[j10]],0)</f>
        <v>65</v>
      </c>
      <c r="M42">
        <f>RANK(TAcum[[#This Row],[j11]],TAcum[[#All],[j11]],0)</f>
        <v>61</v>
      </c>
      <c r="N42">
        <f>RANK(TAcum[[#This Row],[j12]],TAcum[[#All],[j12]],0)</f>
        <v>69</v>
      </c>
      <c r="O42">
        <f>RANK(TAcum[[#This Row],[j13]],TAcum[[#All],[j13]],0)</f>
        <v>43</v>
      </c>
      <c r="P42">
        <f>RANK(TAcum[[#This Row],[j14]],TAcum[[#All],[j14]],0)</f>
        <v>29</v>
      </c>
      <c r="Q42">
        <f>RANK(TAcum[[#This Row],[j15]],TAcum[[#All],[j15]],0)</f>
        <v>32</v>
      </c>
      <c r="R42">
        <f>RANK(TAcum[[#This Row],[j16]],TAcum[[#All],[j16]],0)</f>
        <v>41</v>
      </c>
      <c r="S42">
        <f>RANK(TAcum[[#This Row],[j17]],TAcum[[#All],[j17]],0)</f>
        <v>28</v>
      </c>
      <c r="T42">
        <f>RANK(TAcum[[#This Row],[j18]],TAcum[[#All],[j18]],0)</f>
        <v>34</v>
      </c>
      <c r="U42">
        <f>RANK(TAcum[[#This Row],[j19]],TAcum[[#All],[j19]],0)</f>
        <v>26</v>
      </c>
      <c r="V42">
        <f>RANK(TAcum[[#This Row],[j20]],TAcum[[#All],[j20]],0)</f>
        <v>34</v>
      </c>
      <c r="W42">
        <f>RANK(TAcum[[#This Row],[j21]],TAcum[[#All],[j21]],0)</f>
        <v>36</v>
      </c>
      <c r="X42">
        <f>RANK(TAcum[[#This Row],[j22]],TAcum[[#All],[j22]],0)</f>
        <v>40</v>
      </c>
      <c r="Y42">
        <f>RANK(TAcum[[#This Row],[j23]],TAcum[[#All],[j23]],0)</f>
        <v>32</v>
      </c>
      <c r="Z42">
        <f>RANK(TAcum[[#This Row],[j24]],TAcum[[#All],[j24]],0)</f>
        <v>43</v>
      </c>
      <c r="AA42">
        <f>RANK(TAcum[[#This Row],[j25]],TAcum[[#All],[j25]],0)</f>
        <v>43</v>
      </c>
      <c r="AB42">
        <f>RANK(TAcum[[#This Row],[j26]],TAcum[[#All],[j26]],0)</f>
        <v>44</v>
      </c>
      <c r="AC42">
        <f>RANK(TAcum[[#This Row],[j27]],TAcum[[#All],[j27]],0)</f>
        <v>44</v>
      </c>
      <c r="AD42">
        <f>RANK(TAcum[[#This Row],[j28]],TAcum[[#All],[j28]],0)</f>
        <v>39</v>
      </c>
      <c r="AE42">
        <f>RANK(TAcum[[#This Row],[j29]],TAcum[[#All],[j29]],0)</f>
        <v>39</v>
      </c>
      <c r="AF42">
        <f>RANK(TAcum[[#This Row],[j30]],TAcum[[#All],[j30]],0)</f>
        <v>39</v>
      </c>
      <c r="AG42">
        <f>RANK(TAcum[[#This Row],[j31]],TAcum[[#All],[j31]],0)</f>
        <v>39</v>
      </c>
      <c r="AH42">
        <f>RANK(TAcum[[#This Row],[j32]],TAcum[[#All],[j32]],0)</f>
        <v>39</v>
      </c>
      <c r="AI42">
        <f>RANK(TAcum[[#This Row],[j33]],TAcum[[#All],[j33]],0)</f>
        <v>39</v>
      </c>
      <c r="AJ42">
        <f>RANK(TAcum[[#This Row],[j34]],TAcum[[#All],[j34]],0)</f>
        <v>39</v>
      </c>
      <c r="AK42">
        <f>RANK(TAcum[[#This Row],[j35]],TAcum[[#All],[j35]],0)</f>
        <v>39</v>
      </c>
      <c r="AL42">
        <f>RANK(TAcum[[#This Row],[j36]],TAcum[[#All],[j36]],0)</f>
        <v>39</v>
      </c>
      <c r="AM42">
        <f>RANK(TAcum[[#This Row],[j37]],TAcum[[#All],[j37]],0)</f>
        <v>39</v>
      </c>
      <c r="AN42">
        <f>RANK(TAcum[[#This Row],[j38]],TAcum[[#All],[j38]],0)</f>
        <v>39</v>
      </c>
      <c r="AO42">
        <f>RANK(TAcum[[#This Row],[j39]],TAcum[[#All],[j39]],0)</f>
        <v>39</v>
      </c>
      <c r="AP42">
        <f>RANK(TAcum[[#This Row],[j40]],TAcum[[#All],[j40]],0)</f>
        <v>39</v>
      </c>
      <c r="AQ42">
        <f>RANK(TAcum[[#This Row],[j41]],TAcum[[#All],[j41]],0)</f>
        <v>39</v>
      </c>
      <c r="AR42">
        <f>RANK(TAcum[[#This Row],[j42]],TAcum[[#All],[j42]],0)</f>
        <v>39</v>
      </c>
      <c r="AS42">
        <f>RANK(TAcum[[#This Row],[j43]],TAcum[[#All],[j43]],0)</f>
        <v>39</v>
      </c>
      <c r="AT42">
        <f>RANK(TAcum[[#This Row],[j44]],TAcum[[#All],[j44]],0)</f>
        <v>39</v>
      </c>
      <c r="AU42">
        <f>RANK(TAcum[[#This Row],[j45]],TAcum[[#All],[j45]],0)</f>
        <v>39</v>
      </c>
      <c r="AV42">
        <f>RANK(TAcum[[#This Row],[j46]],TAcum[[#All],[j46]],0)</f>
        <v>39</v>
      </c>
      <c r="AW42">
        <f>RANK(TAcum[[#This Row],[j47]],TAcum[[#All],[j47]],0)</f>
        <v>39</v>
      </c>
      <c r="AX42">
        <f>RANK(TAcum[[#This Row],[j48]],TAcum[[#All],[j48]],0)</f>
        <v>39</v>
      </c>
      <c r="AY42">
        <f>RANK(TAcum[[#This Row],[j49]],TAcum[[#All],[j49]],0)</f>
        <v>39</v>
      </c>
      <c r="AZ42">
        <f>RANK(TAcum[[#This Row],[j50]],TAcum[[#All],[j50]],0)</f>
        <v>39</v>
      </c>
      <c r="BA42">
        <f>RANK(TAcum[[#This Row],[j51]],TAcum[[#All],[j51]],0)</f>
        <v>39</v>
      </c>
      <c r="BB42">
        <f>RANK(TAcum[[#This Row],[j52]],TAcum[[#All],[j52]],0)</f>
        <v>39</v>
      </c>
      <c r="BC42">
        <f>RANK(TAcum[[#This Row],[j53]],TAcum[[#All],[j53]],0)</f>
        <v>39</v>
      </c>
      <c r="BD42">
        <f>RANK(TAcum[[#This Row],[j54]],TAcum[[#All],[j54]],0)</f>
        <v>39</v>
      </c>
      <c r="BE42">
        <f>RANK(TAcum[[#This Row],[j55]],TAcum[[#All],[j55]],0)</f>
        <v>39</v>
      </c>
      <c r="BF42">
        <f>RANK(TAcum[[#This Row],[j56]],TAcum[[#All],[j56]],0)</f>
        <v>39</v>
      </c>
      <c r="BG42">
        <f>RANK(TAcum[[#This Row],[j57]],TAcum[[#All],[j57]],0)</f>
        <v>39</v>
      </c>
      <c r="BH42">
        <f>RANK(TAcum[[#This Row],[j58]],TAcum[[#All],[j58]],0)</f>
        <v>39</v>
      </c>
      <c r="BI42">
        <f>RANK(TAcum[[#This Row],[j59]],TAcum[[#All],[j59]],0)</f>
        <v>39</v>
      </c>
      <c r="BJ42">
        <f>RANK(TAcum[[#This Row],[j60]],TAcum[[#All],[j60]],0)</f>
        <v>39</v>
      </c>
      <c r="BK42">
        <f>RANK(TAcum[[#This Row],[j61]],TAcum[[#All],[j61]],0)</f>
        <v>39</v>
      </c>
      <c r="BL42">
        <f>RANK(TAcum[[#This Row],[j62]],TAcum[[#All],[j62]],0)</f>
        <v>39</v>
      </c>
      <c r="BM42">
        <f>RANK(TAcum[[#This Row],[j63]],TAcum[[#All],[j63]],0)</f>
        <v>39</v>
      </c>
      <c r="BN42">
        <f>RANK(TAcum[[#This Row],[j64]],TAcum[[#All],[j64]],0)</f>
        <v>39</v>
      </c>
      <c r="BO42">
        <f>RANK(TAcum[[#This Row],[j65]],TAcum[[#All],[j65]],0)</f>
        <v>39</v>
      </c>
      <c r="BP42">
        <f>RANK(TAcum[[#This Row],[j66]],TAcum[[#All],[j66]],0)</f>
        <v>39</v>
      </c>
      <c r="BQ42">
        <f>RANK(TAcum[[#This Row],[j67]],TAcum[[#All],[j67]],0)</f>
        <v>39</v>
      </c>
      <c r="BR42">
        <f>RANK(TAcum[[#This Row],[j68]],TAcum[[#All],[j68]],0)</f>
        <v>39</v>
      </c>
      <c r="BS42">
        <f>RANK(TAcum[[#This Row],[j69]],TAcum[[#All],[j69]],0)</f>
        <v>39</v>
      </c>
      <c r="BT42">
        <f>RANK(TAcum[[#This Row],[j70]],TAcum[[#All],[j70]],0)</f>
        <v>39</v>
      </c>
      <c r="BU42">
        <f>RANK(TAcum[[#This Row],[j71]],TAcum[[#All],[j71]],0)</f>
        <v>39</v>
      </c>
      <c r="BV42">
        <f>RANK(TAcum[[#This Row],[j72]],TAcum[[#All],[j72]],0)</f>
        <v>39</v>
      </c>
      <c r="BW42">
        <f>RANK(TAcum[[#This Row],[j73]],TAcum[[#All],[j73]],0)</f>
        <v>39</v>
      </c>
    </row>
    <row r="43" spans="1:75" x14ac:dyDescent="0.25">
      <c r="A43" t="str">
        <f>TAcum[[#This Row],[Jogador]]</f>
        <v>Marcus Machado</v>
      </c>
      <c r="B43">
        <f>RANK(TAcum[[#This Row],[total]],TAcum[[#All],[total]],0)</f>
        <v>39</v>
      </c>
      <c r="C43">
        <f>RANK(TAcum[[#This Row],[j01]],TAcum[[#All],[j01]],0)</f>
        <v>78</v>
      </c>
      <c r="D43">
        <f>RANK(TAcum[[#This Row],[j02]],TAcum[[#All],[j02]],0)</f>
        <v>77</v>
      </c>
      <c r="E43">
        <f>RANK(TAcum[[#This Row],[j03]],TAcum[[#All],[j03]],0)</f>
        <v>61</v>
      </c>
      <c r="F43">
        <f>RANK(TAcum[[#This Row],[j04]],TAcum[[#All],[j04]],0)</f>
        <v>32</v>
      </c>
      <c r="G43">
        <f>RANK(TAcum[[#This Row],[j05]],TAcum[[#All],[j05]],0)</f>
        <v>32</v>
      </c>
      <c r="H43">
        <f>RANK(TAcum[[#This Row],[j06]],TAcum[[#All],[j06]],0)</f>
        <v>33</v>
      </c>
      <c r="I43">
        <f>RANK(TAcum[[#This Row],[j07]],TAcum[[#All],[j07]],0)</f>
        <v>23</v>
      </c>
      <c r="J43">
        <f>RANK(TAcum[[#This Row],[j08]],TAcum[[#All],[j08]],0)</f>
        <v>15</v>
      </c>
      <c r="K43">
        <f>RANK(TAcum[[#This Row],[j09]],TAcum[[#All],[j09]],0)</f>
        <v>16</v>
      </c>
      <c r="L43">
        <f>RANK(TAcum[[#This Row],[j10]],TAcum[[#All],[j10]],0)</f>
        <v>10</v>
      </c>
      <c r="M43">
        <f>RANK(TAcum[[#This Row],[j11]],TAcum[[#All],[j11]],0)</f>
        <v>9</v>
      </c>
      <c r="N43">
        <f>RANK(TAcum[[#This Row],[j12]],TAcum[[#All],[j12]],0)</f>
        <v>12</v>
      </c>
      <c r="O43">
        <f>RANK(TAcum[[#This Row],[j13]],TAcum[[#All],[j13]],0)</f>
        <v>7</v>
      </c>
      <c r="P43">
        <f>RANK(TAcum[[#This Row],[j14]],TAcum[[#All],[j14]],0)</f>
        <v>6</v>
      </c>
      <c r="Q43">
        <f>RANK(TAcum[[#This Row],[j15]],TAcum[[#All],[j15]],0)</f>
        <v>5</v>
      </c>
      <c r="R43">
        <f>RANK(TAcum[[#This Row],[j16]],TAcum[[#All],[j16]],0)</f>
        <v>5</v>
      </c>
      <c r="S43">
        <f>RANK(TAcum[[#This Row],[j17]],TAcum[[#All],[j17]],0)</f>
        <v>4</v>
      </c>
      <c r="T43">
        <f>RANK(TAcum[[#This Row],[j18]],TAcum[[#All],[j18]],0)</f>
        <v>6</v>
      </c>
      <c r="U43">
        <f>RANK(TAcum[[#This Row],[j19]],TAcum[[#All],[j19]],0)</f>
        <v>5</v>
      </c>
      <c r="V43">
        <f>RANK(TAcum[[#This Row],[j20]],TAcum[[#All],[j20]],0)</f>
        <v>5</v>
      </c>
      <c r="W43">
        <f>RANK(TAcum[[#This Row],[j21]],TAcum[[#All],[j21]],0)</f>
        <v>7</v>
      </c>
      <c r="X43">
        <f>RANK(TAcum[[#This Row],[j22]],TAcum[[#All],[j22]],0)</f>
        <v>14</v>
      </c>
      <c r="Y43">
        <f>RANK(TAcum[[#This Row],[j23]],TAcum[[#All],[j23]],0)</f>
        <v>16</v>
      </c>
      <c r="Z43">
        <f>RANK(TAcum[[#This Row],[j24]],TAcum[[#All],[j24]],0)</f>
        <v>28</v>
      </c>
      <c r="AA43">
        <f>RANK(TAcum[[#This Row],[j25]],TAcum[[#All],[j25]],0)</f>
        <v>28</v>
      </c>
      <c r="AB43">
        <f>RANK(TAcum[[#This Row],[j26]],TAcum[[#All],[j26]],0)</f>
        <v>31</v>
      </c>
      <c r="AC43">
        <f>RANK(TAcum[[#This Row],[j27]],TAcum[[#All],[j27]],0)</f>
        <v>31</v>
      </c>
      <c r="AD43">
        <f>RANK(TAcum[[#This Row],[j28]],TAcum[[#All],[j28]],0)</f>
        <v>39</v>
      </c>
      <c r="AE43">
        <f>RANK(TAcum[[#This Row],[j29]],TAcum[[#All],[j29]],0)</f>
        <v>39</v>
      </c>
      <c r="AF43">
        <f>RANK(TAcum[[#This Row],[j30]],TAcum[[#All],[j30]],0)</f>
        <v>39</v>
      </c>
      <c r="AG43">
        <f>RANK(TAcum[[#This Row],[j31]],TAcum[[#All],[j31]],0)</f>
        <v>39</v>
      </c>
      <c r="AH43">
        <f>RANK(TAcum[[#This Row],[j32]],TAcum[[#All],[j32]],0)</f>
        <v>39</v>
      </c>
      <c r="AI43">
        <f>RANK(TAcum[[#This Row],[j33]],TAcum[[#All],[j33]],0)</f>
        <v>39</v>
      </c>
      <c r="AJ43">
        <f>RANK(TAcum[[#This Row],[j34]],TAcum[[#All],[j34]],0)</f>
        <v>39</v>
      </c>
      <c r="AK43">
        <f>RANK(TAcum[[#This Row],[j35]],TAcum[[#All],[j35]],0)</f>
        <v>39</v>
      </c>
      <c r="AL43">
        <f>RANK(TAcum[[#This Row],[j36]],TAcum[[#All],[j36]],0)</f>
        <v>39</v>
      </c>
      <c r="AM43">
        <f>RANK(TAcum[[#This Row],[j37]],TAcum[[#All],[j37]],0)</f>
        <v>39</v>
      </c>
      <c r="AN43">
        <f>RANK(TAcum[[#This Row],[j38]],TAcum[[#All],[j38]],0)</f>
        <v>39</v>
      </c>
      <c r="AO43">
        <f>RANK(TAcum[[#This Row],[j39]],TAcum[[#All],[j39]],0)</f>
        <v>39</v>
      </c>
      <c r="AP43">
        <f>RANK(TAcum[[#This Row],[j40]],TAcum[[#All],[j40]],0)</f>
        <v>39</v>
      </c>
      <c r="AQ43">
        <f>RANK(TAcum[[#This Row],[j41]],TAcum[[#All],[j41]],0)</f>
        <v>39</v>
      </c>
      <c r="AR43">
        <f>RANK(TAcum[[#This Row],[j42]],TAcum[[#All],[j42]],0)</f>
        <v>39</v>
      </c>
      <c r="AS43">
        <f>RANK(TAcum[[#This Row],[j43]],TAcum[[#All],[j43]],0)</f>
        <v>39</v>
      </c>
      <c r="AT43">
        <f>RANK(TAcum[[#This Row],[j44]],TAcum[[#All],[j44]],0)</f>
        <v>39</v>
      </c>
      <c r="AU43">
        <f>RANK(TAcum[[#This Row],[j45]],TAcum[[#All],[j45]],0)</f>
        <v>39</v>
      </c>
      <c r="AV43">
        <f>RANK(TAcum[[#This Row],[j46]],TAcum[[#All],[j46]],0)</f>
        <v>39</v>
      </c>
      <c r="AW43">
        <f>RANK(TAcum[[#This Row],[j47]],TAcum[[#All],[j47]],0)</f>
        <v>39</v>
      </c>
      <c r="AX43">
        <f>RANK(TAcum[[#This Row],[j48]],TAcum[[#All],[j48]],0)</f>
        <v>39</v>
      </c>
      <c r="AY43">
        <f>RANK(TAcum[[#This Row],[j49]],TAcum[[#All],[j49]],0)</f>
        <v>39</v>
      </c>
      <c r="AZ43">
        <f>RANK(TAcum[[#This Row],[j50]],TAcum[[#All],[j50]],0)</f>
        <v>39</v>
      </c>
      <c r="BA43">
        <f>RANK(TAcum[[#This Row],[j51]],TAcum[[#All],[j51]],0)</f>
        <v>39</v>
      </c>
      <c r="BB43">
        <f>RANK(TAcum[[#This Row],[j52]],TAcum[[#All],[j52]],0)</f>
        <v>39</v>
      </c>
      <c r="BC43">
        <f>RANK(TAcum[[#This Row],[j53]],TAcum[[#All],[j53]],0)</f>
        <v>39</v>
      </c>
      <c r="BD43">
        <f>RANK(TAcum[[#This Row],[j54]],TAcum[[#All],[j54]],0)</f>
        <v>39</v>
      </c>
      <c r="BE43">
        <f>RANK(TAcum[[#This Row],[j55]],TAcum[[#All],[j55]],0)</f>
        <v>39</v>
      </c>
      <c r="BF43">
        <f>RANK(TAcum[[#This Row],[j56]],TAcum[[#All],[j56]],0)</f>
        <v>39</v>
      </c>
      <c r="BG43">
        <f>RANK(TAcum[[#This Row],[j57]],TAcum[[#All],[j57]],0)</f>
        <v>39</v>
      </c>
      <c r="BH43">
        <f>RANK(TAcum[[#This Row],[j58]],TAcum[[#All],[j58]],0)</f>
        <v>39</v>
      </c>
      <c r="BI43">
        <f>RANK(TAcum[[#This Row],[j59]],TAcum[[#All],[j59]],0)</f>
        <v>39</v>
      </c>
      <c r="BJ43">
        <f>RANK(TAcum[[#This Row],[j60]],TAcum[[#All],[j60]],0)</f>
        <v>39</v>
      </c>
      <c r="BK43">
        <f>RANK(TAcum[[#This Row],[j61]],TAcum[[#All],[j61]],0)</f>
        <v>39</v>
      </c>
      <c r="BL43">
        <f>RANK(TAcum[[#This Row],[j62]],TAcum[[#All],[j62]],0)</f>
        <v>39</v>
      </c>
      <c r="BM43">
        <f>RANK(TAcum[[#This Row],[j63]],TAcum[[#All],[j63]],0)</f>
        <v>39</v>
      </c>
      <c r="BN43">
        <f>RANK(TAcum[[#This Row],[j64]],TAcum[[#All],[j64]],0)</f>
        <v>39</v>
      </c>
      <c r="BO43">
        <f>RANK(TAcum[[#This Row],[j65]],TAcum[[#All],[j65]],0)</f>
        <v>39</v>
      </c>
      <c r="BP43">
        <f>RANK(TAcum[[#This Row],[j66]],TAcum[[#All],[j66]],0)</f>
        <v>39</v>
      </c>
      <c r="BQ43">
        <f>RANK(TAcum[[#This Row],[j67]],TAcum[[#All],[j67]],0)</f>
        <v>39</v>
      </c>
      <c r="BR43">
        <f>RANK(TAcum[[#This Row],[j68]],TAcum[[#All],[j68]],0)</f>
        <v>39</v>
      </c>
      <c r="BS43">
        <f>RANK(TAcum[[#This Row],[j69]],TAcum[[#All],[j69]],0)</f>
        <v>39</v>
      </c>
      <c r="BT43">
        <f>RANK(TAcum[[#This Row],[j70]],TAcum[[#All],[j70]],0)</f>
        <v>39</v>
      </c>
      <c r="BU43">
        <f>RANK(TAcum[[#This Row],[j71]],TAcum[[#All],[j71]],0)</f>
        <v>39</v>
      </c>
      <c r="BV43">
        <f>RANK(TAcum[[#This Row],[j72]],TAcum[[#All],[j72]],0)</f>
        <v>39</v>
      </c>
      <c r="BW43">
        <f>RANK(TAcum[[#This Row],[j73]],TAcum[[#All],[j73]],0)</f>
        <v>39</v>
      </c>
    </row>
    <row r="44" spans="1:75" x14ac:dyDescent="0.25">
      <c r="A44" t="str">
        <f>TAcum[[#This Row],[Jogador]]</f>
        <v>Robson Souza</v>
      </c>
      <c r="B44">
        <f>RANK(TAcum[[#This Row],[total]],TAcum[[#All],[total]],0)</f>
        <v>39</v>
      </c>
      <c r="C44">
        <f>RANK(TAcum[[#This Row],[j01]],TAcum[[#All],[j01]],0)</f>
        <v>13</v>
      </c>
      <c r="D44">
        <f>RANK(TAcum[[#This Row],[j02]],TAcum[[#All],[j02]],0)</f>
        <v>14</v>
      </c>
      <c r="E44">
        <f>RANK(TAcum[[#This Row],[j03]],TAcum[[#All],[j03]],0)</f>
        <v>24</v>
      </c>
      <c r="F44">
        <f>RANK(TAcum[[#This Row],[j04]],TAcum[[#All],[j04]],0)</f>
        <v>9</v>
      </c>
      <c r="G44">
        <f>RANK(TAcum[[#This Row],[j05]],TAcum[[#All],[j05]],0)</f>
        <v>9</v>
      </c>
      <c r="H44">
        <f>RANK(TAcum[[#This Row],[j06]],TAcum[[#All],[j06]],0)</f>
        <v>9</v>
      </c>
      <c r="I44">
        <f>RANK(TAcum[[#This Row],[j07]],TAcum[[#All],[j07]],0)</f>
        <v>5</v>
      </c>
      <c r="J44">
        <f>RANK(TAcum[[#This Row],[j08]],TAcum[[#All],[j08]],0)</f>
        <v>8</v>
      </c>
      <c r="K44">
        <f>RANK(TAcum[[#This Row],[j09]],TAcum[[#All],[j09]],0)</f>
        <v>11</v>
      </c>
      <c r="L44">
        <f>RANK(TAcum[[#This Row],[j10]],TAcum[[#All],[j10]],0)</f>
        <v>15</v>
      </c>
      <c r="M44">
        <f>RANK(TAcum[[#This Row],[j11]],TAcum[[#All],[j11]],0)</f>
        <v>14</v>
      </c>
      <c r="N44">
        <f>RANK(TAcum[[#This Row],[j12]],TAcum[[#All],[j12]],0)</f>
        <v>14</v>
      </c>
      <c r="O44">
        <f>RANK(TAcum[[#This Row],[j13]],TAcum[[#All],[j13]],0)</f>
        <v>9</v>
      </c>
      <c r="P44">
        <f>RANK(TAcum[[#This Row],[j14]],TAcum[[#All],[j14]],0)</f>
        <v>9</v>
      </c>
      <c r="Q44">
        <f>RANK(TAcum[[#This Row],[j15]],TAcum[[#All],[j15]],0)</f>
        <v>8</v>
      </c>
      <c r="R44">
        <f>RANK(TAcum[[#This Row],[j16]],TAcum[[#All],[j16]],0)</f>
        <v>9</v>
      </c>
      <c r="S44">
        <f>RANK(TAcum[[#This Row],[j17]],TAcum[[#All],[j17]],0)</f>
        <v>12</v>
      </c>
      <c r="T44">
        <f>RANK(TAcum[[#This Row],[j18]],TAcum[[#All],[j18]],0)</f>
        <v>16</v>
      </c>
      <c r="U44">
        <f>RANK(TAcum[[#This Row],[j19]],TAcum[[#All],[j19]],0)</f>
        <v>16</v>
      </c>
      <c r="V44">
        <f>RANK(TAcum[[#This Row],[j20]],TAcum[[#All],[j20]],0)</f>
        <v>21</v>
      </c>
      <c r="W44">
        <f>RANK(TAcum[[#This Row],[j21]],TAcum[[#All],[j21]],0)</f>
        <v>19</v>
      </c>
      <c r="X44">
        <f>RANK(TAcum[[#This Row],[j22]],TAcum[[#All],[j22]],0)</f>
        <v>24</v>
      </c>
      <c r="Y44">
        <f>RANK(TAcum[[#This Row],[j23]],TAcum[[#All],[j23]],0)</f>
        <v>27</v>
      </c>
      <c r="Z44">
        <f>RANK(TAcum[[#This Row],[j24]],TAcum[[#All],[j24]],0)</f>
        <v>32</v>
      </c>
      <c r="AA44">
        <f>RANK(TAcum[[#This Row],[j25]],TAcum[[#All],[j25]],0)</f>
        <v>32</v>
      </c>
      <c r="AB44">
        <f>RANK(TAcum[[#This Row],[j26]],TAcum[[#All],[j26]],0)</f>
        <v>31</v>
      </c>
      <c r="AC44">
        <f>RANK(TAcum[[#This Row],[j27]],TAcum[[#All],[j27]],0)</f>
        <v>31</v>
      </c>
      <c r="AD44">
        <f>RANK(TAcum[[#This Row],[j28]],TAcum[[#All],[j28]],0)</f>
        <v>31</v>
      </c>
      <c r="AE44">
        <f>RANK(TAcum[[#This Row],[j29]],TAcum[[#All],[j29]],0)</f>
        <v>39</v>
      </c>
      <c r="AF44">
        <f>RANK(TAcum[[#This Row],[j30]],TAcum[[#All],[j30]],0)</f>
        <v>39</v>
      </c>
      <c r="AG44">
        <f>RANK(TAcum[[#This Row],[j31]],TAcum[[#All],[j31]],0)</f>
        <v>39</v>
      </c>
      <c r="AH44">
        <f>RANK(TAcum[[#This Row],[j32]],TAcum[[#All],[j32]],0)</f>
        <v>39</v>
      </c>
      <c r="AI44">
        <f>RANK(TAcum[[#This Row],[j33]],TAcum[[#All],[j33]],0)</f>
        <v>39</v>
      </c>
      <c r="AJ44">
        <f>RANK(TAcum[[#This Row],[j34]],TAcum[[#All],[j34]],0)</f>
        <v>39</v>
      </c>
      <c r="AK44">
        <f>RANK(TAcum[[#This Row],[j35]],TAcum[[#All],[j35]],0)</f>
        <v>39</v>
      </c>
      <c r="AL44">
        <f>RANK(TAcum[[#This Row],[j36]],TAcum[[#All],[j36]],0)</f>
        <v>39</v>
      </c>
      <c r="AM44">
        <f>RANK(TAcum[[#This Row],[j37]],TAcum[[#All],[j37]],0)</f>
        <v>39</v>
      </c>
      <c r="AN44">
        <f>RANK(TAcum[[#This Row],[j38]],TAcum[[#All],[j38]],0)</f>
        <v>39</v>
      </c>
      <c r="AO44">
        <f>RANK(TAcum[[#This Row],[j39]],TAcum[[#All],[j39]],0)</f>
        <v>39</v>
      </c>
      <c r="AP44">
        <f>RANK(TAcum[[#This Row],[j40]],TAcum[[#All],[j40]],0)</f>
        <v>39</v>
      </c>
      <c r="AQ44">
        <f>RANK(TAcum[[#This Row],[j41]],TAcum[[#All],[j41]],0)</f>
        <v>39</v>
      </c>
      <c r="AR44">
        <f>RANK(TAcum[[#This Row],[j42]],TAcum[[#All],[j42]],0)</f>
        <v>39</v>
      </c>
      <c r="AS44">
        <f>RANK(TAcum[[#This Row],[j43]],TAcum[[#All],[j43]],0)</f>
        <v>39</v>
      </c>
      <c r="AT44">
        <f>RANK(TAcum[[#This Row],[j44]],TAcum[[#All],[j44]],0)</f>
        <v>39</v>
      </c>
      <c r="AU44">
        <f>RANK(TAcum[[#This Row],[j45]],TAcum[[#All],[j45]],0)</f>
        <v>39</v>
      </c>
      <c r="AV44">
        <f>RANK(TAcum[[#This Row],[j46]],TAcum[[#All],[j46]],0)</f>
        <v>39</v>
      </c>
      <c r="AW44">
        <f>RANK(TAcum[[#This Row],[j47]],TAcum[[#All],[j47]],0)</f>
        <v>39</v>
      </c>
      <c r="AX44">
        <f>RANK(TAcum[[#This Row],[j48]],TAcum[[#All],[j48]],0)</f>
        <v>39</v>
      </c>
      <c r="AY44">
        <f>RANK(TAcum[[#This Row],[j49]],TAcum[[#All],[j49]],0)</f>
        <v>39</v>
      </c>
      <c r="AZ44">
        <f>RANK(TAcum[[#This Row],[j50]],TAcum[[#All],[j50]],0)</f>
        <v>39</v>
      </c>
      <c r="BA44">
        <f>RANK(TAcum[[#This Row],[j51]],TAcum[[#All],[j51]],0)</f>
        <v>39</v>
      </c>
      <c r="BB44">
        <f>RANK(TAcum[[#This Row],[j52]],TAcum[[#All],[j52]],0)</f>
        <v>39</v>
      </c>
      <c r="BC44">
        <f>RANK(TAcum[[#This Row],[j53]],TAcum[[#All],[j53]],0)</f>
        <v>39</v>
      </c>
      <c r="BD44">
        <f>RANK(TAcum[[#This Row],[j54]],TAcum[[#All],[j54]],0)</f>
        <v>39</v>
      </c>
      <c r="BE44">
        <f>RANK(TAcum[[#This Row],[j55]],TAcum[[#All],[j55]],0)</f>
        <v>39</v>
      </c>
      <c r="BF44">
        <f>RANK(TAcum[[#This Row],[j56]],TAcum[[#All],[j56]],0)</f>
        <v>39</v>
      </c>
      <c r="BG44">
        <f>RANK(TAcum[[#This Row],[j57]],TAcum[[#All],[j57]],0)</f>
        <v>39</v>
      </c>
      <c r="BH44">
        <f>RANK(TAcum[[#This Row],[j58]],TAcum[[#All],[j58]],0)</f>
        <v>39</v>
      </c>
      <c r="BI44">
        <f>RANK(TAcum[[#This Row],[j59]],TAcum[[#All],[j59]],0)</f>
        <v>39</v>
      </c>
      <c r="BJ44">
        <f>RANK(TAcum[[#This Row],[j60]],TAcum[[#All],[j60]],0)</f>
        <v>39</v>
      </c>
      <c r="BK44">
        <f>RANK(TAcum[[#This Row],[j61]],TAcum[[#All],[j61]],0)</f>
        <v>39</v>
      </c>
      <c r="BL44">
        <f>RANK(TAcum[[#This Row],[j62]],TAcum[[#All],[j62]],0)</f>
        <v>39</v>
      </c>
      <c r="BM44">
        <f>RANK(TAcum[[#This Row],[j63]],TAcum[[#All],[j63]],0)</f>
        <v>39</v>
      </c>
      <c r="BN44">
        <f>RANK(TAcum[[#This Row],[j64]],TAcum[[#All],[j64]],0)</f>
        <v>39</v>
      </c>
      <c r="BO44">
        <f>RANK(TAcum[[#This Row],[j65]],TAcum[[#All],[j65]],0)</f>
        <v>39</v>
      </c>
      <c r="BP44">
        <f>RANK(TAcum[[#This Row],[j66]],TAcum[[#All],[j66]],0)</f>
        <v>39</v>
      </c>
      <c r="BQ44">
        <f>RANK(TAcum[[#This Row],[j67]],TAcum[[#All],[j67]],0)</f>
        <v>39</v>
      </c>
      <c r="BR44">
        <f>RANK(TAcum[[#This Row],[j68]],TAcum[[#All],[j68]],0)</f>
        <v>39</v>
      </c>
      <c r="BS44">
        <f>RANK(TAcum[[#This Row],[j69]],TAcum[[#All],[j69]],0)</f>
        <v>39</v>
      </c>
      <c r="BT44">
        <f>RANK(TAcum[[#This Row],[j70]],TAcum[[#All],[j70]],0)</f>
        <v>39</v>
      </c>
      <c r="BU44">
        <f>RANK(TAcum[[#This Row],[j71]],TAcum[[#All],[j71]],0)</f>
        <v>39</v>
      </c>
      <c r="BV44">
        <f>RANK(TAcum[[#This Row],[j72]],TAcum[[#All],[j72]],0)</f>
        <v>39</v>
      </c>
      <c r="BW44">
        <f>RANK(TAcum[[#This Row],[j73]],TAcum[[#All],[j73]],0)</f>
        <v>39</v>
      </c>
    </row>
    <row r="45" spans="1:75" x14ac:dyDescent="0.25">
      <c r="A45" t="str">
        <f>TAcum[[#This Row],[Jogador]]</f>
        <v>Vicente Antipacheco</v>
      </c>
      <c r="B45">
        <f>RANK(TAcum[[#This Row],[total]],TAcum[[#All],[total]],0)</f>
        <v>39</v>
      </c>
      <c r="C45">
        <f>RANK(TAcum[[#This Row],[j01]],TAcum[[#All],[j01]],0)</f>
        <v>78</v>
      </c>
      <c r="D45">
        <f>RANK(TAcum[[#This Row],[j02]],TAcum[[#All],[j02]],0)</f>
        <v>77</v>
      </c>
      <c r="E45">
        <f>RANK(TAcum[[#This Row],[j03]],TAcum[[#All],[j03]],0)</f>
        <v>61</v>
      </c>
      <c r="F45">
        <f>RANK(TAcum[[#This Row],[j04]],TAcum[[#All],[j04]],0)</f>
        <v>32</v>
      </c>
      <c r="G45">
        <f>RANK(TAcum[[#This Row],[j05]],TAcum[[#All],[j05]],0)</f>
        <v>32</v>
      </c>
      <c r="H45">
        <f>RANK(TAcum[[#This Row],[j06]],TAcum[[#All],[j06]],0)</f>
        <v>40</v>
      </c>
      <c r="I45">
        <f>RANK(TAcum[[#This Row],[j07]],TAcum[[#All],[j07]],0)</f>
        <v>26</v>
      </c>
      <c r="J45">
        <f>RANK(TAcum[[#This Row],[j08]],TAcum[[#All],[j08]],0)</f>
        <v>24</v>
      </c>
      <c r="K45">
        <f>RANK(TAcum[[#This Row],[j09]],TAcum[[#All],[j09]],0)</f>
        <v>8</v>
      </c>
      <c r="L45">
        <f>RANK(TAcum[[#This Row],[j10]],TAcum[[#All],[j10]],0)</f>
        <v>5</v>
      </c>
      <c r="M45">
        <f>RANK(TAcum[[#This Row],[j11]],TAcum[[#All],[j11]],0)</f>
        <v>4</v>
      </c>
      <c r="N45">
        <f>RANK(TAcum[[#This Row],[j12]],TAcum[[#All],[j12]],0)</f>
        <v>2</v>
      </c>
      <c r="O45">
        <f>RANK(TAcum[[#This Row],[j13]],TAcum[[#All],[j13]],0)</f>
        <v>1</v>
      </c>
      <c r="P45">
        <f>RANK(TAcum[[#This Row],[j14]],TAcum[[#All],[j14]],0)</f>
        <v>3</v>
      </c>
      <c r="Q45">
        <f>RANK(TAcum[[#This Row],[j15]],TAcum[[#All],[j15]],0)</f>
        <v>3</v>
      </c>
      <c r="R45">
        <f>RANK(TAcum[[#This Row],[j16]],TAcum[[#All],[j16]],0)</f>
        <v>15</v>
      </c>
      <c r="S45">
        <f>RANK(TAcum[[#This Row],[j17]],TAcum[[#All],[j17]],0)</f>
        <v>18</v>
      </c>
      <c r="T45">
        <f>RANK(TAcum[[#This Row],[j18]],TAcum[[#All],[j18]],0)</f>
        <v>24</v>
      </c>
      <c r="U45">
        <f>RANK(TAcum[[#This Row],[j19]],TAcum[[#All],[j19]],0)</f>
        <v>26</v>
      </c>
      <c r="V45">
        <f>RANK(TAcum[[#This Row],[j20]],TAcum[[#All],[j20]],0)</f>
        <v>34</v>
      </c>
      <c r="W45">
        <f>RANK(TAcum[[#This Row],[j21]],TAcum[[#All],[j21]],0)</f>
        <v>36</v>
      </c>
      <c r="X45">
        <f>RANK(TAcum[[#This Row],[j22]],TAcum[[#All],[j22]],0)</f>
        <v>52</v>
      </c>
      <c r="Y45">
        <f>RANK(TAcum[[#This Row],[j23]],TAcum[[#All],[j23]],0)</f>
        <v>58</v>
      </c>
      <c r="Z45">
        <f>RANK(TAcum[[#This Row],[j24]],TAcum[[#All],[j24]],0)</f>
        <v>69</v>
      </c>
      <c r="AA45">
        <f>RANK(TAcum[[#This Row],[j25]],TAcum[[#All],[j25]],0)</f>
        <v>68</v>
      </c>
      <c r="AB45">
        <f>RANK(TAcum[[#This Row],[j26]],TAcum[[#All],[j26]],0)</f>
        <v>44</v>
      </c>
      <c r="AC45">
        <f>RANK(TAcum[[#This Row],[j27]],TAcum[[#All],[j27]],0)</f>
        <v>44</v>
      </c>
      <c r="AD45">
        <f>RANK(TAcum[[#This Row],[j28]],TAcum[[#All],[j28]],0)</f>
        <v>39</v>
      </c>
      <c r="AE45">
        <f>RANK(TAcum[[#This Row],[j29]],TAcum[[#All],[j29]],0)</f>
        <v>39</v>
      </c>
      <c r="AF45">
        <f>RANK(TAcum[[#This Row],[j30]],TAcum[[#All],[j30]],0)</f>
        <v>39</v>
      </c>
      <c r="AG45">
        <f>RANK(TAcum[[#This Row],[j31]],TAcum[[#All],[j31]],0)</f>
        <v>39</v>
      </c>
      <c r="AH45">
        <f>RANK(TAcum[[#This Row],[j32]],TAcum[[#All],[j32]],0)</f>
        <v>39</v>
      </c>
      <c r="AI45">
        <f>RANK(TAcum[[#This Row],[j33]],TAcum[[#All],[j33]],0)</f>
        <v>39</v>
      </c>
      <c r="AJ45">
        <f>RANK(TAcum[[#This Row],[j34]],TAcum[[#All],[j34]],0)</f>
        <v>39</v>
      </c>
      <c r="AK45">
        <f>RANK(TAcum[[#This Row],[j35]],TAcum[[#All],[j35]],0)</f>
        <v>39</v>
      </c>
      <c r="AL45">
        <f>RANK(TAcum[[#This Row],[j36]],TAcum[[#All],[j36]],0)</f>
        <v>39</v>
      </c>
      <c r="AM45">
        <f>RANK(TAcum[[#This Row],[j37]],TAcum[[#All],[j37]],0)</f>
        <v>39</v>
      </c>
      <c r="AN45">
        <f>RANK(TAcum[[#This Row],[j38]],TAcum[[#All],[j38]],0)</f>
        <v>39</v>
      </c>
      <c r="AO45">
        <f>RANK(TAcum[[#This Row],[j39]],TAcum[[#All],[j39]],0)</f>
        <v>39</v>
      </c>
      <c r="AP45">
        <f>RANK(TAcum[[#This Row],[j40]],TAcum[[#All],[j40]],0)</f>
        <v>39</v>
      </c>
      <c r="AQ45">
        <f>RANK(TAcum[[#This Row],[j41]],TAcum[[#All],[j41]],0)</f>
        <v>39</v>
      </c>
      <c r="AR45">
        <f>RANK(TAcum[[#This Row],[j42]],TAcum[[#All],[j42]],0)</f>
        <v>39</v>
      </c>
      <c r="AS45">
        <f>RANK(TAcum[[#This Row],[j43]],TAcum[[#All],[j43]],0)</f>
        <v>39</v>
      </c>
      <c r="AT45">
        <f>RANK(TAcum[[#This Row],[j44]],TAcum[[#All],[j44]],0)</f>
        <v>39</v>
      </c>
      <c r="AU45">
        <f>RANK(TAcum[[#This Row],[j45]],TAcum[[#All],[j45]],0)</f>
        <v>39</v>
      </c>
      <c r="AV45">
        <f>RANK(TAcum[[#This Row],[j46]],TAcum[[#All],[j46]],0)</f>
        <v>39</v>
      </c>
      <c r="AW45">
        <f>RANK(TAcum[[#This Row],[j47]],TAcum[[#All],[j47]],0)</f>
        <v>39</v>
      </c>
      <c r="AX45">
        <f>RANK(TAcum[[#This Row],[j48]],TAcum[[#All],[j48]],0)</f>
        <v>39</v>
      </c>
      <c r="AY45">
        <f>RANK(TAcum[[#This Row],[j49]],TAcum[[#All],[j49]],0)</f>
        <v>39</v>
      </c>
      <c r="AZ45">
        <f>RANK(TAcum[[#This Row],[j50]],TAcum[[#All],[j50]],0)</f>
        <v>39</v>
      </c>
      <c r="BA45">
        <f>RANK(TAcum[[#This Row],[j51]],TAcum[[#All],[j51]],0)</f>
        <v>39</v>
      </c>
      <c r="BB45">
        <f>RANK(TAcum[[#This Row],[j52]],TAcum[[#All],[j52]],0)</f>
        <v>39</v>
      </c>
      <c r="BC45">
        <f>RANK(TAcum[[#This Row],[j53]],TAcum[[#All],[j53]],0)</f>
        <v>39</v>
      </c>
      <c r="BD45">
        <f>RANK(TAcum[[#This Row],[j54]],TAcum[[#All],[j54]],0)</f>
        <v>39</v>
      </c>
      <c r="BE45">
        <f>RANK(TAcum[[#This Row],[j55]],TAcum[[#All],[j55]],0)</f>
        <v>39</v>
      </c>
      <c r="BF45">
        <f>RANK(TAcum[[#This Row],[j56]],TAcum[[#All],[j56]],0)</f>
        <v>39</v>
      </c>
      <c r="BG45">
        <f>RANK(TAcum[[#This Row],[j57]],TAcum[[#All],[j57]],0)</f>
        <v>39</v>
      </c>
      <c r="BH45">
        <f>RANK(TAcum[[#This Row],[j58]],TAcum[[#All],[j58]],0)</f>
        <v>39</v>
      </c>
      <c r="BI45">
        <f>RANK(TAcum[[#This Row],[j59]],TAcum[[#All],[j59]],0)</f>
        <v>39</v>
      </c>
      <c r="BJ45">
        <f>RANK(TAcum[[#This Row],[j60]],TAcum[[#All],[j60]],0)</f>
        <v>39</v>
      </c>
      <c r="BK45">
        <f>RANK(TAcum[[#This Row],[j61]],TAcum[[#All],[j61]],0)</f>
        <v>39</v>
      </c>
      <c r="BL45">
        <f>RANK(TAcum[[#This Row],[j62]],TAcum[[#All],[j62]],0)</f>
        <v>39</v>
      </c>
      <c r="BM45">
        <f>RANK(TAcum[[#This Row],[j63]],TAcum[[#All],[j63]],0)</f>
        <v>39</v>
      </c>
      <c r="BN45">
        <f>RANK(TAcum[[#This Row],[j64]],TAcum[[#All],[j64]],0)</f>
        <v>39</v>
      </c>
      <c r="BO45">
        <f>RANK(TAcum[[#This Row],[j65]],TAcum[[#All],[j65]],0)</f>
        <v>39</v>
      </c>
      <c r="BP45">
        <f>RANK(TAcum[[#This Row],[j66]],TAcum[[#All],[j66]],0)</f>
        <v>39</v>
      </c>
      <c r="BQ45">
        <f>RANK(TAcum[[#This Row],[j67]],TAcum[[#All],[j67]],0)</f>
        <v>39</v>
      </c>
      <c r="BR45">
        <f>RANK(TAcum[[#This Row],[j68]],TAcum[[#All],[j68]],0)</f>
        <v>39</v>
      </c>
      <c r="BS45">
        <f>RANK(TAcum[[#This Row],[j69]],TAcum[[#All],[j69]],0)</f>
        <v>39</v>
      </c>
      <c r="BT45">
        <f>RANK(TAcum[[#This Row],[j70]],TAcum[[#All],[j70]],0)</f>
        <v>39</v>
      </c>
      <c r="BU45">
        <f>RANK(TAcum[[#This Row],[j71]],TAcum[[#All],[j71]],0)</f>
        <v>39</v>
      </c>
      <c r="BV45">
        <f>RANK(TAcum[[#This Row],[j72]],TAcum[[#All],[j72]],0)</f>
        <v>39</v>
      </c>
      <c r="BW45">
        <f>RANK(TAcum[[#This Row],[j73]],TAcum[[#All],[j73]],0)</f>
        <v>39</v>
      </c>
    </row>
    <row r="46" spans="1:75" x14ac:dyDescent="0.25">
      <c r="A46" t="str">
        <f>TAcum[[#This Row],[Jogador]]</f>
        <v>Lissandro Will</v>
      </c>
      <c r="B46">
        <f>RANK(TAcum[[#This Row],[total]],TAcum[[#All],[total]],0)</f>
        <v>45</v>
      </c>
      <c r="C46">
        <f>RANK(TAcum[[#This Row],[j01]],TAcum[[#All],[j01]],0)</f>
        <v>13</v>
      </c>
      <c r="D46">
        <f>RANK(TAcum[[#This Row],[j02]],TAcum[[#All],[j02]],0)</f>
        <v>14</v>
      </c>
      <c r="E46">
        <f>RANK(TAcum[[#This Row],[j03]],TAcum[[#All],[j03]],0)</f>
        <v>24</v>
      </c>
      <c r="F46">
        <f>RANK(TAcum[[#This Row],[j04]],TAcum[[#All],[j04]],0)</f>
        <v>9</v>
      </c>
      <c r="G46">
        <f>RANK(TAcum[[#This Row],[j05]],TAcum[[#All],[j05]],0)</f>
        <v>9</v>
      </c>
      <c r="H46">
        <f>RANK(TAcum[[#This Row],[j06]],TAcum[[#All],[j06]],0)</f>
        <v>9</v>
      </c>
      <c r="I46">
        <f>RANK(TAcum[[#This Row],[j07]],TAcum[[#All],[j07]],0)</f>
        <v>5</v>
      </c>
      <c r="J46">
        <f>RANK(TAcum[[#This Row],[j08]],TAcum[[#All],[j08]],0)</f>
        <v>8</v>
      </c>
      <c r="K46">
        <f>RANK(TAcum[[#This Row],[j09]],TAcum[[#All],[j09]],0)</f>
        <v>11</v>
      </c>
      <c r="L46">
        <f>RANK(TAcum[[#This Row],[j10]],TAcum[[#All],[j10]],0)</f>
        <v>15</v>
      </c>
      <c r="M46">
        <f>RANK(TAcum[[#This Row],[j11]],TAcum[[#All],[j11]],0)</f>
        <v>17</v>
      </c>
      <c r="N46">
        <f>RANK(TAcum[[#This Row],[j12]],TAcum[[#All],[j12]],0)</f>
        <v>17</v>
      </c>
      <c r="O46">
        <f>RANK(TAcum[[#This Row],[j13]],TAcum[[#All],[j13]],0)</f>
        <v>26</v>
      </c>
      <c r="P46">
        <f>RANK(TAcum[[#This Row],[j14]],TAcum[[#All],[j14]],0)</f>
        <v>27</v>
      </c>
      <c r="Q46">
        <f>RANK(TAcum[[#This Row],[j15]],TAcum[[#All],[j15]],0)</f>
        <v>29</v>
      </c>
      <c r="R46">
        <f>RANK(TAcum[[#This Row],[j16]],TAcum[[#All],[j16]],0)</f>
        <v>39</v>
      </c>
      <c r="S46">
        <f>RANK(TAcum[[#This Row],[j17]],TAcum[[#All],[j17]],0)</f>
        <v>46</v>
      </c>
      <c r="T46">
        <f>RANK(TAcum[[#This Row],[j18]],TAcum[[#All],[j18]],0)</f>
        <v>52</v>
      </c>
      <c r="U46">
        <f>RANK(TAcum[[#This Row],[j19]],TAcum[[#All],[j19]],0)</f>
        <v>52</v>
      </c>
      <c r="V46">
        <f>RANK(TAcum[[#This Row],[j20]],TAcum[[#All],[j20]],0)</f>
        <v>52</v>
      </c>
      <c r="W46">
        <f>RANK(TAcum[[#This Row],[j21]],TAcum[[#All],[j21]],0)</f>
        <v>56</v>
      </c>
      <c r="X46">
        <f>RANK(TAcum[[#This Row],[j22]],TAcum[[#All],[j22]],0)</f>
        <v>62</v>
      </c>
      <c r="Y46">
        <f>RANK(TAcum[[#This Row],[j23]],TAcum[[#All],[j23]],0)</f>
        <v>62</v>
      </c>
      <c r="Z46">
        <f>RANK(TAcum[[#This Row],[j24]],TAcum[[#All],[j24]],0)</f>
        <v>69</v>
      </c>
      <c r="AA46">
        <f>RANK(TAcum[[#This Row],[j25]],TAcum[[#All],[j25]],0)</f>
        <v>68</v>
      </c>
      <c r="AB46">
        <f>RANK(TAcum[[#This Row],[j26]],TAcum[[#All],[j26]],0)</f>
        <v>59</v>
      </c>
      <c r="AC46">
        <f>RANK(TAcum[[#This Row],[j27]],TAcum[[#All],[j27]],0)</f>
        <v>59</v>
      </c>
      <c r="AD46">
        <f>RANK(TAcum[[#This Row],[j28]],TAcum[[#All],[j28]],0)</f>
        <v>60</v>
      </c>
      <c r="AE46">
        <f>RANK(TAcum[[#This Row],[j29]],TAcum[[#All],[j29]],0)</f>
        <v>45</v>
      </c>
      <c r="AF46">
        <f>RANK(TAcum[[#This Row],[j30]],TAcum[[#All],[j30]],0)</f>
        <v>45</v>
      </c>
      <c r="AG46">
        <f>RANK(TAcum[[#This Row],[j31]],TAcum[[#All],[j31]],0)</f>
        <v>45</v>
      </c>
      <c r="AH46">
        <f>RANK(TAcum[[#This Row],[j32]],TAcum[[#All],[j32]],0)</f>
        <v>45</v>
      </c>
      <c r="AI46">
        <f>RANK(TAcum[[#This Row],[j33]],TAcum[[#All],[j33]],0)</f>
        <v>45</v>
      </c>
      <c r="AJ46">
        <f>RANK(TAcum[[#This Row],[j34]],TAcum[[#All],[j34]],0)</f>
        <v>45</v>
      </c>
      <c r="AK46">
        <f>RANK(TAcum[[#This Row],[j35]],TAcum[[#All],[j35]],0)</f>
        <v>45</v>
      </c>
      <c r="AL46">
        <f>RANK(TAcum[[#This Row],[j36]],TAcum[[#All],[j36]],0)</f>
        <v>45</v>
      </c>
      <c r="AM46">
        <f>RANK(TAcum[[#This Row],[j37]],TAcum[[#All],[j37]],0)</f>
        <v>45</v>
      </c>
      <c r="AN46">
        <f>RANK(TAcum[[#This Row],[j38]],TAcum[[#All],[j38]],0)</f>
        <v>45</v>
      </c>
      <c r="AO46">
        <f>RANK(TAcum[[#This Row],[j39]],TAcum[[#All],[j39]],0)</f>
        <v>45</v>
      </c>
      <c r="AP46">
        <f>RANK(TAcum[[#This Row],[j40]],TAcum[[#All],[j40]],0)</f>
        <v>45</v>
      </c>
      <c r="AQ46">
        <f>RANK(TAcum[[#This Row],[j41]],TAcum[[#All],[j41]],0)</f>
        <v>45</v>
      </c>
      <c r="AR46">
        <f>RANK(TAcum[[#This Row],[j42]],TAcum[[#All],[j42]],0)</f>
        <v>45</v>
      </c>
      <c r="AS46">
        <f>RANK(TAcum[[#This Row],[j43]],TAcum[[#All],[j43]],0)</f>
        <v>45</v>
      </c>
      <c r="AT46">
        <f>RANK(TAcum[[#This Row],[j44]],TAcum[[#All],[j44]],0)</f>
        <v>45</v>
      </c>
      <c r="AU46">
        <f>RANK(TAcum[[#This Row],[j45]],TAcum[[#All],[j45]],0)</f>
        <v>45</v>
      </c>
      <c r="AV46">
        <f>RANK(TAcum[[#This Row],[j46]],TAcum[[#All],[j46]],0)</f>
        <v>45</v>
      </c>
      <c r="AW46">
        <f>RANK(TAcum[[#This Row],[j47]],TAcum[[#All],[j47]],0)</f>
        <v>45</v>
      </c>
      <c r="AX46">
        <f>RANK(TAcum[[#This Row],[j48]],TAcum[[#All],[j48]],0)</f>
        <v>45</v>
      </c>
      <c r="AY46">
        <f>RANK(TAcum[[#This Row],[j49]],TAcum[[#All],[j49]],0)</f>
        <v>45</v>
      </c>
      <c r="AZ46">
        <f>RANK(TAcum[[#This Row],[j50]],TAcum[[#All],[j50]],0)</f>
        <v>45</v>
      </c>
      <c r="BA46">
        <f>RANK(TAcum[[#This Row],[j51]],TAcum[[#All],[j51]],0)</f>
        <v>45</v>
      </c>
      <c r="BB46">
        <f>RANK(TAcum[[#This Row],[j52]],TAcum[[#All],[j52]],0)</f>
        <v>45</v>
      </c>
      <c r="BC46">
        <f>RANK(TAcum[[#This Row],[j53]],TAcum[[#All],[j53]],0)</f>
        <v>45</v>
      </c>
      <c r="BD46">
        <f>RANK(TAcum[[#This Row],[j54]],TAcum[[#All],[j54]],0)</f>
        <v>45</v>
      </c>
      <c r="BE46">
        <f>RANK(TAcum[[#This Row],[j55]],TAcum[[#All],[j55]],0)</f>
        <v>45</v>
      </c>
      <c r="BF46">
        <f>RANK(TAcum[[#This Row],[j56]],TAcum[[#All],[j56]],0)</f>
        <v>45</v>
      </c>
      <c r="BG46">
        <f>RANK(TAcum[[#This Row],[j57]],TAcum[[#All],[j57]],0)</f>
        <v>45</v>
      </c>
      <c r="BH46">
        <f>RANK(TAcum[[#This Row],[j58]],TAcum[[#All],[j58]],0)</f>
        <v>45</v>
      </c>
      <c r="BI46">
        <f>RANK(TAcum[[#This Row],[j59]],TAcum[[#All],[j59]],0)</f>
        <v>45</v>
      </c>
      <c r="BJ46">
        <f>RANK(TAcum[[#This Row],[j60]],TAcum[[#All],[j60]],0)</f>
        <v>45</v>
      </c>
      <c r="BK46">
        <f>RANK(TAcum[[#This Row],[j61]],TAcum[[#All],[j61]],0)</f>
        <v>45</v>
      </c>
      <c r="BL46">
        <f>RANK(TAcum[[#This Row],[j62]],TAcum[[#All],[j62]],0)</f>
        <v>45</v>
      </c>
      <c r="BM46">
        <f>RANK(TAcum[[#This Row],[j63]],TAcum[[#All],[j63]],0)</f>
        <v>45</v>
      </c>
      <c r="BN46">
        <f>RANK(TAcum[[#This Row],[j64]],TAcum[[#All],[j64]],0)</f>
        <v>45</v>
      </c>
      <c r="BO46">
        <f>RANK(TAcum[[#This Row],[j65]],TAcum[[#All],[j65]],0)</f>
        <v>45</v>
      </c>
      <c r="BP46">
        <f>RANK(TAcum[[#This Row],[j66]],TAcum[[#All],[j66]],0)</f>
        <v>45</v>
      </c>
      <c r="BQ46">
        <f>RANK(TAcum[[#This Row],[j67]],TAcum[[#All],[j67]],0)</f>
        <v>45</v>
      </c>
      <c r="BR46">
        <f>RANK(TAcum[[#This Row],[j68]],TAcum[[#All],[j68]],0)</f>
        <v>45</v>
      </c>
      <c r="BS46">
        <f>RANK(TAcum[[#This Row],[j69]],TAcum[[#All],[j69]],0)</f>
        <v>45</v>
      </c>
      <c r="BT46">
        <f>RANK(TAcum[[#This Row],[j70]],TAcum[[#All],[j70]],0)</f>
        <v>45</v>
      </c>
      <c r="BU46">
        <f>RANK(TAcum[[#This Row],[j71]],TAcum[[#All],[j71]],0)</f>
        <v>45</v>
      </c>
      <c r="BV46">
        <f>RANK(TAcum[[#This Row],[j72]],TAcum[[#All],[j72]],0)</f>
        <v>45</v>
      </c>
      <c r="BW46">
        <f>RANK(TAcum[[#This Row],[j73]],TAcum[[#All],[j73]],0)</f>
        <v>45</v>
      </c>
    </row>
    <row r="47" spans="1:75" x14ac:dyDescent="0.25">
      <c r="A47" t="str">
        <f>TAcum[[#This Row],[Jogador]]</f>
        <v>Bruno Ladvocat</v>
      </c>
      <c r="B47">
        <f>RANK(TAcum[[#This Row],[total]],TAcum[[#All],[total]],0)</f>
        <v>46</v>
      </c>
      <c r="C47">
        <f>RANK(TAcum[[#This Row],[j01]],TAcum[[#All],[j01]],0)</f>
        <v>13</v>
      </c>
      <c r="D47">
        <f>RANK(TAcum[[#This Row],[j02]],TAcum[[#All],[j02]],0)</f>
        <v>14</v>
      </c>
      <c r="E47">
        <f>RANK(TAcum[[#This Row],[j03]],TAcum[[#All],[j03]],0)</f>
        <v>3</v>
      </c>
      <c r="F47">
        <f>RANK(TAcum[[#This Row],[j04]],TAcum[[#All],[j04]],0)</f>
        <v>1</v>
      </c>
      <c r="G47">
        <f>RANK(TAcum[[#This Row],[j05]],TAcum[[#All],[j05]],0)</f>
        <v>1</v>
      </c>
      <c r="H47">
        <f>RANK(TAcum[[#This Row],[j06]],TAcum[[#All],[j06]],0)</f>
        <v>1</v>
      </c>
      <c r="I47">
        <f>RANK(TAcum[[#This Row],[j07]],TAcum[[#All],[j07]],0)</f>
        <v>11</v>
      </c>
      <c r="J47">
        <f>RANK(TAcum[[#This Row],[j08]],TAcum[[#All],[j08]],0)</f>
        <v>15</v>
      </c>
      <c r="K47">
        <f>RANK(TAcum[[#This Row],[j09]],TAcum[[#All],[j09]],0)</f>
        <v>23</v>
      </c>
      <c r="L47">
        <f>RANK(TAcum[[#This Row],[j10]],TAcum[[#All],[j10]],0)</f>
        <v>23</v>
      </c>
      <c r="M47">
        <f>RANK(TAcum[[#This Row],[j11]],TAcum[[#All],[j11]],0)</f>
        <v>20</v>
      </c>
      <c r="N47">
        <f>RANK(TAcum[[#This Row],[j12]],TAcum[[#All],[j12]],0)</f>
        <v>19</v>
      </c>
      <c r="O47">
        <f>RANK(TAcum[[#This Row],[j13]],TAcum[[#All],[j13]],0)</f>
        <v>29</v>
      </c>
      <c r="P47">
        <f>RANK(TAcum[[#This Row],[j14]],TAcum[[#All],[j14]],0)</f>
        <v>29</v>
      </c>
      <c r="Q47">
        <f>RANK(TAcum[[#This Row],[j15]],TAcum[[#All],[j15]],0)</f>
        <v>25</v>
      </c>
      <c r="R47">
        <f>RANK(TAcum[[#This Row],[j16]],TAcum[[#All],[j16]],0)</f>
        <v>30</v>
      </c>
      <c r="S47">
        <f>RANK(TAcum[[#This Row],[j17]],TAcum[[#All],[j17]],0)</f>
        <v>38</v>
      </c>
      <c r="T47">
        <f>RANK(TAcum[[#This Row],[j18]],TAcum[[#All],[j18]],0)</f>
        <v>43</v>
      </c>
      <c r="U47">
        <f>RANK(TAcum[[#This Row],[j19]],TAcum[[#All],[j19]],0)</f>
        <v>47</v>
      </c>
      <c r="V47">
        <f>RANK(TAcum[[#This Row],[j20]],TAcum[[#All],[j20]],0)</f>
        <v>50</v>
      </c>
      <c r="W47">
        <f>RANK(TAcum[[#This Row],[j21]],TAcum[[#All],[j21]],0)</f>
        <v>47</v>
      </c>
      <c r="X47">
        <f>RANK(TAcum[[#This Row],[j22]],TAcum[[#All],[j22]],0)</f>
        <v>55</v>
      </c>
      <c r="Y47">
        <f>RANK(TAcum[[#This Row],[j23]],TAcum[[#All],[j23]],0)</f>
        <v>43</v>
      </c>
      <c r="Z47">
        <f>RANK(TAcum[[#This Row],[j24]],TAcum[[#All],[j24]],0)</f>
        <v>37</v>
      </c>
      <c r="AA47">
        <f>RANK(TAcum[[#This Row],[j25]],TAcum[[#All],[j25]],0)</f>
        <v>37</v>
      </c>
      <c r="AB47">
        <f>RANK(TAcum[[#This Row],[j26]],TAcum[[#All],[j26]],0)</f>
        <v>36</v>
      </c>
      <c r="AC47">
        <f>RANK(TAcum[[#This Row],[j27]],TAcum[[#All],[j27]],0)</f>
        <v>37</v>
      </c>
      <c r="AD47">
        <f>RANK(TAcum[[#This Row],[j28]],TAcum[[#All],[j28]],0)</f>
        <v>36</v>
      </c>
      <c r="AE47">
        <f>RANK(TAcum[[#This Row],[j29]],TAcum[[#All],[j29]],0)</f>
        <v>46</v>
      </c>
      <c r="AF47">
        <f>RANK(TAcum[[#This Row],[j30]],TAcum[[#All],[j30]],0)</f>
        <v>46</v>
      </c>
      <c r="AG47">
        <f>RANK(TAcum[[#This Row],[j31]],TAcum[[#All],[j31]],0)</f>
        <v>46</v>
      </c>
      <c r="AH47">
        <f>RANK(TAcum[[#This Row],[j32]],TAcum[[#All],[j32]],0)</f>
        <v>46</v>
      </c>
      <c r="AI47">
        <f>RANK(TAcum[[#This Row],[j33]],TAcum[[#All],[j33]],0)</f>
        <v>46</v>
      </c>
      <c r="AJ47">
        <f>RANK(TAcum[[#This Row],[j34]],TAcum[[#All],[j34]],0)</f>
        <v>46</v>
      </c>
      <c r="AK47">
        <f>RANK(TAcum[[#This Row],[j35]],TAcum[[#All],[j35]],0)</f>
        <v>46</v>
      </c>
      <c r="AL47">
        <f>RANK(TAcum[[#This Row],[j36]],TAcum[[#All],[j36]],0)</f>
        <v>46</v>
      </c>
      <c r="AM47">
        <f>RANK(TAcum[[#This Row],[j37]],TAcum[[#All],[j37]],0)</f>
        <v>46</v>
      </c>
      <c r="AN47">
        <f>RANK(TAcum[[#This Row],[j38]],TAcum[[#All],[j38]],0)</f>
        <v>46</v>
      </c>
      <c r="AO47">
        <f>RANK(TAcum[[#This Row],[j39]],TAcum[[#All],[j39]],0)</f>
        <v>46</v>
      </c>
      <c r="AP47">
        <f>RANK(TAcum[[#This Row],[j40]],TAcum[[#All],[j40]],0)</f>
        <v>46</v>
      </c>
      <c r="AQ47">
        <f>RANK(TAcum[[#This Row],[j41]],TAcum[[#All],[j41]],0)</f>
        <v>46</v>
      </c>
      <c r="AR47">
        <f>RANK(TAcum[[#This Row],[j42]],TAcum[[#All],[j42]],0)</f>
        <v>46</v>
      </c>
      <c r="AS47">
        <f>RANK(TAcum[[#This Row],[j43]],TAcum[[#All],[j43]],0)</f>
        <v>46</v>
      </c>
      <c r="AT47">
        <f>RANK(TAcum[[#This Row],[j44]],TAcum[[#All],[j44]],0)</f>
        <v>46</v>
      </c>
      <c r="AU47">
        <f>RANK(TAcum[[#This Row],[j45]],TAcum[[#All],[j45]],0)</f>
        <v>46</v>
      </c>
      <c r="AV47">
        <f>RANK(TAcum[[#This Row],[j46]],TAcum[[#All],[j46]],0)</f>
        <v>46</v>
      </c>
      <c r="AW47">
        <f>RANK(TAcum[[#This Row],[j47]],TAcum[[#All],[j47]],0)</f>
        <v>46</v>
      </c>
      <c r="AX47">
        <f>RANK(TAcum[[#This Row],[j48]],TAcum[[#All],[j48]],0)</f>
        <v>46</v>
      </c>
      <c r="AY47">
        <f>RANK(TAcum[[#This Row],[j49]],TAcum[[#All],[j49]],0)</f>
        <v>46</v>
      </c>
      <c r="AZ47">
        <f>RANK(TAcum[[#This Row],[j50]],TAcum[[#All],[j50]],0)</f>
        <v>46</v>
      </c>
      <c r="BA47">
        <f>RANK(TAcum[[#This Row],[j51]],TAcum[[#All],[j51]],0)</f>
        <v>46</v>
      </c>
      <c r="BB47">
        <f>RANK(TAcum[[#This Row],[j52]],TAcum[[#All],[j52]],0)</f>
        <v>46</v>
      </c>
      <c r="BC47">
        <f>RANK(TAcum[[#This Row],[j53]],TAcum[[#All],[j53]],0)</f>
        <v>46</v>
      </c>
      <c r="BD47">
        <f>RANK(TAcum[[#This Row],[j54]],TAcum[[#All],[j54]],0)</f>
        <v>46</v>
      </c>
      <c r="BE47">
        <f>RANK(TAcum[[#This Row],[j55]],TAcum[[#All],[j55]],0)</f>
        <v>46</v>
      </c>
      <c r="BF47">
        <f>RANK(TAcum[[#This Row],[j56]],TAcum[[#All],[j56]],0)</f>
        <v>46</v>
      </c>
      <c r="BG47">
        <f>RANK(TAcum[[#This Row],[j57]],TAcum[[#All],[j57]],0)</f>
        <v>46</v>
      </c>
      <c r="BH47">
        <f>RANK(TAcum[[#This Row],[j58]],TAcum[[#All],[j58]],0)</f>
        <v>46</v>
      </c>
      <c r="BI47">
        <f>RANK(TAcum[[#This Row],[j59]],TAcum[[#All],[j59]],0)</f>
        <v>46</v>
      </c>
      <c r="BJ47">
        <f>RANK(TAcum[[#This Row],[j60]],TAcum[[#All],[j60]],0)</f>
        <v>46</v>
      </c>
      <c r="BK47">
        <f>RANK(TAcum[[#This Row],[j61]],TAcum[[#All],[j61]],0)</f>
        <v>46</v>
      </c>
      <c r="BL47">
        <f>RANK(TAcum[[#This Row],[j62]],TAcum[[#All],[j62]],0)</f>
        <v>46</v>
      </c>
      <c r="BM47">
        <f>RANK(TAcum[[#This Row],[j63]],TAcum[[#All],[j63]],0)</f>
        <v>46</v>
      </c>
      <c r="BN47">
        <f>RANK(TAcum[[#This Row],[j64]],TAcum[[#All],[j64]],0)</f>
        <v>46</v>
      </c>
      <c r="BO47">
        <f>RANK(TAcum[[#This Row],[j65]],TAcum[[#All],[j65]],0)</f>
        <v>46</v>
      </c>
      <c r="BP47">
        <f>RANK(TAcum[[#This Row],[j66]],TAcum[[#All],[j66]],0)</f>
        <v>46</v>
      </c>
      <c r="BQ47">
        <f>RANK(TAcum[[#This Row],[j67]],TAcum[[#All],[j67]],0)</f>
        <v>46</v>
      </c>
      <c r="BR47">
        <f>RANK(TAcum[[#This Row],[j68]],TAcum[[#All],[j68]],0)</f>
        <v>46</v>
      </c>
      <c r="BS47">
        <f>RANK(TAcum[[#This Row],[j69]],TAcum[[#All],[j69]],0)</f>
        <v>46</v>
      </c>
      <c r="BT47">
        <f>RANK(TAcum[[#This Row],[j70]],TAcum[[#All],[j70]],0)</f>
        <v>46</v>
      </c>
      <c r="BU47">
        <f>RANK(TAcum[[#This Row],[j71]],TAcum[[#All],[j71]],0)</f>
        <v>46</v>
      </c>
      <c r="BV47">
        <f>RANK(TAcum[[#This Row],[j72]],TAcum[[#All],[j72]],0)</f>
        <v>46</v>
      </c>
      <c r="BW47">
        <f>RANK(TAcum[[#This Row],[j73]],TAcum[[#All],[j73]],0)</f>
        <v>46</v>
      </c>
    </row>
    <row r="48" spans="1:75" x14ac:dyDescent="0.25">
      <c r="A48" t="str">
        <f>TAcum[[#This Row],[Jogador]]</f>
        <v>Cláudio Grangeon</v>
      </c>
      <c r="B48">
        <f>RANK(TAcum[[#This Row],[total]],TAcum[[#All],[total]],0)</f>
        <v>46</v>
      </c>
      <c r="C48">
        <f>RANK(TAcum[[#This Row],[j01]],TAcum[[#All],[j01]],0)</f>
        <v>13</v>
      </c>
      <c r="D48">
        <f>RANK(TAcum[[#This Row],[j02]],TAcum[[#All],[j02]],0)</f>
        <v>14</v>
      </c>
      <c r="E48">
        <f>RANK(TAcum[[#This Row],[j03]],TAcum[[#All],[j03]],0)</f>
        <v>24</v>
      </c>
      <c r="F48">
        <f>RANK(TAcum[[#This Row],[j04]],TAcum[[#All],[j04]],0)</f>
        <v>9</v>
      </c>
      <c r="G48">
        <f>RANK(TAcum[[#This Row],[j05]],TAcum[[#All],[j05]],0)</f>
        <v>9</v>
      </c>
      <c r="H48">
        <f>RANK(TAcum[[#This Row],[j06]],TAcum[[#All],[j06]],0)</f>
        <v>9</v>
      </c>
      <c r="I48">
        <f>RANK(TAcum[[#This Row],[j07]],TAcum[[#All],[j07]],0)</f>
        <v>27</v>
      </c>
      <c r="J48">
        <f>RANK(TAcum[[#This Row],[j08]],TAcum[[#All],[j08]],0)</f>
        <v>27</v>
      </c>
      <c r="K48">
        <f>RANK(TAcum[[#This Row],[j09]],TAcum[[#All],[j09]],0)</f>
        <v>27</v>
      </c>
      <c r="L48">
        <f>RANK(TAcum[[#This Row],[j10]],TAcum[[#All],[j10]],0)</f>
        <v>31</v>
      </c>
      <c r="M48">
        <f>RANK(TAcum[[#This Row],[j11]],TAcum[[#All],[j11]],0)</f>
        <v>40</v>
      </c>
      <c r="N48">
        <f>RANK(TAcum[[#This Row],[j12]],TAcum[[#All],[j12]],0)</f>
        <v>41</v>
      </c>
      <c r="O48">
        <f>RANK(TAcum[[#This Row],[j13]],TAcum[[#All],[j13]],0)</f>
        <v>59</v>
      </c>
      <c r="P48">
        <f>RANK(TAcum[[#This Row],[j14]],TAcum[[#All],[j14]],0)</f>
        <v>59</v>
      </c>
      <c r="Q48">
        <f>RANK(TAcum[[#This Row],[j15]],TAcum[[#All],[j15]],0)</f>
        <v>61</v>
      </c>
      <c r="R48">
        <f>RANK(TAcum[[#This Row],[j16]],TAcum[[#All],[j16]],0)</f>
        <v>49</v>
      </c>
      <c r="S48">
        <f>RANK(TAcum[[#This Row],[j17]],TAcum[[#All],[j17]],0)</f>
        <v>32</v>
      </c>
      <c r="T48">
        <f>RANK(TAcum[[#This Row],[j18]],TAcum[[#All],[j18]],0)</f>
        <v>37</v>
      </c>
      <c r="U48">
        <f>RANK(TAcum[[#This Row],[j19]],TAcum[[#All],[j19]],0)</f>
        <v>42</v>
      </c>
      <c r="V48">
        <f>RANK(TAcum[[#This Row],[j20]],TAcum[[#All],[j20]],0)</f>
        <v>41</v>
      </c>
      <c r="W48">
        <f>RANK(TAcum[[#This Row],[j21]],TAcum[[#All],[j21]],0)</f>
        <v>36</v>
      </c>
      <c r="X48">
        <f>RANK(TAcum[[#This Row],[j22]],TAcum[[#All],[j22]],0)</f>
        <v>29</v>
      </c>
      <c r="Y48">
        <f>RANK(TAcum[[#This Row],[j23]],TAcum[[#All],[j23]],0)</f>
        <v>36</v>
      </c>
      <c r="Z48">
        <f>RANK(TAcum[[#This Row],[j24]],TAcum[[#All],[j24]],0)</f>
        <v>45</v>
      </c>
      <c r="AA48">
        <f>RANK(TAcum[[#This Row],[j25]],TAcum[[#All],[j25]],0)</f>
        <v>45</v>
      </c>
      <c r="AB48">
        <f>RANK(TAcum[[#This Row],[j26]],TAcum[[#All],[j26]],0)</f>
        <v>47</v>
      </c>
      <c r="AC48">
        <f>RANK(TAcum[[#This Row],[j27]],TAcum[[#All],[j27]],0)</f>
        <v>47</v>
      </c>
      <c r="AD48">
        <f>RANK(TAcum[[#This Row],[j28]],TAcum[[#All],[j28]],0)</f>
        <v>48</v>
      </c>
      <c r="AE48">
        <f>RANK(TAcum[[#This Row],[j29]],TAcum[[#All],[j29]],0)</f>
        <v>46</v>
      </c>
      <c r="AF48">
        <f>RANK(TAcum[[#This Row],[j30]],TAcum[[#All],[j30]],0)</f>
        <v>46</v>
      </c>
      <c r="AG48">
        <f>RANK(TAcum[[#This Row],[j31]],TAcum[[#All],[j31]],0)</f>
        <v>46</v>
      </c>
      <c r="AH48">
        <f>RANK(TAcum[[#This Row],[j32]],TAcum[[#All],[j32]],0)</f>
        <v>46</v>
      </c>
      <c r="AI48">
        <f>RANK(TAcum[[#This Row],[j33]],TAcum[[#All],[j33]],0)</f>
        <v>46</v>
      </c>
      <c r="AJ48">
        <f>RANK(TAcum[[#This Row],[j34]],TAcum[[#All],[j34]],0)</f>
        <v>46</v>
      </c>
      <c r="AK48">
        <f>RANK(TAcum[[#This Row],[j35]],TAcum[[#All],[j35]],0)</f>
        <v>46</v>
      </c>
      <c r="AL48">
        <f>RANK(TAcum[[#This Row],[j36]],TAcum[[#All],[j36]],0)</f>
        <v>46</v>
      </c>
      <c r="AM48">
        <f>RANK(TAcum[[#This Row],[j37]],TAcum[[#All],[j37]],0)</f>
        <v>46</v>
      </c>
      <c r="AN48">
        <f>RANK(TAcum[[#This Row],[j38]],TAcum[[#All],[j38]],0)</f>
        <v>46</v>
      </c>
      <c r="AO48">
        <f>RANK(TAcum[[#This Row],[j39]],TAcum[[#All],[j39]],0)</f>
        <v>46</v>
      </c>
      <c r="AP48">
        <f>RANK(TAcum[[#This Row],[j40]],TAcum[[#All],[j40]],0)</f>
        <v>46</v>
      </c>
      <c r="AQ48">
        <f>RANK(TAcum[[#This Row],[j41]],TAcum[[#All],[j41]],0)</f>
        <v>46</v>
      </c>
      <c r="AR48">
        <f>RANK(TAcum[[#This Row],[j42]],TAcum[[#All],[j42]],0)</f>
        <v>46</v>
      </c>
      <c r="AS48">
        <f>RANK(TAcum[[#This Row],[j43]],TAcum[[#All],[j43]],0)</f>
        <v>46</v>
      </c>
      <c r="AT48">
        <f>RANK(TAcum[[#This Row],[j44]],TAcum[[#All],[j44]],0)</f>
        <v>46</v>
      </c>
      <c r="AU48">
        <f>RANK(TAcum[[#This Row],[j45]],TAcum[[#All],[j45]],0)</f>
        <v>46</v>
      </c>
      <c r="AV48">
        <f>RANK(TAcum[[#This Row],[j46]],TAcum[[#All],[j46]],0)</f>
        <v>46</v>
      </c>
      <c r="AW48">
        <f>RANK(TAcum[[#This Row],[j47]],TAcum[[#All],[j47]],0)</f>
        <v>46</v>
      </c>
      <c r="AX48">
        <f>RANK(TAcum[[#This Row],[j48]],TAcum[[#All],[j48]],0)</f>
        <v>46</v>
      </c>
      <c r="AY48">
        <f>RANK(TAcum[[#This Row],[j49]],TAcum[[#All],[j49]],0)</f>
        <v>46</v>
      </c>
      <c r="AZ48">
        <f>RANK(TAcum[[#This Row],[j50]],TAcum[[#All],[j50]],0)</f>
        <v>46</v>
      </c>
      <c r="BA48">
        <f>RANK(TAcum[[#This Row],[j51]],TAcum[[#All],[j51]],0)</f>
        <v>46</v>
      </c>
      <c r="BB48">
        <f>RANK(TAcum[[#This Row],[j52]],TAcum[[#All],[j52]],0)</f>
        <v>46</v>
      </c>
      <c r="BC48">
        <f>RANK(TAcum[[#This Row],[j53]],TAcum[[#All],[j53]],0)</f>
        <v>46</v>
      </c>
      <c r="BD48">
        <f>RANK(TAcum[[#This Row],[j54]],TAcum[[#All],[j54]],0)</f>
        <v>46</v>
      </c>
      <c r="BE48">
        <f>RANK(TAcum[[#This Row],[j55]],TAcum[[#All],[j55]],0)</f>
        <v>46</v>
      </c>
      <c r="BF48">
        <f>RANK(TAcum[[#This Row],[j56]],TAcum[[#All],[j56]],0)</f>
        <v>46</v>
      </c>
      <c r="BG48">
        <f>RANK(TAcum[[#This Row],[j57]],TAcum[[#All],[j57]],0)</f>
        <v>46</v>
      </c>
      <c r="BH48">
        <f>RANK(TAcum[[#This Row],[j58]],TAcum[[#All],[j58]],0)</f>
        <v>46</v>
      </c>
      <c r="BI48">
        <f>RANK(TAcum[[#This Row],[j59]],TAcum[[#All],[j59]],0)</f>
        <v>46</v>
      </c>
      <c r="BJ48">
        <f>RANK(TAcum[[#This Row],[j60]],TAcum[[#All],[j60]],0)</f>
        <v>46</v>
      </c>
      <c r="BK48">
        <f>RANK(TAcum[[#This Row],[j61]],TAcum[[#All],[j61]],0)</f>
        <v>46</v>
      </c>
      <c r="BL48">
        <f>RANK(TAcum[[#This Row],[j62]],TAcum[[#All],[j62]],0)</f>
        <v>46</v>
      </c>
      <c r="BM48">
        <f>RANK(TAcum[[#This Row],[j63]],TAcum[[#All],[j63]],0)</f>
        <v>46</v>
      </c>
      <c r="BN48">
        <f>RANK(TAcum[[#This Row],[j64]],TAcum[[#All],[j64]],0)</f>
        <v>46</v>
      </c>
      <c r="BO48">
        <f>RANK(TAcum[[#This Row],[j65]],TAcum[[#All],[j65]],0)</f>
        <v>46</v>
      </c>
      <c r="BP48">
        <f>RANK(TAcum[[#This Row],[j66]],TAcum[[#All],[j66]],0)</f>
        <v>46</v>
      </c>
      <c r="BQ48">
        <f>RANK(TAcum[[#This Row],[j67]],TAcum[[#All],[j67]],0)</f>
        <v>46</v>
      </c>
      <c r="BR48">
        <f>RANK(TAcum[[#This Row],[j68]],TAcum[[#All],[j68]],0)</f>
        <v>46</v>
      </c>
      <c r="BS48">
        <f>RANK(TAcum[[#This Row],[j69]],TAcum[[#All],[j69]],0)</f>
        <v>46</v>
      </c>
      <c r="BT48">
        <f>RANK(TAcum[[#This Row],[j70]],TAcum[[#All],[j70]],0)</f>
        <v>46</v>
      </c>
      <c r="BU48">
        <f>RANK(TAcum[[#This Row],[j71]],TAcum[[#All],[j71]],0)</f>
        <v>46</v>
      </c>
      <c r="BV48">
        <f>RANK(TAcum[[#This Row],[j72]],TAcum[[#All],[j72]],0)</f>
        <v>46</v>
      </c>
      <c r="BW48">
        <f>RANK(TAcum[[#This Row],[j73]],TAcum[[#All],[j73]],0)</f>
        <v>46</v>
      </c>
    </row>
    <row r="49" spans="1:75" x14ac:dyDescent="0.25">
      <c r="A49" t="str">
        <f>TAcum[[#This Row],[Jogador]]</f>
        <v>Jussara da Rocha Duarte</v>
      </c>
      <c r="B49">
        <f>RANK(TAcum[[#This Row],[total]],TAcum[[#All],[total]],0)</f>
        <v>46</v>
      </c>
      <c r="C49">
        <f>RANK(TAcum[[#This Row],[j01]],TAcum[[#All],[j01]],0)</f>
        <v>13</v>
      </c>
      <c r="D49">
        <f>RANK(TAcum[[#This Row],[j02]],TAcum[[#All],[j02]],0)</f>
        <v>14</v>
      </c>
      <c r="E49">
        <f>RANK(TAcum[[#This Row],[j03]],TAcum[[#All],[j03]],0)</f>
        <v>24</v>
      </c>
      <c r="F49">
        <f>RANK(TAcum[[#This Row],[j04]],TAcum[[#All],[j04]],0)</f>
        <v>9</v>
      </c>
      <c r="G49">
        <f>RANK(TAcum[[#This Row],[j05]],TAcum[[#All],[j05]],0)</f>
        <v>9</v>
      </c>
      <c r="H49">
        <f>RANK(TAcum[[#This Row],[j06]],TAcum[[#All],[j06]],0)</f>
        <v>9</v>
      </c>
      <c r="I49">
        <f>RANK(TAcum[[#This Row],[j07]],TAcum[[#All],[j07]],0)</f>
        <v>27</v>
      </c>
      <c r="J49">
        <f>RANK(TAcum[[#This Row],[j08]],TAcum[[#All],[j08]],0)</f>
        <v>27</v>
      </c>
      <c r="K49">
        <f>RANK(TAcum[[#This Row],[j09]],TAcum[[#All],[j09]],0)</f>
        <v>27</v>
      </c>
      <c r="L49">
        <f>RANK(TAcum[[#This Row],[j10]],TAcum[[#All],[j10]],0)</f>
        <v>31</v>
      </c>
      <c r="M49">
        <f>RANK(TAcum[[#This Row],[j11]],TAcum[[#All],[j11]],0)</f>
        <v>30</v>
      </c>
      <c r="N49">
        <f>RANK(TAcum[[#This Row],[j12]],TAcum[[#All],[j12]],0)</f>
        <v>29</v>
      </c>
      <c r="O49">
        <f>RANK(TAcum[[#This Row],[j13]],TAcum[[#All],[j13]],0)</f>
        <v>19</v>
      </c>
      <c r="P49">
        <f>RANK(TAcum[[#This Row],[j14]],TAcum[[#All],[j14]],0)</f>
        <v>21</v>
      </c>
      <c r="Q49">
        <f>RANK(TAcum[[#This Row],[j15]],TAcum[[#All],[j15]],0)</f>
        <v>21</v>
      </c>
      <c r="R49">
        <f>RANK(TAcum[[#This Row],[j16]],TAcum[[#All],[j16]],0)</f>
        <v>10</v>
      </c>
      <c r="S49">
        <f>RANK(TAcum[[#This Row],[j17]],TAcum[[#All],[j17]],0)</f>
        <v>13</v>
      </c>
      <c r="T49">
        <f>RANK(TAcum[[#This Row],[j18]],TAcum[[#All],[j18]],0)</f>
        <v>11</v>
      </c>
      <c r="U49">
        <f>RANK(TAcum[[#This Row],[j19]],TAcum[[#All],[j19]],0)</f>
        <v>10</v>
      </c>
      <c r="V49">
        <f>RANK(TAcum[[#This Row],[j20]],TAcum[[#All],[j20]],0)</f>
        <v>16</v>
      </c>
      <c r="W49">
        <f>RANK(TAcum[[#This Row],[j21]],TAcum[[#All],[j21]],0)</f>
        <v>20</v>
      </c>
      <c r="X49">
        <f>RANK(TAcum[[#This Row],[j22]],TAcum[[#All],[j22]],0)</f>
        <v>25</v>
      </c>
      <c r="Y49">
        <f>RANK(TAcum[[#This Row],[j23]],TAcum[[#All],[j23]],0)</f>
        <v>29</v>
      </c>
      <c r="Z49">
        <f>RANK(TAcum[[#This Row],[j24]],TAcum[[#All],[j24]],0)</f>
        <v>31</v>
      </c>
      <c r="AA49">
        <f>RANK(TAcum[[#This Row],[j25]],TAcum[[#All],[j25]],0)</f>
        <v>31</v>
      </c>
      <c r="AB49">
        <f>RANK(TAcum[[#This Row],[j26]],TAcum[[#All],[j26]],0)</f>
        <v>35</v>
      </c>
      <c r="AC49">
        <f>RANK(TAcum[[#This Row],[j27]],TAcum[[#All],[j27]],0)</f>
        <v>35</v>
      </c>
      <c r="AD49">
        <f>RANK(TAcum[[#This Row],[j28]],TAcum[[#All],[j28]],0)</f>
        <v>34</v>
      </c>
      <c r="AE49">
        <f>RANK(TAcum[[#This Row],[j29]],TAcum[[#All],[j29]],0)</f>
        <v>46</v>
      </c>
      <c r="AF49">
        <f>RANK(TAcum[[#This Row],[j30]],TAcum[[#All],[j30]],0)</f>
        <v>46</v>
      </c>
      <c r="AG49">
        <f>RANK(TAcum[[#This Row],[j31]],TAcum[[#All],[j31]],0)</f>
        <v>46</v>
      </c>
      <c r="AH49">
        <f>RANK(TAcum[[#This Row],[j32]],TAcum[[#All],[j32]],0)</f>
        <v>46</v>
      </c>
      <c r="AI49">
        <f>RANK(TAcum[[#This Row],[j33]],TAcum[[#All],[j33]],0)</f>
        <v>46</v>
      </c>
      <c r="AJ49">
        <f>RANK(TAcum[[#This Row],[j34]],TAcum[[#All],[j34]],0)</f>
        <v>46</v>
      </c>
      <c r="AK49">
        <f>RANK(TAcum[[#This Row],[j35]],TAcum[[#All],[j35]],0)</f>
        <v>46</v>
      </c>
      <c r="AL49">
        <f>RANK(TAcum[[#This Row],[j36]],TAcum[[#All],[j36]],0)</f>
        <v>46</v>
      </c>
      <c r="AM49">
        <f>RANK(TAcum[[#This Row],[j37]],TAcum[[#All],[j37]],0)</f>
        <v>46</v>
      </c>
      <c r="AN49">
        <f>RANK(TAcum[[#This Row],[j38]],TAcum[[#All],[j38]],0)</f>
        <v>46</v>
      </c>
      <c r="AO49">
        <f>RANK(TAcum[[#This Row],[j39]],TAcum[[#All],[j39]],0)</f>
        <v>46</v>
      </c>
      <c r="AP49">
        <f>RANK(TAcum[[#This Row],[j40]],TAcum[[#All],[j40]],0)</f>
        <v>46</v>
      </c>
      <c r="AQ49">
        <f>RANK(TAcum[[#This Row],[j41]],TAcum[[#All],[j41]],0)</f>
        <v>46</v>
      </c>
      <c r="AR49">
        <f>RANK(TAcum[[#This Row],[j42]],TAcum[[#All],[j42]],0)</f>
        <v>46</v>
      </c>
      <c r="AS49">
        <f>RANK(TAcum[[#This Row],[j43]],TAcum[[#All],[j43]],0)</f>
        <v>46</v>
      </c>
      <c r="AT49">
        <f>RANK(TAcum[[#This Row],[j44]],TAcum[[#All],[j44]],0)</f>
        <v>46</v>
      </c>
      <c r="AU49">
        <f>RANK(TAcum[[#This Row],[j45]],TAcum[[#All],[j45]],0)</f>
        <v>46</v>
      </c>
      <c r="AV49">
        <f>RANK(TAcum[[#This Row],[j46]],TAcum[[#All],[j46]],0)</f>
        <v>46</v>
      </c>
      <c r="AW49">
        <f>RANK(TAcum[[#This Row],[j47]],TAcum[[#All],[j47]],0)</f>
        <v>46</v>
      </c>
      <c r="AX49">
        <f>RANK(TAcum[[#This Row],[j48]],TAcum[[#All],[j48]],0)</f>
        <v>46</v>
      </c>
      <c r="AY49">
        <f>RANK(TAcum[[#This Row],[j49]],TAcum[[#All],[j49]],0)</f>
        <v>46</v>
      </c>
      <c r="AZ49">
        <f>RANK(TAcum[[#This Row],[j50]],TAcum[[#All],[j50]],0)</f>
        <v>46</v>
      </c>
      <c r="BA49">
        <f>RANK(TAcum[[#This Row],[j51]],TAcum[[#All],[j51]],0)</f>
        <v>46</v>
      </c>
      <c r="BB49">
        <f>RANK(TAcum[[#This Row],[j52]],TAcum[[#All],[j52]],0)</f>
        <v>46</v>
      </c>
      <c r="BC49">
        <f>RANK(TAcum[[#This Row],[j53]],TAcum[[#All],[j53]],0)</f>
        <v>46</v>
      </c>
      <c r="BD49">
        <f>RANK(TAcum[[#This Row],[j54]],TAcum[[#All],[j54]],0)</f>
        <v>46</v>
      </c>
      <c r="BE49">
        <f>RANK(TAcum[[#This Row],[j55]],TAcum[[#All],[j55]],0)</f>
        <v>46</v>
      </c>
      <c r="BF49">
        <f>RANK(TAcum[[#This Row],[j56]],TAcum[[#All],[j56]],0)</f>
        <v>46</v>
      </c>
      <c r="BG49">
        <f>RANK(TAcum[[#This Row],[j57]],TAcum[[#All],[j57]],0)</f>
        <v>46</v>
      </c>
      <c r="BH49">
        <f>RANK(TAcum[[#This Row],[j58]],TAcum[[#All],[j58]],0)</f>
        <v>46</v>
      </c>
      <c r="BI49">
        <f>RANK(TAcum[[#This Row],[j59]],TAcum[[#All],[j59]],0)</f>
        <v>46</v>
      </c>
      <c r="BJ49">
        <f>RANK(TAcum[[#This Row],[j60]],TAcum[[#All],[j60]],0)</f>
        <v>46</v>
      </c>
      <c r="BK49">
        <f>RANK(TAcum[[#This Row],[j61]],TAcum[[#All],[j61]],0)</f>
        <v>46</v>
      </c>
      <c r="BL49">
        <f>RANK(TAcum[[#This Row],[j62]],TAcum[[#All],[j62]],0)</f>
        <v>46</v>
      </c>
      <c r="BM49">
        <f>RANK(TAcum[[#This Row],[j63]],TAcum[[#All],[j63]],0)</f>
        <v>46</v>
      </c>
      <c r="BN49">
        <f>RANK(TAcum[[#This Row],[j64]],TAcum[[#All],[j64]],0)</f>
        <v>46</v>
      </c>
      <c r="BO49">
        <f>RANK(TAcum[[#This Row],[j65]],TAcum[[#All],[j65]],0)</f>
        <v>46</v>
      </c>
      <c r="BP49">
        <f>RANK(TAcum[[#This Row],[j66]],TAcum[[#All],[j66]],0)</f>
        <v>46</v>
      </c>
      <c r="BQ49">
        <f>RANK(TAcum[[#This Row],[j67]],TAcum[[#All],[j67]],0)</f>
        <v>46</v>
      </c>
      <c r="BR49">
        <f>RANK(TAcum[[#This Row],[j68]],TAcum[[#All],[j68]],0)</f>
        <v>46</v>
      </c>
      <c r="BS49">
        <f>RANK(TAcum[[#This Row],[j69]],TAcum[[#All],[j69]],0)</f>
        <v>46</v>
      </c>
      <c r="BT49">
        <f>RANK(TAcum[[#This Row],[j70]],TAcum[[#All],[j70]],0)</f>
        <v>46</v>
      </c>
      <c r="BU49">
        <f>RANK(TAcum[[#This Row],[j71]],TAcum[[#All],[j71]],0)</f>
        <v>46</v>
      </c>
      <c r="BV49">
        <f>RANK(TAcum[[#This Row],[j72]],TAcum[[#All],[j72]],0)</f>
        <v>46</v>
      </c>
      <c r="BW49">
        <f>RANK(TAcum[[#This Row],[j73]],TAcum[[#All],[j73]],0)</f>
        <v>46</v>
      </c>
    </row>
    <row r="50" spans="1:75" x14ac:dyDescent="0.25">
      <c r="A50" t="str">
        <f>TAcum[[#This Row],[Jogador]]</f>
        <v>Ivan Isaac Ferreira Filho</v>
      </c>
      <c r="B50">
        <f>RANK(TAcum[[#This Row],[total]],TAcum[[#All],[total]],0)</f>
        <v>49</v>
      </c>
      <c r="C50">
        <f>RANK(TAcum[[#This Row],[j01]],TAcum[[#All],[j01]],0)</f>
        <v>62</v>
      </c>
      <c r="D50">
        <f>RANK(TAcum[[#This Row],[j02]],TAcum[[#All],[j02]],0)</f>
        <v>59</v>
      </c>
      <c r="E50">
        <f>RANK(TAcum[[#This Row],[j03]],TAcum[[#All],[j03]],0)</f>
        <v>52</v>
      </c>
      <c r="F50">
        <f>RANK(TAcum[[#This Row],[j04]],TAcum[[#All],[j04]],0)</f>
        <v>77</v>
      </c>
      <c r="G50">
        <f>RANK(TAcum[[#This Row],[j05]],TAcum[[#All],[j05]],0)</f>
        <v>79</v>
      </c>
      <c r="H50">
        <f>RANK(TAcum[[#This Row],[j06]],TAcum[[#All],[j06]],0)</f>
        <v>77</v>
      </c>
      <c r="I50">
        <f>RANK(TAcum[[#This Row],[j07]],TAcum[[#All],[j07]],0)</f>
        <v>82</v>
      </c>
      <c r="J50">
        <f>RANK(TAcum[[#This Row],[j08]],TAcum[[#All],[j08]],0)</f>
        <v>86</v>
      </c>
      <c r="K50">
        <f>RANK(TAcum[[#This Row],[j09]],TAcum[[#All],[j09]],0)</f>
        <v>85</v>
      </c>
      <c r="L50">
        <f>RANK(TAcum[[#This Row],[j10]],TAcum[[#All],[j10]],0)</f>
        <v>86</v>
      </c>
      <c r="M50">
        <f>RANK(TAcum[[#This Row],[j11]],TAcum[[#All],[j11]],0)</f>
        <v>88</v>
      </c>
      <c r="N50">
        <f>RANK(TAcum[[#This Row],[j12]],TAcum[[#All],[j12]],0)</f>
        <v>85</v>
      </c>
      <c r="O50">
        <f>RANK(TAcum[[#This Row],[j13]],TAcum[[#All],[j13]],0)</f>
        <v>98</v>
      </c>
      <c r="P50">
        <f>RANK(TAcum[[#This Row],[j14]],TAcum[[#All],[j14]],0)</f>
        <v>100</v>
      </c>
      <c r="Q50">
        <f>RANK(TAcum[[#This Row],[j15]],TAcum[[#All],[j15]],0)</f>
        <v>100</v>
      </c>
      <c r="R50">
        <f>RANK(TAcum[[#This Row],[j16]],TAcum[[#All],[j16]],0)</f>
        <v>98</v>
      </c>
      <c r="S50">
        <f>RANK(TAcum[[#This Row],[j17]],TAcum[[#All],[j17]],0)</f>
        <v>79</v>
      </c>
      <c r="T50">
        <f>RANK(TAcum[[#This Row],[j18]],TAcum[[#All],[j18]],0)</f>
        <v>79</v>
      </c>
      <c r="U50">
        <f>RANK(TAcum[[#This Row],[j19]],TAcum[[#All],[j19]],0)</f>
        <v>76</v>
      </c>
      <c r="V50">
        <f>RANK(TAcum[[#This Row],[j20]],TAcum[[#All],[j20]],0)</f>
        <v>76</v>
      </c>
      <c r="W50">
        <f>RANK(TAcum[[#This Row],[j21]],TAcum[[#All],[j21]],0)</f>
        <v>81</v>
      </c>
      <c r="X50">
        <f>RANK(TAcum[[#This Row],[j22]],TAcum[[#All],[j22]],0)</f>
        <v>59</v>
      </c>
      <c r="Y50">
        <f>RANK(TAcum[[#This Row],[j23]],TAcum[[#All],[j23]],0)</f>
        <v>47</v>
      </c>
      <c r="Z50">
        <f>RANK(TAcum[[#This Row],[j24]],TAcum[[#All],[j24]],0)</f>
        <v>45</v>
      </c>
      <c r="AA50">
        <f>RANK(TAcum[[#This Row],[j25]],TAcum[[#All],[j25]],0)</f>
        <v>63</v>
      </c>
      <c r="AB50">
        <f>RANK(TAcum[[#This Row],[j26]],TAcum[[#All],[j26]],0)</f>
        <v>65</v>
      </c>
      <c r="AC50">
        <f>RANK(TAcum[[#This Row],[j27]],TAcum[[#All],[j27]],0)</f>
        <v>65</v>
      </c>
      <c r="AD50">
        <f>RANK(TAcum[[#This Row],[j28]],TAcum[[#All],[j28]],0)</f>
        <v>63</v>
      </c>
      <c r="AE50">
        <f>RANK(TAcum[[#This Row],[j29]],TAcum[[#All],[j29]],0)</f>
        <v>49</v>
      </c>
      <c r="AF50">
        <f>RANK(TAcum[[#This Row],[j30]],TAcum[[#All],[j30]],0)</f>
        <v>49</v>
      </c>
      <c r="AG50">
        <f>RANK(TAcum[[#This Row],[j31]],TAcum[[#All],[j31]],0)</f>
        <v>49</v>
      </c>
      <c r="AH50">
        <f>RANK(TAcum[[#This Row],[j32]],TAcum[[#All],[j32]],0)</f>
        <v>49</v>
      </c>
      <c r="AI50">
        <f>RANK(TAcum[[#This Row],[j33]],TAcum[[#All],[j33]],0)</f>
        <v>49</v>
      </c>
      <c r="AJ50">
        <f>RANK(TAcum[[#This Row],[j34]],TAcum[[#All],[j34]],0)</f>
        <v>49</v>
      </c>
      <c r="AK50">
        <f>RANK(TAcum[[#This Row],[j35]],TAcum[[#All],[j35]],0)</f>
        <v>49</v>
      </c>
      <c r="AL50">
        <f>RANK(TAcum[[#This Row],[j36]],TAcum[[#All],[j36]],0)</f>
        <v>49</v>
      </c>
      <c r="AM50">
        <f>RANK(TAcum[[#This Row],[j37]],TAcum[[#All],[j37]],0)</f>
        <v>49</v>
      </c>
      <c r="AN50">
        <f>RANK(TAcum[[#This Row],[j38]],TAcum[[#All],[j38]],0)</f>
        <v>49</v>
      </c>
      <c r="AO50">
        <f>RANK(TAcum[[#This Row],[j39]],TAcum[[#All],[j39]],0)</f>
        <v>49</v>
      </c>
      <c r="AP50">
        <f>RANK(TAcum[[#This Row],[j40]],TAcum[[#All],[j40]],0)</f>
        <v>49</v>
      </c>
      <c r="AQ50">
        <f>RANK(TAcum[[#This Row],[j41]],TAcum[[#All],[j41]],0)</f>
        <v>49</v>
      </c>
      <c r="AR50">
        <f>RANK(TAcum[[#This Row],[j42]],TAcum[[#All],[j42]],0)</f>
        <v>49</v>
      </c>
      <c r="AS50">
        <f>RANK(TAcum[[#This Row],[j43]],TAcum[[#All],[j43]],0)</f>
        <v>49</v>
      </c>
      <c r="AT50">
        <f>RANK(TAcum[[#This Row],[j44]],TAcum[[#All],[j44]],0)</f>
        <v>49</v>
      </c>
      <c r="AU50">
        <f>RANK(TAcum[[#This Row],[j45]],TAcum[[#All],[j45]],0)</f>
        <v>49</v>
      </c>
      <c r="AV50">
        <f>RANK(TAcum[[#This Row],[j46]],TAcum[[#All],[j46]],0)</f>
        <v>49</v>
      </c>
      <c r="AW50">
        <f>RANK(TAcum[[#This Row],[j47]],TAcum[[#All],[j47]],0)</f>
        <v>49</v>
      </c>
      <c r="AX50">
        <f>RANK(TAcum[[#This Row],[j48]],TAcum[[#All],[j48]],0)</f>
        <v>49</v>
      </c>
      <c r="AY50">
        <f>RANK(TAcum[[#This Row],[j49]],TAcum[[#All],[j49]],0)</f>
        <v>49</v>
      </c>
      <c r="AZ50">
        <f>RANK(TAcum[[#This Row],[j50]],TAcum[[#All],[j50]],0)</f>
        <v>49</v>
      </c>
      <c r="BA50">
        <f>RANK(TAcum[[#This Row],[j51]],TAcum[[#All],[j51]],0)</f>
        <v>49</v>
      </c>
      <c r="BB50">
        <f>RANK(TAcum[[#This Row],[j52]],TAcum[[#All],[j52]],0)</f>
        <v>49</v>
      </c>
      <c r="BC50">
        <f>RANK(TAcum[[#This Row],[j53]],TAcum[[#All],[j53]],0)</f>
        <v>49</v>
      </c>
      <c r="BD50">
        <f>RANK(TAcum[[#This Row],[j54]],TAcum[[#All],[j54]],0)</f>
        <v>49</v>
      </c>
      <c r="BE50">
        <f>RANK(TAcum[[#This Row],[j55]],TAcum[[#All],[j55]],0)</f>
        <v>49</v>
      </c>
      <c r="BF50">
        <f>RANK(TAcum[[#This Row],[j56]],TAcum[[#All],[j56]],0)</f>
        <v>49</v>
      </c>
      <c r="BG50">
        <f>RANK(TAcum[[#This Row],[j57]],TAcum[[#All],[j57]],0)</f>
        <v>49</v>
      </c>
      <c r="BH50">
        <f>RANK(TAcum[[#This Row],[j58]],TAcum[[#All],[j58]],0)</f>
        <v>49</v>
      </c>
      <c r="BI50">
        <f>RANK(TAcum[[#This Row],[j59]],TAcum[[#All],[j59]],0)</f>
        <v>49</v>
      </c>
      <c r="BJ50">
        <f>RANK(TAcum[[#This Row],[j60]],TAcum[[#All],[j60]],0)</f>
        <v>49</v>
      </c>
      <c r="BK50">
        <f>RANK(TAcum[[#This Row],[j61]],TAcum[[#All],[j61]],0)</f>
        <v>49</v>
      </c>
      <c r="BL50">
        <f>RANK(TAcum[[#This Row],[j62]],TAcum[[#All],[j62]],0)</f>
        <v>49</v>
      </c>
      <c r="BM50">
        <f>RANK(TAcum[[#This Row],[j63]],TAcum[[#All],[j63]],0)</f>
        <v>49</v>
      </c>
      <c r="BN50">
        <f>RANK(TAcum[[#This Row],[j64]],TAcum[[#All],[j64]],0)</f>
        <v>49</v>
      </c>
      <c r="BO50">
        <f>RANK(TAcum[[#This Row],[j65]],TAcum[[#All],[j65]],0)</f>
        <v>49</v>
      </c>
      <c r="BP50">
        <f>RANK(TAcum[[#This Row],[j66]],TAcum[[#All],[j66]],0)</f>
        <v>49</v>
      </c>
      <c r="BQ50">
        <f>RANK(TAcum[[#This Row],[j67]],TAcum[[#All],[j67]],0)</f>
        <v>49</v>
      </c>
      <c r="BR50">
        <f>RANK(TAcum[[#This Row],[j68]],TAcum[[#All],[j68]],0)</f>
        <v>49</v>
      </c>
      <c r="BS50">
        <f>RANK(TAcum[[#This Row],[j69]],TAcum[[#All],[j69]],0)</f>
        <v>49</v>
      </c>
      <c r="BT50">
        <f>RANK(TAcum[[#This Row],[j70]],TAcum[[#All],[j70]],0)</f>
        <v>49</v>
      </c>
      <c r="BU50">
        <f>RANK(TAcum[[#This Row],[j71]],TAcum[[#All],[j71]],0)</f>
        <v>49</v>
      </c>
      <c r="BV50">
        <f>RANK(TAcum[[#This Row],[j72]],TAcum[[#All],[j72]],0)</f>
        <v>49</v>
      </c>
      <c r="BW50">
        <f>RANK(TAcum[[#This Row],[j73]],TAcum[[#All],[j73]],0)</f>
        <v>49</v>
      </c>
    </row>
    <row r="51" spans="1:75" x14ac:dyDescent="0.25">
      <c r="A51" t="str">
        <f>TAcum[[#This Row],[Jogador]]</f>
        <v>Rodolfo Góes</v>
      </c>
      <c r="B51">
        <f>RANK(TAcum[[#This Row],[total]],TAcum[[#All],[total]],0)</f>
        <v>49</v>
      </c>
      <c r="C51">
        <f>RANK(TAcum[[#This Row],[j01]],TAcum[[#All],[j01]],0)</f>
        <v>13</v>
      </c>
      <c r="D51">
        <f>RANK(TAcum[[#This Row],[j02]],TAcum[[#All],[j02]],0)</f>
        <v>14</v>
      </c>
      <c r="E51">
        <f>RANK(TAcum[[#This Row],[j03]],TAcum[[#All],[j03]],0)</f>
        <v>24</v>
      </c>
      <c r="F51">
        <f>RANK(TAcum[[#This Row],[j04]],TAcum[[#All],[j04]],0)</f>
        <v>9</v>
      </c>
      <c r="G51">
        <f>RANK(TAcum[[#This Row],[j05]],TAcum[[#All],[j05]],0)</f>
        <v>9</v>
      </c>
      <c r="H51">
        <f>RANK(TAcum[[#This Row],[j06]],TAcum[[#All],[j06]],0)</f>
        <v>23</v>
      </c>
      <c r="I51">
        <f>RANK(TAcum[[#This Row],[j07]],TAcum[[#All],[j07]],0)</f>
        <v>16</v>
      </c>
      <c r="J51">
        <f>RANK(TAcum[[#This Row],[j08]],TAcum[[#All],[j08]],0)</f>
        <v>8</v>
      </c>
      <c r="K51">
        <f>RANK(TAcum[[#This Row],[j09]],TAcum[[#All],[j09]],0)</f>
        <v>11</v>
      </c>
      <c r="L51">
        <f>RANK(TAcum[[#This Row],[j10]],TAcum[[#All],[j10]],0)</f>
        <v>15</v>
      </c>
      <c r="M51">
        <f>RANK(TAcum[[#This Row],[j11]],TAcum[[#All],[j11]],0)</f>
        <v>14</v>
      </c>
      <c r="N51">
        <f>RANK(TAcum[[#This Row],[j12]],TAcum[[#All],[j12]],0)</f>
        <v>17</v>
      </c>
      <c r="O51">
        <f>RANK(TAcum[[#This Row],[j13]],TAcum[[#All],[j13]],0)</f>
        <v>37</v>
      </c>
      <c r="P51">
        <f>RANK(TAcum[[#This Row],[j14]],TAcum[[#All],[j14]],0)</f>
        <v>39</v>
      </c>
      <c r="Q51">
        <f>RANK(TAcum[[#This Row],[j15]],TAcum[[#All],[j15]],0)</f>
        <v>39</v>
      </c>
      <c r="R51">
        <f>RANK(TAcum[[#This Row],[j16]],TAcum[[#All],[j16]],0)</f>
        <v>46</v>
      </c>
      <c r="S51">
        <f>RANK(TAcum[[#This Row],[j17]],TAcum[[#All],[j17]],0)</f>
        <v>53</v>
      </c>
      <c r="T51">
        <f>RANK(TAcum[[#This Row],[j18]],TAcum[[#All],[j18]],0)</f>
        <v>56</v>
      </c>
      <c r="U51">
        <f>RANK(TAcum[[#This Row],[j19]],TAcum[[#All],[j19]],0)</f>
        <v>38</v>
      </c>
      <c r="V51">
        <f>RANK(TAcum[[#This Row],[j20]],TAcum[[#All],[j20]],0)</f>
        <v>45</v>
      </c>
      <c r="W51">
        <f>RANK(TAcum[[#This Row],[j21]],TAcum[[#All],[j21]],0)</f>
        <v>47</v>
      </c>
      <c r="X51">
        <f>RANK(TAcum[[#This Row],[j22]],TAcum[[#All],[j22]],0)</f>
        <v>37</v>
      </c>
      <c r="Y51">
        <f>RANK(TAcum[[#This Row],[j23]],TAcum[[#All],[j23]],0)</f>
        <v>46</v>
      </c>
      <c r="Z51">
        <f>RANK(TAcum[[#This Row],[j24]],TAcum[[#All],[j24]],0)</f>
        <v>53</v>
      </c>
      <c r="AA51">
        <f>RANK(TAcum[[#This Row],[j25]],TAcum[[#All],[j25]],0)</f>
        <v>52</v>
      </c>
      <c r="AB51">
        <f>RANK(TAcum[[#This Row],[j26]],TAcum[[#All],[j26]],0)</f>
        <v>55</v>
      </c>
      <c r="AC51">
        <f>RANK(TAcum[[#This Row],[j27]],TAcum[[#All],[j27]],0)</f>
        <v>55</v>
      </c>
      <c r="AD51">
        <f>RANK(TAcum[[#This Row],[j28]],TAcum[[#All],[j28]],0)</f>
        <v>49</v>
      </c>
      <c r="AE51">
        <f>RANK(TAcum[[#This Row],[j29]],TAcum[[#All],[j29]],0)</f>
        <v>49</v>
      </c>
      <c r="AF51">
        <f>RANK(TAcum[[#This Row],[j30]],TAcum[[#All],[j30]],0)</f>
        <v>49</v>
      </c>
      <c r="AG51">
        <f>RANK(TAcum[[#This Row],[j31]],TAcum[[#All],[j31]],0)</f>
        <v>49</v>
      </c>
      <c r="AH51">
        <f>RANK(TAcum[[#This Row],[j32]],TAcum[[#All],[j32]],0)</f>
        <v>49</v>
      </c>
      <c r="AI51">
        <f>RANK(TAcum[[#This Row],[j33]],TAcum[[#All],[j33]],0)</f>
        <v>49</v>
      </c>
      <c r="AJ51">
        <f>RANK(TAcum[[#This Row],[j34]],TAcum[[#All],[j34]],0)</f>
        <v>49</v>
      </c>
      <c r="AK51">
        <f>RANK(TAcum[[#This Row],[j35]],TAcum[[#All],[j35]],0)</f>
        <v>49</v>
      </c>
      <c r="AL51">
        <f>RANK(TAcum[[#This Row],[j36]],TAcum[[#All],[j36]],0)</f>
        <v>49</v>
      </c>
      <c r="AM51">
        <f>RANK(TAcum[[#This Row],[j37]],TAcum[[#All],[j37]],0)</f>
        <v>49</v>
      </c>
      <c r="AN51">
        <f>RANK(TAcum[[#This Row],[j38]],TAcum[[#All],[j38]],0)</f>
        <v>49</v>
      </c>
      <c r="AO51">
        <f>RANK(TAcum[[#This Row],[j39]],TAcum[[#All],[j39]],0)</f>
        <v>49</v>
      </c>
      <c r="AP51">
        <f>RANK(TAcum[[#This Row],[j40]],TAcum[[#All],[j40]],0)</f>
        <v>49</v>
      </c>
      <c r="AQ51">
        <f>RANK(TAcum[[#This Row],[j41]],TAcum[[#All],[j41]],0)</f>
        <v>49</v>
      </c>
      <c r="AR51">
        <f>RANK(TAcum[[#This Row],[j42]],TAcum[[#All],[j42]],0)</f>
        <v>49</v>
      </c>
      <c r="AS51">
        <f>RANK(TAcum[[#This Row],[j43]],TAcum[[#All],[j43]],0)</f>
        <v>49</v>
      </c>
      <c r="AT51">
        <f>RANK(TAcum[[#This Row],[j44]],TAcum[[#All],[j44]],0)</f>
        <v>49</v>
      </c>
      <c r="AU51">
        <f>RANK(TAcum[[#This Row],[j45]],TAcum[[#All],[j45]],0)</f>
        <v>49</v>
      </c>
      <c r="AV51">
        <f>RANK(TAcum[[#This Row],[j46]],TAcum[[#All],[j46]],0)</f>
        <v>49</v>
      </c>
      <c r="AW51">
        <f>RANK(TAcum[[#This Row],[j47]],TAcum[[#All],[j47]],0)</f>
        <v>49</v>
      </c>
      <c r="AX51">
        <f>RANK(TAcum[[#This Row],[j48]],TAcum[[#All],[j48]],0)</f>
        <v>49</v>
      </c>
      <c r="AY51">
        <f>RANK(TAcum[[#This Row],[j49]],TAcum[[#All],[j49]],0)</f>
        <v>49</v>
      </c>
      <c r="AZ51">
        <f>RANK(TAcum[[#This Row],[j50]],TAcum[[#All],[j50]],0)</f>
        <v>49</v>
      </c>
      <c r="BA51">
        <f>RANK(TAcum[[#This Row],[j51]],TAcum[[#All],[j51]],0)</f>
        <v>49</v>
      </c>
      <c r="BB51">
        <f>RANK(TAcum[[#This Row],[j52]],TAcum[[#All],[j52]],0)</f>
        <v>49</v>
      </c>
      <c r="BC51">
        <f>RANK(TAcum[[#This Row],[j53]],TAcum[[#All],[j53]],0)</f>
        <v>49</v>
      </c>
      <c r="BD51">
        <f>RANK(TAcum[[#This Row],[j54]],TAcum[[#All],[j54]],0)</f>
        <v>49</v>
      </c>
      <c r="BE51">
        <f>RANK(TAcum[[#This Row],[j55]],TAcum[[#All],[j55]],0)</f>
        <v>49</v>
      </c>
      <c r="BF51">
        <f>RANK(TAcum[[#This Row],[j56]],TAcum[[#All],[j56]],0)</f>
        <v>49</v>
      </c>
      <c r="BG51">
        <f>RANK(TAcum[[#This Row],[j57]],TAcum[[#All],[j57]],0)</f>
        <v>49</v>
      </c>
      <c r="BH51">
        <f>RANK(TAcum[[#This Row],[j58]],TAcum[[#All],[j58]],0)</f>
        <v>49</v>
      </c>
      <c r="BI51">
        <f>RANK(TAcum[[#This Row],[j59]],TAcum[[#All],[j59]],0)</f>
        <v>49</v>
      </c>
      <c r="BJ51">
        <f>RANK(TAcum[[#This Row],[j60]],TAcum[[#All],[j60]],0)</f>
        <v>49</v>
      </c>
      <c r="BK51">
        <f>RANK(TAcum[[#This Row],[j61]],TAcum[[#All],[j61]],0)</f>
        <v>49</v>
      </c>
      <c r="BL51">
        <f>RANK(TAcum[[#This Row],[j62]],TAcum[[#All],[j62]],0)</f>
        <v>49</v>
      </c>
      <c r="BM51">
        <f>RANK(TAcum[[#This Row],[j63]],TAcum[[#All],[j63]],0)</f>
        <v>49</v>
      </c>
      <c r="BN51">
        <f>RANK(TAcum[[#This Row],[j64]],TAcum[[#All],[j64]],0)</f>
        <v>49</v>
      </c>
      <c r="BO51">
        <f>RANK(TAcum[[#This Row],[j65]],TAcum[[#All],[j65]],0)</f>
        <v>49</v>
      </c>
      <c r="BP51">
        <f>RANK(TAcum[[#This Row],[j66]],TAcum[[#All],[j66]],0)</f>
        <v>49</v>
      </c>
      <c r="BQ51">
        <f>RANK(TAcum[[#This Row],[j67]],TAcum[[#All],[j67]],0)</f>
        <v>49</v>
      </c>
      <c r="BR51">
        <f>RANK(TAcum[[#This Row],[j68]],TAcum[[#All],[j68]],0)</f>
        <v>49</v>
      </c>
      <c r="BS51">
        <f>RANK(TAcum[[#This Row],[j69]],TAcum[[#All],[j69]],0)</f>
        <v>49</v>
      </c>
      <c r="BT51">
        <f>RANK(TAcum[[#This Row],[j70]],TAcum[[#All],[j70]],0)</f>
        <v>49</v>
      </c>
      <c r="BU51">
        <f>RANK(TAcum[[#This Row],[j71]],TAcum[[#All],[j71]],0)</f>
        <v>49</v>
      </c>
      <c r="BV51">
        <f>RANK(TAcum[[#This Row],[j72]],TAcum[[#All],[j72]],0)</f>
        <v>49</v>
      </c>
      <c r="BW51">
        <f>RANK(TAcum[[#This Row],[j73]],TAcum[[#All],[j73]],0)</f>
        <v>49</v>
      </c>
    </row>
    <row r="52" spans="1:75" x14ac:dyDescent="0.25">
      <c r="A52" t="str">
        <f>TAcum[[#This Row],[Jogador]]</f>
        <v>Alexandre Saback 1</v>
      </c>
      <c r="B52">
        <f>RANK(TAcum[[#This Row],[total]],TAcum[[#All],[total]],0)</f>
        <v>51</v>
      </c>
      <c r="C52">
        <f>RANK(TAcum[[#This Row],[j01]],TAcum[[#All],[j01]],0)</f>
        <v>13</v>
      </c>
      <c r="D52">
        <f>RANK(TAcum[[#This Row],[j02]],TAcum[[#All],[j02]],0)</f>
        <v>14</v>
      </c>
      <c r="E52">
        <f>RANK(TAcum[[#This Row],[j03]],TAcum[[#All],[j03]],0)</f>
        <v>3</v>
      </c>
      <c r="F52">
        <f>RANK(TAcum[[#This Row],[j04]],TAcum[[#All],[j04]],0)</f>
        <v>38</v>
      </c>
      <c r="G52">
        <f>RANK(TAcum[[#This Row],[j05]],TAcum[[#All],[j05]],0)</f>
        <v>39</v>
      </c>
      <c r="H52">
        <f>RANK(TAcum[[#This Row],[j06]],TAcum[[#All],[j06]],0)</f>
        <v>41</v>
      </c>
      <c r="I52">
        <f>RANK(TAcum[[#This Row],[j07]],TAcum[[#All],[j07]],0)</f>
        <v>27</v>
      </c>
      <c r="J52">
        <f>RANK(TAcum[[#This Row],[j08]],TAcum[[#All],[j08]],0)</f>
        <v>27</v>
      </c>
      <c r="K52">
        <f>RANK(TAcum[[#This Row],[j09]],TAcum[[#All],[j09]],0)</f>
        <v>27</v>
      </c>
      <c r="L52">
        <f>RANK(TAcum[[#This Row],[j10]],TAcum[[#All],[j10]],0)</f>
        <v>31</v>
      </c>
      <c r="M52">
        <f>RANK(TAcum[[#This Row],[j11]],TAcum[[#All],[j11]],0)</f>
        <v>30</v>
      </c>
      <c r="N52">
        <f>RANK(TAcum[[#This Row],[j12]],TAcum[[#All],[j12]],0)</f>
        <v>29</v>
      </c>
      <c r="O52">
        <f>RANK(TAcum[[#This Row],[j13]],TAcum[[#All],[j13]],0)</f>
        <v>30</v>
      </c>
      <c r="P52">
        <f>RANK(TAcum[[#This Row],[j14]],TAcum[[#All],[j14]],0)</f>
        <v>32</v>
      </c>
      <c r="Q52">
        <f>RANK(TAcum[[#This Row],[j15]],TAcum[[#All],[j15]],0)</f>
        <v>34</v>
      </c>
      <c r="R52">
        <f>RANK(TAcum[[#This Row],[j16]],TAcum[[#All],[j16]],0)</f>
        <v>39</v>
      </c>
      <c r="S52">
        <f>RANK(TAcum[[#This Row],[j17]],TAcum[[#All],[j17]],0)</f>
        <v>46</v>
      </c>
      <c r="T52">
        <f>RANK(TAcum[[#This Row],[j18]],TAcum[[#All],[j18]],0)</f>
        <v>52</v>
      </c>
      <c r="U52">
        <f>RANK(TAcum[[#This Row],[j19]],TAcum[[#All],[j19]],0)</f>
        <v>52</v>
      </c>
      <c r="V52">
        <f>RANK(TAcum[[#This Row],[j20]],TAcum[[#All],[j20]],0)</f>
        <v>55</v>
      </c>
      <c r="W52">
        <f>RANK(TAcum[[#This Row],[j21]],TAcum[[#All],[j21]],0)</f>
        <v>56</v>
      </c>
      <c r="X52">
        <f>RANK(TAcum[[#This Row],[j22]],TAcum[[#All],[j22]],0)</f>
        <v>62</v>
      </c>
      <c r="Y52">
        <f>RANK(TAcum[[#This Row],[j23]],TAcum[[#All],[j23]],0)</f>
        <v>62</v>
      </c>
      <c r="Z52">
        <f>RANK(TAcum[[#This Row],[j24]],TAcum[[#All],[j24]],0)</f>
        <v>55</v>
      </c>
      <c r="AA52">
        <f>RANK(TAcum[[#This Row],[j25]],TAcum[[#All],[j25]],0)</f>
        <v>55</v>
      </c>
      <c r="AB52">
        <f>RANK(TAcum[[#This Row],[j26]],TAcum[[#All],[j26]],0)</f>
        <v>47</v>
      </c>
      <c r="AC52">
        <f>RANK(TAcum[[#This Row],[j27]],TAcum[[#All],[j27]],0)</f>
        <v>47</v>
      </c>
      <c r="AD52">
        <f>RANK(TAcum[[#This Row],[j28]],TAcum[[#All],[j28]],0)</f>
        <v>42</v>
      </c>
      <c r="AE52">
        <f>RANK(TAcum[[#This Row],[j29]],TAcum[[#All],[j29]],0)</f>
        <v>51</v>
      </c>
      <c r="AF52">
        <f>RANK(TAcum[[#This Row],[j30]],TAcum[[#All],[j30]],0)</f>
        <v>51</v>
      </c>
      <c r="AG52">
        <f>RANK(TAcum[[#This Row],[j31]],TAcum[[#All],[j31]],0)</f>
        <v>51</v>
      </c>
      <c r="AH52">
        <f>RANK(TAcum[[#This Row],[j32]],TAcum[[#All],[j32]],0)</f>
        <v>51</v>
      </c>
      <c r="AI52">
        <f>RANK(TAcum[[#This Row],[j33]],TAcum[[#All],[j33]],0)</f>
        <v>51</v>
      </c>
      <c r="AJ52">
        <f>RANK(TAcum[[#This Row],[j34]],TAcum[[#All],[j34]],0)</f>
        <v>51</v>
      </c>
      <c r="AK52">
        <f>RANK(TAcum[[#This Row],[j35]],TAcum[[#All],[j35]],0)</f>
        <v>51</v>
      </c>
      <c r="AL52">
        <f>RANK(TAcum[[#This Row],[j36]],TAcum[[#All],[j36]],0)</f>
        <v>51</v>
      </c>
      <c r="AM52">
        <f>RANK(TAcum[[#This Row],[j37]],TAcum[[#All],[j37]],0)</f>
        <v>51</v>
      </c>
      <c r="AN52">
        <f>RANK(TAcum[[#This Row],[j38]],TAcum[[#All],[j38]],0)</f>
        <v>51</v>
      </c>
      <c r="AO52">
        <f>RANK(TAcum[[#This Row],[j39]],TAcum[[#All],[j39]],0)</f>
        <v>51</v>
      </c>
      <c r="AP52">
        <f>RANK(TAcum[[#This Row],[j40]],TAcum[[#All],[j40]],0)</f>
        <v>51</v>
      </c>
      <c r="AQ52">
        <f>RANK(TAcum[[#This Row],[j41]],TAcum[[#All],[j41]],0)</f>
        <v>51</v>
      </c>
      <c r="AR52">
        <f>RANK(TAcum[[#This Row],[j42]],TAcum[[#All],[j42]],0)</f>
        <v>51</v>
      </c>
      <c r="AS52">
        <f>RANK(TAcum[[#This Row],[j43]],TAcum[[#All],[j43]],0)</f>
        <v>51</v>
      </c>
      <c r="AT52">
        <f>RANK(TAcum[[#This Row],[j44]],TAcum[[#All],[j44]],0)</f>
        <v>51</v>
      </c>
      <c r="AU52">
        <f>RANK(TAcum[[#This Row],[j45]],TAcum[[#All],[j45]],0)</f>
        <v>51</v>
      </c>
      <c r="AV52">
        <f>RANK(TAcum[[#This Row],[j46]],TAcum[[#All],[j46]],0)</f>
        <v>51</v>
      </c>
      <c r="AW52">
        <f>RANK(TAcum[[#This Row],[j47]],TAcum[[#All],[j47]],0)</f>
        <v>51</v>
      </c>
      <c r="AX52">
        <f>RANK(TAcum[[#This Row],[j48]],TAcum[[#All],[j48]],0)</f>
        <v>51</v>
      </c>
      <c r="AY52">
        <f>RANK(TAcum[[#This Row],[j49]],TAcum[[#All],[j49]],0)</f>
        <v>51</v>
      </c>
      <c r="AZ52">
        <f>RANK(TAcum[[#This Row],[j50]],TAcum[[#All],[j50]],0)</f>
        <v>51</v>
      </c>
      <c r="BA52">
        <f>RANK(TAcum[[#This Row],[j51]],TAcum[[#All],[j51]],0)</f>
        <v>51</v>
      </c>
      <c r="BB52">
        <f>RANK(TAcum[[#This Row],[j52]],TAcum[[#All],[j52]],0)</f>
        <v>51</v>
      </c>
      <c r="BC52">
        <f>RANK(TAcum[[#This Row],[j53]],TAcum[[#All],[j53]],0)</f>
        <v>51</v>
      </c>
      <c r="BD52">
        <f>RANK(TAcum[[#This Row],[j54]],TAcum[[#All],[j54]],0)</f>
        <v>51</v>
      </c>
      <c r="BE52">
        <f>RANK(TAcum[[#This Row],[j55]],TAcum[[#All],[j55]],0)</f>
        <v>51</v>
      </c>
      <c r="BF52">
        <f>RANK(TAcum[[#This Row],[j56]],TAcum[[#All],[j56]],0)</f>
        <v>51</v>
      </c>
      <c r="BG52">
        <f>RANK(TAcum[[#This Row],[j57]],TAcum[[#All],[j57]],0)</f>
        <v>51</v>
      </c>
      <c r="BH52">
        <f>RANK(TAcum[[#This Row],[j58]],TAcum[[#All],[j58]],0)</f>
        <v>51</v>
      </c>
      <c r="BI52">
        <f>RANK(TAcum[[#This Row],[j59]],TAcum[[#All],[j59]],0)</f>
        <v>51</v>
      </c>
      <c r="BJ52">
        <f>RANK(TAcum[[#This Row],[j60]],TAcum[[#All],[j60]],0)</f>
        <v>51</v>
      </c>
      <c r="BK52">
        <f>RANK(TAcum[[#This Row],[j61]],TAcum[[#All],[j61]],0)</f>
        <v>51</v>
      </c>
      <c r="BL52">
        <f>RANK(TAcum[[#This Row],[j62]],TAcum[[#All],[j62]],0)</f>
        <v>51</v>
      </c>
      <c r="BM52">
        <f>RANK(TAcum[[#This Row],[j63]],TAcum[[#All],[j63]],0)</f>
        <v>51</v>
      </c>
      <c r="BN52">
        <f>RANK(TAcum[[#This Row],[j64]],TAcum[[#All],[j64]],0)</f>
        <v>51</v>
      </c>
      <c r="BO52">
        <f>RANK(TAcum[[#This Row],[j65]],TAcum[[#All],[j65]],0)</f>
        <v>51</v>
      </c>
      <c r="BP52">
        <f>RANK(TAcum[[#This Row],[j66]],TAcum[[#All],[j66]],0)</f>
        <v>51</v>
      </c>
      <c r="BQ52">
        <f>RANK(TAcum[[#This Row],[j67]],TAcum[[#All],[j67]],0)</f>
        <v>51</v>
      </c>
      <c r="BR52">
        <f>RANK(TAcum[[#This Row],[j68]],TAcum[[#All],[j68]],0)</f>
        <v>51</v>
      </c>
      <c r="BS52">
        <f>RANK(TAcum[[#This Row],[j69]],TAcum[[#All],[j69]],0)</f>
        <v>51</v>
      </c>
      <c r="BT52">
        <f>RANK(TAcum[[#This Row],[j70]],TAcum[[#All],[j70]],0)</f>
        <v>51</v>
      </c>
      <c r="BU52">
        <f>RANK(TAcum[[#This Row],[j71]],TAcum[[#All],[j71]],0)</f>
        <v>51</v>
      </c>
      <c r="BV52">
        <f>RANK(TAcum[[#This Row],[j72]],TAcum[[#All],[j72]],0)</f>
        <v>51</v>
      </c>
      <c r="BW52">
        <f>RANK(TAcum[[#This Row],[j73]],TAcum[[#All],[j73]],0)</f>
        <v>51</v>
      </c>
    </row>
    <row r="53" spans="1:75" x14ac:dyDescent="0.25">
      <c r="A53" t="str">
        <f>TAcum[[#This Row],[Jogador]]</f>
        <v>Marcio Borges 2</v>
      </c>
      <c r="B53">
        <f>RANK(TAcum[[#This Row],[total]],TAcum[[#All],[total]],0)</f>
        <v>51</v>
      </c>
      <c r="C53">
        <f>RANK(TAcum[[#This Row],[j01]],TAcum[[#All],[j01]],0)</f>
        <v>13</v>
      </c>
      <c r="D53">
        <f>RANK(TAcum[[#This Row],[j02]],TAcum[[#All],[j02]],0)</f>
        <v>14</v>
      </c>
      <c r="E53">
        <f>RANK(TAcum[[#This Row],[j03]],TAcum[[#All],[j03]],0)</f>
        <v>24</v>
      </c>
      <c r="F53">
        <f>RANK(TAcum[[#This Row],[j04]],TAcum[[#All],[j04]],0)</f>
        <v>77</v>
      </c>
      <c r="G53">
        <f>RANK(TAcum[[#This Row],[j05]],TAcum[[#All],[j05]],0)</f>
        <v>79</v>
      </c>
      <c r="H53">
        <f>RANK(TAcum[[#This Row],[j06]],TAcum[[#All],[j06]],0)</f>
        <v>88</v>
      </c>
      <c r="I53">
        <f>RANK(TAcum[[#This Row],[j07]],TAcum[[#All],[j07]],0)</f>
        <v>97</v>
      </c>
      <c r="J53">
        <f>RANK(TAcum[[#This Row],[j08]],TAcum[[#All],[j08]],0)</f>
        <v>97</v>
      </c>
      <c r="K53">
        <f>RANK(TAcum[[#This Row],[j09]],TAcum[[#All],[j09]],0)</f>
        <v>97</v>
      </c>
      <c r="L53">
        <f>RANK(TAcum[[#This Row],[j10]],TAcum[[#All],[j10]],0)</f>
        <v>98</v>
      </c>
      <c r="M53">
        <f>RANK(TAcum[[#This Row],[j11]],TAcum[[#All],[j11]],0)</f>
        <v>99</v>
      </c>
      <c r="N53">
        <f>RANK(TAcum[[#This Row],[j12]],TAcum[[#All],[j12]],0)</f>
        <v>103</v>
      </c>
      <c r="O53">
        <f>RANK(TAcum[[#This Row],[j13]],TAcum[[#All],[j13]],0)</f>
        <v>85</v>
      </c>
      <c r="P53">
        <f>RANK(TAcum[[#This Row],[j14]],TAcum[[#All],[j14]],0)</f>
        <v>83</v>
      </c>
      <c r="Q53">
        <f>RANK(TAcum[[#This Row],[j15]],TAcum[[#All],[j15]],0)</f>
        <v>81</v>
      </c>
      <c r="R53">
        <f>RANK(TAcum[[#This Row],[j16]],TAcum[[#All],[j16]],0)</f>
        <v>69</v>
      </c>
      <c r="S53">
        <f>RANK(TAcum[[#This Row],[j17]],TAcum[[#All],[j17]],0)</f>
        <v>53</v>
      </c>
      <c r="T53">
        <f>RANK(TAcum[[#This Row],[j18]],TAcum[[#All],[j18]],0)</f>
        <v>56</v>
      </c>
      <c r="U53">
        <f>RANK(TAcum[[#This Row],[j19]],TAcum[[#All],[j19]],0)</f>
        <v>38</v>
      </c>
      <c r="V53">
        <f>RANK(TAcum[[#This Row],[j20]],TAcum[[#All],[j20]],0)</f>
        <v>45</v>
      </c>
      <c r="W53">
        <f>RANK(TAcum[[#This Row],[j21]],TAcum[[#All],[j21]],0)</f>
        <v>47</v>
      </c>
      <c r="X53">
        <f>RANK(TAcum[[#This Row],[j22]],TAcum[[#All],[j22]],0)</f>
        <v>59</v>
      </c>
      <c r="Y53">
        <f>RANK(TAcum[[#This Row],[j23]],TAcum[[#All],[j23]],0)</f>
        <v>47</v>
      </c>
      <c r="Z53">
        <f>RANK(TAcum[[#This Row],[j24]],TAcum[[#All],[j24]],0)</f>
        <v>45</v>
      </c>
      <c r="AA53">
        <f>RANK(TAcum[[#This Row],[j25]],TAcum[[#All],[j25]],0)</f>
        <v>45</v>
      </c>
      <c r="AB53">
        <f>RANK(TAcum[[#This Row],[j26]],TAcum[[#All],[j26]],0)</f>
        <v>53</v>
      </c>
      <c r="AC53">
        <f>RANK(TAcum[[#This Row],[j27]],TAcum[[#All],[j27]],0)</f>
        <v>47</v>
      </c>
      <c r="AD53">
        <f>RANK(TAcum[[#This Row],[j28]],TAcum[[#All],[j28]],0)</f>
        <v>42</v>
      </c>
      <c r="AE53">
        <f>RANK(TAcum[[#This Row],[j29]],TAcum[[#All],[j29]],0)</f>
        <v>51</v>
      </c>
      <c r="AF53">
        <f>RANK(TAcum[[#This Row],[j30]],TAcum[[#All],[j30]],0)</f>
        <v>51</v>
      </c>
      <c r="AG53">
        <f>RANK(TAcum[[#This Row],[j31]],TAcum[[#All],[j31]],0)</f>
        <v>51</v>
      </c>
      <c r="AH53">
        <f>RANK(TAcum[[#This Row],[j32]],TAcum[[#All],[j32]],0)</f>
        <v>51</v>
      </c>
      <c r="AI53">
        <f>RANK(TAcum[[#This Row],[j33]],TAcum[[#All],[j33]],0)</f>
        <v>51</v>
      </c>
      <c r="AJ53">
        <f>RANK(TAcum[[#This Row],[j34]],TAcum[[#All],[j34]],0)</f>
        <v>51</v>
      </c>
      <c r="AK53">
        <f>RANK(TAcum[[#This Row],[j35]],TAcum[[#All],[j35]],0)</f>
        <v>51</v>
      </c>
      <c r="AL53">
        <f>RANK(TAcum[[#This Row],[j36]],TAcum[[#All],[j36]],0)</f>
        <v>51</v>
      </c>
      <c r="AM53">
        <f>RANK(TAcum[[#This Row],[j37]],TAcum[[#All],[j37]],0)</f>
        <v>51</v>
      </c>
      <c r="AN53">
        <f>RANK(TAcum[[#This Row],[j38]],TAcum[[#All],[j38]],0)</f>
        <v>51</v>
      </c>
      <c r="AO53">
        <f>RANK(TAcum[[#This Row],[j39]],TAcum[[#All],[j39]],0)</f>
        <v>51</v>
      </c>
      <c r="AP53">
        <f>RANK(TAcum[[#This Row],[j40]],TAcum[[#All],[j40]],0)</f>
        <v>51</v>
      </c>
      <c r="AQ53">
        <f>RANK(TAcum[[#This Row],[j41]],TAcum[[#All],[j41]],0)</f>
        <v>51</v>
      </c>
      <c r="AR53">
        <f>RANK(TAcum[[#This Row],[j42]],TAcum[[#All],[j42]],0)</f>
        <v>51</v>
      </c>
      <c r="AS53">
        <f>RANK(TAcum[[#This Row],[j43]],TAcum[[#All],[j43]],0)</f>
        <v>51</v>
      </c>
      <c r="AT53">
        <f>RANK(TAcum[[#This Row],[j44]],TAcum[[#All],[j44]],0)</f>
        <v>51</v>
      </c>
      <c r="AU53">
        <f>RANK(TAcum[[#This Row],[j45]],TAcum[[#All],[j45]],0)</f>
        <v>51</v>
      </c>
      <c r="AV53">
        <f>RANK(TAcum[[#This Row],[j46]],TAcum[[#All],[j46]],0)</f>
        <v>51</v>
      </c>
      <c r="AW53">
        <f>RANK(TAcum[[#This Row],[j47]],TAcum[[#All],[j47]],0)</f>
        <v>51</v>
      </c>
      <c r="AX53">
        <f>RANK(TAcum[[#This Row],[j48]],TAcum[[#All],[j48]],0)</f>
        <v>51</v>
      </c>
      <c r="AY53">
        <f>RANK(TAcum[[#This Row],[j49]],TAcum[[#All],[j49]],0)</f>
        <v>51</v>
      </c>
      <c r="AZ53">
        <f>RANK(TAcum[[#This Row],[j50]],TAcum[[#All],[j50]],0)</f>
        <v>51</v>
      </c>
      <c r="BA53">
        <f>RANK(TAcum[[#This Row],[j51]],TAcum[[#All],[j51]],0)</f>
        <v>51</v>
      </c>
      <c r="BB53">
        <f>RANK(TAcum[[#This Row],[j52]],TAcum[[#All],[j52]],0)</f>
        <v>51</v>
      </c>
      <c r="BC53">
        <f>RANK(TAcum[[#This Row],[j53]],TAcum[[#All],[j53]],0)</f>
        <v>51</v>
      </c>
      <c r="BD53">
        <f>RANK(TAcum[[#This Row],[j54]],TAcum[[#All],[j54]],0)</f>
        <v>51</v>
      </c>
      <c r="BE53">
        <f>RANK(TAcum[[#This Row],[j55]],TAcum[[#All],[j55]],0)</f>
        <v>51</v>
      </c>
      <c r="BF53">
        <f>RANK(TAcum[[#This Row],[j56]],TAcum[[#All],[j56]],0)</f>
        <v>51</v>
      </c>
      <c r="BG53">
        <f>RANK(TAcum[[#This Row],[j57]],TAcum[[#All],[j57]],0)</f>
        <v>51</v>
      </c>
      <c r="BH53">
        <f>RANK(TAcum[[#This Row],[j58]],TAcum[[#All],[j58]],0)</f>
        <v>51</v>
      </c>
      <c r="BI53">
        <f>RANK(TAcum[[#This Row],[j59]],TAcum[[#All],[j59]],0)</f>
        <v>51</v>
      </c>
      <c r="BJ53">
        <f>RANK(TAcum[[#This Row],[j60]],TAcum[[#All],[j60]],0)</f>
        <v>51</v>
      </c>
      <c r="BK53">
        <f>RANK(TAcum[[#This Row],[j61]],TAcum[[#All],[j61]],0)</f>
        <v>51</v>
      </c>
      <c r="BL53">
        <f>RANK(TAcum[[#This Row],[j62]],TAcum[[#All],[j62]],0)</f>
        <v>51</v>
      </c>
      <c r="BM53">
        <f>RANK(TAcum[[#This Row],[j63]],TAcum[[#All],[j63]],0)</f>
        <v>51</v>
      </c>
      <c r="BN53">
        <f>RANK(TAcum[[#This Row],[j64]],TAcum[[#All],[j64]],0)</f>
        <v>51</v>
      </c>
      <c r="BO53">
        <f>RANK(TAcum[[#This Row],[j65]],TAcum[[#All],[j65]],0)</f>
        <v>51</v>
      </c>
      <c r="BP53">
        <f>RANK(TAcum[[#This Row],[j66]],TAcum[[#All],[j66]],0)</f>
        <v>51</v>
      </c>
      <c r="BQ53">
        <f>RANK(TAcum[[#This Row],[j67]],TAcum[[#All],[j67]],0)</f>
        <v>51</v>
      </c>
      <c r="BR53">
        <f>RANK(TAcum[[#This Row],[j68]],TAcum[[#All],[j68]],0)</f>
        <v>51</v>
      </c>
      <c r="BS53">
        <f>RANK(TAcum[[#This Row],[j69]],TAcum[[#All],[j69]],0)</f>
        <v>51</v>
      </c>
      <c r="BT53">
        <f>RANK(TAcum[[#This Row],[j70]],TAcum[[#All],[j70]],0)</f>
        <v>51</v>
      </c>
      <c r="BU53">
        <f>RANK(TAcum[[#This Row],[j71]],TAcum[[#All],[j71]],0)</f>
        <v>51</v>
      </c>
      <c r="BV53">
        <f>RANK(TAcum[[#This Row],[j72]],TAcum[[#All],[j72]],0)</f>
        <v>51</v>
      </c>
      <c r="BW53">
        <f>RANK(TAcum[[#This Row],[j73]],TAcum[[#All],[j73]],0)</f>
        <v>51</v>
      </c>
    </row>
    <row r="54" spans="1:75" x14ac:dyDescent="0.25">
      <c r="A54" t="str">
        <f>TAcum[[#This Row],[Jogador]]</f>
        <v>Augusto Alves</v>
      </c>
      <c r="B54">
        <f>RANK(TAcum[[#This Row],[total]],TAcum[[#All],[total]],0)</f>
        <v>53</v>
      </c>
      <c r="C54">
        <f>RANK(TAcum[[#This Row],[j01]],TAcum[[#All],[j01]],0)</f>
        <v>78</v>
      </c>
      <c r="D54">
        <f>RANK(TAcum[[#This Row],[j02]],TAcum[[#All],[j02]],0)</f>
        <v>77</v>
      </c>
      <c r="E54">
        <f>RANK(TAcum[[#This Row],[j03]],TAcum[[#All],[j03]],0)</f>
        <v>61</v>
      </c>
      <c r="F54">
        <f>RANK(TAcum[[#This Row],[j04]],TAcum[[#All],[j04]],0)</f>
        <v>68</v>
      </c>
      <c r="G54">
        <f>RANK(TAcum[[#This Row],[j05]],TAcum[[#All],[j05]],0)</f>
        <v>68</v>
      </c>
      <c r="H54">
        <f>RANK(TAcum[[#This Row],[j06]],TAcum[[#All],[j06]],0)</f>
        <v>68</v>
      </c>
      <c r="I54">
        <f>RANK(TAcum[[#This Row],[j07]],TAcum[[#All],[j07]],0)</f>
        <v>49</v>
      </c>
      <c r="J54">
        <f>RANK(TAcum[[#This Row],[j08]],TAcum[[#All],[j08]],0)</f>
        <v>49</v>
      </c>
      <c r="K54">
        <f>RANK(TAcum[[#This Row],[j09]],TAcum[[#All],[j09]],0)</f>
        <v>27</v>
      </c>
      <c r="L54">
        <f>RANK(TAcum[[#This Row],[j10]],TAcum[[#All],[j10]],0)</f>
        <v>31</v>
      </c>
      <c r="M54">
        <f>RANK(TAcum[[#This Row],[j11]],TAcum[[#All],[j11]],0)</f>
        <v>30</v>
      </c>
      <c r="N54">
        <f>RANK(TAcum[[#This Row],[j12]],TAcum[[#All],[j12]],0)</f>
        <v>29</v>
      </c>
      <c r="O54">
        <f>RANK(TAcum[[#This Row],[j13]],TAcum[[#All],[j13]],0)</f>
        <v>19</v>
      </c>
      <c r="P54">
        <f>RANK(TAcum[[#This Row],[j14]],TAcum[[#All],[j14]],0)</f>
        <v>21</v>
      </c>
      <c r="Q54">
        <f>RANK(TAcum[[#This Row],[j15]],TAcum[[#All],[j15]],0)</f>
        <v>21</v>
      </c>
      <c r="R54">
        <f>RANK(TAcum[[#This Row],[j16]],TAcum[[#All],[j16]],0)</f>
        <v>10</v>
      </c>
      <c r="S54">
        <f>RANK(TAcum[[#This Row],[j17]],TAcum[[#All],[j17]],0)</f>
        <v>13</v>
      </c>
      <c r="T54">
        <f>RANK(TAcum[[#This Row],[j18]],TAcum[[#All],[j18]],0)</f>
        <v>18</v>
      </c>
      <c r="U54">
        <f>RANK(TAcum[[#This Row],[j19]],TAcum[[#All],[j19]],0)</f>
        <v>20</v>
      </c>
      <c r="V54">
        <f>RANK(TAcum[[#This Row],[j20]],TAcum[[#All],[j20]],0)</f>
        <v>27</v>
      </c>
      <c r="W54">
        <f>RANK(TAcum[[#This Row],[j21]],TAcum[[#All],[j21]],0)</f>
        <v>25</v>
      </c>
      <c r="X54">
        <f>RANK(TAcum[[#This Row],[j22]],TAcum[[#All],[j22]],0)</f>
        <v>34</v>
      </c>
      <c r="Y54">
        <f>RANK(TAcum[[#This Row],[j23]],TAcum[[#All],[j23]],0)</f>
        <v>27</v>
      </c>
      <c r="Z54">
        <f>RANK(TAcum[[#This Row],[j24]],TAcum[[#All],[j24]],0)</f>
        <v>39</v>
      </c>
      <c r="AA54">
        <f>RANK(TAcum[[#This Row],[j25]],TAcum[[#All],[j25]],0)</f>
        <v>40</v>
      </c>
      <c r="AB54">
        <f>RANK(TAcum[[#This Row],[j26]],TAcum[[#All],[j26]],0)</f>
        <v>44</v>
      </c>
      <c r="AC54">
        <f>RANK(TAcum[[#This Row],[j27]],TAcum[[#All],[j27]],0)</f>
        <v>44</v>
      </c>
      <c r="AD54">
        <f>RANK(TAcum[[#This Row],[j28]],TAcum[[#All],[j28]],0)</f>
        <v>47</v>
      </c>
      <c r="AE54">
        <f>RANK(TAcum[[#This Row],[j29]],TAcum[[#All],[j29]],0)</f>
        <v>53</v>
      </c>
      <c r="AF54">
        <f>RANK(TAcum[[#This Row],[j30]],TAcum[[#All],[j30]],0)</f>
        <v>53</v>
      </c>
      <c r="AG54">
        <f>RANK(TAcum[[#This Row],[j31]],TAcum[[#All],[j31]],0)</f>
        <v>53</v>
      </c>
      <c r="AH54">
        <f>RANK(TAcum[[#This Row],[j32]],TAcum[[#All],[j32]],0)</f>
        <v>53</v>
      </c>
      <c r="AI54">
        <f>RANK(TAcum[[#This Row],[j33]],TAcum[[#All],[j33]],0)</f>
        <v>53</v>
      </c>
      <c r="AJ54">
        <f>RANK(TAcum[[#This Row],[j34]],TAcum[[#All],[j34]],0)</f>
        <v>53</v>
      </c>
      <c r="AK54">
        <f>RANK(TAcum[[#This Row],[j35]],TAcum[[#All],[j35]],0)</f>
        <v>53</v>
      </c>
      <c r="AL54">
        <f>RANK(TAcum[[#This Row],[j36]],TAcum[[#All],[j36]],0)</f>
        <v>53</v>
      </c>
      <c r="AM54">
        <f>RANK(TAcum[[#This Row],[j37]],TAcum[[#All],[j37]],0)</f>
        <v>53</v>
      </c>
      <c r="AN54">
        <f>RANK(TAcum[[#This Row],[j38]],TAcum[[#All],[j38]],0)</f>
        <v>53</v>
      </c>
      <c r="AO54">
        <f>RANK(TAcum[[#This Row],[j39]],TAcum[[#All],[j39]],0)</f>
        <v>53</v>
      </c>
      <c r="AP54">
        <f>RANK(TAcum[[#This Row],[j40]],TAcum[[#All],[j40]],0)</f>
        <v>53</v>
      </c>
      <c r="AQ54">
        <f>RANK(TAcum[[#This Row],[j41]],TAcum[[#All],[j41]],0)</f>
        <v>53</v>
      </c>
      <c r="AR54">
        <f>RANK(TAcum[[#This Row],[j42]],TAcum[[#All],[j42]],0)</f>
        <v>53</v>
      </c>
      <c r="AS54">
        <f>RANK(TAcum[[#This Row],[j43]],TAcum[[#All],[j43]],0)</f>
        <v>53</v>
      </c>
      <c r="AT54">
        <f>RANK(TAcum[[#This Row],[j44]],TAcum[[#All],[j44]],0)</f>
        <v>53</v>
      </c>
      <c r="AU54">
        <f>RANK(TAcum[[#This Row],[j45]],TAcum[[#All],[j45]],0)</f>
        <v>53</v>
      </c>
      <c r="AV54">
        <f>RANK(TAcum[[#This Row],[j46]],TAcum[[#All],[j46]],0)</f>
        <v>53</v>
      </c>
      <c r="AW54">
        <f>RANK(TAcum[[#This Row],[j47]],TAcum[[#All],[j47]],0)</f>
        <v>53</v>
      </c>
      <c r="AX54">
        <f>RANK(TAcum[[#This Row],[j48]],TAcum[[#All],[j48]],0)</f>
        <v>53</v>
      </c>
      <c r="AY54">
        <f>RANK(TAcum[[#This Row],[j49]],TAcum[[#All],[j49]],0)</f>
        <v>53</v>
      </c>
      <c r="AZ54">
        <f>RANK(TAcum[[#This Row],[j50]],TAcum[[#All],[j50]],0)</f>
        <v>53</v>
      </c>
      <c r="BA54">
        <f>RANK(TAcum[[#This Row],[j51]],TAcum[[#All],[j51]],0)</f>
        <v>53</v>
      </c>
      <c r="BB54">
        <f>RANK(TAcum[[#This Row],[j52]],TAcum[[#All],[j52]],0)</f>
        <v>53</v>
      </c>
      <c r="BC54">
        <f>RANK(TAcum[[#This Row],[j53]],TAcum[[#All],[j53]],0)</f>
        <v>53</v>
      </c>
      <c r="BD54">
        <f>RANK(TAcum[[#This Row],[j54]],TAcum[[#All],[j54]],0)</f>
        <v>53</v>
      </c>
      <c r="BE54">
        <f>RANK(TAcum[[#This Row],[j55]],TAcum[[#All],[j55]],0)</f>
        <v>53</v>
      </c>
      <c r="BF54">
        <f>RANK(TAcum[[#This Row],[j56]],TAcum[[#All],[j56]],0)</f>
        <v>53</v>
      </c>
      <c r="BG54">
        <f>RANK(TAcum[[#This Row],[j57]],TAcum[[#All],[j57]],0)</f>
        <v>53</v>
      </c>
      <c r="BH54">
        <f>RANK(TAcum[[#This Row],[j58]],TAcum[[#All],[j58]],0)</f>
        <v>53</v>
      </c>
      <c r="BI54">
        <f>RANK(TAcum[[#This Row],[j59]],TAcum[[#All],[j59]],0)</f>
        <v>53</v>
      </c>
      <c r="BJ54">
        <f>RANK(TAcum[[#This Row],[j60]],TAcum[[#All],[j60]],0)</f>
        <v>53</v>
      </c>
      <c r="BK54">
        <f>RANK(TAcum[[#This Row],[j61]],TAcum[[#All],[j61]],0)</f>
        <v>53</v>
      </c>
      <c r="BL54">
        <f>RANK(TAcum[[#This Row],[j62]],TAcum[[#All],[j62]],0)</f>
        <v>53</v>
      </c>
      <c r="BM54">
        <f>RANK(TAcum[[#This Row],[j63]],TAcum[[#All],[j63]],0)</f>
        <v>53</v>
      </c>
      <c r="BN54">
        <f>RANK(TAcum[[#This Row],[j64]],TAcum[[#All],[j64]],0)</f>
        <v>53</v>
      </c>
      <c r="BO54">
        <f>RANK(TAcum[[#This Row],[j65]],TAcum[[#All],[j65]],0)</f>
        <v>53</v>
      </c>
      <c r="BP54">
        <f>RANK(TAcum[[#This Row],[j66]],TAcum[[#All],[j66]],0)</f>
        <v>53</v>
      </c>
      <c r="BQ54">
        <f>RANK(TAcum[[#This Row],[j67]],TAcum[[#All],[j67]],0)</f>
        <v>53</v>
      </c>
      <c r="BR54">
        <f>RANK(TAcum[[#This Row],[j68]],TAcum[[#All],[j68]],0)</f>
        <v>53</v>
      </c>
      <c r="BS54">
        <f>RANK(TAcum[[#This Row],[j69]],TAcum[[#All],[j69]],0)</f>
        <v>53</v>
      </c>
      <c r="BT54">
        <f>RANK(TAcum[[#This Row],[j70]],TAcum[[#All],[j70]],0)</f>
        <v>53</v>
      </c>
      <c r="BU54">
        <f>RANK(TAcum[[#This Row],[j71]],TAcum[[#All],[j71]],0)</f>
        <v>53</v>
      </c>
      <c r="BV54">
        <f>RANK(TAcum[[#This Row],[j72]],TAcum[[#All],[j72]],0)</f>
        <v>53</v>
      </c>
      <c r="BW54">
        <f>RANK(TAcum[[#This Row],[j73]],TAcum[[#All],[j73]],0)</f>
        <v>53</v>
      </c>
    </row>
    <row r="55" spans="1:75" x14ac:dyDescent="0.25">
      <c r="A55" t="str">
        <f>TAcum[[#This Row],[Jogador]]</f>
        <v>Luiz Fernando 2</v>
      </c>
      <c r="B55">
        <f>RANK(TAcum[[#This Row],[total]],TAcum[[#All],[total]],0)</f>
        <v>53</v>
      </c>
      <c r="C55">
        <f>RANK(TAcum[[#This Row],[j01]],TAcum[[#All],[j01]],0)</f>
        <v>65</v>
      </c>
      <c r="D55">
        <f>RANK(TAcum[[#This Row],[j02]],TAcum[[#All],[j02]],0)</f>
        <v>62</v>
      </c>
      <c r="E55">
        <f>RANK(TAcum[[#This Row],[j03]],TAcum[[#All],[j03]],0)</f>
        <v>75</v>
      </c>
      <c r="F55">
        <f>RANK(TAcum[[#This Row],[j04]],TAcum[[#All],[j04]],0)</f>
        <v>38</v>
      </c>
      <c r="G55">
        <f>RANK(TAcum[[#This Row],[j05]],TAcum[[#All],[j05]],0)</f>
        <v>39</v>
      </c>
      <c r="H55">
        <f>RANK(TAcum[[#This Row],[j06]],TAcum[[#All],[j06]],0)</f>
        <v>41</v>
      </c>
      <c r="I55">
        <f>RANK(TAcum[[#This Row],[j07]],TAcum[[#All],[j07]],0)</f>
        <v>49</v>
      </c>
      <c r="J55">
        <f>RANK(TAcum[[#This Row],[j08]],TAcum[[#All],[j08]],0)</f>
        <v>49</v>
      </c>
      <c r="K55">
        <f>RANK(TAcum[[#This Row],[j09]],TAcum[[#All],[j09]],0)</f>
        <v>52</v>
      </c>
      <c r="L55">
        <f>RANK(TAcum[[#This Row],[j10]],TAcum[[#All],[j10]],0)</f>
        <v>56</v>
      </c>
      <c r="M55">
        <f>RANK(TAcum[[#This Row],[j11]],TAcum[[#All],[j11]],0)</f>
        <v>51</v>
      </c>
      <c r="N55">
        <f>RANK(TAcum[[#This Row],[j12]],TAcum[[#All],[j12]],0)</f>
        <v>50</v>
      </c>
      <c r="O55">
        <f>RANK(TAcum[[#This Row],[j13]],TAcum[[#All],[j13]],0)</f>
        <v>46</v>
      </c>
      <c r="P55">
        <f>RANK(TAcum[[#This Row],[j14]],TAcum[[#All],[j14]],0)</f>
        <v>45</v>
      </c>
      <c r="Q55">
        <f>RANK(TAcum[[#This Row],[j15]],TAcum[[#All],[j15]],0)</f>
        <v>39</v>
      </c>
      <c r="R55">
        <f>RANK(TAcum[[#This Row],[j16]],TAcum[[#All],[j16]],0)</f>
        <v>30</v>
      </c>
      <c r="S55">
        <f>RANK(TAcum[[#This Row],[j17]],TAcum[[#All],[j17]],0)</f>
        <v>38</v>
      </c>
      <c r="T55">
        <f>RANK(TAcum[[#This Row],[j18]],TAcum[[#All],[j18]],0)</f>
        <v>43</v>
      </c>
      <c r="U55">
        <f>RANK(TAcum[[#This Row],[j19]],TAcum[[#All],[j19]],0)</f>
        <v>54</v>
      </c>
      <c r="V55">
        <f>RANK(TAcum[[#This Row],[j20]],TAcum[[#All],[j20]],0)</f>
        <v>22</v>
      </c>
      <c r="W55">
        <f>RANK(TAcum[[#This Row],[j21]],TAcum[[#All],[j21]],0)</f>
        <v>25</v>
      </c>
      <c r="X55">
        <f>RANK(TAcum[[#This Row],[j22]],TAcum[[#All],[j22]],0)</f>
        <v>34</v>
      </c>
      <c r="Y55">
        <f>RANK(TAcum[[#This Row],[j23]],TAcum[[#All],[j23]],0)</f>
        <v>43</v>
      </c>
      <c r="Z55">
        <f>RANK(TAcum[[#This Row],[j24]],TAcum[[#All],[j24]],0)</f>
        <v>52</v>
      </c>
      <c r="AA55">
        <f>RANK(TAcum[[#This Row],[j25]],TAcum[[#All],[j25]],0)</f>
        <v>40</v>
      </c>
      <c r="AB55">
        <f>RANK(TAcum[[#This Row],[j26]],TAcum[[#All],[j26]],0)</f>
        <v>39</v>
      </c>
      <c r="AC55">
        <f>RANK(TAcum[[#This Row],[j27]],TAcum[[#All],[j27]],0)</f>
        <v>39</v>
      </c>
      <c r="AD55">
        <f>RANK(TAcum[[#This Row],[j28]],TAcum[[#All],[j28]],0)</f>
        <v>56</v>
      </c>
      <c r="AE55">
        <f>RANK(TAcum[[#This Row],[j29]],TAcum[[#All],[j29]],0)</f>
        <v>53</v>
      </c>
      <c r="AF55">
        <f>RANK(TAcum[[#This Row],[j30]],TAcum[[#All],[j30]],0)</f>
        <v>53</v>
      </c>
      <c r="AG55">
        <f>RANK(TAcum[[#This Row],[j31]],TAcum[[#All],[j31]],0)</f>
        <v>53</v>
      </c>
      <c r="AH55">
        <f>RANK(TAcum[[#This Row],[j32]],TAcum[[#All],[j32]],0)</f>
        <v>53</v>
      </c>
      <c r="AI55">
        <f>RANK(TAcum[[#This Row],[j33]],TAcum[[#All],[j33]],0)</f>
        <v>53</v>
      </c>
      <c r="AJ55">
        <f>RANK(TAcum[[#This Row],[j34]],TAcum[[#All],[j34]],0)</f>
        <v>53</v>
      </c>
      <c r="AK55">
        <f>RANK(TAcum[[#This Row],[j35]],TAcum[[#All],[j35]],0)</f>
        <v>53</v>
      </c>
      <c r="AL55">
        <f>RANK(TAcum[[#This Row],[j36]],TAcum[[#All],[j36]],0)</f>
        <v>53</v>
      </c>
      <c r="AM55">
        <f>RANK(TAcum[[#This Row],[j37]],TAcum[[#All],[j37]],0)</f>
        <v>53</v>
      </c>
      <c r="AN55">
        <f>RANK(TAcum[[#This Row],[j38]],TAcum[[#All],[j38]],0)</f>
        <v>53</v>
      </c>
      <c r="AO55">
        <f>RANK(TAcum[[#This Row],[j39]],TAcum[[#All],[j39]],0)</f>
        <v>53</v>
      </c>
      <c r="AP55">
        <f>RANK(TAcum[[#This Row],[j40]],TAcum[[#All],[j40]],0)</f>
        <v>53</v>
      </c>
      <c r="AQ55">
        <f>RANK(TAcum[[#This Row],[j41]],TAcum[[#All],[j41]],0)</f>
        <v>53</v>
      </c>
      <c r="AR55">
        <f>RANK(TAcum[[#This Row],[j42]],TAcum[[#All],[j42]],0)</f>
        <v>53</v>
      </c>
      <c r="AS55">
        <f>RANK(TAcum[[#This Row],[j43]],TAcum[[#All],[j43]],0)</f>
        <v>53</v>
      </c>
      <c r="AT55">
        <f>RANK(TAcum[[#This Row],[j44]],TAcum[[#All],[j44]],0)</f>
        <v>53</v>
      </c>
      <c r="AU55">
        <f>RANK(TAcum[[#This Row],[j45]],TAcum[[#All],[j45]],0)</f>
        <v>53</v>
      </c>
      <c r="AV55">
        <f>RANK(TAcum[[#This Row],[j46]],TAcum[[#All],[j46]],0)</f>
        <v>53</v>
      </c>
      <c r="AW55">
        <f>RANK(TAcum[[#This Row],[j47]],TAcum[[#All],[j47]],0)</f>
        <v>53</v>
      </c>
      <c r="AX55">
        <f>RANK(TAcum[[#This Row],[j48]],TAcum[[#All],[j48]],0)</f>
        <v>53</v>
      </c>
      <c r="AY55">
        <f>RANK(TAcum[[#This Row],[j49]],TAcum[[#All],[j49]],0)</f>
        <v>53</v>
      </c>
      <c r="AZ55">
        <f>RANK(TAcum[[#This Row],[j50]],TAcum[[#All],[j50]],0)</f>
        <v>53</v>
      </c>
      <c r="BA55">
        <f>RANK(TAcum[[#This Row],[j51]],TAcum[[#All],[j51]],0)</f>
        <v>53</v>
      </c>
      <c r="BB55">
        <f>RANK(TAcum[[#This Row],[j52]],TAcum[[#All],[j52]],0)</f>
        <v>53</v>
      </c>
      <c r="BC55">
        <f>RANK(TAcum[[#This Row],[j53]],TAcum[[#All],[j53]],0)</f>
        <v>53</v>
      </c>
      <c r="BD55">
        <f>RANK(TAcum[[#This Row],[j54]],TAcum[[#All],[j54]],0)</f>
        <v>53</v>
      </c>
      <c r="BE55">
        <f>RANK(TAcum[[#This Row],[j55]],TAcum[[#All],[j55]],0)</f>
        <v>53</v>
      </c>
      <c r="BF55">
        <f>RANK(TAcum[[#This Row],[j56]],TAcum[[#All],[j56]],0)</f>
        <v>53</v>
      </c>
      <c r="BG55">
        <f>RANK(TAcum[[#This Row],[j57]],TAcum[[#All],[j57]],0)</f>
        <v>53</v>
      </c>
      <c r="BH55">
        <f>RANK(TAcum[[#This Row],[j58]],TAcum[[#All],[j58]],0)</f>
        <v>53</v>
      </c>
      <c r="BI55">
        <f>RANK(TAcum[[#This Row],[j59]],TAcum[[#All],[j59]],0)</f>
        <v>53</v>
      </c>
      <c r="BJ55">
        <f>RANK(TAcum[[#This Row],[j60]],TAcum[[#All],[j60]],0)</f>
        <v>53</v>
      </c>
      <c r="BK55">
        <f>RANK(TAcum[[#This Row],[j61]],TAcum[[#All],[j61]],0)</f>
        <v>53</v>
      </c>
      <c r="BL55">
        <f>RANK(TAcum[[#This Row],[j62]],TAcum[[#All],[j62]],0)</f>
        <v>53</v>
      </c>
      <c r="BM55">
        <f>RANK(TAcum[[#This Row],[j63]],TAcum[[#All],[j63]],0)</f>
        <v>53</v>
      </c>
      <c r="BN55">
        <f>RANK(TAcum[[#This Row],[j64]],TAcum[[#All],[j64]],0)</f>
        <v>53</v>
      </c>
      <c r="BO55">
        <f>RANK(TAcum[[#This Row],[j65]],TAcum[[#All],[j65]],0)</f>
        <v>53</v>
      </c>
      <c r="BP55">
        <f>RANK(TAcum[[#This Row],[j66]],TAcum[[#All],[j66]],0)</f>
        <v>53</v>
      </c>
      <c r="BQ55">
        <f>RANK(TAcum[[#This Row],[j67]],TAcum[[#All],[j67]],0)</f>
        <v>53</v>
      </c>
      <c r="BR55">
        <f>RANK(TAcum[[#This Row],[j68]],TAcum[[#All],[j68]],0)</f>
        <v>53</v>
      </c>
      <c r="BS55">
        <f>RANK(TAcum[[#This Row],[j69]],TAcum[[#All],[j69]],0)</f>
        <v>53</v>
      </c>
      <c r="BT55">
        <f>RANK(TAcum[[#This Row],[j70]],TAcum[[#All],[j70]],0)</f>
        <v>53</v>
      </c>
      <c r="BU55">
        <f>RANK(TAcum[[#This Row],[j71]],TAcum[[#All],[j71]],0)</f>
        <v>53</v>
      </c>
      <c r="BV55">
        <f>RANK(TAcum[[#This Row],[j72]],TAcum[[#All],[j72]],0)</f>
        <v>53</v>
      </c>
      <c r="BW55">
        <f>RANK(TAcum[[#This Row],[j73]],TAcum[[#All],[j73]],0)</f>
        <v>53</v>
      </c>
    </row>
    <row r="56" spans="1:75" x14ac:dyDescent="0.25">
      <c r="A56" t="str">
        <f>TAcum[[#This Row],[Jogador]]</f>
        <v>Murilo Bittencourt</v>
      </c>
      <c r="B56">
        <f>RANK(TAcum[[#This Row],[total]],TAcum[[#All],[total]],0)</f>
        <v>53</v>
      </c>
      <c r="C56">
        <f>RANK(TAcum[[#This Row],[j01]],TAcum[[#All],[j01]],0)</f>
        <v>78</v>
      </c>
      <c r="D56">
        <f>RANK(TAcum[[#This Row],[j02]],TAcum[[#All],[j02]],0)</f>
        <v>77</v>
      </c>
      <c r="E56">
        <f>RANK(TAcum[[#This Row],[j03]],TAcum[[#All],[j03]],0)</f>
        <v>61</v>
      </c>
      <c r="F56">
        <f>RANK(TAcum[[#This Row],[j04]],TAcum[[#All],[j04]],0)</f>
        <v>32</v>
      </c>
      <c r="G56">
        <f>RANK(TAcum[[#This Row],[j05]],TAcum[[#All],[j05]],0)</f>
        <v>32</v>
      </c>
      <c r="H56">
        <f>RANK(TAcum[[#This Row],[j06]],TAcum[[#All],[j06]],0)</f>
        <v>33</v>
      </c>
      <c r="I56">
        <f>RANK(TAcum[[#This Row],[j07]],TAcum[[#All],[j07]],0)</f>
        <v>42</v>
      </c>
      <c r="J56">
        <f>RANK(TAcum[[#This Row],[j08]],TAcum[[#All],[j08]],0)</f>
        <v>43</v>
      </c>
      <c r="K56">
        <f>RANK(TAcum[[#This Row],[j09]],TAcum[[#All],[j09]],0)</f>
        <v>48</v>
      </c>
      <c r="L56">
        <f>RANK(TAcum[[#This Row],[j10]],TAcum[[#All],[j10]],0)</f>
        <v>50</v>
      </c>
      <c r="M56">
        <f>RANK(TAcum[[#This Row],[j11]],TAcum[[#All],[j11]],0)</f>
        <v>49</v>
      </c>
      <c r="N56">
        <f>RANK(TAcum[[#This Row],[j12]],TAcum[[#All],[j12]],0)</f>
        <v>53</v>
      </c>
      <c r="O56">
        <f>RANK(TAcum[[#This Row],[j13]],TAcum[[#All],[j13]],0)</f>
        <v>77</v>
      </c>
      <c r="P56">
        <f>RANK(TAcum[[#This Row],[j14]],TAcum[[#All],[j14]],0)</f>
        <v>81</v>
      </c>
      <c r="Q56">
        <f>RANK(TAcum[[#This Row],[j15]],TAcum[[#All],[j15]],0)</f>
        <v>79</v>
      </c>
      <c r="R56">
        <f>RANK(TAcum[[#This Row],[j16]],TAcum[[#All],[j16]],0)</f>
        <v>78</v>
      </c>
      <c r="S56">
        <f>RANK(TAcum[[#This Row],[j17]],TAcum[[#All],[j17]],0)</f>
        <v>83</v>
      </c>
      <c r="T56">
        <f>RANK(TAcum[[#This Row],[j18]],TAcum[[#All],[j18]],0)</f>
        <v>85</v>
      </c>
      <c r="U56">
        <f>RANK(TAcum[[#This Row],[j19]],TAcum[[#All],[j19]],0)</f>
        <v>84</v>
      </c>
      <c r="V56">
        <f>RANK(TAcum[[#This Row],[j20]],TAcum[[#All],[j20]],0)</f>
        <v>87</v>
      </c>
      <c r="W56">
        <f>RANK(TAcum[[#This Row],[j21]],TAcum[[#All],[j21]],0)</f>
        <v>91</v>
      </c>
      <c r="X56">
        <f>RANK(TAcum[[#This Row],[j22]],TAcum[[#All],[j22]],0)</f>
        <v>70</v>
      </c>
      <c r="Y56">
        <f>RANK(TAcum[[#This Row],[j23]],TAcum[[#All],[j23]],0)</f>
        <v>70</v>
      </c>
      <c r="Z56">
        <f>RANK(TAcum[[#This Row],[j24]],TAcum[[#All],[j24]],0)</f>
        <v>69</v>
      </c>
      <c r="AA56">
        <f>RANK(TAcum[[#This Row],[j25]],TAcum[[#All],[j25]],0)</f>
        <v>68</v>
      </c>
      <c r="AB56">
        <f>RANK(TAcum[[#This Row],[j26]],TAcum[[#All],[j26]],0)</f>
        <v>69</v>
      </c>
      <c r="AC56">
        <f>RANK(TAcum[[#This Row],[j27]],TAcum[[#All],[j27]],0)</f>
        <v>69</v>
      </c>
      <c r="AD56">
        <f>RANK(TAcum[[#This Row],[j28]],TAcum[[#All],[j28]],0)</f>
        <v>68</v>
      </c>
      <c r="AE56">
        <f>RANK(TAcum[[#This Row],[j29]],TAcum[[#All],[j29]],0)</f>
        <v>53</v>
      </c>
      <c r="AF56">
        <f>RANK(TAcum[[#This Row],[j30]],TAcum[[#All],[j30]],0)</f>
        <v>53</v>
      </c>
      <c r="AG56">
        <f>RANK(TAcum[[#This Row],[j31]],TAcum[[#All],[j31]],0)</f>
        <v>53</v>
      </c>
      <c r="AH56">
        <f>RANK(TAcum[[#This Row],[j32]],TAcum[[#All],[j32]],0)</f>
        <v>53</v>
      </c>
      <c r="AI56">
        <f>RANK(TAcum[[#This Row],[j33]],TAcum[[#All],[j33]],0)</f>
        <v>53</v>
      </c>
      <c r="AJ56">
        <f>RANK(TAcum[[#This Row],[j34]],TAcum[[#All],[j34]],0)</f>
        <v>53</v>
      </c>
      <c r="AK56">
        <f>RANK(TAcum[[#This Row],[j35]],TAcum[[#All],[j35]],0)</f>
        <v>53</v>
      </c>
      <c r="AL56">
        <f>RANK(TAcum[[#This Row],[j36]],TAcum[[#All],[j36]],0)</f>
        <v>53</v>
      </c>
      <c r="AM56">
        <f>RANK(TAcum[[#This Row],[j37]],TAcum[[#All],[j37]],0)</f>
        <v>53</v>
      </c>
      <c r="AN56">
        <f>RANK(TAcum[[#This Row],[j38]],TAcum[[#All],[j38]],0)</f>
        <v>53</v>
      </c>
      <c r="AO56">
        <f>RANK(TAcum[[#This Row],[j39]],TAcum[[#All],[j39]],0)</f>
        <v>53</v>
      </c>
      <c r="AP56">
        <f>RANK(TAcum[[#This Row],[j40]],TAcum[[#All],[j40]],0)</f>
        <v>53</v>
      </c>
      <c r="AQ56">
        <f>RANK(TAcum[[#This Row],[j41]],TAcum[[#All],[j41]],0)</f>
        <v>53</v>
      </c>
      <c r="AR56">
        <f>RANK(TAcum[[#This Row],[j42]],TAcum[[#All],[j42]],0)</f>
        <v>53</v>
      </c>
      <c r="AS56">
        <f>RANK(TAcum[[#This Row],[j43]],TAcum[[#All],[j43]],0)</f>
        <v>53</v>
      </c>
      <c r="AT56">
        <f>RANK(TAcum[[#This Row],[j44]],TAcum[[#All],[j44]],0)</f>
        <v>53</v>
      </c>
      <c r="AU56">
        <f>RANK(TAcum[[#This Row],[j45]],TAcum[[#All],[j45]],0)</f>
        <v>53</v>
      </c>
      <c r="AV56">
        <f>RANK(TAcum[[#This Row],[j46]],TAcum[[#All],[j46]],0)</f>
        <v>53</v>
      </c>
      <c r="AW56">
        <f>RANK(TAcum[[#This Row],[j47]],TAcum[[#All],[j47]],0)</f>
        <v>53</v>
      </c>
      <c r="AX56">
        <f>RANK(TAcum[[#This Row],[j48]],TAcum[[#All],[j48]],0)</f>
        <v>53</v>
      </c>
      <c r="AY56">
        <f>RANK(TAcum[[#This Row],[j49]],TAcum[[#All],[j49]],0)</f>
        <v>53</v>
      </c>
      <c r="AZ56">
        <f>RANK(TAcum[[#This Row],[j50]],TAcum[[#All],[j50]],0)</f>
        <v>53</v>
      </c>
      <c r="BA56">
        <f>RANK(TAcum[[#This Row],[j51]],TAcum[[#All],[j51]],0)</f>
        <v>53</v>
      </c>
      <c r="BB56">
        <f>RANK(TAcum[[#This Row],[j52]],TAcum[[#All],[j52]],0)</f>
        <v>53</v>
      </c>
      <c r="BC56">
        <f>RANK(TAcum[[#This Row],[j53]],TAcum[[#All],[j53]],0)</f>
        <v>53</v>
      </c>
      <c r="BD56">
        <f>RANK(TAcum[[#This Row],[j54]],TAcum[[#All],[j54]],0)</f>
        <v>53</v>
      </c>
      <c r="BE56">
        <f>RANK(TAcum[[#This Row],[j55]],TAcum[[#All],[j55]],0)</f>
        <v>53</v>
      </c>
      <c r="BF56">
        <f>RANK(TAcum[[#This Row],[j56]],TAcum[[#All],[j56]],0)</f>
        <v>53</v>
      </c>
      <c r="BG56">
        <f>RANK(TAcum[[#This Row],[j57]],TAcum[[#All],[j57]],0)</f>
        <v>53</v>
      </c>
      <c r="BH56">
        <f>RANK(TAcum[[#This Row],[j58]],TAcum[[#All],[j58]],0)</f>
        <v>53</v>
      </c>
      <c r="BI56">
        <f>RANK(TAcum[[#This Row],[j59]],TAcum[[#All],[j59]],0)</f>
        <v>53</v>
      </c>
      <c r="BJ56">
        <f>RANK(TAcum[[#This Row],[j60]],TAcum[[#All],[j60]],0)</f>
        <v>53</v>
      </c>
      <c r="BK56">
        <f>RANK(TAcum[[#This Row],[j61]],TAcum[[#All],[j61]],0)</f>
        <v>53</v>
      </c>
      <c r="BL56">
        <f>RANK(TAcum[[#This Row],[j62]],TAcum[[#All],[j62]],0)</f>
        <v>53</v>
      </c>
      <c r="BM56">
        <f>RANK(TAcum[[#This Row],[j63]],TAcum[[#All],[j63]],0)</f>
        <v>53</v>
      </c>
      <c r="BN56">
        <f>RANK(TAcum[[#This Row],[j64]],TAcum[[#All],[j64]],0)</f>
        <v>53</v>
      </c>
      <c r="BO56">
        <f>RANK(TAcum[[#This Row],[j65]],TAcum[[#All],[j65]],0)</f>
        <v>53</v>
      </c>
      <c r="BP56">
        <f>RANK(TAcum[[#This Row],[j66]],TAcum[[#All],[j66]],0)</f>
        <v>53</v>
      </c>
      <c r="BQ56">
        <f>RANK(TAcum[[#This Row],[j67]],TAcum[[#All],[j67]],0)</f>
        <v>53</v>
      </c>
      <c r="BR56">
        <f>RANK(TAcum[[#This Row],[j68]],TAcum[[#All],[j68]],0)</f>
        <v>53</v>
      </c>
      <c r="BS56">
        <f>RANK(TAcum[[#This Row],[j69]],TAcum[[#All],[j69]],0)</f>
        <v>53</v>
      </c>
      <c r="BT56">
        <f>RANK(TAcum[[#This Row],[j70]],TAcum[[#All],[j70]],0)</f>
        <v>53</v>
      </c>
      <c r="BU56">
        <f>RANK(TAcum[[#This Row],[j71]],TAcum[[#All],[j71]],0)</f>
        <v>53</v>
      </c>
      <c r="BV56">
        <f>RANK(TAcum[[#This Row],[j72]],TAcum[[#All],[j72]],0)</f>
        <v>53</v>
      </c>
      <c r="BW56">
        <f>RANK(TAcum[[#This Row],[j73]],TAcum[[#All],[j73]],0)</f>
        <v>53</v>
      </c>
    </row>
    <row r="57" spans="1:75" x14ac:dyDescent="0.25">
      <c r="A57" t="str">
        <f>TAcum[[#This Row],[Jogador]]</f>
        <v>Antonio Silvestre</v>
      </c>
      <c r="B57">
        <f>RANK(TAcum[[#This Row],[total]],TAcum[[#All],[total]],0)</f>
        <v>56</v>
      </c>
      <c r="C57">
        <f>RANK(TAcum[[#This Row],[j01]],TAcum[[#All],[j01]],0)</f>
        <v>78</v>
      </c>
      <c r="D57">
        <f>RANK(TAcum[[#This Row],[j02]],TAcum[[#All],[j02]],0)</f>
        <v>77</v>
      </c>
      <c r="E57">
        <f>RANK(TAcum[[#This Row],[j03]],TAcum[[#All],[j03]],0)</f>
        <v>61</v>
      </c>
      <c r="F57">
        <f>RANK(TAcum[[#This Row],[j04]],TAcum[[#All],[j04]],0)</f>
        <v>83</v>
      </c>
      <c r="G57">
        <f>RANK(TAcum[[#This Row],[j05]],TAcum[[#All],[j05]],0)</f>
        <v>77</v>
      </c>
      <c r="H57">
        <f>RANK(TAcum[[#This Row],[j06]],TAcum[[#All],[j06]],0)</f>
        <v>75</v>
      </c>
      <c r="I57">
        <f>RANK(TAcum[[#This Row],[j07]],TAcum[[#All],[j07]],0)</f>
        <v>81</v>
      </c>
      <c r="J57">
        <f>RANK(TAcum[[#This Row],[j08]],TAcum[[#All],[j08]],0)</f>
        <v>83</v>
      </c>
      <c r="K57">
        <f>RANK(TAcum[[#This Row],[j09]],TAcum[[#All],[j09]],0)</f>
        <v>82</v>
      </c>
      <c r="L57">
        <f>RANK(TAcum[[#This Row],[j10]],TAcum[[#All],[j10]],0)</f>
        <v>79</v>
      </c>
      <c r="M57">
        <f>RANK(TAcum[[#This Row],[j11]],TAcum[[#All],[j11]],0)</f>
        <v>75</v>
      </c>
      <c r="N57">
        <f>RANK(TAcum[[#This Row],[j12]],TAcum[[#All],[j12]],0)</f>
        <v>48</v>
      </c>
      <c r="O57">
        <f>RANK(TAcum[[#This Row],[j13]],TAcum[[#All],[j13]],0)</f>
        <v>43</v>
      </c>
      <c r="P57">
        <f>RANK(TAcum[[#This Row],[j14]],TAcum[[#All],[j14]],0)</f>
        <v>52</v>
      </c>
      <c r="Q57">
        <f>RANK(TAcum[[#This Row],[j15]],TAcum[[#All],[j15]],0)</f>
        <v>51</v>
      </c>
      <c r="R57">
        <f>RANK(TAcum[[#This Row],[j16]],TAcum[[#All],[j16]],0)</f>
        <v>65</v>
      </c>
      <c r="S57">
        <f>RANK(TAcum[[#This Row],[j17]],TAcum[[#All],[j17]],0)</f>
        <v>46</v>
      </c>
      <c r="T57">
        <f>RANK(TAcum[[#This Row],[j18]],TAcum[[#All],[j18]],0)</f>
        <v>24</v>
      </c>
      <c r="U57">
        <f>RANK(TAcum[[#This Row],[j19]],TAcum[[#All],[j19]],0)</f>
        <v>49</v>
      </c>
      <c r="V57">
        <f>RANK(TAcum[[#This Row],[j20]],TAcum[[#All],[j20]],0)</f>
        <v>52</v>
      </c>
      <c r="W57">
        <f>RANK(TAcum[[#This Row],[j21]],TAcum[[#All],[j21]],0)</f>
        <v>51</v>
      </c>
      <c r="X57">
        <f>RANK(TAcum[[#This Row],[j22]],TAcum[[#All],[j22]],0)</f>
        <v>56</v>
      </c>
      <c r="Y57">
        <f>RANK(TAcum[[#This Row],[j23]],TAcum[[#All],[j23]],0)</f>
        <v>74</v>
      </c>
      <c r="Z57">
        <f>RANK(TAcum[[#This Row],[j24]],TAcum[[#All],[j24]],0)</f>
        <v>57</v>
      </c>
      <c r="AA57">
        <f>RANK(TAcum[[#This Row],[j25]],TAcum[[#All],[j25]],0)</f>
        <v>45</v>
      </c>
      <c r="AB57">
        <f>RANK(TAcum[[#This Row],[j26]],TAcum[[#All],[j26]],0)</f>
        <v>47</v>
      </c>
      <c r="AC57">
        <f>RANK(TAcum[[#This Row],[j27]],TAcum[[#All],[j27]],0)</f>
        <v>47</v>
      </c>
      <c r="AD57">
        <f>RANK(TAcum[[#This Row],[j28]],TAcum[[#All],[j28]],0)</f>
        <v>42</v>
      </c>
      <c r="AE57">
        <f>RANK(TAcum[[#This Row],[j29]],TAcum[[#All],[j29]],0)</f>
        <v>56</v>
      </c>
      <c r="AF57">
        <f>RANK(TAcum[[#This Row],[j30]],TAcum[[#All],[j30]],0)</f>
        <v>56</v>
      </c>
      <c r="AG57">
        <f>RANK(TAcum[[#This Row],[j31]],TAcum[[#All],[j31]],0)</f>
        <v>56</v>
      </c>
      <c r="AH57">
        <f>RANK(TAcum[[#This Row],[j32]],TAcum[[#All],[j32]],0)</f>
        <v>56</v>
      </c>
      <c r="AI57">
        <f>RANK(TAcum[[#This Row],[j33]],TAcum[[#All],[j33]],0)</f>
        <v>56</v>
      </c>
      <c r="AJ57">
        <f>RANK(TAcum[[#This Row],[j34]],TAcum[[#All],[j34]],0)</f>
        <v>56</v>
      </c>
      <c r="AK57">
        <f>RANK(TAcum[[#This Row],[j35]],TAcum[[#All],[j35]],0)</f>
        <v>56</v>
      </c>
      <c r="AL57">
        <f>RANK(TAcum[[#This Row],[j36]],TAcum[[#All],[j36]],0)</f>
        <v>56</v>
      </c>
      <c r="AM57">
        <f>RANK(TAcum[[#This Row],[j37]],TAcum[[#All],[j37]],0)</f>
        <v>56</v>
      </c>
      <c r="AN57">
        <f>RANK(TAcum[[#This Row],[j38]],TAcum[[#All],[j38]],0)</f>
        <v>56</v>
      </c>
      <c r="AO57">
        <f>RANK(TAcum[[#This Row],[j39]],TAcum[[#All],[j39]],0)</f>
        <v>56</v>
      </c>
      <c r="AP57">
        <f>RANK(TAcum[[#This Row],[j40]],TAcum[[#All],[j40]],0)</f>
        <v>56</v>
      </c>
      <c r="AQ57">
        <f>RANK(TAcum[[#This Row],[j41]],TAcum[[#All],[j41]],0)</f>
        <v>56</v>
      </c>
      <c r="AR57">
        <f>RANK(TAcum[[#This Row],[j42]],TAcum[[#All],[j42]],0)</f>
        <v>56</v>
      </c>
      <c r="AS57">
        <f>RANK(TAcum[[#This Row],[j43]],TAcum[[#All],[j43]],0)</f>
        <v>56</v>
      </c>
      <c r="AT57">
        <f>RANK(TAcum[[#This Row],[j44]],TAcum[[#All],[j44]],0)</f>
        <v>56</v>
      </c>
      <c r="AU57">
        <f>RANK(TAcum[[#This Row],[j45]],TAcum[[#All],[j45]],0)</f>
        <v>56</v>
      </c>
      <c r="AV57">
        <f>RANK(TAcum[[#This Row],[j46]],TAcum[[#All],[j46]],0)</f>
        <v>56</v>
      </c>
      <c r="AW57">
        <f>RANK(TAcum[[#This Row],[j47]],TAcum[[#All],[j47]],0)</f>
        <v>56</v>
      </c>
      <c r="AX57">
        <f>RANK(TAcum[[#This Row],[j48]],TAcum[[#All],[j48]],0)</f>
        <v>56</v>
      </c>
      <c r="AY57">
        <f>RANK(TAcum[[#This Row],[j49]],TAcum[[#All],[j49]],0)</f>
        <v>56</v>
      </c>
      <c r="AZ57">
        <f>RANK(TAcum[[#This Row],[j50]],TAcum[[#All],[j50]],0)</f>
        <v>56</v>
      </c>
      <c r="BA57">
        <f>RANK(TAcum[[#This Row],[j51]],TAcum[[#All],[j51]],0)</f>
        <v>56</v>
      </c>
      <c r="BB57">
        <f>RANK(TAcum[[#This Row],[j52]],TAcum[[#All],[j52]],0)</f>
        <v>56</v>
      </c>
      <c r="BC57">
        <f>RANK(TAcum[[#This Row],[j53]],TAcum[[#All],[j53]],0)</f>
        <v>56</v>
      </c>
      <c r="BD57">
        <f>RANK(TAcum[[#This Row],[j54]],TAcum[[#All],[j54]],0)</f>
        <v>56</v>
      </c>
      <c r="BE57">
        <f>RANK(TAcum[[#This Row],[j55]],TAcum[[#All],[j55]],0)</f>
        <v>56</v>
      </c>
      <c r="BF57">
        <f>RANK(TAcum[[#This Row],[j56]],TAcum[[#All],[j56]],0)</f>
        <v>56</v>
      </c>
      <c r="BG57">
        <f>RANK(TAcum[[#This Row],[j57]],TAcum[[#All],[j57]],0)</f>
        <v>56</v>
      </c>
      <c r="BH57">
        <f>RANK(TAcum[[#This Row],[j58]],TAcum[[#All],[j58]],0)</f>
        <v>56</v>
      </c>
      <c r="BI57">
        <f>RANK(TAcum[[#This Row],[j59]],TAcum[[#All],[j59]],0)</f>
        <v>56</v>
      </c>
      <c r="BJ57">
        <f>RANK(TAcum[[#This Row],[j60]],TAcum[[#All],[j60]],0)</f>
        <v>56</v>
      </c>
      <c r="BK57">
        <f>RANK(TAcum[[#This Row],[j61]],TAcum[[#All],[j61]],0)</f>
        <v>56</v>
      </c>
      <c r="BL57">
        <f>RANK(TAcum[[#This Row],[j62]],TAcum[[#All],[j62]],0)</f>
        <v>56</v>
      </c>
      <c r="BM57">
        <f>RANK(TAcum[[#This Row],[j63]],TAcum[[#All],[j63]],0)</f>
        <v>56</v>
      </c>
      <c r="BN57">
        <f>RANK(TAcum[[#This Row],[j64]],TAcum[[#All],[j64]],0)</f>
        <v>56</v>
      </c>
      <c r="BO57">
        <f>RANK(TAcum[[#This Row],[j65]],TAcum[[#All],[j65]],0)</f>
        <v>56</v>
      </c>
      <c r="BP57">
        <f>RANK(TAcum[[#This Row],[j66]],TAcum[[#All],[j66]],0)</f>
        <v>56</v>
      </c>
      <c r="BQ57">
        <f>RANK(TAcum[[#This Row],[j67]],TAcum[[#All],[j67]],0)</f>
        <v>56</v>
      </c>
      <c r="BR57">
        <f>RANK(TAcum[[#This Row],[j68]],TAcum[[#All],[j68]],0)</f>
        <v>56</v>
      </c>
      <c r="BS57">
        <f>RANK(TAcum[[#This Row],[j69]],TAcum[[#All],[j69]],0)</f>
        <v>56</v>
      </c>
      <c r="BT57">
        <f>RANK(TAcum[[#This Row],[j70]],TAcum[[#All],[j70]],0)</f>
        <v>56</v>
      </c>
      <c r="BU57">
        <f>RANK(TAcum[[#This Row],[j71]],TAcum[[#All],[j71]],0)</f>
        <v>56</v>
      </c>
      <c r="BV57">
        <f>RANK(TAcum[[#This Row],[j72]],TAcum[[#All],[j72]],0)</f>
        <v>56</v>
      </c>
      <c r="BW57">
        <f>RANK(TAcum[[#This Row],[j73]],TAcum[[#All],[j73]],0)</f>
        <v>56</v>
      </c>
    </row>
    <row r="58" spans="1:75" x14ac:dyDescent="0.25">
      <c r="A58" t="str">
        <f>TAcum[[#This Row],[Jogador]]</f>
        <v>Carlos Alberto Suffredini</v>
      </c>
      <c r="B58">
        <f>RANK(TAcum[[#This Row],[total]],TAcum[[#All],[total]],0)</f>
        <v>56</v>
      </c>
      <c r="C58">
        <f>RANK(TAcum[[#This Row],[j01]],TAcum[[#All],[j01]],0)</f>
        <v>1</v>
      </c>
      <c r="D58">
        <f>RANK(TAcum[[#This Row],[j02]],TAcum[[#All],[j02]],0)</f>
        <v>1</v>
      </c>
      <c r="E58">
        <f>RANK(TAcum[[#This Row],[j03]],TAcum[[#All],[j03]],0)</f>
        <v>61</v>
      </c>
      <c r="F58">
        <f>RANK(TAcum[[#This Row],[j04]],TAcum[[#All],[j04]],0)</f>
        <v>83</v>
      </c>
      <c r="G58">
        <f>RANK(TAcum[[#This Row],[j05]],TAcum[[#All],[j05]],0)</f>
        <v>85</v>
      </c>
      <c r="H58">
        <f>RANK(TAcum[[#This Row],[j06]],TAcum[[#All],[j06]],0)</f>
        <v>84</v>
      </c>
      <c r="I58">
        <f>RANK(TAcum[[#This Row],[j07]],TAcum[[#All],[j07]],0)</f>
        <v>90</v>
      </c>
      <c r="J58">
        <f>RANK(TAcum[[#This Row],[j08]],TAcum[[#All],[j08]],0)</f>
        <v>94</v>
      </c>
      <c r="K58">
        <f>RANK(TAcum[[#This Row],[j09]],TAcum[[#All],[j09]],0)</f>
        <v>77</v>
      </c>
      <c r="L58">
        <f>RANK(TAcum[[#This Row],[j10]],TAcum[[#All],[j10]],0)</f>
        <v>79</v>
      </c>
      <c r="M58">
        <f>RANK(TAcum[[#This Row],[j11]],TAcum[[#All],[j11]],0)</f>
        <v>75</v>
      </c>
      <c r="N58">
        <f>RANK(TAcum[[#This Row],[j12]],TAcum[[#All],[j12]],0)</f>
        <v>76</v>
      </c>
      <c r="O58">
        <f>RANK(TAcum[[#This Row],[j13]],TAcum[[#All],[j13]],0)</f>
        <v>90</v>
      </c>
      <c r="P58">
        <f>RANK(TAcum[[#This Row],[j14]],TAcum[[#All],[j14]],0)</f>
        <v>92</v>
      </c>
      <c r="Q58">
        <f>RANK(TAcum[[#This Row],[j15]],TAcum[[#All],[j15]],0)</f>
        <v>92</v>
      </c>
      <c r="R58">
        <f>RANK(TAcum[[#This Row],[j16]],TAcum[[#All],[j16]],0)</f>
        <v>108</v>
      </c>
      <c r="S58">
        <f>RANK(TAcum[[#This Row],[j17]],TAcum[[#All],[j17]],0)</f>
        <v>97</v>
      </c>
      <c r="T58">
        <f>RANK(TAcum[[#This Row],[j18]],TAcum[[#All],[j18]],0)</f>
        <v>99</v>
      </c>
      <c r="U58">
        <f>RANK(TAcum[[#This Row],[j19]],TAcum[[#All],[j19]],0)</f>
        <v>76</v>
      </c>
      <c r="V58">
        <f>RANK(TAcum[[#This Row],[j20]],TAcum[[#All],[j20]],0)</f>
        <v>76</v>
      </c>
      <c r="W58">
        <f>RANK(TAcum[[#This Row],[j21]],TAcum[[#All],[j21]],0)</f>
        <v>76</v>
      </c>
      <c r="X58">
        <f>RANK(TAcum[[#This Row],[j22]],TAcum[[#All],[j22]],0)</f>
        <v>70</v>
      </c>
      <c r="Y58">
        <f>RANK(TAcum[[#This Row],[j23]],TAcum[[#All],[j23]],0)</f>
        <v>60</v>
      </c>
      <c r="Z58">
        <f>RANK(TAcum[[#This Row],[j24]],TAcum[[#All],[j24]],0)</f>
        <v>40</v>
      </c>
      <c r="AA58">
        <f>RANK(TAcum[[#This Row],[j25]],TAcum[[#All],[j25]],0)</f>
        <v>58</v>
      </c>
      <c r="AB58">
        <f>RANK(TAcum[[#This Row],[j26]],TAcum[[#All],[j26]],0)</f>
        <v>59</v>
      </c>
      <c r="AC58">
        <f>RANK(TAcum[[#This Row],[j27]],TAcum[[#All],[j27]],0)</f>
        <v>59</v>
      </c>
      <c r="AD58">
        <f>RANK(TAcum[[#This Row],[j28]],TAcum[[#All],[j28]],0)</f>
        <v>58</v>
      </c>
      <c r="AE58">
        <f>RANK(TAcum[[#This Row],[j29]],TAcum[[#All],[j29]],0)</f>
        <v>56</v>
      </c>
      <c r="AF58">
        <f>RANK(TAcum[[#This Row],[j30]],TAcum[[#All],[j30]],0)</f>
        <v>56</v>
      </c>
      <c r="AG58">
        <f>RANK(TAcum[[#This Row],[j31]],TAcum[[#All],[j31]],0)</f>
        <v>56</v>
      </c>
      <c r="AH58">
        <f>RANK(TAcum[[#This Row],[j32]],TAcum[[#All],[j32]],0)</f>
        <v>56</v>
      </c>
      <c r="AI58">
        <f>RANK(TAcum[[#This Row],[j33]],TAcum[[#All],[j33]],0)</f>
        <v>56</v>
      </c>
      <c r="AJ58">
        <f>RANK(TAcum[[#This Row],[j34]],TAcum[[#All],[j34]],0)</f>
        <v>56</v>
      </c>
      <c r="AK58">
        <f>RANK(TAcum[[#This Row],[j35]],TAcum[[#All],[j35]],0)</f>
        <v>56</v>
      </c>
      <c r="AL58">
        <f>RANK(TAcum[[#This Row],[j36]],TAcum[[#All],[j36]],0)</f>
        <v>56</v>
      </c>
      <c r="AM58">
        <f>RANK(TAcum[[#This Row],[j37]],TAcum[[#All],[j37]],0)</f>
        <v>56</v>
      </c>
      <c r="AN58">
        <f>RANK(TAcum[[#This Row],[j38]],TAcum[[#All],[j38]],0)</f>
        <v>56</v>
      </c>
      <c r="AO58">
        <f>RANK(TAcum[[#This Row],[j39]],TAcum[[#All],[j39]],0)</f>
        <v>56</v>
      </c>
      <c r="AP58">
        <f>RANK(TAcum[[#This Row],[j40]],TAcum[[#All],[j40]],0)</f>
        <v>56</v>
      </c>
      <c r="AQ58">
        <f>RANK(TAcum[[#This Row],[j41]],TAcum[[#All],[j41]],0)</f>
        <v>56</v>
      </c>
      <c r="AR58">
        <f>RANK(TAcum[[#This Row],[j42]],TAcum[[#All],[j42]],0)</f>
        <v>56</v>
      </c>
      <c r="AS58">
        <f>RANK(TAcum[[#This Row],[j43]],TAcum[[#All],[j43]],0)</f>
        <v>56</v>
      </c>
      <c r="AT58">
        <f>RANK(TAcum[[#This Row],[j44]],TAcum[[#All],[j44]],0)</f>
        <v>56</v>
      </c>
      <c r="AU58">
        <f>RANK(TAcum[[#This Row],[j45]],TAcum[[#All],[j45]],0)</f>
        <v>56</v>
      </c>
      <c r="AV58">
        <f>RANK(TAcum[[#This Row],[j46]],TAcum[[#All],[j46]],0)</f>
        <v>56</v>
      </c>
      <c r="AW58">
        <f>RANK(TAcum[[#This Row],[j47]],TAcum[[#All],[j47]],0)</f>
        <v>56</v>
      </c>
      <c r="AX58">
        <f>RANK(TAcum[[#This Row],[j48]],TAcum[[#All],[j48]],0)</f>
        <v>56</v>
      </c>
      <c r="AY58">
        <f>RANK(TAcum[[#This Row],[j49]],TAcum[[#All],[j49]],0)</f>
        <v>56</v>
      </c>
      <c r="AZ58">
        <f>RANK(TAcum[[#This Row],[j50]],TAcum[[#All],[j50]],0)</f>
        <v>56</v>
      </c>
      <c r="BA58">
        <f>RANK(TAcum[[#This Row],[j51]],TAcum[[#All],[j51]],0)</f>
        <v>56</v>
      </c>
      <c r="BB58">
        <f>RANK(TAcum[[#This Row],[j52]],TAcum[[#All],[j52]],0)</f>
        <v>56</v>
      </c>
      <c r="BC58">
        <f>RANK(TAcum[[#This Row],[j53]],TAcum[[#All],[j53]],0)</f>
        <v>56</v>
      </c>
      <c r="BD58">
        <f>RANK(TAcum[[#This Row],[j54]],TAcum[[#All],[j54]],0)</f>
        <v>56</v>
      </c>
      <c r="BE58">
        <f>RANK(TAcum[[#This Row],[j55]],TAcum[[#All],[j55]],0)</f>
        <v>56</v>
      </c>
      <c r="BF58">
        <f>RANK(TAcum[[#This Row],[j56]],TAcum[[#All],[j56]],0)</f>
        <v>56</v>
      </c>
      <c r="BG58">
        <f>RANK(TAcum[[#This Row],[j57]],TAcum[[#All],[j57]],0)</f>
        <v>56</v>
      </c>
      <c r="BH58">
        <f>RANK(TAcum[[#This Row],[j58]],TAcum[[#All],[j58]],0)</f>
        <v>56</v>
      </c>
      <c r="BI58">
        <f>RANK(TAcum[[#This Row],[j59]],TAcum[[#All],[j59]],0)</f>
        <v>56</v>
      </c>
      <c r="BJ58">
        <f>RANK(TAcum[[#This Row],[j60]],TAcum[[#All],[j60]],0)</f>
        <v>56</v>
      </c>
      <c r="BK58">
        <f>RANK(TAcum[[#This Row],[j61]],TAcum[[#All],[j61]],0)</f>
        <v>56</v>
      </c>
      <c r="BL58">
        <f>RANK(TAcum[[#This Row],[j62]],TAcum[[#All],[j62]],0)</f>
        <v>56</v>
      </c>
      <c r="BM58">
        <f>RANK(TAcum[[#This Row],[j63]],TAcum[[#All],[j63]],0)</f>
        <v>56</v>
      </c>
      <c r="BN58">
        <f>RANK(TAcum[[#This Row],[j64]],TAcum[[#All],[j64]],0)</f>
        <v>56</v>
      </c>
      <c r="BO58">
        <f>RANK(TAcum[[#This Row],[j65]],TAcum[[#All],[j65]],0)</f>
        <v>56</v>
      </c>
      <c r="BP58">
        <f>RANK(TAcum[[#This Row],[j66]],TAcum[[#All],[j66]],0)</f>
        <v>56</v>
      </c>
      <c r="BQ58">
        <f>RANK(TAcum[[#This Row],[j67]],TAcum[[#All],[j67]],0)</f>
        <v>56</v>
      </c>
      <c r="BR58">
        <f>RANK(TAcum[[#This Row],[j68]],TAcum[[#All],[j68]],0)</f>
        <v>56</v>
      </c>
      <c r="BS58">
        <f>RANK(TAcum[[#This Row],[j69]],TAcum[[#All],[j69]],0)</f>
        <v>56</v>
      </c>
      <c r="BT58">
        <f>RANK(TAcum[[#This Row],[j70]],TAcum[[#All],[j70]],0)</f>
        <v>56</v>
      </c>
      <c r="BU58">
        <f>RANK(TAcum[[#This Row],[j71]],TAcum[[#All],[j71]],0)</f>
        <v>56</v>
      </c>
      <c r="BV58">
        <f>RANK(TAcum[[#This Row],[j72]],TAcum[[#All],[j72]],0)</f>
        <v>56</v>
      </c>
      <c r="BW58">
        <f>RANK(TAcum[[#This Row],[j73]],TAcum[[#All],[j73]],0)</f>
        <v>56</v>
      </c>
    </row>
    <row r="59" spans="1:75" x14ac:dyDescent="0.25">
      <c r="A59" t="str">
        <f>TAcum[[#This Row],[Jogador]]</f>
        <v>Pedro Saback</v>
      </c>
      <c r="B59">
        <f>RANK(TAcum[[#This Row],[total]],TAcum[[#All],[total]],0)</f>
        <v>58</v>
      </c>
      <c r="C59">
        <f>RANK(TAcum[[#This Row],[j01]],TAcum[[#All],[j01]],0)</f>
        <v>78</v>
      </c>
      <c r="D59">
        <f>RANK(TAcum[[#This Row],[j02]],TAcum[[#All],[j02]],0)</f>
        <v>77</v>
      </c>
      <c r="E59">
        <f>RANK(TAcum[[#This Row],[j03]],TAcum[[#All],[j03]],0)</f>
        <v>82</v>
      </c>
      <c r="F59">
        <f>RANK(TAcum[[#This Row],[j04]],TAcum[[#All],[j04]],0)</f>
        <v>89</v>
      </c>
      <c r="G59">
        <f>RANK(TAcum[[#This Row],[j05]],TAcum[[#All],[j05]],0)</f>
        <v>89</v>
      </c>
      <c r="H59">
        <f>RANK(TAcum[[#This Row],[j06]],TAcum[[#All],[j06]],0)</f>
        <v>88</v>
      </c>
      <c r="I59">
        <f>RANK(TAcum[[#This Row],[j07]],TAcum[[#All],[j07]],0)</f>
        <v>93</v>
      </c>
      <c r="J59">
        <f>RANK(TAcum[[#This Row],[j08]],TAcum[[#All],[j08]],0)</f>
        <v>86</v>
      </c>
      <c r="K59">
        <f>RANK(TAcum[[#This Row],[j09]],TAcum[[#All],[j09]],0)</f>
        <v>85</v>
      </c>
      <c r="L59">
        <f>RANK(TAcum[[#This Row],[j10]],TAcum[[#All],[j10]],0)</f>
        <v>86</v>
      </c>
      <c r="M59">
        <f>RANK(TAcum[[#This Row],[j11]],TAcum[[#All],[j11]],0)</f>
        <v>82</v>
      </c>
      <c r="N59">
        <f>RANK(TAcum[[#This Row],[j12]],TAcum[[#All],[j12]],0)</f>
        <v>85</v>
      </c>
      <c r="O59">
        <f>RANK(TAcum[[#This Row],[j13]],TAcum[[#All],[j13]],0)</f>
        <v>59</v>
      </c>
      <c r="P59">
        <f>RANK(TAcum[[#This Row],[j14]],TAcum[[#All],[j14]],0)</f>
        <v>45</v>
      </c>
      <c r="Q59">
        <f>RANK(TAcum[[#This Row],[j15]],TAcum[[#All],[j15]],0)</f>
        <v>45</v>
      </c>
      <c r="R59">
        <f>RANK(TAcum[[#This Row],[j16]],TAcum[[#All],[j16]],0)</f>
        <v>36</v>
      </c>
      <c r="S59">
        <f>RANK(TAcum[[#This Row],[j17]],TAcum[[#All],[j17]],0)</f>
        <v>18</v>
      </c>
      <c r="T59">
        <f>RANK(TAcum[[#This Row],[j18]],TAcum[[#All],[j18]],0)</f>
        <v>24</v>
      </c>
      <c r="U59">
        <f>RANK(TAcum[[#This Row],[j19]],TAcum[[#All],[j19]],0)</f>
        <v>26</v>
      </c>
      <c r="V59">
        <f>RANK(TAcum[[#This Row],[j20]],TAcum[[#All],[j20]],0)</f>
        <v>34</v>
      </c>
      <c r="W59">
        <f>RANK(TAcum[[#This Row],[j21]],TAcum[[#All],[j21]],0)</f>
        <v>36</v>
      </c>
      <c r="X59">
        <f>RANK(TAcum[[#This Row],[j22]],TAcum[[#All],[j22]],0)</f>
        <v>52</v>
      </c>
      <c r="Y59">
        <f>RANK(TAcum[[#This Row],[j23]],TAcum[[#All],[j23]],0)</f>
        <v>39</v>
      </c>
      <c r="Z59">
        <f>RANK(TAcum[[#This Row],[j24]],TAcum[[#All],[j24]],0)</f>
        <v>49</v>
      </c>
      <c r="AA59">
        <f>RANK(TAcum[[#This Row],[j25]],TAcum[[#All],[j25]],0)</f>
        <v>49</v>
      </c>
      <c r="AB59">
        <f>RANK(TAcum[[#This Row],[j26]],TAcum[[#All],[j26]],0)</f>
        <v>39</v>
      </c>
      <c r="AC59">
        <f>RANK(TAcum[[#This Row],[j27]],TAcum[[#All],[j27]],0)</f>
        <v>39</v>
      </c>
      <c r="AD59">
        <f>RANK(TAcum[[#This Row],[j28]],TAcum[[#All],[j28]],0)</f>
        <v>49</v>
      </c>
      <c r="AE59">
        <f>RANK(TAcum[[#This Row],[j29]],TAcum[[#All],[j29]],0)</f>
        <v>58</v>
      </c>
      <c r="AF59">
        <f>RANK(TAcum[[#This Row],[j30]],TAcum[[#All],[j30]],0)</f>
        <v>58</v>
      </c>
      <c r="AG59">
        <f>RANK(TAcum[[#This Row],[j31]],TAcum[[#All],[j31]],0)</f>
        <v>58</v>
      </c>
      <c r="AH59">
        <f>RANK(TAcum[[#This Row],[j32]],TAcum[[#All],[j32]],0)</f>
        <v>58</v>
      </c>
      <c r="AI59">
        <f>RANK(TAcum[[#This Row],[j33]],TAcum[[#All],[j33]],0)</f>
        <v>58</v>
      </c>
      <c r="AJ59">
        <f>RANK(TAcum[[#This Row],[j34]],TAcum[[#All],[j34]],0)</f>
        <v>58</v>
      </c>
      <c r="AK59">
        <f>RANK(TAcum[[#This Row],[j35]],TAcum[[#All],[j35]],0)</f>
        <v>58</v>
      </c>
      <c r="AL59">
        <f>RANK(TAcum[[#This Row],[j36]],TAcum[[#All],[j36]],0)</f>
        <v>58</v>
      </c>
      <c r="AM59">
        <f>RANK(TAcum[[#This Row],[j37]],TAcum[[#All],[j37]],0)</f>
        <v>58</v>
      </c>
      <c r="AN59">
        <f>RANK(TAcum[[#This Row],[j38]],TAcum[[#All],[j38]],0)</f>
        <v>58</v>
      </c>
      <c r="AO59">
        <f>RANK(TAcum[[#This Row],[j39]],TAcum[[#All],[j39]],0)</f>
        <v>58</v>
      </c>
      <c r="AP59">
        <f>RANK(TAcum[[#This Row],[j40]],TAcum[[#All],[j40]],0)</f>
        <v>58</v>
      </c>
      <c r="AQ59">
        <f>RANK(TAcum[[#This Row],[j41]],TAcum[[#All],[j41]],0)</f>
        <v>58</v>
      </c>
      <c r="AR59">
        <f>RANK(TAcum[[#This Row],[j42]],TAcum[[#All],[j42]],0)</f>
        <v>58</v>
      </c>
      <c r="AS59">
        <f>RANK(TAcum[[#This Row],[j43]],TAcum[[#All],[j43]],0)</f>
        <v>58</v>
      </c>
      <c r="AT59">
        <f>RANK(TAcum[[#This Row],[j44]],TAcum[[#All],[j44]],0)</f>
        <v>58</v>
      </c>
      <c r="AU59">
        <f>RANK(TAcum[[#This Row],[j45]],TAcum[[#All],[j45]],0)</f>
        <v>58</v>
      </c>
      <c r="AV59">
        <f>RANK(TAcum[[#This Row],[j46]],TAcum[[#All],[j46]],0)</f>
        <v>58</v>
      </c>
      <c r="AW59">
        <f>RANK(TAcum[[#This Row],[j47]],TAcum[[#All],[j47]],0)</f>
        <v>58</v>
      </c>
      <c r="AX59">
        <f>RANK(TAcum[[#This Row],[j48]],TAcum[[#All],[j48]],0)</f>
        <v>58</v>
      </c>
      <c r="AY59">
        <f>RANK(TAcum[[#This Row],[j49]],TAcum[[#All],[j49]],0)</f>
        <v>58</v>
      </c>
      <c r="AZ59">
        <f>RANK(TAcum[[#This Row],[j50]],TAcum[[#All],[j50]],0)</f>
        <v>58</v>
      </c>
      <c r="BA59">
        <f>RANK(TAcum[[#This Row],[j51]],TAcum[[#All],[j51]],0)</f>
        <v>58</v>
      </c>
      <c r="BB59">
        <f>RANK(TAcum[[#This Row],[j52]],TAcum[[#All],[j52]],0)</f>
        <v>58</v>
      </c>
      <c r="BC59">
        <f>RANK(TAcum[[#This Row],[j53]],TAcum[[#All],[j53]],0)</f>
        <v>58</v>
      </c>
      <c r="BD59">
        <f>RANK(TAcum[[#This Row],[j54]],TAcum[[#All],[j54]],0)</f>
        <v>58</v>
      </c>
      <c r="BE59">
        <f>RANK(TAcum[[#This Row],[j55]],TAcum[[#All],[j55]],0)</f>
        <v>58</v>
      </c>
      <c r="BF59">
        <f>RANK(TAcum[[#This Row],[j56]],TAcum[[#All],[j56]],0)</f>
        <v>58</v>
      </c>
      <c r="BG59">
        <f>RANK(TAcum[[#This Row],[j57]],TAcum[[#All],[j57]],0)</f>
        <v>58</v>
      </c>
      <c r="BH59">
        <f>RANK(TAcum[[#This Row],[j58]],TAcum[[#All],[j58]],0)</f>
        <v>58</v>
      </c>
      <c r="BI59">
        <f>RANK(TAcum[[#This Row],[j59]],TAcum[[#All],[j59]],0)</f>
        <v>58</v>
      </c>
      <c r="BJ59">
        <f>RANK(TAcum[[#This Row],[j60]],TAcum[[#All],[j60]],0)</f>
        <v>58</v>
      </c>
      <c r="BK59">
        <f>RANK(TAcum[[#This Row],[j61]],TAcum[[#All],[j61]],0)</f>
        <v>58</v>
      </c>
      <c r="BL59">
        <f>RANK(TAcum[[#This Row],[j62]],TAcum[[#All],[j62]],0)</f>
        <v>58</v>
      </c>
      <c r="BM59">
        <f>RANK(TAcum[[#This Row],[j63]],TAcum[[#All],[j63]],0)</f>
        <v>58</v>
      </c>
      <c r="BN59">
        <f>RANK(TAcum[[#This Row],[j64]],TAcum[[#All],[j64]],0)</f>
        <v>58</v>
      </c>
      <c r="BO59">
        <f>RANK(TAcum[[#This Row],[j65]],TAcum[[#All],[j65]],0)</f>
        <v>58</v>
      </c>
      <c r="BP59">
        <f>RANK(TAcum[[#This Row],[j66]],TAcum[[#All],[j66]],0)</f>
        <v>58</v>
      </c>
      <c r="BQ59">
        <f>RANK(TAcum[[#This Row],[j67]],TAcum[[#All],[j67]],0)</f>
        <v>58</v>
      </c>
      <c r="BR59">
        <f>RANK(TAcum[[#This Row],[j68]],TAcum[[#All],[j68]],0)</f>
        <v>58</v>
      </c>
      <c r="BS59">
        <f>RANK(TAcum[[#This Row],[j69]],TAcum[[#All],[j69]],0)</f>
        <v>58</v>
      </c>
      <c r="BT59">
        <f>RANK(TAcum[[#This Row],[j70]],TAcum[[#All],[j70]],0)</f>
        <v>58</v>
      </c>
      <c r="BU59">
        <f>RANK(TAcum[[#This Row],[j71]],TAcum[[#All],[j71]],0)</f>
        <v>58</v>
      </c>
      <c r="BV59">
        <f>RANK(TAcum[[#This Row],[j72]],TAcum[[#All],[j72]],0)</f>
        <v>58</v>
      </c>
      <c r="BW59">
        <f>RANK(TAcum[[#This Row],[j73]],TAcum[[#All],[j73]],0)</f>
        <v>58</v>
      </c>
    </row>
    <row r="60" spans="1:75" x14ac:dyDescent="0.25">
      <c r="A60" t="str">
        <f>TAcum[[#This Row],[Jogador]]</f>
        <v>Ronaldo Kirilauskas</v>
      </c>
      <c r="B60">
        <f>RANK(TAcum[[#This Row],[total]],TAcum[[#All],[total]],0)</f>
        <v>58</v>
      </c>
      <c r="C60">
        <f>RANK(TAcum[[#This Row],[j01]],TAcum[[#All],[j01]],0)</f>
        <v>13</v>
      </c>
      <c r="D60">
        <f>RANK(TAcum[[#This Row],[j02]],TAcum[[#All],[j02]],0)</f>
        <v>14</v>
      </c>
      <c r="E60">
        <f>RANK(TAcum[[#This Row],[j03]],TAcum[[#All],[j03]],0)</f>
        <v>3</v>
      </c>
      <c r="F60">
        <f>RANK(TAcum[[#This Row],[j04]],TAcum[[#All],[j04]],0)</f>
        <v>38</v>
      </c>
      <c r="G60">
        <f>RANK(TAcum[[#This Row],[j05]],TAcum[[#All],[j05]],0)</f>
        <v>39</v>
      </c>
      <c r="H60">
        <f>RANK(TAcum[[#This Row],[j06]],TAcum[[#All],[j06]],0)</f>
        <v>41</v>
      </c>
      <c r="I60">
        <f>RANK(TAcum[[#This Row],[j07]],TAcum[[#All],[j07]],0)</f>
        <v>27</v>
      </c>
      <c r="J60">
        <f>RANK(TAcum[[#This Row],[j08]],TAcum[[#All],[j08]],0)</f>
        <v>27</v>
      </c>
      <c r="K60">
        <f>RANK(TAcum[[#This Row],[j09]],TAcum[[#All],[j09]],0)</f>
        <v>27</v>
      </c>
      <c r="L60">
        <f>RANK(TAcum[[#This Row],[j10]],TAcum[[#All],[j10]],0)</f>
        <v>25</v>
      </c>
      <c r="M60">
        <f>RANK(TAcum[[#This Row],[j11]],TAcum[[#All],[j11]],0)</f>
        <v>23</v>
      </c>
      <c r="N60">
        <f>RANK(TAcum[[#This Row],[j12]],TAcum[[#All],[j12]],0)</f>
        <v>22</v>
      </c>
      <c r="O60">
        <f>RANK(TAcum[[#This Row],[j13]],TAcum[[#All],[j13]],0)</f>
        <v>26</v>
      </c>
      <c r="P60">
        <f>RANK(TAcum[[#This Row],[j14]],TAcum[[#All],[j14]],0)</f>
        <v>27</v>
      </c>
      <c r="Q60">
        <f>RANK(TAcum[[#This Row],[j15]],TAcum[[#All],[j15]],0)</f>
        <v>24</v>
      </c>
      <c r="R60">
        <f>RANK(TAcum[[#This Row],[j16]],TAcum[[#All],[j16]],0)</f>
        <v>27</v>
      </c>
      <c r="S60">
        <f>RANK(TAcum[[#This Row],[j17]],TAcum[[#All],[j17]],0)</f>
        <v>32</v>
      </c>
      <c r="T60">
        <f>RANK(TAcum[[#This Row],[j18]],TAcum[[#All],[j18]],0)</f>
        <v>37</v>
      </c>
      <c r="U60">
        <f>RANK(TAcum[[#This Row],[j19]],TAcum[[#All],[j19]],0)</f>
        <v>42</v>
      </c>
      <c r="V60">
        <f>RANK(TAcum[[#This Row],[j20]],TAcum[[#All],[j20]],0)</f>
        <v>41</v>
      </c>
      <c r="W60">
        <f>RANK(TAcum[[#This Row],[j21]],TAcum[[#All],[j21]],0)</f>
        <v>36</v>
      </c>
      <c r="X60">
        <f>RANK(TAcum[[#This Row],[j22]],TAcum[[#All],[j22]],0)</f>
        <v>40</v>
      </c>
      <c r="Y60">
        <f>RANK(TAcum[[#This Row],[j23]],TAcum[[#All],[j23]],0)</f>
        <v>47</v>
      </c>
      <c r="Z60">
        <f>RANK(TAcum[[#This Row],[j24]],TAcum[[#All],[j24]],0)</f>
        <v>61</v>
      </c>
      <c r="AA60">
        <f>RANK(TAcum[[#This Row],[j25]],TAcum[[#All],[j25]],0)</f>
        <v>49</v>
      </c>
      <c r="AB60">
        <f>RANK(TAcum[[#This Row],[j26]],TAcum[[#All],[j26]],0)</f>
        <v>50</v>
      </c>
      <c r="AC60">
        <f>RANK(TAcum[[#This Row],[j27]],TAcum[[#All],[j27]],0)</f>
        <v>51</v>
      </c>
      <c r="AD60">
        <f>RANK(TAcum[[#This Row],[j28]],TAcum[[#All],[j28]],0)</f>
        <v>49</v>
      </c>
      <c r="AE60">
        <f>RANK(TAcum[[#This Row],[j29]],TAcum[[#All],[j29]],0)</f>
        <v>58</v>
      </c>
      <c r="AF60">
        <f>RANK(TAcum[[#This Row],[j30]],TAcum[[#All],[j30]],0)</f>
        <v>58</v>
      </c>
      <c r="AG60">
        <f>RANK(TAcum[[#This Row],[j31]],TAcum[[#All],[j31]],0)</f>
        <v>58</v>
      </c>
      <c r="AH60">
        <f>RANK(TAcum[[#This Row],[j32]],TAcum[[#All],[j32]],0)</f>
        <v>58</v>
      </c>
      <c r="AI60">
        <f>RANK(TAcum[[#This Row],[j33]],TAcum[[#All],[j33]],0)</f>
        <v>58</v>
      </c>
      <c r="AJ60">
        <f>RANK(TAcum[[#This Row],[j34]],TAcum[[#All],[j34]],0)</f>
        <v>58</v>
      </c>
      <c r="AK60">
        <f>RANK(TAcum[[#This Row],[j35]],TAcum[[#All],[j35]],0)</f>
        <v>58</v>
      </c>
      <c r="AL60">
        <f>RANK(TAcum[[#This Row],[j36]],TAcum[[#All],[j36]],0)</f>
        <v>58</v>
      </c>
      <c r="AM60">
        <f>RANK(TAcum[[#This Row],[j37]],TAcum[[#All],[j37]],0)</f>
        <v>58</v>
      </c>
      <c r="AN60">
        <f>RANK(TAcum[[#This Row],[j38]],TAcum[[#All],[j38]],0)</f>
        <v>58</v>
      </c>
      <c r="AO60">
        <f>RANK(TAcum[[#This Row],[j39]],TAcum[[#All],[j39]],0)</f>
        <v>58</v>
      </c>
      <c r="AP60">
        <f>RANK(TAcum[[#This Row],[j40]],TAcum[[#All],[j40]],0)</f>
        <v>58</v>
      </c>
      <c r="AQ60">
        <f>RANK(TAcum[[#This Row],[j41]],TAcum[[#All],[j41]],0)</f>
        <v>58</v>
      </c>
      <c r="AR60">
        <f>RANK(TAcum[[#This Row],[j42]],TAcum[[#All],[j42]],0)</f>
        <v>58</v>
      </c>
      <c r="AS60">
        <f>RANK(TAcum[[#This Row],[j43]],TAcum[[#All],[j43]],0)</f>
        <v>58</v>
      </c>
      <c r="AT60">
        <f>RANK(TAcum[[#This Row],[j44]],TAcum[[#All],[j44]],0)</f>
        <v>58</v>
      </c>
      <c r="AU60">
        <f>RANK(TAcum[[#This Row],[j45]],TAcum[[#All],[j45]],0)</f>
        <v>58</v>
      </c>
      <c r="AV60">
        <f>RANK(TAcum[[#This Row],[j46]],TAcum[[#All],[j46]],0)</f>
        <v>58</v>
      </c>
      <c r="AW60">
        <f>RANK(TAcum[[#This Row],[j47]],TAcum[[#All],[j47]],0)</f>
        <v>58</v>
      </c>
      <c r="AX60">
        <f>RANK(TAcum[[#This Row],[j48]],TAcum[[#All],[j48]],0)</f>
        <v>58</v>
      </c>
      <c r="AY60">
        <f>RANK(TAcum[[#This Row],[j49]],TAcum[[#All],[j49]],0)</f>
        <v>58</v>
      </c>
      <c r="AZ60">
        <f>RANK(TAcum[[#This Row],[j50]],TAcum[[#All],[j50]],0)</f>
        <v>58</v>
      </c>
      <c r="BA60">
        <f>RANK(TAcum[[#This Row],[j51]],TAcum[[#All],[j51]],0)</f>
        <v>58</v>
      </c>
      <c r="BB60">
        <f>RANK(TAcum[[#This Row],[j52]],TAcum[[#All],[j52]],0)</f>
        <v>58</v>
      </c>
      <c r="BC60">
        <f>RANK(TAcum[[#This Row],[j53]],TAcum[[#All],[j53]],0)</f>
        <v>58</v>
      </c>
      <c r="BD60">
        <f>RANK(TAcum[[#This Row],[j54]],TAcum[[#All],[j54]],0)</f>
        <v>58</v>
      </c>
      <c r="BE60">
        <f>RANK(TAcum[[#This Row],[j55]],TAcum[[#All],[j55]],0)</f>
        <v>58</v>
      </c>
      <c r="BF60">
        <f>RANK(TAcum[[#This Row],[j56]],TAcum[[#All],[j56]],0)</f>
        <v>58</v>
      </c>
      <c r="BG60">
        <f>RANK(TAcum[[#This Row],[j57]],TAcum[[#All],[j57]],0)</f>
        <v>58</v>
      </c>
      <c r="BH60">
        <f>RANK(TAcum[[#This Row],[j58]],TAcum[[#All],[j58]],0)</f>
        <v>58</v>
      </c>
      <c r="BI60">
        <f>RANK(TAcum[[#This Row],[j59]],TAcum[[#All],[j59]],0)</f>
        <v>58</v>
      </c>
      <c r="BJ60">
        <f>RANK(TAcum[[#This Row],[j60]],TAcum[[#All],[j60]],0)</f>
        <v>58</v>
      </c>
      <c r="BK60">
        <f>RANK(TAcum[[#This Row],[j61]],TAcum[[#All],[j61]],0)</f>
        <v>58</v>
      </c>
      <c r="BL60">
        <f>RANK(TAcum[[#This Row],[j62]],TAcum[[#All],[j62]],0)</f>
        <v>58</v>
      </c>
      <c r="BM60">
        <f>RANK(TAcum[[#This Row],[j63]],TAcum[[#All],[j63]],0)</f>
        <v>58</v>
      </c>
      <c r="BN60">
        <f>RANK(TAcum[[#This Row],[j64]],TAcum[[#All],[j64]],0)</f>
        <v>58</v>
      </c>
      <c r="BO60">
        <f>RANK(TAcum[[#This Row],[j65]],TAcum[[#All],[j65]],0)</f>
        <v>58</v>
      </c>
      <c r="BP60">
        <f>RANK(TAcum[[#This Row],[j66]],TAcum[[#All],[j66]],0)</f>
        <v>58</v>
      </c>
      <c r="BQ60">
        <f>RANK(TAcum[[#This Row],[j67]],TAcum[[#All],[j67]],0)</f>
        <v>58</v>
      </c>
      <c r="BR60">
        <f>RANK(TAcum[[#This Row],[j68]],TAcum[[#All],[j68]],0)</f>
        <v>58</v>
      </c>
      <c r="BS60">
        <f>RANK(TAcum[[#This Row],[j69]],TAcum[[#All],[j69]],0)</f>
        <v>58</v>
      </c>
      <c r="BT60">
        <f>RANK(TAcum[[#This Row],[j70]],TAcum[[#All],[j70]],0)</f>
        <v>58</v>
      </c>
      <c r="BU60">
        <f>RANK(TAcum[[#This Row],[j71]],TAcum[[#All],[j71]],0)</f>
        <v>58</v>
      </c>
      <c r="BV60">
        <f>RANK(TAcum[[#This Row],[j72]],TAcum[[#All],[j72]],0)</f>
        <v>58</v>
      </c>
      <c r="BW60">
        <f>RANK(TAcum[[#This Row],[j73]],TAcum[[#All],[j73]],0)</f>
        <v>58</v>
      </c>
    </row>
    <row r="61" spans="1:75" x14ac:dyDescent="0.25">
      <c r="A61" t="str">
        <f>TAcum[[#This Row],[Jogador]]</f>
        <v>Fabio Vale</v>
      </c>
      <c r="B61">
        <f>RANK(TAcum[[#This Row],[total]],TAcum[[#All],[total]],0)</f>
        <v>60</v>
      </c>
      <c r="C61">
        <f>RANK(TAcum[[#This Row],[j01]],TAcum[[#All],[j01]],0)</f>
        <v>13</v>
      </c>
      <c r="D61">
        <f>RANK(TAcum[[#This Row],[j02]],TAcum[[#All],[j02]],0)</f>
        <v>62</v>
      </c>
      <c r="E61">
        <f>RANK(TAcum[[#This Row],[j03]],TAcum[[#All],[j03]],0)</f>
        <v>75</v>
      </c>
      <c r="F61">
        <f>RANK(TAcum[[#This Row],[j04]],TAcum[[#All],[j04]],0)</f>
        <v>38</v>
      </c>
      <c r="G61">
        <f>RANK(TAcum[[#This Row],[j05]],TAcum[[#All],[j05]],0)</f>
        <v>39</v>
      </c>
      <c r="H61">
        <f>RANK(TAcum[[#This Row],[j06]],TAcum[[#All],[j06]],0)</f>
        <v>41</v>
      </c>
      <c r="I61">
        <f>RANK(TAcum[[#This Row],[j07]],TAcum[[#All],[j07]],0)</f>
        <v>27</v>
      </c>
      <c r="J61">
        <f>RANK(TAcum[[#This Row],[j08]],TAcum[[#All],[j08]],0)</f>
        <v>49</v>
      </c>
      <c r="K61">
        <f>RANK(TAcum[[#This Row],[j09]],TAcum[[#All],[j09]],0)</f>
        <v>27</v>
      </c>
      <c r="L61">
        <f>RANK(TAcum[[#This Row],[j10]],TAcum[[#All],[j10]],0)</f>
        <v>25</v>
      </c>
      <c r="M61">
        <f>RANK(TAcum[[#This Row],[j11]],TAcum[[#All],[j11]],0)</f>
        <v>23</v>
      </c>
      <c r="N61">
        <f>RANK(TAcum[[#This Row],[j12]],TAcum[[#All],[j12]],0)</f>
        <v>29</v>
      </c>
      <c r="O61">
        <f>RANK(TAcum[[#This Row],[j13]],TAcum[[#All],[j13]],0)</f>
        <v>51</v>
      </c>
      <c r="P61">
        <f>RANK(TAcum[[#This Row],[j14]],TAcum[[#All],[j14]],0)</f>
        <v>59</v>
      </c>
      <c r="Q61">
        <f>RANK(TAcum[[#This Row],[j15]],TAcum[[#All],[j15]],0)</f>
        <v>55</v>
      </c>
      <c r="R61">
        <f>RANK(TAcum[[#This Row],[j16]],TAcum[[#All],[j16]],0)</f>
        <v>41</v>
      </c>
      <c r="S61">
        <f>RANK(TAcum[[#This Row],[j17]],TAcum[[#All],[j17]],0)</f>
        <v>28</v>
      </c>
      <c r="T61">
        <f>RANK(TAcum[[#This Row],[j18]],TAcum[[#All],[j18]],0)</f>
        <v>34</v>
      </c>
      <c r="U61">
        <f>RANK(TAcum[[#This Row],[j19]],TAcum[[#All],[j19]],0)</f>
        <v>35</v>
      </c>
      <c r="V61">
        <f>RANK(TAcum[[#This Row],[j20]],TAcum[[#All],[j20]],0)</f>
        <v>34</v>
      </c>
      <c r="W61">
        <f>RANK(TAcum[[#This Row],[j21]],TAcum[[#All],[j21]],0)</f>
        <v>36</v>
      </c>
      <c r="X61">
        <f>RANK(TAcum[[#This Row],[j22]],TAcum[[#All],[j22]],0)</f>
        <v>40</v>
      </c>
      <c r="Y61">
        <f>RANK(TAcum[[#This Row],[j23]],TAcum[[#All],[j23]],0)</f>
        <v>47</v>
      </c>
      <c r="Z61">
        <f>RANK(TAcum[[#This Row],[j24]],TAcum[[#All],[j24]],0)</f>
        <v>55</v>
      </c>
      <c r="AA61">
        <f>RANK(TAcum[[#This Row],[j25]],TAcum[[#All],[j25]],0)</f>
        <v>55</v>
      </c>
      <c r="AB61">
        <f>RANK(TAcum[[#This Row],[j26]],TAcum[[#All],[j26]],0)</f>
        <v>57</v>
      </c>
      <c r="AC61">
        <f>RANK(TAcum[[#This Row],[j27]],TAcum[[#All],[j27]],0)</f>
        <v>57</v>
      </c>
      <c r="AD61">
        <f>RANK(TAcum[[#This Row],[j28]],TAcum[[#All],[j28]],0)</f>
        <v>54</v>
      </c>
      <c r="AE61">
        <f>RANK(TAcum[[#This Row],[j29]],TAcum[[#All],[j29]],0)</f>
        <v>60</v>
      </c>
      <c r="AF61">
        <f>RANK(TAcum[[#This Row],[j30]],TAcum[[#All],[j30]],0)</f>
        <v>60</v>
      </c>
      <c r="AG61">
        <f>RANK(TAcum[[#This Row],[j31]],TAcum[[#All],[j31]],0)</f>
        <v>60</v>
      </c>
      <c r="AH61">
        <f>RANK(TAcum[[#This Row],[j32]],TAcum[[#All],[j32]],0)</f>
        <v>60</v>
      </c>
      <c r="AI61">
        <f>RANK(TAcum[[#This Row],[j33]],TAcum[[#All],[j33]],0)</f>
        <v>60</v>
      </c>
      <c r="AJ61">
        <f>RANK(TAcum[[#This Row],[j34]],TAcum[[#All],[j34]],0)</f>
        <v>60</v>
      </c>
      <c r="AK61">
        <f>RANK(TAcum[[#This Row],[j35]],TAcum[[#All],[j35]],0)</f>
        <v>60</v>
      </c>
      <c r="AL61">
        <f>RANK(TAcum[[#This Row],[j36]],TAcum[[#All],[j36]],0)</f>
        <v>60</v>
      </c>
      <c r="AM61">
        <f>RANK(TAcum[[#This Row],[j37]],TAcum[[#All],[j37]],0)</f>
        <v>60</v>
      </c>
      <c r="AN61">
        <f>RANK(TAcum[[#This Row],[j38]],TAcum[[#All],[j38]],0)</f>
        <v>60</v>
      </c>
      <c r="AO61">
        <f>RANK(TAcum[[#This Row],[j39]],TAcum[[#All],[j39]],0)</f>
        <v>60</v>
      </c>
      <c r="AP61">
        <f>RANK(TAcum[[#This Row],[j40]],TAcum[[#All],[j40]],0)</f>
        <v>60</v>
      </c>
      <c r="AQ61">
        <f>RANK(TAcum[[#This Row],[j41]],TAcum[[#All],[j41]],0)</f>
        <v>60</v>
      </c>
      <c r="AR61">
        <f>RANK(TAcum[[#This Row],[j42]],TAcum[[#All],[j42]],0)</f>
        <v>60</v>
      </c>
      <c r="AS61">
        <f>RANK(TAcum[[#This Row],[j43]],TAcum[[#All],[j43]],0)</f>
        <v>60</v>
      </c>
      <c r="AT61">
        <f>RANK(TAcum[[#This Row],[j44]],TAcum[[#All],[j44]],0)</f>
        <v>60</v>
      </c>
      <c r="AU61">
        <f>RANK(TAcum[[#This Row],[j45]],TAcum[[#All],[j45]],0)</f>
        <v>60</v>
      </c>
      <c r="AV61">
        <f>RANK(TAcum[[#This Row],[j46]],TAcum[[#All],[j46]],0)</f>
        <v>60</v>
      </c>
      <c r="AW61">
        <f>RANK(TAcum[[#This Row],[j47]],TAcum[[#All],[j47]],0)</f>
        <v>60</v>
      </c>
      <c r="AX61">
        <f>RANK(TAcum[[#This Row],[j48]],TAcum[[#All],[j48]],0)</f>
        <v>60</v>
      </c>
      <c r="AY61">
        <f>RANK(TAcum[[#This Row],[j49]],TAcum[[#All],[j49]],0)</f>
        <v>60</v>
      </c>
      <c r="AZ61">
        <f>RANK(TAcum[[#This Row],[j50]],TAcum[[#All],[j50]],0)</f>
        <v>60</v>
      </c>
      <c r="BA61">
        <f>RANK(TAcum[[#This Row],[j51]],TAcum[[#All],[j51]],0)</f>
        <v>60</v>
      </c>
      <c r="BB61">
        <f>RANK(TAcum[[#This Row],[j52]],TAcum[[#All],[j52]],0)</f>
        <v>60</v>
      </c>
      <c r="BC61">
        <f>RANK(TAcum[[#This Row],[j53]],TAcum[[#All],[j53]],0)</f>
        <v>60</v>
      </c>
      <c r="BD61">
        <f>RANK(TAcum[[#This Row],[j54]],TAcum[[#All],[j54]],0)</f>
        <v>60</v>
      </c>
      <c r="BE61">
        <f>RANK(TAcum[[#This Row],[j55]],TAcum[[#All],[j55]],0)</f>
        <v>60</v>
      </c>
      <c r="BF61">
        <f>RANK(TAcum[[#This Row],[j56]],TAcum[[#All],[j56]],0)</f>
        <v>60</v>
      </c>
      <c r="BG61">
        <f>RANK(TAcum[[#This Row],[j57]],TAcum[[#All],[j57]],0)</f>
        <v>60</v>
      </c>
      <c r="BH61">
        <f>RANK(TAcum[[#This Row],[j58]],TAcum[[#All],[j58]],0)</f>
        <v>60</v>
      </c>
      <c r="BI61">
        <f>RANK(TAcum[[#This Row],[j59]],TAcum[[#All],[j59]],0)</f>
        <v>60</v>
      </c>
      <c r="BJ61">
        <f>RANK(TAcum[[#This Row],[j60]],TAcum[[#All],[j60]],0)</f>
        <v>60</v>
      </c>
      <c r="BK61">
        <f>RANK(TAcum[[#This Row],[j61]],TAcum[[#All],[j61]],0)</f>
        <v>60</v>
      </c>
      <c r="BL61">
        <f>RANK(TAcum[[#This Row],[j62]],TAcum[[#All],[j62]],0)</f>
        <v>60</v>
      </c>
      <c r="BM61">
        <f>RANK(TAcum[[#This Row],[j63]],TAcum[[#All],[j63]],0)</f>
        <v>60</v>
      </c>
      <c r="BN61">
        <f>RANK(TAcum[[#This Row],[j64]],TAcum[[#All],[j64]],0)</f>
        <v>60</v>
      </c>
      <c r="BO61">
        <f>RANK(TAcum[[#This Row],[j65]],TAcum[[#All],[j65]],0)</f>
        <v>60</v>
      </c>
      <c r="BP61">
        <f>RANK(TAcum[[#This Row],[j66]],TAcum[[#All],[j66]],0)</f>
        <v>60</v>
      </c>
      <c r="BQ61">
        <f>RANK(TAcum[[#This Row],[j67]],TAcum[[#All],[j67]],0)</f>
        <v>60</v>
      </c>
      <c r="BR61">
        <f>RANK(TAcum[[#This Row],[j68]],TAcum[[#All],[j68]],0)</f>
        <v>60</v>
      </c>
      <c r="BS61">
        <f>RANK(TAcum[[#This Row],[j69]],TAcum[[#All],[j69]],0)</f>
        <v>60</v>
      </c>
      <c r="BT61">
        <f>RANK(TAcum[[#This Row],[j70]],TAcum[[#All],[j70]],0)</f>
        <v>60</v>
      </c>
      <c r="BU61">
        <f>RANK(TAcum[[#This Row],[j71]],TAcum[[#All],[j71]],0)</f>
        <v>60</v>
      </c>
      <c r="BV61">
        <f>RANK(TAcum[[#This Row],[j72]],TAcum[[#All],[j72]],0)</f>
        <v>60</v>
      </c>
      <c r="BW61">
        <f>RANK(TAcum[[#This Row],[j73]],TAcum[[#All],[j73]],0)</f>
        <v>60</v>
      </c>
    </row>
    <row r="62" spans="1:75" x14ac:dyDescent="0.25">
      <c r="A62" t="str">
        <f>TAcum[[#This Row],[Jogador]]</f>
        <v>Ricardo Rappel</v>
      </c>
      <c r="B62">
        <f>RANK(TAcum[[#This Row],[total]],TAcum[[#All],[total]],0)</f>
        <v>60</v>
      </c>
      <c r="C62">
        <f>RANK(TAcum[[#This Row],[j01]],TAcum[[#All],[j01]],0)</f>
        <v>78</v>
      </c>
      <c r="D62">
        <f>RANK(TAcum[[#This Row],[j02]],TAcum[[#All],[j02]],0)</f>
        <v>77</v>
      </c>
      <c r="E62">
        <f>RANK(TAcum[[#This Row],[j03]],TAcum[[#All],[j03]],0)</f>
        <v>82</v>
      </c>
      <c r="F62">
        <f>RANK(TAcum[[#This Row],[j04]],TAcum[[#All],[j04]],0)</f>
        <v>54</v>
      </c>
      <c r="G62">
        <f>RANK(TAcum[[#This Row],[j05]],TAcum[[#All],[j05]],0)</f>
        <v>55</v>
      </c>
      <c r="H62">
        <f>RANK(TAcum[[#This Row],[j06]],TAcum[[#All],[j06]],0)</f>
        <v>53</v>
      </c>
      <c r="I62">
        <f>RANK(TAcum[[#This Row],[j07]],TAcum[[#All],[j07]],0)</f>
        <v>37</v>
      </c>
      <c r="J62">
        <f>RANK(TAcum[[#This Row],[j08]],TAcum[[#All],[j08]],0)</f>
        <v>27</v>
      </c>
      <c r="K62">
        <f>RANK(TAcum[[#This Row],[j09]],TAcum[[#All],[j09]],0)</f>
        <v>27</v>
      </c>
      <c r="L62">
        <f>RANK(TAcum[[#This Row],[j10]],TAcum[[#All],[j10]],0)</f>
        <v>31</v>
      </c>
      <c r="M62">
        <f>RANK(TAcum[[#This Row],[j11]],TAcum[[#All],[j11]],0)</f>
        <v>30</v>
      </c>
      <c r="N62">
        <f>RANK(TAcum[[#This Row],[j12]],TAcum[[#All],[j12]],0)</f>
        <v>29</v>
      </c>
      <c r="O62">
        <f>RANK(TAcum[[#This Row],[j13]],TAcum[[#All],[j13]],0)</f>
        <v>51</v>
      </c>
      <c r="P62">
        <f>RANK(TAcum[[#This Row],[j14]],TAcum[[#All],[j14]],0)</f>
        <v>56</v>
      </c>
      <c r="Q62">
        <f>RANK(TAcum[[#This Row],[j15]],TAcum[[#All],[j15]],0)</f>
        <v>55</v>
      </c>
      <c r="R62">
        <f>RANK(TAcum[[#This Row],[j16]],TAcum[[#All],[j16]],0)</f>
        <v>41</v>
      </c>
      <c r="S62">
        <f>RANK(TAcum[[#This Row],[j17]],TAcum[[#All],[j17]],0)</f>
        <v>50</v>
      </c>
      <c r="T62">
        <f>RANK(TAcum[[#This Row],[j18]],TAcum[[#All],[j18]],0)</f>
        <v>51</v>
      </c>
      <c r="U62">
        <f>RANK(TAcum[[#This Row],[j19]],TAcum[[#All],[j19]],0)</f>
        <v>47</v>
      </c>
      <c r="V62">
        <f>RANK(TAcum[[#This Row],[j20]],TAcum[[#All],[j20]],0)</f>
        <v>45</v>
      </c>
      <c r="W62">
        <f>RANK(TAcum[[#This Row],[j21]],TAcum[[#All],[j21]],0)</f>
        <v>44</v>
      </c>
      <c r="X62">
        <f>RANK(TAcum[[#This Row],[j22]],TAcum[[#All],[j22]],0)</f>
        <v>48</v>
      </c>
      <c r="Y62">
        <f>RANK(TAcum[[#This Row],[j23]],TAcum[[#All],[j23]],0)</f>
        <v>52</v>
      </c>
      <c r="Z62">
        <f>RANK(TAcum[[#This Row],[j24]],TAcum[[#All],[j24]],0)</f>
        <v>64</v>
      </c>
      <c r="AA62">
        <f>RANK(TAcum[[#This Row],[j25]],TAcum[[#All],[j25]],0)</f>
        <v>75</v>
      </c>
      <c r="AB62">
        <f>RANK(TAcum[[#This Row],[j26]],TAcum[[#All],[j26]],0)</f>
        <v>78</v>
      </c>
      <c r="AC62">
        <f>RANK(TAcum[[#This Row],[j27]],TAcum[[#All],[j27]],0)</f>
        <v>78</v>
      </c>
      <c r="AD62">
        <f>RANK(TAcum[[#This Row],[j28]],TAcum[[#All],[j28]],0)</f>
        <v>77</v>
      </c>
      <c r="AE62">
        <f>RANK(TAcum[[#This Row],[j29]],TAcum[[#All],[j29]],0)</f>
        <v>60</v>
      </c>
      <c r="AF62">
        <f>RANK(TAcum[[#This Row],[j30]],TAcum[[#All],[j30]],0)</f>
        <v>60</v>
      </c>
      <c r="AG62">
        <f>RANK(TAcum[[#This Row],[j31]],TAcum[[#All],[j31]],0)</f>
        <v>60</v>
      </c>
      <c r="AH62">
        <f>RANK(TAcum[[#This Row],[j32]],TAcum[[#All],[j32]],0)</f>
        <v>60</v>
      </c>
      <c r="AI62">
        <f>RANK(TAcum[[#This Row],[j33]],TAcum[[#All],[j33]],0)</f>
        <v>60</v>
      </c>
      <c r="AJ62">
        <f>RANK(TAcum[[#This Row],[j34]],TAcum[[#All],[j34]],0)</f>
        <v>60</v>
      </c>
      <c r="AK62">
        <f>RANK(TAcum[[#This Row],[j35]],TAcum[[#All],[j35]],0)</f>
        <v>60</v>
      </c>
      <c r="AL62">
        <f>RANK(TAcum[[#This Row],[j36]],TAcum[[#All],[j36]],0)</f>
        <v>60</v>
      </c>
      <c r="AM62">
        <f>RANK(TAcum[[#This Row],[j37]],TAcum[[#All],[j37]],0)</f>
        <v>60</v>
      </c>
      <c r="AN62">
        <f>RANK(TAcum[[#This Row],[j38]],TAcum[[#All],[j38]],0)</f>
        <v>60</v>
      </c>
      <c r="AO62">
        <f>RANK(TAcum[[#This Row],[j39]],TAcum[[#All],[j39]],0)</f>
        <v>60</v>
      </c>
      <c r="AP62">
        <f>RANK(TAcum[[#This Row],[j40]],TAcum[[#All],[j40]],0)</f>
        <v>60</v>
      </c>
      <c r="AQ62">
        <f>RANK(TAcum[[#This Row],[j41]],TAcum[[#All],[j41]],0)</f>
        <v>60</v>
      </c>
      <c r="AR62">
        <f>RANK(TAcum[[#This Row],[j42]],TAcum[[#All],[j42]],0)</f>
        <v>60</v>
      </c>
      <c r="AS62">
        <f>RANK(TAcum[[#This Row],[j43]],TAcum[[#All],[j43]],0)</f>
        <v>60</v>
      </c>
      <c r="AT62">
        <f>RANK(TAcum[[#This Row],[j44]],TAcum[[#All],[j44]],0)</f>
        <v>60</v>
      </c>
      <c r="AU62">
        <f>RANK(TAcum[[#This Row],[j45]],TAcum[[#All],[j45]],0)</f>
        <v>60</v>
      </c>
      <c r="AV62">
        <f>RANK(TAcum[[#This Row],[j46]],TAcum[[#All],[j46]],0)</f>
        <v>60</v>
      </c>
      <c r="AW62">
        <f>RANK(TAcum[[#This Row],[j47]],TAcum[[#All],[j47]],0)</f>
        <v>60</v>
      </c>
      <c r="AX62">
        <f>RANK(TAcum[[#This Row],[j48]],TAcum[[#All],[j48]],0)</f>
        <v>60</v>
      </c>
      <c r="AY62">
        <f>RANK(TAcum[[#This Row],[j49]],TAcum[[#All],[j49]],0)</f>
        <v>60</v>
      </c>
      <c r="AZ62">
        <f>RANK(TAcum[[#This Row],[j50]],TAcum[[#All],[j50]],0)</f>
        <v>60</v>
      </c>
      <c r="BA62">
        <f>RANK(TAcum[[#This Row],[j51]],TAcum[[#All],[j51]],0)</f>
        <v>60</v>
      </c>
      <c r="BB62">
        <f>RANK(TAcum[[#This Row],[j52]],TAcum[[#All],[j52]],0)</f>
        <v>60</v>
      </c>
      <c r="BC62">
        <f>RANK(TAcum[[#This Row],[j53]],TAcum[[#All],[j53]],0)</f>
        <v>60</v>
      </c>
      <c r="BD62">
        <f>RANK(TAcum[[#This Row],[j54]],TAcum[[#All],[j54]],0)</f>
        <v>60</v>
      </c>
      <c r="BE62">
        <f>RANK(TAcum[[#This Row],[j55]],TAcum[[#All],[j55]],0)</f>
        <v>60</v>
      </c>
      <c r="BF62">
        <f>RANK(TAcum[[#This Row],[j56]],TAcum[[#All],[j56]],0)</f>
        <v>60</v>
      </c>
      <c r="BG62">
        <f>RANK(TAcum[[#This Row],[j57]],TAcum[[#All],[j57]],0)</f>
        <v>60</v>
      </c>
      <c r="BH62">
        <f>RANK(TAcum[[#This Row],[j58]],TAcum[[#All],[j58]],0)</f>
        <v>60</v>
      </c>
      <c r="BI62">
        <f>RANK(TAcum[[#This Row],[j59]],TAcum[[#All],[j59]],0)</f>
        <v>60</v>
      </c>
      <c r="BJ62">
        <f>RANK(TAcum[[#This Row],[j60]],TAcum[[#All],[j60]],0)</f>
        <v>60</v>
      </c>
      <c r="BK62">
        <f>RANK(TAcum[[#This Row],[j61]],TAcum[[#All],[j61]],0)</f>
        <v>60</v>
      </c>
      <c r="BL62">
        <f>RANK(TAcum[[#This Row],[j62]],TAcum[[#All],[j62]],0)</f>
        <v>60</v>
      </c>
      <c r="BM62">
        <f>RANK(TAcum[[#This Row],[j63]],TAcum[[#All],[j63]],0)</f>
        <v>60</v>
      </c>
      <c r="BN62">
        <f>RANK(TAcum[[#This Row],[j64]],TAcum[[#All],[j64]],0)</f>
        <v>60</v>
      </c>
      <c r="BO62">
        <f>RANK(TAcum[[#This Row],[j65]],TAcum[[#All],[j65]],0)</f>
        <v>60</v>
      </c>
      <c r="BP62">
        <f>RANK(TAcum[[#This Row],[j66]],TAcum[[#All],[j66]],0)</f>
        <v>60</v>
      </c>
      <c r="BQ62">
        <f>RANK(TAcum[[#This Row],[j67]],TAcum[[#All],[j67]],0)</f>
        <v>60</v>
      </c>
      <c r="BR62">
        <f>RANK(TAcum[[#This Row],[j68]],TAcum[[#All],[j68]],0)</f>
        <v>60</v>
      </c>
      <c r="BS62">
        <f>RANK(TAcum[[#This Row],[j69]],TAcum[[#All],[j69]],0)</f>
        <v>60</v>
      </c>
      <c r="BT62">
        <f>RANK(TAcum[[#This Row],[j70]],TAcum[[#All],[j70]],0)</f>
        <v>60</v>
      </c>
      <c r="BU62">
        <f>RANK(TAcum[[#This Row],[j71]],TAcum[[#All],[j71]],0)</f>
        <v>60</v>
      </c>
      <c r="BV62">
        <f>RANK(TAcum[[#This Row],[j72]],TAcum[[#All],[j72]],0)</f>
        <v>60</v>
      </c>
      <c r="BW62">
        <f>RANK(TAcum[[#This Row],[j73]],TAcum[[#All],[j73]],0)</f>
        <v>60</v>
      </c>
    </row>
    <row r="63" spans="1:75" x14ac:dyDescent="0.25">
      <c r="A63" t="str">
        <f>TAcum[[#This Row],[Jogador]]</f>
        <v>Leandro Neves</v>
      </c>
      <c r="B63">
        <f>RANK(TAcum[[#This Row],[total]],TAcum[[#All],[total]],0)</f>
        <v>62</v>
      </c>
      <c r="C63">
        <f>RANK(TAcum[[#This Row],[j01]],TAcum[[#All],[j01]],0)</f>
        <v>13</v>
      </c>
      <c r="D63">
        <f>RANK(TAcum[[#This Row],[j02]],TAcum[[#All],[j02]],0)</f>
        <v>14</v>
      </c>
      <c r="E63">
        <f>RANK(TAcum[[#This Row],[j03]],TAcum[[#All],[j03]],0)</f>
        <v>24</v>
      </c>
      <c r="F63">
        <f>RANK(TAcum[[#This Row],[j04]],TAcum[[#All],[j04]],0)</f>
        <v>9</v>
      </c>
      <c r="G63">
        <f>RANK(TAcum[[#This Row],[j05]],TAcum[[#All],[j05]],0)</f>
        <v>9</v>
      </c>
      <c r="H63">
        <f>RANK(TAcum[[#This Row],[j06]],TAcum[[#All],[j06]],0)</f>
        <v>9</v>
      </c>
      <c r="I63">
        <f>RANK(TAcum[[#This Row],[j07]],TAcum[[#All],[j07]],0)</f>
        <v>27</v>
      </c>
      <c r="J63">
        <f>RANK(TAcum[[#This Row],[j08]],TAcum[[#All],[j08]],0)</f>
        <v>27</v>
      </c>
      <c r="K63">
        <f>RANK(TAcum[[#This Row],[j09]],TAcum[[#All],[j09]],0)</f>
        <v>41</v>
      </c>
      <c r="L63">
        <f>RANK(TAcum[[#This Row],[j10]],TAcum[[#All],[j10]],0)</f>
        <v>42</v>
      </c>
      <c r="M63">
        <f>RANK(TAcum[[#This Row],[j11]],TAcum[[#All],[j11]],0)</f>
        <v>40</v>
      </c>
      <c r="N63">
        <f>RANK(TAcum[[#This Row],[j12]],TAcum[[#All],[j12]],0)</f>
        <v>41</v>
      </c>
      <c r="O63">
        <f>RANK(TAcum[[#This Row],[j13]],TAcum[[#All],[j13]],0)</f>
        <v>22</v>
      </c>
      <c r="P63">
        <f>RANK(TAcum[[#This Row],[j14]],TAcum[[#All],[j14]],0)</f>
        <v>29</v>
      </c>
      <c r="Q63">
        <f>RANK(TAcum[[#This Row],[j15]],TAcum[[#All],[j15]],0)</f>
        <v>32</v>
      </c>
      <c r="R63">
        <f>RANK(TAcum[[#This Row],[j16]],TAcum[[#All],[j16]],0)</f>
        <v>36</v>
      </c>
      <c r="S63">
        <f>RANK(TAcum[[#This Row],[j17]],TAcum[[#All],[j17]],0)</f>
        <v>45</v>
      </c>
      <c r="T63">
        <f>RANK(TAcum[[#This Row],[j18]],TAcum[[#All],[j18]],0)</f>
        <v>22</v>
      </c>
      <c r="U63">
        <f>RANK(TAcum[[#This Row],[j19]],TAcum[[#All],[j19]],0)</f>
        <v>23</v>
      </c>
      <c r="V63">
        <f>RANK(TAcum[[#This Row],[j20]],TAcum[[#All],[j20]],0)</f>
        <v>24</v>
      </c>
      <c r="W63">
        <f>RANK(TAcum[[#This Row],[j21]],TAcum[[#All],[j21]],0)</f>
        <v>24</v>
      </c>
      <c r="X63">
        <f>RANK(TAcum[[#This Row],[j22]],TAcum[[#All],[j22]],0)</f>
        <v>33</v>
      </c>
      <c r="Y63">
        <f>RANK(TAcum[[#This Row],[j23]],TAcum[[#All],[j23]],0)</f>
        <v>39</v>
      </c>
      <c r="Z63">
        <f>RANK(TAcum[[#This Row],[j24]],TAcum[[#All],[j24]],0)</f>
        <v>53</v>
      </c>
      <c r="AA63">
        <f>RANK(TAcum[[#This Row],[j25]],TAcum[[#All],[j25]],0)</f>
        <v>52</v>
      </c>
      <c r="AB63">
        <f>RANK(TAcum[[#This Row],[j26]],TAcum[[#All],[j26]],0)</f>
        <v>55</v>
      </c>
      <c r="AC63">
        <f>RANK(TAcum[[#This Row],[j27]],TAcum[[#All],[j27]],0)</f>
        <v>55</v>
      </c>
      <c r="AD63">
        <f>RANK(TAcum[[#This Row],[j28]],TAcum[[#All],[j28]],0)</f>
        <v>56</v>
      </c>
      <c r="AE63">
        <f>RANK(TAcum[[#This Row],[j29]],TAcum[[#All],[j29]],0)</f>
        <v>62</v>
      </c>
      <c r="AF63">
        <f>RANK(TAcum[[#This Row],[j30]],TAcum[[#All],[j30]],0)</f>
        <v>62</v>
      </c>
      <c r="AG63">
        <f>RANK(TAcum[[#This Row],[j31]],TAcum[[#All],[j31]],0)</f>
        <v>62</v>
      </c>
      <c r="AH63">
        <f>RANK(TAcum[[#This Row],[j32]],TAcum[[#All],[j32]],0)</f>
        <v>62</v>
      </c>
      <c r="AI63">
        <f>RANK(TAcum[[#This Row],[j33]],TAcum[[#All],[j33]],0)</f>
        <v>62</v>
      </c>
      <c r="AJ63">
        <f>RANK(TAcum[[#This Row],[j34]],TAcum[[#All],[j34]],0)</f>
        <v>62</v>
      </c>
      <c r="AK63">
        <f>RANK(TAcum[[#This Row],[j35]],TAcum[[#All],[j35]],0)</f>
        <v>62</v>
      </c>
      <c r="AL63">
        <f>RANK(TAcum[[#This Row],[j36]],TAcum[[#All],[j36]],0)</f>
        <v>62</v>
      </c>
      <c r="AM63">
        <f>RANK(TAcum[[#This Row],[j37]],TAcum[[#All],[j37]],0)</f>
        <v>62</v>
      </c>
      <c r="AN63">
        <f>RANK(TAcum[[#This Row],[j38]],TAcum[[#All],[j38]],0)</f>
        <v>62</v>
      </c>
      <c r="AO63">
        <f>RANK(TAcum[[#This Row],[j39]],TAcum[[#All],[j39]],0)</f>
        <v>62</v>
      </c>
      <c r="AP63">
        <f>RANK(TAcum[[#This Row],[j40]],TAcum[[#All],[j40]],0)</f>
        <v>62</v>
      </c>
      <c r="AQ63">
        <f>RANK(TAcum[[#This Row],[j41]],TAcum[[#All],[j41]],0)</f>
        <v>62</v>
      </c>
      <c r="AR63">
        <f>RANK(TAcum[[#This Row],[j42]],TAcum[[#All],[j42]],0)</f>
        <v>62</v>
      </c>
      <c r="AS63">
        <f>RANK(TAcum[[#This Row],[j43]],TAcum[[#All],[j43]],0)</f>
        <v>62</v>
      </c>
      <c r="AT63">
        <f>RANK(TAcum[[#This Row],[j44]],TAcum[[#All],[j44]],0)</f>
        <v>62</v>
      </c>
      <c r="AU63">
        <f>RANK(TAcum[[#This Row],[j45]],TAcum[[#All],[j45]],0)</f>
        <v>62</v>
      </c>
      <c r="AV63">
        <f>RANK(TAcum[[#This Row],[j46]],TAcum[[#All],[j46]],0)</f>
        <v>62</v>
      </c>
      <c r="AW63">
        <f>RANK(TAcum[[#This Row],[j47]],TAcum[[#All],[j47]],0)</f>
        <v>62</v>
      </c>
      <c r="AX63">
        <f>RANK(TAcum[[#This Row],[j48]],TAcum[[#All],[j48]],0)</f>
        <v>62</v>
      </c>
      <c r="AY63">
        <f>RANK(TAcum[[#This Row],[j49]],TAcum[[#All],[j49]],0)</f>
        <v>62</v>
      </c>
      <c r="AZ63">
        <f>RANK(TAcum[[#This Row],[j50]],TAcum[[#All],[j50]],0)</f>
        <v>62</v>
      </c>
      <c r="BA63">
        <f>RANK(TAcum[[#This Row],[j51]],TAcum[[#All],[j51]],0)</f>
        <v>62</v>
      </c>
      <c r="BB63">
        <f>RANK(TAcum[[#This Row],[j52]],TAcum[[#All],[j52]],0)</f>
        <v>62</v>
      </c>
      <c r="BC63">
        <f>RANK(TAcum[[#This Row],[j53]],TAcum[[#All],[j53]],0)</f>
        <v>62</v>
      </c>
      <c r="BD63">
        <f>RANK(TAcum[[#This Row],[j54]],TAcum[[#All],[j54]],0)</f>
        <v>62</v>
      </c>
      <c r="BE63">
        <f>RANK(TAcum[[#This Row],[j55]],TAcum[[#All],[j55]],0)</f>
        <v>62</v>
      </c>
      <c r="BF63">
        <f>RANK(TAcum[[#This Row],[j56]],TAcum[[#All],[j56]],0)</f>
        <v>62</v>
      </c>
      <c r="BG63">
        <f>RANK(TAcum[[#This Row],[j57]],TAcum[[#All],[j57]],0)</f>
        <v>62</v>
      </c>
      <c r="BH63">
        <f>RANK(TAcum[[#This Row],[j58]],TAcum[[#All],[j58]],0)</f>
        <v>62</v>
      </c>
      <c r="BI63">
        <f>RANK(TAcum[[#This Row],[j59]],TAcum[[#All],[j59]],0)</f>
        <v>62</v>
      </c>
      <c r="BJ63">
        <f>RANK(TAcum[[#This Row],[j60]],TAcum[[#All],[j60]],0)</f>
        <v>62</v>
      </c>
      <c r="BK63">
        <f>RANK(TAcum[[#This Row],[j61]],TAcum[[#All],[j61]],0)</f>
        <v>62</v>
      </c>
      <c r="BL63">
        <f>RANK(TAcum[[#This Row],[j62]],TAcum[[#All],[j62]],0)</f>
        <v>62</v>
      </c>
      <c r="BM63">
        <f>RANK(TAcum[[#This Row],[j63]],TAcum[[#All],[j63]],0)</f>
        <v>62</v>
      </c>
      <c r="BN63">
        <f>RANK(TAcum[[#This Row],[j64]],TAcum[[#All],[j64]],0)</f>
        <v>62</v>
      </c>
      <c r="BO63">
        <f>RANK(TAcum[[#This Row],[j65]],TAcum[[#All],[j65]],0)</f>
        <v>62</v>
      </c>
      <c r="BP63">
        <f>RANK(TAcum[[#This Row],[j66]],TAcum[[#All],[j66]],0)</f>
        <v>62</v>
      </c>
      <c r="BQ63">
        <f>RANK(TAcum[[#This Row],[j67]],TAcum[[#All],[j67]],0)</f>
        <v>62</v>
      </c>
      <c r="BR63">
        <f>RANK(TAcum[[#This Row],[j68]],TAcum[[#All],[j68]],0)</f>
        <v>62</v>
      </c>
      <c r="BS63">
        <f>RANK(TAcum[[#This Row],[j69]],TAcum[[#All],[j69]],0)</f>
        <v>62</v>
      </c>
      <c r="BT63">
        <f>RANK(TAcum[[#This Row],[j70]],TAcum[[#All],[j70]],0)</f>
        <v>62</v>
      </c>
      <c r="BU63">
        <f>RANK(TAcum[[#This Row],[j71]],TAcum[[#All],[j71]],0)</f>
        <v>62</v>
      </c>
      <c r="BV63">
        <f>RANK(TAcum[[#This Row],[j72]],TAcum[[#All],[j72]],0)</f>
        <v>62</v>
      </c>
      <c r="BW63">
        <f>RANK(TAcum[[#This Row],[j73]],TAcum[[#All],[j73]],0)</f>
        <v>62</v>
      </c>
    </row>
    <row r="64" spans="1:75" x14ac:dyDescent="0.25">
      <c r="A64" t="str">
        <f>TAcum[[#This Row],[Jogador]]</f>
        <v>Renato Pellicci</v>
      </c>
      <c r="B64">
        <f>RANK(TAcum[[#This Row],[total]],TAcum[[#All],[total]],0)</f>
        <v>62</v>
      </c>
      <c r="C64">
        <f>RANK(TAcum[[#This Row],[j01]],TAcum[[#All],[j01]],0)</f>
        <v>78</v>
      </c>
      <c r="D64">
        <f>RANK(TAcum[[#This Row],[j02]],TAcum[[#All],[j02]],0)</f>
        <v>77</v>
      </c>
      <c r="E64">
        <f>RANK(TAcum[[#This Row],[j03]],TAcum[[#All],[j03]],0)</f>
        <v>82</v>
      </c>
      <c r="F64">
        <f>RANK(TAcum[[#This Row],[j04]],TAcum[[#All],[j04]],0)</f>
        <v>89</v>
      </c>
      <c r="G64">
        <f>RANK(TAcum[[#This Row],[j05]],TAcum[[#All],[j05]],0)</f>
        <v>89</v>
      </c>
      <c r="H64">
        <f>RANK(TAcum[[#This Row],[j06]],TAcum[[#All],[j06]],0)</f>
        <v>93</v>
      </c>
      <c r="I64">
        <f>RANK(TAcum[[#This Row],[j07]],TAcum[[#All],[j07]],0)</f>
        <v>82</v>
      </c>
      <c r="J64">
        <f>RANK(TAcum[[#This Row],[j08]],TAcum[[#All],[j08]],0)</f>
        <v>86</v>
      </c>
      <c r="K64">
        <f>RANK(TAcum[[#This Row],[j09]],TAcum[[#All],[j09]],0)</f>
        <v>95</v>
      </c>
      <c r="L64">
        <f>RANK(TAcum[[#This Row],[j10]],TAcum[[#All],[j10]],0)</f>
        <v>86</v>
      </c>
      <c r="M64">
        <f>RANK(TAcum[[#This Row],[j11]],TAcum[[#All],[j11]],0)</f>
        <v>88</v>
      </c>
      <c r="N64">
        <f>RANK(TAcum[[#This Row],[j12]],TAcum[[#All],[j12]],0)</f>
        <v>92</v>
      </c>
      <c r="O64">
        <f>RANK(TAcum[[#This Row],[j13]],TAcum[[#All],[j13]],0)</f>
        <v>73</v>
      </c>
      <c r="P64">
        <f>RANK(TAcum[[#This Row],[j14]],TAcum[[#All],[j14]],0)</f>
        <v>70</v>
      </c>
      <c r="Q64">
        <f>RANK(TAcum[[#This Row],[j15]],TAcum[[#All],[j15]],0)</f>
        <v>69</v>
      </c>
      <c r="R64">
        <f>RANK(TAcum[[#This Row],[j16]],TAcum[[#All],[j16]],0)</f>
        <v>59</v>
      </c>
      <c r="S64">
        <f>RANK(TAcum[[#This Row],[j17]],TAcum[[#All],[j17]],0)</f>
        <v>64</v>
      </c>
      <c r="T64">
        <f>RANK(TAcum[[#This Row],[j18]],TAcum[[#All],[j18]],0)</f>
        <v>43</v>
      </c>
      <c r="U64">
        <f>RANK(TAcum[[#This Row],[j19]],TAcum[[#All],[j19]],0)</f>
        <v>54</v>
      </c>
      <c r="V64">
        <f>RANK(TAcum[[#This Row],[j20]],TAcum[[#All],[j20]],0)</f>
        <v>58</v>
      </c>
      <c r="W64">
        <f>RANK(TAcum[[#This Row],[j21]],TAcum[[#All],[j21]],0)</f>
        <v>60</v>
      </c>
      <c r="X64">
        <f>RANK(TAcum[[#This Row],[j22]],TAcum[[#All],[j22]],0)</f>
        <v>66</v>
      </c>
      <c r="Y64">
        <f>RANK(TAcum[[#This Row],[j23]],TAcum[[#All],[j23]],0)</f>
        <v>67</v>
      </c>
      <c r="Z64">
        <f>RANK(TAcum[[#This Row],[j24]],TAcum[[#All],[j24]],0)</f>
        <v>57</v>
      </c>
      <c r="AA64">
        <f>RANK(TAcum[[#This Row],[j25]],TAcum[[#All],[j25]],0)</f>
        <v>60</v>
      </c>
      <c r="AB64">
        <f>RANK(TAcum[[#This Row],[j26]],TAcum[[#All],[j26]],0)</f>
        <v>63</v>
      </c>
      <c r="AC64">
        <f>RANK(TAcum[[#This Row],[j27]],TAcum[[#All],[j27]],0)</f>
        <v>63</v>
      </c>
      <c r="AD64">
        <f>RANK(TAcum[[#This Row],[j28]],TAcum[[#All],[j28]],0)</f>
        <v>62</v>
      </c>
      <c r="AE64">
        <f>RANK(TAcum[[#This Row],[j29]],TAcum[[#All],[j29]],0)</f>
        <v>62</v>
      </c>
      <c r="AF64">
        <f>RANK(TAcum[[#This Row],[j30]],TAcum[[#All],[j30]],0)</f>
        <v>62</v>
      </c>
      <c r="AG64">
        <f>RANK(TAcum[[#This Row],[j31]],TAcum[[#All],[j31]],0)</f>
        <v>62</v>
      </c>
      <c r="AH64">
        <f>RANK(TAcum[[#This Row],[j32]],TAcum[[#All],[j32]],0)</f>
        <v>62</v>
      </c>
      <c r="AI64">
        <f>RANK(TAcum[[#This Row],[j33]],TAcum[[#All],[j33]],0)</f>
        <v>62</v>
      </c>
      <c r="AJ64">
        <f>RANK(TAcum[[#This Row],[j34]],TAcum[[#All],[j34]],0)</f>
        <v>62</v>
      </c>
      <c r="AK64">
        <f>RANK(TAcum[[#This Row],[j35]],TAcum[[#All],[j35]],0)</f>
        <v>62</v>
      </c>
      <c r="AL64">
        <f>RANK(TAcum[[#This Row],[j36]],TAcum[[#All],[j36]],0)</f>
        <v>62</v>
      </c>
      <c r="AM64">
        <f>RANK(TAcum[[#This Row],[j37]],TAcum[[#All],[j37]],0)</f>
        <v>62</v>
      </c>
      <c r="AN64">
        <f>RANK(TAcum[[#This Row],[j38]],TAcum[[#All],[j38]],0)</f>
        <v>62</v>
      </c>
      <c r="AO64">
        <f>RANK(TAcum[[#This Row],[j39]],TAcum[[#All],[j39]],0)</f>
        <v>62</v>
      </c>
      <c r="AP64">
        <f>RANK(TAcum[[#This Row],[j40]],TAcum[[#All],[j40]],0)</f>
        <v>62</v>
      </c>
      <c r="AQ64">
        <f>RANK(TAcum[[#This Row],[j41]],TAcum[[#All],[j41]],0)</f>
        <v>62</v>
      </c>
      <c r="AR64">
        <f>RANK(TAcum[[#This Row],[j42]],TAcum[[#All],[j42]],0)</f>
        <v>62</v>
      </c>
      <c r="AS64">
        <f>RANK(TAcum[[#This Row],[j43]],TAcum[[#All],[j43]],0)</f>
        <v>62</v>
      </c>
      <c r="AT64">
        <f>RANK(TAcum[[#This Row],[j44]],TAcum[[#All],[j44]],0)</f>
        <v>62</v>
      </c>
      <c r="AU64">
        <f>RANK(TAcum[[#This Row],[j45]],TAcum[[#All],[j45]],0)</f>
        <v>62</v>
      </c>
      <c r="AV64">
        <f>RANK(TAcum[[#This Row],[j46]],TAcum[[#All],[j46]],0)</f>
        <v>62</v>
      </c>
      <c r="AW64">
        <f>RANK(TAcum[[#This Row],[j47]],TAcum[[#All],[j47]],0)</f>
        <v>62</v>
      </c>
      <c r="AX64">
        <f>RANK(TAcum[[#This Row],[j48]],TAcum[[#All],[j48]],0)</f>
        <v>62</v>
      </c>
      <c r="AY64">
        <f>RANK(TAcum[[#This Row],[j49]],TAcum[[#All],[j49]],0)</f>
        <v>62</v>
      </c>
      <c r="AZ64">
        <f>RANK(TAcum[[#This Row],[j50]],TAcum[[#All],[j50]],0)</f>
        <v>62</v>
      </c>
      <c r="BA64">
        <f>RANK(TAcum[[#This Row],[j51]],TAcum[[#All],[j51]],0)</f>
        <v>62</v>
      </c>
      <c r="BB64">
        <f>RANK(TAcum[[#This Row],[j52]],TAcum[[#All],[j52]],0)</f>
        <v>62</v>
      </c>
      <c r="BC64">
        <f>RANK(TAcum[[#This Row],[j53]],TAcum[[#All],[j53]],0)</f>
        <v>62</v>
      </c>
      <c r="BD64">
        <f>RANK(TAcum[[#This Row],[j54]],TAcum[[#All],[j54]],0)</f>
        <v>62</v>
      </c>
      <c r="BE64">
        <f>RANK(TAcum[[#This Row],[j55]],TAcum[[#All],[j55]],0)</f>
        <v>62</v>
      </c>
      <c r="BF64">
        <f>RANK(TAcum[[#This Row],[j56]],TAcum[[#All],[j56]],0)</f>
        <v>62</v>
      </c>
      <c r="BG64">
        <f>RANK(TAcum[[#This Row],[j57]],TAcum[[#All],[j57]],0)</f>
        <v>62</v>
      </c>
      <c r="BH64">
        <f>RANK(TAcum[[#This Row],[j58]],TAcum[[#All],[j58]],0)</f>
        <v>62</v>
      </c>
      <c r="BI64">
        <f>RANK(TAcum[[#This Row],[j59]],TAcum[[#All],[j59]],0)</f>
        <v>62</v>
      </c>
      <c r="BJ64">
        <f>RANK(TAcum[[#This Row],[j60]],TAcum[[#All],[j60]],0)</f>
        <v>62</v>
      </c>
      <c r="BK64">
        <f>RANK(TAcum[[#This Row],[j61]],TAcum[[#All],[j61]],0)</f>
        <v>62</v>
      </c>
      <c r="BL64">
        <f>RANK(TAcum[[#This Row],[j62]],TAcum[[#All],[j62]],0)</f>
        <v>62</v>
      </c>
      <c r="BM64">
        <f>RANK(TAcum[[#This Row],[j63]],TAcum[[#All],[j63]],0)</f>
        <v>62</v>
      </c>
      <c r="BN64">
        <f>RANK(TAcum[[#This Row],[j64]],TAcum[[#All],[j64]],0)</f>
        <v>62</v>
      </c>
      <c r="BO64">
        <f>RANK(TAcum[[#This Row],[j65]],TAcum[[#All],[j65]],0)</f>
        <v>62</v>
      </c>
      <c r="BP64">
        <f>RANK(TAcum[[#This Row],[j66]],TAcum[[#All],[j66]],0)</f>
        <v>62</v>
      </c>
      <c r="BQ64">
        <f>RANK(TAcum[[#This Row],[j67]],TAcum[[#All],[j67]],0)</f>
        <v>62</v>
      </c>
      <c r="BR64">
        <f>RANK(TAcum[[#This Row],[j68]],TAcum[[#All],[j68]],0)</f>
        <v>62</v>
      </c>
      <c r="BS64">
        <f>RANK(TAcum[[#This Row],[j69]],TAcum[[#All],[j69]],0)</f>
        <v>62</v>
      </c>
      <c r="BT64">
        <f>RANK(TAcum[[#This Row],[j70]],TAcum[[#All],[j70]],0)</f>
        <v>62</v>
      </c>
      <c r="BU64">
        <f>RANK(TAcum[[#This Row],[j71]],TAcum[[#All],[j71]],0)</f>
        <v>62</v>
      </c>
      <c r="BV64">
        <f>RANK(TAcum[[#This Row],[j72]],TAcum[[#All],[j72]],0)</f>
        <v>62</v>
      </c>
      <c r="BW64">
        <f>RANK(TAcum[[#This Row],[j73]],TAcum[[#All],[j73]],0)</f>
        <v>62</v>
      </c>
    </row>
    <row r="65" spans="1:75" x14ac:dyDescent="0.25">
      <c r="A65" t="str">
        <f>TAcum[[#This Row],[Jogador]]</f>
        <v>Álvaro Maia</v>
      </c>
      <c r="B65">
        <f>RANK(TAcum[[#This Row],[total]],TAcum[[#All],[total]],0)</f>
        <v>64</v>
      </c>
      <c r="C65">
        <f>RANK(TAcum[[#This Row],[j01]],TAcum[[#All],[j01]],0)</f>
        <v>13</v>
      </c>
      <c r="D65">
        <f>RANK(TAcum[[#This Row],[j02]],TAcum[[#All],[j02]],0)</f>
        <v>14</v>
      </c>
      <c r="E65">
        <f>RANK(TAcum[[#This Row],[j03]],TAcum[[#All],[j03]],0)</f>
        <v>52</v>
      </c>
      <c r="F65">
        <f>RANK(TAcum[[#This Row],[j04]],TAcum[[#All],[j04]],0)</f>
        <v>27</v>
      </c>
      <c r="G65">
        <f>RANK(TAcum[[#This Row],[j05]],TAcum[[#All],[j05]],0)</f>
        <v>27</v>
      </c>
      <c r="H65">
        <f>RANK(TAcum[[#This Row],[j06]],TAcum[[#All],[j06]],0)</f>
        <v>23</v>
      </c>
      <c r="I65">
        <f>RANK(TAcum[[#This Row],[j07]],TAcum[[#All],[j07]],0)</f>
        <v>16</v>
      </c>
      <c r="J65">
        <f>RANK(TAcum[[#This Row],[j08]],TAcum[[#All],[j08]],0)</f>
        <v>20</v>
      </c>
      <c r="K65">
        <f>RANK(TAcum[[#This Row],[j09]],TAcum[[#All],[j09]],0)</f>
        <v>25</v>
      </c>
      <c r="L65">
        <f>RANK(TAcum[[#This Row],[j10]],TAcum[[#All],[j10]],0)</f>
        <v>25</v>
      </c>
      <c r="M65">
        <f>RANK(TAcum[[#This Row],[j11]],TAcum[[#All],[j11]],0)</f>
        <v>23</v>
      </c>
      <c r="N65">
        <f>RANK(TAcum[[#This Row],[j12]],TAcum[[#All],[j12]],0)</f>
        <v>22</v>
      </c>
      <c r="O65">
        <f>RANK(TAcum[[#This Row],[j13]],TAcum[[#All],[j13]],0)</f>
        <v>16</v>
      </c>
      <c r="P65">
        <f>RANK(TAcum[[#This Row],[j14]],TAcum[[#All],[j14]],0)</f>
        <v>15</v>
      </c>
      <c r="Q65">
        <f>RANK(TAcum[[#This Row],[j15]],TAcum[[#All],[j15]],0)</f>
        <v>16</v>
      </c>
      <c r="R65">
        <f>RANK(TAcum[[#This Row],[j16]],TAcum[[#All],[j16]],0)</f>
        <v>19</v>
      </c>
      <c r="S65">
        <f>RANK(TAcum[[#This Row],[j17]],TAcum[[#All],[j17]],0)</f>
        <v>23</v>
      </c>
      <c r="T65">
        <f>RANK(TAcum[[#This Row],[j18]],TAcum[[#All],[j18]],0)</f>
        <v>29</v>
      </c>
      <c r="U65">
        <f>RANK(TAcum[[#This Row],[j19]],TAcum[[#All],[j19]],0)</f>
        <v>31</v>
      </c>
      <c r="V65">
        <f>RANK(TAcum[[#This Row],[j20]],TAcum[[#All],[j20]],0)</f>
        <v>39</v>
      </c>
      <c r="W65">
        <f>RANK(TAcum[[#This Row],[j21]],TAcum[[#All],[j21]],0)</f>
        <v>44</v>
      </c>
      <c r="X65">
        <f>RANK(TAcum[[#This Row],[j22]],TAcum[[#All],[j22]],0)</f>
        <v>48</v>
      </c>
      <c r="Y65">
        <f>RANK(TAcum[[#This Row],[j23]],TAcum[[#All],[j23]],0)</f>
        <v>52</v>
      </c>
      <c r="Z65">
        <f>RANK(TAcum[[#This Row],[j24]],TAcum[[#All],[j24]],0)</f>
        <v>57</v>
      </c>
      <c r="AA65">
        <f>RANK(TAcum[[#This Row],[j25]],TAcum[[#All],[j25]],0)</f>
        <v>57</v>
      </c>
      <c r="AB65">
        <f>RANK(TAcum[[#This Row],[j26]],TAcum[[#All],[j26]],0)</f>
        <v>58</v>
      </c>
      <c r="AC65">
        <f>RANK(TAcum[[#This Row],[j27]],TAcum[[#All],[j27]],0)</f>
        <v>58</v>
      </c>
      <c r="AD65">
        <f>RANK(TAcum[[#This Row],[j28]],TAcum[[#All],[j28]],0)</f>
        <v>59</v>
      </c>
      <c r="AE65">
        <f>RANK(TAcum[[#This Row],[j29]],TAcum[[#All],[j29]],0)</f>
        <v>64</v>
      </c>
      <c r="AF65">
        <f>RANK(TAcum[[#This Row],[j30]],TAcum[[#All],[j30]],0)</f>
        <v>64</v>
      </c>
      <c r="AG65">
        <f>RANK(TAcum[[#This Row],[j31]],TAcum[[#All],[j31]],0)</f>
        <v>64</v>
      </c>
      <c r="AH65">
        <f>RANK(TAcum[[#This Row],[j32]],TAcum[[#All],[j32]],0)</f>
        <v>64</v>
      </c>
      <c r="AI65">
        <f>RANK(TAcum[[#This Row],[j33]],TAcum[[#All],[j33]],0)</f>
        <v>64</v>
      </c>
      <c r="AJ65">
        <f>RANK(TAcum[[#This Row],[j34]],TAcum[[#All],[j34]],0)</f>
        <v>64</v>
      </c>
      <c r="AK65">
        <f>RANK(TAcum[[#This Row],[j35]],TAcum[[#All],[j35]],0)</f>
        <v>64</v>
      </c>
      <c r="AL65">
        <f>RANK(TAcum[[#This Row],[j36]],TAcum[[#All],[j36]],0)</f>
        <v>64</v>
      </c>
      <c r="AM65">
        <f>RANK(TAcum[[#This Row],[j37]],TAcum[[#All],[j37]],0)</f>
        <v>64</v>
      </c>
      <c r="AN65">
        <f>RANK(TAcum[[#This Row],[j38]],TAcum[[#All],[j38]],0)</f>
        <v>64</v>
      </c>
      <c r="AO65">
        <f>RANK(TAcum[[#This Row],[j39]],TAcum[[#All],[j39]],0)</f>
        <v>64</v>
      </c>
      <c r="AP65">
        <f>RANK(TAcum[[#This Row],[j40]],TAcum[[#All],[j40]],0)</f>
        <v>64</v>
      </c>
      <c r="AQ65">
        <f>RANK(TAcum[[#This Row],[j41]],TAcum[[#All],[j41]],0)</f>
        <v>64</v>
      </c>
      <c r="AR65">
        <f>RANK(TAcum[[#This Row],[j42]],TAcum[[#All],[j42]],0)</f>
        <v>64</v>
      </c>
      <c r="AS65">
        <f>RANK(TAcum[[#This Row],[j43]],TAcum[[#All],[j43]],0)</f>
        <v>64</v>
      </c>
      <c r="AT65">
        <f>RANK(TAcum[[#This Row],[j44]],TAcum[[#All],[j44]],0)</f>
        <v>64</v>
      </c>
      <c r="AU65">
        <f>RANK(TAcum[[#This Row],[j45]],TAcum[[#All],[j45]],0)</f>
        <v>64</v>
      </c>
      <c r="AV65">
        <f>RANK(TAcum[[#This Row],[j46]],TAcum[[#All],[j46]],0)</f>
        <v>64</v>
      </c>
      <c r="AW65">
        <f>RANK(TAcum[[#This Row],[j47]],TAcum[[#All],[j47]],0)</f>
        <v>64</v>
      </c>
      <c r="AX65">
        <f>RANK(TAcum[[#This Row],[j48]],TAcum[[#All],[j48]],0)</f>
        <v>64</v>
      </c>
      <c r="AY65">
        <f>RANK(TAcum[[#This Row],[j49]],TAcum[[#All],[j49]],0)</f>
        <v>64</v>
      </c>
      <c r="AZ65">
        <f>RANK(TAcum[[#This Row],[j50]],TAcum[[#All],[j50]],0)</f>
        <v>64</v>
      </c>
      <c r="BA65">
        <f>RANK(TAcum[[#This Row],[j51]],TAcum[[#All],[j51]],0)</f>
        <v>64</v>
      </c>
      <c r="BB65">
        <f>RANK(TAcum[[#This Row],[j52]],TAcum[[#All],[j52]],0)</f>
        <v>64</v>
      </c>
      <c r="BC65">
        <f>RANK(TAcum[[#This Row],[j53]],TAcum[[#All],[j53]],0)</f>
        <v>64</v>
      </c>
      <c r="BD65">
        <f>RANK(TAcum[[#This Row],[j54]],TAcum[[#All],[j54]],0)</f>
        <v>64</v>
      </c>
      <c r="BE65">
        <f>RANK(TAcum[[#This Row],[j55]],TAcum[[#All],[j55]],0)</f>
        <v>64</v>
      </c>
      <c r="BF65">
        <f>RANK(TAcum[[#This Row],[j56]],TAcum[[#All],[j56]],0)</f>
        <v>64</v>
      </c>
      <c r="BG65">
        <f>RANK(TAcum[[#This Row],[j57]],TAcum[[#All],[j57]],0)</f>
        <v>64</v>
      </c>
      <c r="BH65">
        <f>RANK(TAcum[[#This Row],[j58]],TAcum[[#All],[j58]],0)</f>
        <v>64</v>
      </c>
      <c r="BI65">
        <f>RANK(TAcum[[#This Row],[j59]],TAcum[[#All],[j59]],0)</f>
        <v>64</v>
      </c>
      <c r="BJ65">
        <f>RANK(TAcum[[#This Row],[j60]],TAcum[[#All],[j60]],0)</f>
        <v>64</v>
      </c>
      <c r="BK65">
        <f>RANK(TAcum[[#This Row],[j61]],TAcum[[#All],[j61]],0)</f>
        <v>64</v>
      </c>
      <c r="BL65">
        <f>RANK(TAcum[[#This Row],[j62]],TAcum[[#All],[j62]],0)</f>
        <v>64</v>
      </c>
      <c r="BM65">
        <f>RANK(TAcum[[#This Row],[j63]],TAcum[[#All],[j63]],0)</f>
        <v>64</v>
      </c>
      <c r="BN65">
        <f>RANK(TAcum[[#This Row],[j64]],TAcum[[#All],[j64]],0)</f>
        <v>64</v>
      </c>
      <c r="BO65">
        <f>RANK(TAcum[[#This Row],[j65]],TAcum[[#All],[j65]],0)</f>
        <v>64</v>
      </c>
      <c r="BP65">
        <f>RANK(TAcum[[#This Row],[j66]],TAcum[[#All],[j66]],0)</f>
        <v>64</v>
      </c>
      <c r="BQ65">
        <f>RANK(TAcum[[#This Row],[j67]],TAcum[[#All],[j67]],0)</f>
        <v>64</v>
      </c>
      <c r="BR65">
        <f>RANK(TAcum[[#This Row],[j68]],TAcum[[#All],[j68]],0)</f>
        <v>64</v>
      </c>
      <c r="BS65">
        <f>RANK(TAcum[[#This Row],[j69]],TAcum[[#All],[j69]],0)</f>
        <v>64</v>
      </c>
      <c r="BT65">
        <f>RANK(TAcum[[#This Row],[j70]],TAcum[[#All],[j70]],0)</f>
        <v>64</v>
      </c>
      <c r="BU65">
        <f>RANK(TAcum[[#This Row],[j71]],TAcum[[#All],[j71]],0)</f>
        <v>64</v>
      </c>
      <c r="BV65">
        <f>RANK(TAcum[[#This Row],[j72]],TAcum[[#All],[j72]],0)</f>
        <v>64</v>
      </c>
      <c r="BW65">
        <f>RANK(TAcum[[#This Row],[j73]],TAcum[[#All],[j73]],0)</f>
        <v>64</v>
      </c>
    </row>
    <row r="66" spans="1:75" x14ac:dyDescent="0.25">
      <c r="A66" t="str">
        <f>TAcum[[#This Row],[Jogador]]</f>
        <v>Faustino 1</v>
      </c>
      <c r="B66">
        <f>RANK(TAcum[[#This Row],[total]],TAcum[[#All],[total]],0)</f>
        <v>64</v>
      </c>
      <c r="C66">
        <f>RANK(TAcum[[#This Row],[j01]],TAcum[[#All],[j01]],0)</f>
        <v>13</v>
      </c>
      <c r="D66">
        <f>RANK(TAcum[[#This Row],[j02]],TAcum[[#All],[j02]],0)</f>
        <v>14</v>
      </c>
      <c r="E66">
        <f>RANK(TAcum[[#This Row],[j03]],TAcum[[#All],[j03]],0)</f>
        <v>52</v>
      </c>
      <c r="F66">
        <f>RANK(TAcum[[#This Row],[j04]],TAcum[[#All],[j04]],0)</f>
        <v>27</v>
      </c>
      <c r="G66">
        <f>RANK(TAcum[[#This Row],[j05]],TAcum[[#All],[j05]],0)</f>
        <v>27</v>
      </c>
      <c r="H66">
        <f>RANK(TAcum[[#This Row],[j06]],TAcum[[#All],[j06]],0)</f>
        <v>23</v>
      </c>
      <c r="I66">
        <f>RANK(TAcum[[#This Row],[j07]],TAcum[[#All],[j07]],0)</f>
        <v>16</v>
      </c>
      <c r="J66">
        <f>RANK(TAcum[[#This Row],[j08]],TAcum[[#All],[j08]],0)</f>
        <v>20</v>
      </c>
      <c r="K66">
        <f>RANK(TAcum[[#This Row],[j09]],TAcum[[#All],[j09]],0)</f>
        <v>25</v>
      </c>
      <c r="L66">
        <f>RANK(TAcum[[#This Row],[j10]],TAcum[[#All],[j10]],0)</f>
        <v>25</v>
      </c>
      <c r="M66">
        <f>RANK(TAcum[[#This Row],[j11]],TAcum[[#All],[j11]],0)</f>
        <v>30</v>
      </c>
      <c r="N66">
        <f>RANK(TAcum[[#This Row],[j12]],TAcum[[#All],[j12]],0)</f>
        <v>29</v>
      </c>
      <c r="O66">
        <f>RANK(TAcum[[#This Row],[j13]],TAcum[[#All],[j13]],0)</f>
        <v>30</v>
      </c>
      <c r="P66">
        <f>RANK(TAcum[[#This Row],[j14]],TAcum[[#All],[j14]],0)</f>
        <v>39</v>
      </c>
      <c r="Q66">
        <f>RANK(TAcum[[#This Row],[j15]],TAcum[[#All],[j15]],0)</f>
        <v>34</v>
      </c>
      <c r="R66">
        <f>RANK(TAcum[[#This Row],[j16]],TAcum[[#All],[j16]],0)</f>
        <v>46</v>
      </c>
      <c r="S66">
        <f>RANK(TAcum[[#This Row],[j17]],TAcum[[#All],[j17]],0)</f>
        <v>53</v>
      </c>
      <c r="T66">
        <f>RANK(TAcum[[#This Row],[j18]],TAcum[[#All],[j18]],0)</f>
        <v>56</v>
      </c>
      <c r="U66">
        <f>RANK(TAcum[[#This Row],[j19]],TAcum[[#All],[j19]],0)</f>
        <v>67</v>
      </c>
      <c r="V66">
        <f>RANK(TAcum[[#This Row],[j20]],TAcum[[#All],[j20]],0)</f>
        <v>74</v>
      </c>
      <c r="W66">
        <f>RANK(TAcum[[#This Row],[j21]],TAcum[[#All],[j21]],0)</f>
        <v>62</v>
      </c>
      <c r="X66">
        <f>RANK(TAcum[[#This Row],[j22]],TAcum[[#All],[j22]],0)</f>
        <v>56</v>
      </c>
      <c r="Y66">
        <f>RANK(TAcum[[#This Row],[j23]],TAcum[[#All],[j23]],0)</f>
        <v>62</v>
      </c>
      <c r="Z66">
        <f>RANK(TAcum[[#This Row],[j24]],TAcum[[#All],[j24]],0)</f>
        <v>69</v>
      </c>
      <c r="AA66">
        <f>RANK(TAcum[[#This Row],[j25]],TAcum[[#All],[j25]],0)</f>
        <v>82</v>
      </c>
      <c r="AB66">
        <f>RANK(TAcum[[#This Row],[j26]],TAcum[[#All],[j26]],0)</f>
        <v>81</v>
      </c>
      <c r="AC66">
        <f>RANK(TAcum[[#This Row],[j27]],TAcum[[#All],[j27]],0)</f>
        <v>81</v>
      </c>
      <c r="AD66">
        <f>RANK(TAcum[[#This Row],[j28]],TAcum[[#All],[j28]],0)</f>
        <v>81</v>
      </c>
      <c r="AE66">
        <f>RANK(TAcum[[#This Row],[j29]],TAcum[[#All],[j29]],0)</f>
        <v>64</v>
      </c>
      <c r="AF66">
        <f>RANK(TAcum[[#This Row],[j30]],TAcum[[#All],[j30]],0)</f>
        <v>64</v>
      </c>
      <c r="AG66">
        <f>RANK(TAcum[[#This Row],[j31]],TAcum[[#All],[j31]],0)</f>
        <v>64</v>
      </c>
      <c r="AH66">
        <f>RANK(TAcum[[#This Row],[j32]],TAcum[[#All],[j32]],0)</f>
        <v>64</v>
      </c>
      <c r="AI66">
        <f>RANK(TAcum[[#This Row],[j33]],TAcum[[#All],[j33]],0)</f>
        <v>64</v>
      </c>
      <c r="AJ66">
        <f>RANK(TAcum[[#This Row],[j34]],TAcum[[#All],[j34]],0)</f>
        <v>64</v>
      </c>
      <c r="AK66">
        <f>RANK(TAcum[[#This Row],[j35]],TAcum[[#All],[j35]],0)</f>
        <v>64</v>
      </c>
      <c r="AL66">
        <f>RANK(TAcum[[#This Row],[j36]],TAcum[[#All],[j36]],0)</f>
        <v>64</v>
      </c>
      <c r="AM66">
        <f>RANK(TAcum[[#This Row],[j37]],TAcum[[#All],[j37]],0)</f>
        <v>64</v>
      </c>
      <c r="AN66">
        <f>RANK(TAcum[[#This Row],[j38]],TAcum[[#All],[j38]],0)</f>
        <v>64</v>
      </c>
      <c r="AO66">
        <f>RANK(TAcum[[#This Row],[j39]],TAcum[[#All],[j39]],0)</f>
        <v>64</v>
      </c>
      <c r="AP66">
        <f>RANK(TAcum[[#This Row],[j40]],TAcum[[#All],[j40]],0)</f>
        <v>64</v>
      </c>
      <c r="AQ66">
        <f>RANK(TAcum[[#This Row],[j41]],TAcum[[#All],[j41]],0)</f>
        <v>64</v>
      </c>
      <c r="AR66">
        <f>RANK(TAcum[[#This Row],[j42]],TAcum[[#All],[j42]],0)</f>
        <v>64</v>
      </c>
      <c r="AS66">
        <f>RANK(TAcum[[#This Row],[j43]],TAcum[[#All],[j43]],0)</f>
        <v>64</v>
      </c>
      <c r="AT66">
        <f>RANK(TAcum[[#This Row],[j44]],TAcum[[#All],[j44]],0)</f>
        <v>64</v>
      </c>
      <c r="AU66">
        <f>RANK(TAcum[[#This Row],[j45]],TAcum[[#All],[j45]],0)</f>
        <v>64</v>
      </c>
      <c r="AV66">
        <f>RANK(TAcum[[#This Row],[j46]],TAcum[[#All],[j46]],0)</f>
        <v>64</v>
      </c>
      <c r="AW66">
        <f>RANK(TAcum[[#This Row],[j47]],TAcum[[#All],[j47]],0)</f>
        <v>64</v>
      </c>
      <c r="AX66">
        <f>RANK(TAcum[[#This Row],[j48]],TAcum[[#All],[j48]],0)</f>
        <v>64</v>
      </c>
      <c r="AY66">
        <f>RANK(TAcum[[#This Row],[j49]],TAcum[[#All],[j49]],0)</f>
        <v>64</v>
      </c>
      <c r="AZ66">
        <f>RANK(TAcum[[#This Row],[j50]],TAcum[[#All],[j50]],0)</f>
        <v>64</v>
      </c>
      <c r="BA66">
        <f>RANK(TAcum[[#This Row],[j51]],TAcum[[#All],[j51]],0)</f>
        <v>64</v>
      </c>
      <c r="BB66">
        <f>RANK(TAcum[[#This Row],[j52]],TAcum[[#All],[j52]],0)</f>
        <v>64</v>
      </c>
      <c r="BC66">
        <f>RANK(TAcum[[#This Row],[j53]],TAcum[[#All],[j53]],0)</f>
        <v>64</v>
      </c>
      <c r="BD66">
        <f>RANK(TAcum[[#This Row],[j54]],TAcum[[#All],[j54]],0)</f>
        <v>64</v>
      </c>
      <c r="BE66">
        <f>RANK(TAcum[[#This Row],[j55]],TAcum[[#All],[j55]],0)</f>
        <v>64</v>
      </c>
      <c r="BF66">
        <f>RANK(TAcum[[#This Row],[j56]],TAcum[[#All],[j56]],0)</f>
        <v>64</v>
      </c>
      <c r="BG66">
        <f>RANK(TAcum[[#This Row],[j57]],TAcum[[#All],[j57]],0)</f>
        <v>64</v>
      </c>
      <c r="BH66">
        <f>RANK(TAcum[[#This Row],[j58]],TAcum[[#All],[j58]],0)</f>
        <v>64</v>
      </c>
      <c r="BI66">
        <f>RANK(TAcum[[#This Row],[j59]],TAcum[[#All],[j59]],0)</f>
        <v>64</v>
      </c>
      <c r="BJ66">
        <f>RANK(TAcum[[#This Row],[j60]],TAcum[[#All],[j60]],0)</f>
        <v>64</v>
      </c>
      <c r="BK66">
        <f>RANK(TAcum[[#This Row],[j61]],TAcum[[#All],[j61]],0)</f>
        <v>64</v>
      </c>
      <c r="BL66">
        <f>RANK(TAcum[[#This Row],[j62]],TAcum[[#All],[j62]],0)</f>
        <v>64</v>
      </c>
      <c r="BM66">
        <f>RANK(TAcum[[#This Row],[j63]],TAcum[[#All],[j63]],0)</f>
        <v>64</v>
      </c>
      <c r="BN66">
        <f>RANK(TAcum[[#This Row],[j64]],TAcum[[#All],[j64]],0)</f>
        <v>64</v>
      </c>
      <c r="BO66">
        <f>RANK(TAcum[[#This Row],[j65]],TAcum[[#All],[j65]],0)</f>
        <v>64</v>
      </c>
      <c r="BP66">
        <f>RANK(TAcum[[#This Row],[j66]],TAcum[[#All],[j66]],0)</f>
        <v>64</v>
      </c>
      <c r="BQ66">
        <f>RANK(TAcum[[#This Row],[j67]],TAcum[[#All],[j67]],0)</f>
        <v>64</v>
      </c>
      <c r="BR66">
        <f>RANK(TAcum[[#This Row],[j68]],TAcum[[#All],[j68]],0)</f>
        <v>64</v>
      </c>
      <c r="BS66">
        <f>RANK(TAcum[[#This Row],[j69]],TAcum[[#All],[j69]],0)</f>
        <v>64</v>
      </c>
      <c r="BT66">
        <f>RANK(TAcum[[#This Row],[j70]],TAcum[[#All],[j70]],0)</f>
        <v>64</v>
      </c>
      <c r="BU66">
        <f>RANK(TAcum[[#This Row],[j71]],TAcum[[#All],[j71]],0)</f>
        <v>64</v>
      </c>
      <c r="BV66">
        <f>RANK(TAcum[[#This Row],[j72]],TAcum[[#All],[j72]],0)</f>
        <v>64</v>
      </c>
      <c r="BW66">
        <f>RANK(TAcum[[#This Row],[j73]],TAcum[[#All],[j73]],0)</f>
        <v>64</v>
      </c>
    </row>
    <row r="67" spans="1:75" x14ac:dyDescent="0.25">
      <c r="A67" t="str">
        <f>TAcum[[#This Row],[Jogador]]</f>
        <v>Lucas Schubach</v>
      </c>
      <c r="B67">
        <f>RANK(TAcum[[#This Row],[total]],TAcum[[#All],[total]],0)</f>
        <v>64</v>
      </c>
      <c r="C67">
        <f>RANK(TAcum[[#This Row],[j01]],TAcum[[#All],[j01]],0)</f>
        <v>13</v>
      </c>
      <c r="D67">
        <f>RANK(TAcum[[#This Row],[j02]],TAcum[[#All],[j02]],0)</f>
        <v>14</v>
      </c>
      <c r="E67">
        <f>RANK(TAcum[[#This Row],[j03]],TAcum[[#All],[j03]],0)</f>
        <v>82</v>
      </c>
      <c r="F67">
        <f>RANK(TAcum[[#This Row],[j04]],TAcum[[#All],[j04]],0)</f>
        <v>54</v>
      </c>
      <c r="G67">
        <f>RANK(TAcum[[#This Row],[j05]],TAcum[[#All],[j05]],0)</f>
        <v>55</v>
      </c>
      <c r="H67">
        <f>RANK(TAcum[[#This Row],[j06]],TAcum[[#All],[j06]],0)</f>
        <v>53</v>
      </c>
      <c r="I67">
        <f>RANK(TAcum[[#This Row],[j07]],TAcum[[#All],[j07]],0)</f>
        <v>61</v>
      </c>
      <c r="J67">
        <f>RANK(TAcum[[#This Row],[j08]],TAcum[[#All],[j08]],0)</f>
        <v>65</v>
      </c>
      <c r="K67">
        <f>RANK(TAcum[[#This Row],[j09]],TAcum[[#All],[j09]],0)</f>
        <v>64</v>
      </c>
      <c r="L67">
        <f>RANK(TAcum[[#This Row],[j10]],TAcum[[#All],[j10]],0)</f>
        <v>65</v>
      </c>
      <c r="M67">
        <f>RANK(TAcum[[#This Row],[j11]],TAcum[[#All],[j11]],0)</f>
        <v>75</v>
      </c>
      <c r="N67">
        <f>RANK(TAcum[[#This Row],[j12]],TAcum[[#All],[j12]],0)</f>
        <v>76</v>
      </c>
      <c r="O67">
        <f>RANK(TAcum[[#This Row],[j13]],TAcum[[#All],[j13]],0)</f>
        <v>94</v>
      </c>
      <c r="P67">
        <f>RANK(TAcum[[#This Row],[j14]],TAcum[[#All],[j14]],0)</f>
        <v>96</v>
      </c>
      <c r="Q67">
        <f>RANK(TAcum[[#This Row],[j15]],TAcum[[#All],[j15]],0)</f>
        <v>103</v>
      </c>
      <c r="R67">
        <f>RANK(TAcum[[#This Row],[j16]],TAcum[[#All],[j16]],0)</f>
        <v>104</v>
      </c>
      <c r="S67">
        <f>RANK(TAcum[[#This Row],[j17]],TAcum[[#All],[j17]],0)</f>
        <v>107</v>
      </c>
      <c r="T67">
        <f>RANK(TAcum[[#This Row],[j18]],TAcum[[#All],[j18]],0)</f>
        <v>108</v>
      </c>
      <c r="U67">
        <f>RANK(TAcum[[#This Row],[j19]],TAcum[[#All],[j19]],0)</f>
        <v>90</v>
      </c>
      <c r="V67">
        <f>RANK(TAcum[[#This Row],[j20]],TAcum[[#All],[j20]],0)</f>
        <v>87</v>
      </c>
      <c r="W67">
        <f>RANK(TAcum[[#This Row],[j21]],TAcum[[#All],[j21]],0)</f>
        <v>89</v>
      </c>
      <c r="X67">
        <f>RANK(TAcum[[#This Row],[j22]],TAcum[[#All],[j22]],0)</f>
        <v>94</v>
      </c>
      <c r="Y67">
        <f>RANK(TAcum[[#This Row],[j23]],TAcum[[#All],[j23]],0)</f>
        <v>80</v>
      </c>
      <c r="Z67">
        <f>RANK(TAcum[[#This Row],[j24]],TAcum[[#All],[j24]],0)</f>
        <v>68</v>
      </c>
      <c r="AA67">
        <f>RANK(TAcum[[#This Row],[j25]],TAcum[[#All],[j25]],0)</f>
        <v>66</v>
      </c>
      <c r="AB67">
        <f>RANK(TAcum[[#This Row],[j26]],TAcum[[#All],[j26]],0)</f>
        <v>72</v>
      </c>
      <c r="AC67">
        <f>RANK(TAcum[[#This Row],[j27]],TAcum[[#All],[j27]],0)</f>
        <v>72</v>
      </c>
      <c r="AD67">
        <f>RANK(TAcum[[#This Row],[j28]],TAcum[[#All],[j28]],0)</f>
        <v>66</v>
      </c>
      <c r="AE67">
        <f>RANK(TAcum[[#This Row],[j29]],TAcum[[#All],[j29]],0)</f>
        <v>64</v>
      </c>
      <c r="AF67">
        <f>RANK(TAcum[[#This Row],[j30]],TAcum[[#All],[j30]],0)</f>
        <v>64</v>
      </c>
      <c r="AG67">
        <f>RANK(TAcum[[#This Row],[j31]],TAcum[[#All],[j31]],0)</f>
        <v>64</v>
      </c>
      <c r="AH67">
        <f>RANK(TAcum[[#This Row],[j32]],TAcum[[#All],[j32]],0)</f>
        <v>64</v>
      </c>
      <c r="AI67">
        <f>RANK(TAcum[[#This Row],[j33]],TAcum[[#All],[j33]],0)</f>
        <v>64</v>
      </c>
      <c r="AJ67">
        <f>RANK(TAcum[[#This Row],[j34]],TAcum[[#All],[j34]],0)</f>
        <v>64</v>
      </c>
      <c r="AK67">
        <f>RANK(TAcum[[#This Row],[j35]],TAcum[[#All],[j35]],0)</f>
        <v>64</v>
      </c>
      <c r="AL67">
        <f>RANK(TAcum[[#This Row],[j36]],TAcum[[#All],[j36]],0)</f>
        <v>64</v>
      </c>
      <c r="AM67">
        <f>RANK(TAcum[[#This Row],[j37]],TAcum[[#All],[j37]],0)</f>
        <v>64</v>
      </c>
      <c r="AN67">
        <f>RANK(TAcum[[#This Row],[j38]],TAcum[[#All],[j38]],0)</f>
        <v>64</v>
      </c>
      <c r="AO67">
        <f>RANK(TAcum[[#This Row],[j39]],TAcum[[#All],[j39]],0)</f>
        <v>64</v>
      </c>
      <c r="AP67">
        <f>RANK(TAcum[[#This Row],[j40]],TAcum[[#All],[j40]],0)</f>
        <v>64</v>
      </c>
      <c r="AQ67">
        <f>RANK(TAcum[[#This Row],[j41]],TAcum[[#All],[j41]],0)</f>
        <v>64</v>
      </c>
      <c r="AR67">
        <f>RANK(TAcum[[#This Row],[j42]],TAcum[[#All],[j42]],0)</f>
        <v>64</v>
      </c>
      <c r="AS67">
        <f>RANK(TAcum[[#This Row],[j43]],TAcum[[#All],[j43]],0)</f>
        <v>64</v>
      </c>
      <c r="AT67">
        <f>RANK(TAcum[[#This Row],[j44]],TAcum[[#All],[j44]],0)</f>
        <v>64</v>
      </c>
      <c r="AU67">
        <f>RANK(TAcum[[#This Row],[j45]],TAcum[[#All],[j45]],0)</f>
        <v>64</v>
      </c>
      <c r="AV67">
        <f>RANK(TAcum[[#This Row],[j46]],TAcum[[#All],[j46]],0)</f>
        <v>64</v>
      </c>
      <c r="AW67">
        <f>RANK(TAcum[[#This Row],[j47]],TAcum[[#All],[j47]],0)</f>
        <v>64</v>
      </c>
      <c r="AX67">
        <f>RANK(TAcum[[#This Row],[j48]],TAcum[[#All],[j48]],0)</f>
        <v>64</v>
      </c>
      <c r="AY67">
        <f>RANK(TAcum[[#This Row],[j49]],TAcum[[#All],[j49]],0)</f>
        <v>64</v>
      </c>
      <c r="AZ67">
        <f>RANK(TAcum[[#This Row],[j50]],TAcum[[#All],[j50]],0)</f>
        <v>64</v>
      </c>
      <c r="BA67">
        <f>RANK(TAcum[[#This Row],[j51]],TAcum[[#All],[j51]],0)</f>
        <v>64</v>
      </c>
      <c r="BB67">
        <f>RANK(TAcum[[#This Row],[j52]],TAcum[[#All],[j52]],0)</f>
        <v>64</v>
      </c>
      <c r="BC67">
        <f>RANK(TAcum[[#This Row],[j53]],TAcum[[#All],[j53]],0)</f>
        <v>64</v>
      </c>
      <c r="BD67">
        <f>RANK(TAcum[[#This Row],[j54]],TAcum[[#All],[j54]],0)</f>
        <v>64</v>
      </c>
      <c r="BE67">
        <f>RANK(TAcum[[#This Row],[j55]],TAcum[[#All],[j55]],0)</f>
        <v>64</v>
      </c>
      <c r="BF67">
        <f>RANK(TAcum[[#This Row],[j56]],TAcum[[#All],[j56]],0)</f>
        <v>64</v>
      </c>
      <c r="BG67">
        <f>RANK(TAcum[[#This Row],[j57]],TAcum[[#All],[j57]],0)</f>
        <v>64</v>
      </c>
      <c r="BH67">
        <f>RANK(TAcum[[#This Row],[j58]],TAcum[[#All],[j58]],0)</f>
        <v>64</v>
      </c>
      <c r="BI67">
        <f>RANK(TAcum[[#This Row],[j59]],TAcum[[#All],[j59]],0)</f>
        <v>64</v>
      </c>
      <c r="BJ67">
        <f>RANK(TAcum[[#This Row],[j60]],TAcum[[#All],[j60]],0)</f>
        <v>64</v>
      </c>
      <c r="BK67">
        <f>RANK(TAcum[[#This Row],[j61]],TAcum[[#All],[j61]],0)</f>
        <v>64</v>
      </c>
      <c r="BL67">
        <f>RANK(TAcum[[#This Row],[j62]],TAcum[[#All],[j62]],0)</f>
        <v>64</v>
      </c>
      <c r="BM67">
        <f>RANK(TAcum[[#This Row],[j63]],TAcum[[#All],[j63]],0)</f>
        <v>64</v>
      </c>
      <c r="BN67">
        <f>RANK(TAcum[[#This Row],[j64]],TAcum[[#All],[j64]],0)</f>
        <v>64</v>
      </c>
      <c r="BO67">
        <f>RANK(TAcum[[#This Row],[j65]],TAcum[[#All],[j65]],0)</f>
        <v>64</v>
      </c>
      <c r="BP67">
        <f>RANK(TAcum[[#This Row],[j66]],TAcum[[#All],[j66]],0)</f>
        <v>64</v>
      </c>
      <c r="BQ67">
        <f>RANK(TAcum[[#This Row],[j67]],TAcum[[#All],[j67]],0)</f>
        <v>64</v>
      </c>
      <c r="BR67">
        <f>RANK(TAcum[[#This Row],[j68]],TAcum[[#All],[j68]],0)</f>
        <v>64</v>
      </c>
      <c r="BS67">
        <f>RANK(TAcum[[#This Row],[j69]],TAcum[[#All],[j69]],0)</f>
        <v>64</v>
      </c>
      <c r="BT67">
        <f>RANK(TAcum[[#This Row],[j70]],TAcum[[#All],[j70]],0)</f>
        <v>64</v>
      </c>
      <c r="BU67">
        <f>RANK(TAcum[[#This Row],[j71]],TAcum[[#All],[j71]],0)</f>
        <v>64</v>
      </c>
      <c r="BV67">
        <f>RANK(TAcum[[#This Row],[j72]],TAcum[[#All],[j72]],0)</f>
        <v>64</v>
      </c>
      <c r="BW67">
        <f>RANK(TAcum[[#This Row],[j73]],TAcum[[#All],[j73]],0)</f>
        <v>64</v>
      </c>
    </row>
    <row r="68" spans="1:75" x14ac:dyDescent="0.25">
      <c r="A68" t="str">
        <f>TAcum[[#This Row],[Jogador]]</f>
        <v>Pedro Gouveia</v>
      </c>
      <c r="B68">
        <f>RANK(TAcum[[#This Row],[total]],TAcum[[#All],[total]],0)</f>
        <v>64</v>
      </c>
      <c r="C68">
        <f>RANK(TAcum[[#This Row],[j01]],TAcum[[#All],[j01]],0)</f>
        <v>65</v>
      </c>
      <c r="D68">
        <f>RANK(TAcum[[#This Row],[j02]],TAcum[[#All],[j02]],0)</f>
        <v>62</v>
      </c>
      <c r="E68">
        <f>RANK(TAcum[[#This Row],[j03]],TAcum[[#All],[j03]],0)</f>
        <v>75</v>
      </c>
      <c r="F68">
        <f>RANK(TAcum[[#This Row],[j04]],TAcum[[#All],[j04]],0)</f>
        <v>38</v>
      </c>
      <c r="G68">
        <f>RANK(TAcum[[#This Row],[j05]],TAcum[[#All],[j05]],0)</f>
        <v>39</v>
      </c>
      <c r="H68">
        <f>RANK(TAcum[[#This Row],[j06]],TAcum[[#All],[j06]],0)</f>
        <v>41</v>
      </c>
      <c r="I68">
        <f>RANK(TAcum[[#This Row],[j07]],TAcum[[#All],[j07]],0)</f>
        <v>61</v>
      </c>
      <c r="J68">
        <f>RANK(TAcum[[#This Row],[j08]],TAcum[[#All],[j08]],0)</f>
        <v>49</v>
      </c>
      <c r="K68">
        <f>RANK(TAcum[[#This Row],[j09]],TAcum[[#All],[j09]],0)</f>
        <v>52</v>
      </c>
      <c r="L68">
        <f>RANK(TAcum[[#This Row],[j10]],TAcum[[#All],[j10]],0)</f>
        <v>56</v>
      </c>
      <c r="M68">
        <f>RANK(TAcum[[#This Row],[j11]],TAcum[[#All],[j11]],0)</f>
        <v>51</v>
      </c>
      <c r="N68">
        <f>RANK(TAcum[[#This Row],[j12]],TAcum[[#All],[j12]],0)</f>
        <v>54</v>
      </c>
      <c r="O68">
        <f>RANK(TAcum[[#This Row],[j13]],TAcum[[#All],[j13]],0)</f>
        <v>33</v>
      </c>
      <c r="P68">
        <f>RANK(TAcum[[#This Row],[j14]],TAcum[[#All],[j14]],0)</f>
        <v>43</v>
      </c>
      <c r="Q68">
        <f>RANK(TAcum[[#This Row],[j15]],TAcum[[#All],[j15]],0)</f>
        <v>43</v>
      </c>
      <c r="R68">
        <f>RANK(TAcum[[#This Row],[j16]],TAcum[[#All],[j16]],0)</f>
        <v>35</v>
      </c>
      <c r="S68">
        <f>RANK(TAcum[[#This Row],[j17]],TAcum[[#All],[j17]],0)</f>
        <v>43</v>
      </c>
      <c r="T68">
        <f>RANK(TAcum[[#This Row],[j18]],TAcum[[#All],[j18]],0)</f>
        <v>48</v>
      </c>
      <c r="U68">
        <f>RANK(TAcum[[#This Row],[j19]],TAcum[[#All],[j19]],0)</f>
        <v>23</v>
      </c>
      <c r="V68">
        <f>RANK(TAcum[[#This Row],[j20]],TAcum[[#All],[j20]],0)</f>
        <v>31</v>
      </c>
      <c r="W68">
        <f>RANK(TAcum[[#This Row],[j21]],TAcum[[#All],[j21]],0)</f>
        <v>32</v>
      </c>
      <c r="X68">
        <f>RANK(TAcum[[#This Row],[j22]],TAcum[[#All],[j22]],0)</f>
        <v>48</v>
      </c>
      <c r="Y68">
        <f>RANK(TAcum[[#This Row],[j23]],TAcum[[#All],[j23]],0)</f>
        <v>52</v>
      </c>
      <c r="Z68">
        <f>RANK(TAcum[[#This Row],[j24]],TAcum[[#All],[j24]],0)</f>
        <v>57</v>
      </c>
      <c r="AA68">
        <f>RANK(TAcum[[#This Row],[j25]],TAcum[[#All],[j25]],0)</f>
        <v>60</v>
      </c>
      <c r="AB68">
        <f>RANK(TAcum[[#This Row],[j26]],TAcum[[#All],[j26]],0)</f>
        <v>68</v>
      </c>
      <c r="AC68">
        <f>RANK(TAcum[[#This Row],[j27]],TAcum[[#All],[j27]],0)</f>
        <v>68</v>
      </c>
      <c r="AD68">
        <f>RANK(TAcum[[#This Row],[j28]],TAcum[[#All],[j28]],0)</f>
        <v>66</v>
      </c>
      <c r="AE68">
        <f>RANK(TAcum[[#This Row],[j29]],TAcum[[#All],[j29]],0)</f>
        <v>64</v>
      </c>
      <c r="AF68">
        <f>RANK(TAcum[[#This Row],[j30]],TAcum[[#All],[j30]],0)</f>
        <v>64</v>
      </c>
      <c r="AG68">
        <f>RANK(TAcum[[#This Row],[j31]],TAcum[[#All],[j31]],0)</f>
        <v>64</v>
      </c>
      <c r="AH68">
        <f>RANK(TAcum[[#This Row],[j32]],TAcum[[#All],[j32]],0)</f>
        <v>64</v>
      </c>
      <c r="AI68">
        <f>RANK(TAcum[[#This Row],[j33]],TAcum[[#All],[j33]],0)</f>
        <v>64</v>
      </c>
      <c r="AJ68">
        <f>RANK(TAcum[[#This Row],[j34]],TAcum[[#All],[j34]],0)</f>
        <v>64</v>
      </c>
      <c r="AK68">
        <f>RANK(TAcum[[#This Row],[j35]],TAcum[[#All],[j35]],0)</f>
        <v>64</v>
      </c>
      <c r="AL68">
        <f>RANK(TAcum[[#This Row],[j36]],TAcum[[#All],[j36]],0)</f>
        <v>64</v>
      </c>
      <c r="AM68">
        <f>RANK(TAcum[[#This Row],[j37]],TAcum[[#All],[j37]],0)</f>
        <v>64</v>
      </c>
      <c r="AN68">
        <f>RANK(TAcum[[#This Row],[j38]],TAcum[[#All],[j38]],0)</f>
        <v>64</v>
      </c>
      <c r="AO68">
        <f>RANK(TAcum[[#This Row],[j39]],TAcum[[#All],[j39]],0)</f>
        <v>64</v>
      </c>
      <c r="AP68">
        <f>RANK(TAcum[[#This Row],[j40]],TAcum[[#All],[j40]],0)</f>
        <v>64</v>
      </c>
      <c r="AQ68">
        <f>RANK(TAcum[[#This Row],[j41]],TAcum[[#All],[j41]],0)</f>
        <v>64</v>
      </c>
      <c r="AR68">
        <f>RANK(TAcum[[#This Row],[j42]],TAcum[[#All],[j42]],0)</f>
        <v>64</v>
      </c>
      <c r="AS68">
        <f>RANK(TAcum[[#This Row],[j43]],TAcum[[#All],[j43]],0)</f>
        <v>64</v>
      </c>
      <c r="AT68">
        <f>RANK(TAcum[[#This Row],[j44]],TAcum[[#All],[j44]],0)</f>
        <v>64</v>
      </c>
      <c r="AU68">
        <f>RANK(TAcum[[#This Row],[j45]],TAcum[[#All],[j45]],0)</f>
        <v>64</v>
      </c>
      <c r="AV68">
        <f>RANK(TAcum[[#This Row],[j46]],TAcum[[#All],[j46]],0)</f>
        <v>64</v>
      </c>
      <c r="AW68">
        <f>RANK(TAcum[[#This Row],[j47]],TAcum[[#All],[j47]],0)</f>
        <v>64</v>
      </c>
      <c r="AX68">
        <f>RANK(TAcum[[#This Row],[j48]],TAcum[[#All],[j48]],0)</f>
        <v>64</v>
      </c>
      <c r="AY68">
        <f>RANK(TAcum[[#This Row],[j49]],TAcum[[#All],[j49]],0)</f>
        <v>64</v>
      </c>
      <c r="AZ68">
        <f>RANK(TAcum[[#This Row],[j50]],TAcum[[#All],[j50]],0)</f>
        <v>64</v>
      </c>
      <c r="BA68">
        <f>RANK(TAcum[[#This Row],[j51]],TAcum[[#All],[j51]],0)</f>
        <v>64</v>
      </c>
      <c r="BB68">
        <f>RANK(TAcum[[#This Row],[j52]],TAcum[[#All],[j52]],0)</f>
        <v>64</v>
      </c>
      <c r="BC68">
        <f>RANK(TAcum[[#This Row],[j53]],TAcum[[#All],[j53]],0)</f>
        <v>64</v>
      </c>
      <c r="BD68">
        <f>RANK(TAcum[[#This Row],[j54]],TAcum[[#All],[j54]],0)</f>
        <v>64</v>
      </c>
      <c r="BE68">
        <f>RANK(TAcum[[#This Row],[j55]],TAcum[[#All],[j55]],0)</f>
        <v>64</v>
      </c>
      <c r="BF68">
        <f>RANK(TAcum[[#This Row],[j56]],TAcum[[#All],[j56]],0)</f>
        <v>64</v>
      </c>
      <c r="BG68">
        <f>RANK(TAcum[[#This Row],[j57]],TAcum[[#All],[j57]],0)</f>
        <v>64</v>
      </c>
      <c r="BH68">
        <f>RANK(TAcum[[#This Row],[j58]],TAcum[[#All],[j58]],0)</f>
        <v>64</v>
      </c>
      <c r="BI68">
        <f>RANK(TAcum[[#This Row],[j59]],TAcum[[#All],[j59]],0)</f>
        <v>64</v>
      </c>
      <c r="BJ68">
        <f>RANK(TAcum[[#This Row],[j60]],TAcum[[#All],[j60]],0)</f>
        <v>64</v>
      </c>
      <c r="BK68">
        <f>RANK(TAcum[[#This Row],[j61]],TAcum[[#All],[j61]],0)</f>
        <v>64</v>
      </c>
      <c r="BL68">
        <f>RANK(TAcum[[#This Row],[j62]],TAcum[[#All],[j62]],0)</f>
        <v>64</v>
      </c>
      <c r="BM68">
        <f>RANK(TAcum[[#This Row],[j63]],TAcum[[#All],[j63]],0)</f>
        <v>64</v>
      </c>
      <c r="BN68">
        <f>RANK(TAcum[[#This Row],[j64]],TAcum[[#All],[j64]],0)</f>
        <v>64</v>
      </c>
      <c r="BO68">
        <f>RANK(TAcum[[#This Row],[j65]],TAcum[[#All],[j65]],0)</f>
        <v>64</v>
      </c>
      <c r="BP68">
        <f>RANK(TAcum[[#This Row],[j66]],TAcum[[#All],[j66]],0)</f>
        <v>64</v>
      </c>
      <c r="BQ68">
        <f>RANK(TAcum[[#This Row],[j67]],TAcum[[#All],[j67]],0)</f>
        <v>64</v>
      </c>
      <c r="BR68">
        <f>RANK(TAcum[[#This Row],[j68]],TAcum[[#All],[j68]],0)</f>
        <v>64</v>
      </c>
      <c r="BS68">
        <f>RANK(TAcum[[#This Row],[j69]],TAcum[[#All],[j69]],0)</f>
        <v>64</v>
      </c>
      <c r="BT68">
        <f>RANK(TAcum[[#This Row],[j70]],TAcum[[#All],[j70]],0)</f>
        <v>64</v>
      </c>
      <c r="BU68">
        <f>RANK(TAcum[[#This Row],[j71]],TAcum[[#All],[j71]],0)</f>
        <v>64</v>
      </c>
      <c r="BV68">
        <f>RANK(TAcum[[#This Row],[j72]],TAcum[[#All],[j72]],0)</f>
        <v>64</v>
      </c>
      <c r="BW68">
        <f>RANK(TAcum[[#This Row],[j73]],TAcum[[#All],[j73]],0)</f>
        <v>64</v>
      </c>
    </row>
    <row r="69" spans="1:75" x14ac:dyDescent="0.25">
      <c r="A69" t="str">
        <f>TAcum[[#This Row],[Jogador]]</f>
        <v>Renato Avila</v>
      </c>
      <c r="B69">
        <f>RANK(TAcum[[#This Row],[total]],TAcum[[#All],[total]],0)</f>
        <v>64</v>
      </c>
      <c r="C69">
        <f>RANK(TAcum[[#This Row],[j01]],TAcum[[#All],[j01]],0)</f>
        <v>13</v>
      </c>
      <c r="D69">
        <f>RANK(TAcum[[#This Row],[j02]],TAcum[[#All],[j02]],0)</f>
        <v>14</v>
      </c>
      <c r="E69">
        <f>RANK(TAcum[[#This Row],[j03]],TAcum[[#All],[j03]],0)</f>
        <v>24</v>
      </c>
      <c r="F69">
        <f>RANK(TAcum[[#This Row],[j04]],TAcum[[#All],[j04]],0)</f>
        <v>9</v>
      </c>
      <c r="G69">
        <f>RANK(TAcum[[#This Row],[j05]],TAcum[[#All],[j05]],0)</f>
        <v>9</v>
      </c>
      <c r="H69">
        <f>RANK(TAcum[[#This Row],[j06]],TAcum[[#All],[j06]],0)</f>
        <v>23</v>
      </c>
      <c r="I69">
        <f>RANK(TAcum[[#This Row],[j07]],TAcum[[#All],[j07]],0)</f>
        <v>37</v>
      </c>
      <c r="J69">
        <f>RANK(TAcum[[#This Row],[j08]],TAcum[[#All],[j08]],0)</f>
        <v>27</v>
      </c>
      <c r="K69">
        <f>RANK(TAcum[[#This Row],[j09]],TAcum[[#All],[j09]],0)</f>
        <v>41</v>
      </c>
      <c r="L69">
        <f>RANK(TAcum[[#This Row],[j10]],TAcum[[#All],[j10]],0)</f>
        <v>42</v>
      </c>
      <c r="M69">
        <f>RANK(TAcum[[#This Row],[j11]],TAcum[[#All],[j11]],0)</f>
        <v>40</v>
      </c>
      <c r="N69">
        <f>RANK(TAcum[[#This Row],[j12]],TAcum[[#All],[j12]],0)</f>
        <v>50</v>
      </c>
      <c r="O69">
        <f>RANK(TAcum[[#This Row],[j13]],TAcum[[#All],[j13]],0)</f>
        <v>51</v>
      </c>
      <c r="P69">
        <f>RANK(TAcum[[#This Row],[j14]],TAcum[[#All],[j14]],0)</f>
        <v>59</v>
      </c>
      <c r="Q69">
        <f>RANK(TAcum[[#This Row],[j15]],TAcum[[#All],[j15]],0)</f>
        <v>55</v>
      </c>
      <c r="R69">
        <f>RANK(TAcum[[#This Row],[j16]],TAcum[[#All],[j16]],0)</f>
        <v>63</v>
      </c>
      <c r="S69">
        <f>RANK(TAcum[[#This Row],[j17]],TAcum[[#All],[j17]],0)</f>
        <v>68</v>
      </c>
      <c r="T69">
        <f>RANK(TAcum[[#This Row],[j18]],TAcum[[#All],[j18]],0)</f>
        <v>63</v>
      </c>
      <c r="U69">
        <f>RANK(TAcum[[#This Row],[j19]],TAcum[[#All],[j19]],0)</f>
        <v>57</v>
      </c>
      <c r="V69">
        <f>RANK(TAcum[[#This Row],[j20]],TAcum[[#All],[j20]],0)</f>
        <v>55</v>
      </c>
      <c r="W69">
        <f>RANK(TAcum[[#This Row],[j21]],TAcum[[#All],[j21]],0)</f>
        <v>56</v>
      </c>
      <c r="X69">
        <f>RANK(TAcum[[#This Row],[j22]],TAcum[[#All],[j22]],0)</f>
        <v>62</v>
      </c>
      <c r="Y69">
        <f>RANK(TAcum[[#This Row],[j23]],TAcum[[#All],[j23]],0)</f>
        <v>62</v>
      </c>
      <c r="Z69">
        <f>RANK(TAcum[[#This Row],[j24]],TAcum[[#All],[j24]],0)</f>
        <v>69</v>
      </c>
      <c r="AA69">
        <f>RANK(TAcum[[#This Row],[j25]],TAcum[[#All],[j25]],0)</f>
        <v>76</v>
      </c>
      <c r="AB69">
        <f>RANK(TAcum[[#This Row],[j26]],TAcum[[#All],[j26]],0)</f>
        <v>81</v>
      </c>
      <c r="AC69">
        <f>RANK(TAcum[[#This Row],[j27]],TAcum[[#All],[j27]],0)</f>
        <v>81</v>
      </c>
      <c r="AD69">
        <f>RANK(TAcum[[#This Row],[j28]],TAcum[[#All],[j28]],0)</f>
        <v>81</v>
      </c>
      <c r="AE69">
        <f>RANK(TAcum[[#This Row],[j29]],TAcum[[#All],[j29]],0)</f>
        <v>64</v>
      </c>
      <c r="AF69">
        <f>RANK(TAcum[[#This Row],[j30]],TAcum[[#All],[j30]],0)</f>
        <v>64</v>
      </c>
      <c r="AG69">
        <f>RANK(TAcum[[#This Row],[j31]],TAcum[[#All],[j31]],0)</f>
        <v>64</v>
      </c>
      <c r="AH69">
        <f>RANK(TAcum[[#This Row],[j32]],TAcum[[#All],[j32]],0)</f>
        <v>64</v>
      </c>
      <c r="AI69">
        <f>RANK(TAcum[[#This Row],[j33]],TAcum[[#All],[j33]],0)</f>
        <v>64</v>
      </c>
      <c r="AJ69">
        <f>RANK(TAcum[[#This Row],[j34]],TAcum[[#All],[j34]],0)</f>
        <v>64</v>
      </c>
      <c r="AK69">
        <f>RANK(TAcum[[#This Row],[j35]],TAcum[[#All],[j35]],0)</f>
        <v>64</v>
      </c>
      <c r="AL69">
        <f>RANK(TAcum[[#This Row],[j36]],TAcum[[#All],[j36]],0)</f>
        <v>64</v>
      </c>
      <c r="AM69">
        <f>RANK(TAcum[[#This Row],[j37]],TAcum[[#All],[j37]],0)</f>
        <v>64</v>
      </c>
      <c r="AN69">
        <f>RANK(TAcum[[#This Row],[j38]],TAcum[[#All],[j38]],0)</f>
        <v>64</v>
      </c>
      <c r="AO69">
        <f>RANK(TAcum[[#This Row],[j39]],TAcum[[#All],[j39]],0)</f>
        <v>64</v>
      </c>
      <c r="AP69">
        <f>RANK(TAcum[[#This Row],[j40]],TAcum[[#All],[j40]],0)</f>
        <v>64</v>
      </c>
      <c r="AQ69">
        <f>RANK(TAcum[[#This Row],[j41]],TAcum[[#All],[j41]],0)</f>
        <v>64</v>
      </c>
      <c r="AR69">
        <f>RANK(TAcum[[#This Row],[j42]],TAcum[[#All],[j42]],0)</f>
        <v>64</v>
      </c>
      <c r="AS69">
        <f>RANK(TAcum[[#This Row],[j43]],TAcum[[#All],[j43]],0)</f>
        <v>64</v>
      </c>
      <c r="AT69">
        <f>RANK(TAcum[[#This Row],[j44]],TAcum[[#All],[j44]],0)</f>
        <v>64</v>
      </c>
      <c r="AU69">
        <f>RANK(TAcum[[#This Row],[j45]],TAcum[[#All],[j45]],0)</f>
        <v>64</v>
      </c>
      <c r="AV69">
        <f>RANK(TAcum[[#This Row],[j46]],TAcum[[#All],[j46]],0)</f>
        <v>64</v>
      </c>
      <c r="AW69">
        <f>RANK(TAcum[[#This Row],[j47]],TAcum[[#All],[j47]],0)</f>
        <v>64</v>
      </c>
      <c r="AX69">
        <f>RANK(TAcum[[#This Row],[j48]],TAcum[[#All],[j48]],0)</f>
        <v>64</v>
      </c>
      <c r="AY69">
        <f>RANK(TAcum[[#This Row],[j49]],TAcum[[#All],[j49]],0)</f>
        <v>64</v>
      </c>
      <c r="AZ69">
        <f>RANK(TAcum[[#This Row],[j50]],TAcum[[#All],[j50]],0)</f>
        <v>64</v>
      </c>
      <c r="BA69">
        <f>RANK(TAcum[[#This Row],[j51]],TAcum[[#All],[j51]],0)</f>
        <v>64</v>
      </c>
      <c r="BB69">
        <f>RANK(TAcum[[#This Row],[j52]],TAcum[[#All],[j52]],0)</f>
        <v>64</v>
      </c>
      <c r="BC69">
        <f>RANK(TAcum[[#This Row],[j53]],TAcum[[#All],[j53]],0)</f>
        <v>64</v>
      </c>
      <c r="BD69">
        <f>RANK(TAcum[[#This Row],[j54]],TAcum[[#All],[j54]],0)</f>
        <v>64</v>
      </c>
      <c r="BE69">
        <f>RANK(TAcum[[#This Row],[j55]],TAcum[[#All],[j55]],0)</f>
        <v>64</v>
      </c>
      <c r="BF69">
        <f>RANK(TAcum[[#This Row],[j56]],TAcum[[#All],[j56]],0)</f>
        <v>64</v>
      </c>
      <c r="BG69">
        <f>RANK(TAcum[[#This Row],[j57]],TAcum[[#All],[j57]],0)</f>
        <v>64</v>
      </c>
      <c r="BH69">
        <f>RANK(TAcum[[#This Row],[j58]],TAcum[[#All],[j58]],0)</f>
        <v>64</v>
      </c>
      <c r="BI69">
        <f>RANK(TAcum[[#This Row],[j59]],TAcum[[#All],[j59]],0)</f>
        <v>64</v>
      </c>
      <c r="BJ69">
        <f>RANK(TAcum[[#This Row],[j60]],TAcum[[#All],[j60]],0)</f>
        <v>64</v>
      </c>
      <c r="BK69">
        <f>RANK(TAcum[[#This Row],[j61]],TAcum[[#All],[j61]],0)</f>
        <v>64</v>
      </c>
      <c r="BL69">
        <f>RANK(TAcum[[#This Row],[j62]],TAcum[[#All],[j62]],0)</f>
        <v>64</v>
      </c>
      <c r="BM69">
        <f>RANK(TAcum[[#This Row],[j63]],TAcum[[#All],[j63]],0)</f>
        <v>64</v>
      </c>
      <c r="BN69">
        <f>RANK(TAcum[[#This Row],[j64]],TAcum[[#All],[j64]],0)</f>
        <v>64</v>
      </c>
      <c r="BO69">
        <f>RANK(TAcum[[#This Row],[j65]],TAcum[[#All],[j65]],0)</f>
        <v>64</v>
      </c>
      <c r="BP69">
        <f>RANK(TAcum[[#This Row],[j66]],TAcum[[#All],[j66]],0)</f>
        <v>64</v>
      </c>
      <c r="BQ69">
        <f>RANK(TAcum[[#This Row],[j67]],TAcum[[#All],[j67]],0)</f>
        <v>64</v>
      </c>
      <c r="BR69">
        <f>RANK(TAcum[[#This Row],[j68]],TAcum[[#All],[j68]],0)</f>
        <v>64</v>
      </c>
      <c r="BS69">
        <f>RANK(TAcum[[#This Row],[j69]],TAcum[[#All],[j69]],0)</f>
        <v>64</v>
      </c>
      <c r="BT69">
        <f>RANK(TAcum[[#This Row],[j70]],TAcum[[#All],[j70]],0)</f>
        <v>64</v>
      </c>
      <c r="BU69">
        <f>RANK(TAcum[[#This Row],[j71]],TAcum[[#All],[j71]],0)</f>
        <v>64</v>
      </c>
      <c r="BV69">
        <f>RANK(TAcum[[#This Row],[j72]],TAcum[[#All],[j72]],0)</f>
        <v>64</v>
      </c>
      <c r="BW69">
        <f>RANK(TAcum[[#This Row],[j73]],TAcum[[#All],[j73]],0)</f>
        <v>64</v>
      </c>
    </row>
    <row r="70" spans="1:75" x14ac:dyDescent="0.25">
      <c r="A70" t="str">
        <f>TAcum[[#This Row],[Jogador]]</f>
        <v>Emerentino Quadro</v>
      </c>
      <c r="B70">
        <f>RANK(TAcum[[#This Row],[total]],TAcum[[#All],[total]],0)</f>
        <v>69</v>
      </c>
      <c r="C70">
        <f>RANK(TAcum[[#This Row],[j01]],TAcum[[#All],[j01]],0)</f>
        <v>13</v>
      </c>
      <c r="D70">
        <f>RANK(TAcum[[#This Row],[j02]],TAcum[[#All],[j02]],0)</f>
        <v>14</v>
      </c>
      <c r="E70">
        <f>RANK(TAcum[[#This Row],[j03]],TAcum[[#All],[j03]],0)</f>
        <v>52</v>
      </c>
      <c r="F70">
        <f>RANK(TAcum[[#This Row],[j04]],TAcum[[#All],[j04]],0)</f>
        <v>77</v>
      </c>
      <c r="G70">
        <f>RANK(TAcum[[#This Row],[j05]],TAcum[[#All],[j05]],0)</f>
        <v>79</v>
      </c>
      <c r="H70">
        <f>RANK(TAcum[[#This Row],[j06]],TAcum[[#All],[j06]],0)</f>
        <v>77</v>
      </c>
      <c r="I70">
        <f>RANK(TAcum[[#This Row],[j07]],TAcum[[#All],[j07]],0)</f>
        <v>82</v>
      </c>
      <c r="J70">
        <f>RANK(TAcum[[#This Row],[j08]],TAcum[[#All],[j08]],0)</f>
        <v>80</v>
      </c>
      <c r="K70">
        <f>RANK(TAcum[[#This Row],[j09]],TAcum[[#All],[j09]],0)</f>
        <v>85</v>
      </c>
      <c r="L70">
        <f>RANK(TAcum[[#This Row],[j10]],TAcum[[#All],[j10]],0)</f>
        <v>86</v>
      </c>
      <c r="M70">
        <f>RANK(TAcum[[#This Row],[j11]],TAcum[[#All],[j11]],0)</f>
        <v>82</v>
      </c>
      <c r="N70">
        <f>RANK(TAcum[[#This Row],[j12]],TAcum[[#All],[j12]],0)</f>
        <v>81</v>
      </c>
      <c r="O70">
        <f>RANK(TAcum[[#This Row],[j13]],TAcum[[#All],[j13]],0)</f>
        <v>98</v>
      </c>
      <c r="P70">
        <f>RANK(TAcum[[#This Row],[j14]],TAcum[[#All],[j14]],0)</f>
        <v>100</v>
      </c>
      <c r="Q70">
        <f>RANK(TAcum[[#This Row],[j15]],TAcum[[#All],[j15]],0)</f>
        <v>100</v>
      </c>
      <c r="R70">
        <f>RANK(TAcum[[#This Row],[j16]],TAcum[[#All],[j16]],0)</f>
        <v>98</v>
      </c>
      <c r="S70">
        <f>RANK(TAcum[[#This Row],[j17]],TAcum[[#All],[j17]],0)</f>
        <v>104</v>
      </c>
      <c r="T70">
        <f>RANK(TAcum[[#This Row],[j18]],TAcum[[#All],[j18]],0)</f>
        <v>104</v>
      </c>
      <c r="U70">
        <f>RANK(TAcum[[#This Row],[j19]],TAcum[[#All],[j19]],0)</f>
        <v>95</v>
      </c>
      <c r="V70">
        <f>RANK(TAcum[[#This Row],[j20]],TAcum[[#All],[j20]],0)</f>
        <v>98</v>
      </c>
      <c r="W70">
        <f>RANK(TAcum[[#This Row],[j21]],TAcum[[#All],[j21]],0)</f>
        <v>100</v>
      </c>
      <c r="X70">
        <f>RANK(TAcum[[#This Row],[j22]],TAcum[[#All],[j22]],0)</f>
        <v>93</v>
      </c>
      <c r="Y70">
        <f>RANK(TAcum[[#This Row],[j23]],TAcum[[#All],[j23]],0)</f>
        <v>89</v>
      </c>
      <c r="Z70">
        <f>RANK(TAcum[[#This Row],[j24]],TAcum[[#All],[j24]],0)</f>
        <v>83</v>
      </c>
      <c r="AA70">
        <f>RANK(TAcum[[#This Row],[j25]],TAcum[[#All],[j25]],0)</f>
        <v>79</v>
      </c>
      <c r="AB70">
        <f>RANK(TAcum[[#This Row],[j26]],TAcum[[#All],[j26]],0)</f>
        <v>59</v>
      </c>
      <c r="AC70">
        <f>RANK(TAcum[[#This Row],[j27]],TAcum[[#All],[j27]],0)</f>
        <v>59</v>
      </c>
      <c r="AD70">
        <f>RANK(TAcum[[#This Row],[j28]],TAcum[[#All],[j28]],0)</f>
        <v>60</v>
      </c>
      <c r="AE70">
        <f>RANK(TAcum[[#This Row],[j29]],TAcum[[#All],[j29]],0)</f>
        <v>69</v>
      </c>
      <c r="AF70">
        <f>RANK(TAcum[[#This Row],[j30]],TAcum[[#All],[j30]],0)</f>
        <v>69</v>
      </c>
      <c r="AG70">
        <f>RANK(TAcum[[#This Row],[j31]],TAcum[[#All],[j31]],0)</f>
        <v>69</v>
      </c>
      <c r="AH70">
        <f>RANK(TAcum[[#This Row],[j32]],TAcum[[#All],[j32]],0)</f>
        <v>69</v>
      </c>
      <c r="AI70">
        <f>RANK(TAcum[[#This Row],[j33]],TAcum[[#All],[j33]],0)</f>
        <v>69</v>
      </c>
      <c r="AJ70">
        <f>RANK(TAcum[[#This Row],[j34]],TAcum[[#All],[j34]],0)</f>
        <v>69</v>
      </c>
      <c r="AK70">
        <f>RANK(TAcum[[#This Row],[j35]],TAcum[[#All],[j35]],0)</f>
        <v>69</v>
      </c>
      <c r="AL70">
        <f>RANK(TAcum[[#This Row],[j36]],TAcum[[#All],[j36]],0)</f>
        <v>69</v>
      </c>
      <c r="AM70">
        <f>RANK(TAcum[[#This Row],[j37]],TAcum[[#All],[j37]],0)</f>
        <v>69</v>
      </c>
      <c r="AN70">
        <f>RANK(TAcum[[#This Row],[j38]],TAcum[[#All],[j38]],0)</f>
        <v>69</v>
      </c>
      <c r="AO70">
        <f>RANK(TAcum[[#This Row],[j39]],TAcum[[#All],[j39]],0)</f>
        <v>69</v>
      </c>
      <c r="AP70">
        <f>RANK(TAcum[[#This Row],[j40]],TAcum[[#All],[j40]],0)</f>
        <v>69</v>
      </c>
      <c r="AQ70">
        <f>RANK(TAcum[[#This Row],[j41]],TAcum[[#All],[j41]],0)</f>
        <v>69</v>
      </c>
      <c r="AR70">
        <f>RANK(TAcum[[#This Row],[j42]],TAcum[[#All],[j42]],0)</f>
        <v>69</v>
      </c>
      <c r="AS70">
        <f>RANK(TAcum[[#This Row],[j43]],TAcum[[#All],[j43]],0)</f>
        <v>69</v>
      </c>
      <c r="AT70">
        <f>RANK(TAcum[[#This Row],[j44]],TAcum[[#All],[j44]],0)</f>
        <v>69</v>
      </c>
      <c r="AU70">
        <f>RANK(TAcum[[#This Row],[j45]],TAcum[[#All],[j45]],0)</f>
        <v>69</v>
      </c>
      <c r="AV70">
        <f>RANK(TAcum[[#This Row],[j46]],TAcum[[#All],[j46]],0)</f>
        <v>69</v>
      </c>
      <c r="AW70">
        <f>RANK(TAcum[[#This Row],[j47]],TAcum[[#All],[j47]],0)</f>
        <v>69</v>
      </c>
      <c r="AX70">
        <f>RANK(TAcum[[#This Row],[j48]],TAcum[[#All],[j48]],0)</f>
        <v>69</v>
      </c>
      <c r="AY70">
        <f>RANK(TAcum[[#This Row],[j49]],TAcum[[#All],[j49]],0)</f>
        <v>69</v>
      </c>
      <c r="AZ70">
        <f>RANK(TAcum[[#This Row],[j50]],TAcum[[#All],[j50]],0)</f>
        <v>69</v>
      </c>
      <c r="BA70">
        <f>RANK(TAcum[[#This Row],[j51]],TAcum[[#All],[j51]],0)</f>
        <v>69</v>
      </c>
      <c r="BB70">
        <f>RANK(TAcum[[#This Row],[j52]],TAcum[[#All],[j52]],0)</f>
        <v>69</v>
      </c>
      <c r="BC70">
        <f>RANK(TAcum[[#This Row],[j53]],TAcum[[#All],[j53]],0)</f>
        <v>69</v>
      </c>
      <c r="BD70">
        <f>RANK(TAcum[[#This Row],[j54]],TAcum[[#All],[j54]],0)</f>
        <v>69</v>
      </c>
      <c r="BE70">
        <f>RANK(TAcum[[#This Row],[j55]],TAcum[[#All],[j55]],0)</f>
        <v>69</v>
      </c>
      <c r="BF70">
        <f>RANK(TAcum[[#This Row],[j56]],TAcum[[#All],[j56]],0)</f>
        <v>69</v>
      </c>
      <c r="BG70">
        <f>RANK(TAcum[[#This Row],[j57]],TAcum[[#All],[j57]],0)</f>
        <v>69</v>
      </c>
      <c r="BH70">
        <f>RANK(TAcum[[#This Row],[j58]],TAcum[[#All],[j58]],0)</f>
        <v>69</v>
      </c>
      <c r="BI70">
        <f>RANK(TAcum[[#This Row],[j59]],TAcum[[#All],[j59]],0)</f>
        <v>69</v>
      </c>
      <c r="BJ70">
        <f>RANK(TAcum[[#This Row],[j60]],TAcum[[#All],[j60]],0)</f>
        <v>69</v>
      </c>
      <c r="BK70">
        <f>RANK(TAcum[[#This Row],[j61]],TAcum[[#All],[j61]],0)</f>
        <v>69</v>
      </c>
      <c r="BL70">
        <f>RANK(TAcum[[#This Row],[j62]],TAcum[[#All],[j62]],0)</f>
        <v>69</v>
      </c>
      <c r="BM70">
        <f>RANK(TAcum[[#This Row],[j63]],TAcum[[#All],[j63]],0)</f>
        <v>69</v>
      </c>
      <c r="BN70">
        <f>RANK(TAcum[[#This Row],[j64]],TAcum[[#All],[j64]],0)</f>
        <v>69</v>
      </c>
      <c r="BO70">
        <f>RANK(TAcum[[#This Row],[j65]],TAcum[[#All],[j65]],0)</f>
        <v>69</v>
      </c>
      <c r="BP70">
        <f>RANK(TAcum[[#This Row],[j66]],TAcum[[#All],[j66]],0)</f>
        <v>69</v>
      </c>
      <c r="BQ70">
        <f>RANK(TAcum[[#This Row],[j67]],TAcum[[#All],[j67]],0)</f>
        <v>69</v>
      </c>
      <c r="BR70">
        <f>RANK(TAcum[[#This Row],[j68]],TAcum[[#All],[j68]],0)</f>
        <v>69</v>
      </c>
      <c r="BS70">
        <f>RANK(TAcum[[#This Row],[j69]],TAcum[[#All],[j69]],0)</f>
        <v>69</v>
      </c>
      <c r="BT70">
        <f>RANK(TAcum[[#This Row],[j70]],TAcum[[#All],[j70]],0)</f>
        <v>69</v>
      </c>
      <c r="BU70">
        <f>RANK(TAcum[[#This Row],[j71]],TAcum[[#All],[j71]],0)</f>
        <v>69</v>
      </c>
      <c r="BV70">
        <f>RANK(TAcum[[#This Row],[j72]],TAcum[[#All],[j72]],0)</f>
        <v>69</v>
      </c>
      <c r="BW70">
        <f>RANK(TAcum[[#This Row],[j73]],TAcum[[#All],[j73]],0)</f>
        <v>69</v>
      </c>
    </row>
    <row r="71" spans="1:75" x14ac:dyDescent="0.25">
      <c r="A71" t="str">
        <f>TAcum[[#This Row],[Jogador]]</f>
        <v>Clecia Paloma</v>
      </c>
      <c r="B71">
        <f>RANK(TAcum[[#This Row],[total]],TAcum[[#All],[total]],0)</f>
        <v>70</v>
      </c>
      <c r="C71">
        <f>RANK(TAcum[[#This Row],[j01]],TAcum[[#All],[j01]],0)</f>
        <v>78</v>
      </c>
      <c r="D71">
        <f>RANK(TAcum[[#This Row],[j02]],TAcum[[#All],[j02]],0)</f>
        <v>77</v>
      </c>
      <c r="E71">
        <f>RANK(TAcum[[#This Row],[j03]],TAcum[[#All],[j03]],0)</f>
        <v>82</v>
      </c>
      <c r="F71">
        <f>RANK(TAcum[[#This Row],[j04]],TAcum[[#All],[j04]],0)</f>
        <v>98</v>
      </c>
      <c r="G71">
        <f>RANK(TAcum[[#This Row],[j05]],TAcum[[#All],[j05]],0)</f>
        <v>98</v>
      </c>
      <c r="H71">
        <f>RANK(TAcum[[#This Row],[j06]],TAcum[[#All],[j06]],0)</f>
        <v>100</v>
      </c>
      <c r="I71">
        <f>RANK(TAcum[[#This Row],[j07]],TAcum[[#All],[j07]],0)</f>
        <v>103</v>
      </c>
      <c r="J71">
        <f>RANK(TAcum[[#This Row],[j08]],TAcum[[#All],[j08]],0)</f>
        <v>102</v>
      </c>
      <c r="K71">
        <f>RANK(TAcum[[#This Row],[j09]],TAcum[[#All],[j09]],0)</f>
        <v>102</v>
      </c>
      <c r="L71">
        <f>RANK(TAcum[[#This Row],[j10]],TAcum[[#All],[j10]],0)</f>
        <v>103</v>
      </c>
      <c r="M71">
        <f>RANK(TAcum[[#This Row],[j11]],TAcum[[#All],[j11]],0)</f>
        <v>99</v>
      </c>
      <c r="N71">
        <f>RANK(TAcum[[#This Row],[j12]],TAcum[[#All],[j12]],0)</f>
        <v>98</v>
      </c>
      <c r="O71">
        <f>RANK(TAcum[[#This Row],[j13]],TAcum[[#All],[j13]],0)</f>
        <v>80</v>
      </c>
      <c r="P71">
        <f>RANK(TAcum[[#This Row],[j14]],TAcum[[#All],[j14]],0)</f>
        <v>83</v>
      </c>
      <c r="Q71">
        <f>RANK(TAcum[[#This Row],[j15]],TAcum[[#All],[j15]],0)</f>
        <v>81</v>
      </c>
      <c r="R71">
        <f>RANK(TAcum[[#This Row],[j16]],TAcum[[#All],[j16]],0)</f>
        <v>84</v>
      </c>
      <c r="S71">
        <f>RANK(TAcum[[#This Row],[j17]],TAcum[[#All],[j17]],0)</f>
        <v>87</v>
      </c>
      <c r="T71">
        <f>RANK(TAcum[[#This Row],[j18]],TAcum[[#All],[j18]],0)</f>
        <v>70</v>
      </c>
      <c r="U71">
        <f>RANK(TAcum[[#This Row],[j19]],TAcum[[#All],[j19]],0)</f>
        <v>67</v>
      </c>
      <c r="V71">
        <f>RANK(TAcum[[#This Row],[j20]],TAcum[[#All],[j20]],0)</f>
        <v>67</v>
      </c>
      <c r="W71">
        <f>RANK(TAcum[[#This Row],[j21]],TAcum[[#All],[j21]],0)</f>
        <v>73</v>
      </c>
      <c r="X71">
        <f>RANK(TAcum[[#This Row],[j22]],TAcum[[#All],[j22]],0)</f>
        <v>75</v>
      </c>
      <c r="Y71">
        <f>RANK(TAcum[[#This Row],[j23]],TAcum[[#All],[j23]],0)</f>
        <v>77</v>
      </c>
      <c r="Z71">
        <f>RANK(TAcum[[#This Row],[j24]],TAcum[[#All],[j24]],0)</f>
        <v>64</v>
      </c>
      <c r="AA71">
        <f>RANK(TAcum[[#This Row],[j25]],TAcum[[#All],[j25]],0)</f>
        <v>66</v>
      </c>
      <c r="AB71">
        <f>RANK(TAcum[[#This Row],[j26]],TAcum[[#All],[j26]],0)</f>
        <v>72</v>
      </c>
      <c r="AC71">
        <f>RANK(TAcum[[#This Row],[j27]],TAcum[[#All],[j27]],0)</f>
        <v>72</v>
      </c>
      <c r="AD71">
        <f>RANK(TAcum[[#This Row],[j28]],TAcum[[#All],[j28]],0)</f>
        <v>71</v>
      </c>
      <c r="AE71">
        <f>RANK(TAcum[[#This Row],[j29]],TAcum[[#All],[j29]],0)</f>
        <v>70</v>
      </c>
      <c r="AF71">
        <f>RANK(TAcum[[#This Row],[j30]],TAcum[[#All],[j30]],0)</f>
        <v>70</v>
      </c>
      <c r="AG71">
        <f>RANK(TAcum[[#This Row],[j31]],TAcum[[#All],[j31]],0)</f>
        <v>70</v>
      </c>
      <c r="AH71">
        <f>RANK(TAcum[[#This Row],[j32]],TAcum[[#All],[j32]],0)</f>
        <v>70</v>
      </c>
      <c r="AI71">
        <f>RANK(TAcum[[#This Row],[j33]],TAcum[[#All],[j33]],0)</f>
        <v>70</v>
      </c>
      <c r="AJ71">
        <f>RANK(TAcum[[#This Row],[j34]],TAcum[[#All],[j34]],0)</f>
        <v>70</v>
      </c>
      <c r="AK71">
        <f>RANK(TAcum[[#This Row],[j35]],TAcum[[#All],[j35]],0)</f>
        <v>70</v>
      </c>
      <c r="AL71">
        <f>RANK(TAcum[[#This Row],[j36]],TAcum[[#All],[j36]],0)</f>
        <v>70</v>
      </c>
      <c r="AM71">
        <f>RANK(TAcum[[#This Row],[j37]],TAcum[[#All],[j37]],0)</f>
        <v>70</v>
      </c>
      <c r="AN71">
        <f>RANK(TAcum[[#This Row],[j38]],TAcum[[#All],[j38]],0)</f>
        <v>70</v>
      </c>
      <c r="AO71">
        <f>RANK(TAcum[[#This Row],[j39]],TAcum[[#All],[j39]],0)</f>
        <v>70</v>
      </c>
      <c r="AP71">
        <f>RANK(TAcum[[#This Row],[j40]],TAcum[[#All],[j40]],0)</f>
        <v>70</v>
      </c>
      <c r="AQ71">
        <f>RANK(TAcum[[#This Row],[j41]],TAcum[[#All],[j41]],0)</f>
        <v>70</v>
      </c>
      <c r="AR71">
        <f>RANK(TAcum[[#This Row],[j42]],TAcum[[#All],[j42]],0)</f>
        <v>70</v>
      </c>
      <c r="AS71">
        <f>RANK(TAcum[[#This Row],[j43]],TAcum[[#All],[j43]],0)</f>
        <v>70</v>
      </c>
      <c r="AT71">
        <f>RANK(TAcum[[#This Row],[j44]],TAcum[[#All],[j44]],0)</f>
        <v>70</v>
      </c>
      <c r="AU71">
        <f>RANK(TAcum[[#This Row],[j45]],TAcum[[#All],[j45]],0)</f>
        <v>70</v>
      </c>
      <c r="AV71">
        <f>RANK(TAcum[[#This Row],[j46]],TAcum[[#All],[j46]],0)</f>
        <v>70</v>
      </c>
      <c r="AW71">
        <f>RANK(TAcum[[#This Row],[j47]],TAcum[[#All],[j47]],0)</f>
        <v>70</v>
      </c>
      <c r="AX71">
        <f>RANK(TAcum[[#This Row],[j48]],TAcum[[#All],[j48]],0)</f>
        <v>70</v>
      </c>
      <c r="AY71">
        <f>RANK(TAcum[[#This Row],[j49]],TAcum[[#All],[j49]],0)</f>
        <v>70</v>
      </c>
      <c r="AZ71">
        <f>RANK(TAcum[[#This Row],[j50]],TAcum[[#All],[j50]],0)</f>
        <v>70</v>
      </c>
      <c r="BA71">
        <f>RANK(TAcum[[#This Row],[j51]],TAcum[[#All],[j51]],0)</f>
        <v>70</v>
      </c>
      <c r="BB71">
        <f>RANK(TAcum[[#This Row],[j52]],TAcum[[#All],[j52]],0)</f>
        <v>70</v>
      </c>
      <c r="BC71">
        <f>RANK(TAcum[[#This Row],[j53]],TAcum[[#All],[j53]],0)</f>
        <v>70</v>
      </c>
      <c r="BD71">
        <f>RANK(TAcum[[#This Row],[j54]],TAcum[[#All],[j54]],0)</f>
        <v>70</v>
      </c>
      <c r="BE71">
        <f>RANK(TAcum[[#This Row],[j55]],TAcum[[#All],[j55]],0)</f>
        <v>70</v>
      </c>
      <c r="BF71">
        <f>RANK(TAcum[[#This Row],[j56]],TAcum[[#All],[j56]],0)</f>
        <v>70</v>
      </c>
      <c r="BG71">
        <f>RANK(TAcum[[#This Row],[j57]],TAcum[[#All],[j57]],0)</f>
        <v>70</v>
      </c>
      <c r="BH71">
        <f>RANK(TAcum[[#This Row],[j58]],TAcum[[#All],[j58]],0)</f>
        <v>70</v>
      </c>
      <c r="BI71">
        <f>RANK(TAcum[[#This Row],[j59]],TAcum[[#All],[j59]],0)</f>
        <v>70</v>
      </c>
      <c r="BJ71">
        <f>RANK(TAcum[[#This Row],[j60]],TAcum[[#All],[j60]],0)</f>
        <v>70</v>
      </c>
      <c r="BK71">
        <f>RANK(TAcum[[#This Row],[j61]],TAcum[[#All],[j61]],0)</f>
        <v>70</v>
      </c>
      <c r="BL71">
        <f>RANK(TAcum[[#This Row],[j62]],TAcum[[#All],[j62]],0)</f>
        <v>70</v>
      </c>
      <c r="BM71">
        <f>RANK(TAcum[[#This Row],[j63]],TAcum[[#All],[j63]],0)</f>
        <v>70</v>
      </c>
      <c r="BN71">
        <f>RANK(TAcum[[#This Row],[j64]],TAcum[[#All],[j64]],0)</f>
        <v>70</v>
      </c>
      <c r="BO71">
        <f>RANK(TAcum[[#This Row],[j65]],TAcum[[#All],[j65]],0)</f>
        <v>70</v>
      </c>
      <c r="BP71">
        <f>RANK(TAcum[[#This Row],[j66]],TAcum[[#All],[j66]],0)</f>
        <v>70</v>
      </c>
      <c r="BQ71">
        <f>RANK(TAcum[[#This Row],[j67]],TAcum[[#All],[j67]],0)</f>
        <v>70</v>
      </c>
      <c r="BR71">
        <f>RANK(TAcum[[#This Row],[j68]],TAcum[[#All],[j68]],0)</f>
        <v>70</v>
      </c>
      <c r="BS71">
        <f>RANK(TAcum[[#This Row],[j69]],TAcum[[#All],[j69]],0)</f>
        <v>70</v>
      </c>
      <c r="BT71">
        <f>RANK(TAcum[[#This Row],[j70]],TAcum[[#All],[j70]],0)</f>
        <v>70</v>
      </c>
      <c r="BU71">
        <f>RANK(TAcum[[#This Row],[j71]],TAcum[[#All],[j71]],0)</f>
        <v>70</v>
      </c>
      <c r="BV71">
        <f>RANK(TAcum[[#This Row],[j72]],TAcum[[#All],[j72]],0)</f>
        <v>70</v>
      </c>
      <c r="BW71">
        <f>RANK(TAcum[[#This Row],[j73]],TAcum[[#All],[j73]],0)</f>
        <v>70</v>
      </c>
    </row>
    <row r="72" spans="1:75" x14ac:dyDescent="0.25">
      <c r="A72" t="str">
        <f>TAcum[[#This Row],[Jogador]]</f>
        <v>Alberto Santos Santana</v>
      </c>
      <c r="B72">
        <f>RANK(TAcum[[#This Row],[total]],TAcum[[#All],[total]],0)</f>
        <v>71</v>
      </c>
      <c r="C72">
        <f>RANK(TAcum[[#This Row],[j01]],TAcum[[#All],[j01]],0)</f>
        <v>65</v>
      </c>
      <c r="D72">
        <f>RANK(TAcum[[#This Row],[j02]],TAcum[[#All],[j02]],0)</f>
        <v>62</v>
      </c>
      <c r="E72">
        <f>RANK(TAcum[[#This Row],[j03]],TAcum[[#All],[j03]],0)</f>
        <v>110</v>
      </c>
      <c r="F72">
        <f>RANK(TAcum[[#This Row],[j04]],TAcum[[#All],[j04]],0)</f>
        <v>113</v>
      </c>
      <c r="G72">
        <f>RANK(TAcum[[#This Row],[j05]],TAcum[[#All],[j05]],0)</f>
        <v>113</v>
      </c>
      <c r="H72">
        <f>RANK(TAcum[[#This Row],[j06]],TAcum[[#All],[j06]],0)</f>
        <v>113</v>
      </c>
      <c r="I72">
        <f>RANK(TAcum[[#This Row],[j07]],TAcum[[#All],[j07]],0)</f>
        <v>108</v>
      </c>
      <c r="J72">
        <f>RANK(TAcum[[#This Row],[j08]],TAcum[[#All],[j08]],0)</f>
        <v>112</v>
      </c>
      <c r="K72">
        <f>RANK(TAcum[[#This Row],[j09]],TAcum[[#All],[j09]],0)</f>
        <v>112</v>
      </c>
      <c r="L72">
        <f>RANK(TAcum[[#This Row],[j10]],TAcum[[#All],[j10]],0)</f>
        <v>113</v>
      </c>
      <c r="M72">
        <f>RANK(TAcum[[#This Row],[j11]],TAcum[[#All],[j11]],0)</f>
        <v>113</v>
      </c>
      <c r="N72">
        <f>RANK(TAcum[[#This Row],[j12]],TAcum[[#All],[j12]],0)</f>
        <v>110</v>
      </c>
      <c r="O72">
        <f>RANK(TAcum[[#This Row],[j13]],TAcum[[#All],[j13]],0)</f>
        <v>112</v>
      </c>
      <c r="P72">
        <f>RANK(TAcum[[#This Row],[j14]],TAcum[[#All],[j14]],0)</f>
        <v>114</v>
      </c>
      <c r="Q72">
        <f>RANK(TAcum[[#This Row],[j15]],TAcum[[#All],[j15]],0)</f>
        <v>114</v>
      </c>
      <c r="R72">
        <f>RANK(TAcum[[#This Row],[j16]],TAcum[[#All],[j16]],0)</f>
        <v>113</v>
      </c>
      <c r="S72">
        <f>RANK(TAcum[[#This Row],[j17]],TAcum[[#All],[j17]],0)</f>
        <v>111</v>
      </c>
      <c r="T72">
        <f>RANK(TAcum[[#This Row],[j18]],TAcum[[#All],[j18]],0)</f>
        <v>111</v>
      </c>
      <c r="U72">
        <f>RANK(TAcum[[#This Row],[j19]],TAcum[[#All],[j19]],0)</f>
        <v>110</v>
      </c>
      <c r="V72">
        <f>RANK(TAcum[[#This Row],[j20]],TAcum[[#All],[j20]],0)</f>
        <v>110</v>
      </c>
      <c r="W72">
        <f>RANK(TAcum[[#This Row],[j21]],TAcum[[#All],[j21]],0)</f>
        <v>100</v>
      </c>
      <c r="X72">
        <f>RANK(TAcum[[#This Row],[j22]],TAcum[[#All],[j22]],0)</f>
        <v>78</v>
      </c>
      <c r="Y72">
        <f>RANK(TAcum[[#This Row],[j23]],TAcum[[#All],[j23]],0)</f>
        <v>98</v>
      </c>
      <c r="Z72">
        <f>RANK(TAcum[[#This Row],[j24]],TAcum[[#All],[j24]],0)</f>
        <v>80</v>
      </c>
      <c r="AA72">
        <f>RANK(TAcum[[#This Row],[j25]],TAcum[[#All],[j25]],0)</f>
        <v>96</v>
      </c>
      <c r="AB72">
        <f>RANK(TAcum[[#This Row],[j26]],TAcum[[#All],[j26]],0)</f>
        <v>85</v>
      </c>
      <c r="AC72">
        <f>RANK(TAcum[[#This Row],[j27]],TAcum[[#All],[j27]],0)</f>
        <v>85</v>
      </c>
      <c r="AD72">
        <f>RANK(TAcum[[#This Row],[j28]],TAcum[[#All],[j28]],0)</f>
        <v>88</v>
      </c>
      <c r="AE72">
        <f>RANK(TAcum[[#This Row],[j29]],TAcum[[#All],[j29]],0)</f>
        <v>71</v>
      </c>
      <c r="AF72">
        <f>RANK(TAcum[[#This Row],[j30]],TAcum[[#All],[j30]],0)</f>
        <v>71</v>
      </c>
      <c r="AG72">
        <f>RANK(TAcum[[#This Row],[j31]],TAcum[[#All],[j31]],0)</f>
        <v>71</v>
      </c>
      <c r="AH72">
        <f>RANK(TAcum[[#This Row],[j32]],TAcum[[#All],[j32]],0)</f>
        <v>71</v>
      </c>
      <c r="AI72">
        <f>RANK(TAcum[[#This Row],[j33]],TAcum[[#All],[j33]],0)</f>
        <v>71</v>
      </c>
      <c r="AJ72">
        <f>RANK(TAcum[[#This Row],[j34]],TAcum[[#All],[j34]],0)</f>
        <v>71</v>
      </c>
      <c r="AK72">
        <f>RANK(TAcum[[#This Row],[j35]],TAcum[[#All],[j35]],0)</f>
        <v>71</v>
      </c>
      <c r="AL72">
        <f>RANK(TAcum[[#This Row],[j36]],TAcum[[#All],[j36]],0)</f>
        <v>71</v>
      </c>
      <c r="AM72">
        <f>RANK(TAcum[[#This Row],[j37]],TAcum[[#All],[j37]],0)</f>
        <v>71</v>
      </c>
      <c r="AN72">
        <f>RANK(TAcum[[#This Row],[j38]],TAcum[[#All],[j38]],0)</f>
        <v>71</v>
      </c>
      <c r="AO72">
        <f>RANK(TAcum[[#This Row],[j39]],TAcum[[#All],[j39]],0)</f>
        <v>71</v>
      </c>
      <c r="AP72">
        <f>RANK(TAcum[[#This Row],[j40]],TAcum[[#All],[j40]],0)</f>
        <v>71</v>
      </c>
      <c r="AQ72">
        <f>RANK(TAcum[[#This Row],[j41]],TAcum[[#All],[j41]],0)</f>
        <v>71</v>
      </c>
      <c r="AR72">
        <f>RANK(TAcum[[#This Row],[j42]],TAcum[[#All],[j42]],0)</f>
        <v>71</v>
      </c>
      <c r="AS72">
        <f>RANK(TAcum[[#This Row],[j43]],TAcum[[#All],[j43]],0)</f>
        <v>71</v>
      </c>
      <c r="AT72">
        <f>RANK(TAcum[[#This Row],[j44]],TAcum[[#All],[j44]],0)</f>
        <v>71</v>
      </c>
      <c r="AU72">
        <f>RANK(TAcum[[#This Row],[j45]],TAcum[[#All],[j45]],0)</f>
        <v>71</v>
      </c>
      <c r="AV72">
        <f>RANK(TAcum[[#This Row],[j46]],TAcum[[#All],[j46]],0)</f>
        <v>71</v>
      </c>
      <c r="AW72">
        <f>RANK(TAcum[[#This Row],[j47]],TAcum[[#All],[j47]],0)</f>
        <v>71</v>
      </c>
      <c r="AX72">
        <f>RANK(TAcum[[#This Row],[j48]],TAcum[[#All],[j48]],0)</f>
        <v>71</v>
      </c>
      <c r="AY72">
        <f>RANK(TAcum[[#This Row],[j49]],TAcum[[#All],[j49]],0)</f>
        <v>71</v>
      </c>
      <c r="AZ72">
        <f>RANK(TAcum[[#This Row],[j50]],TAcum[[#All],[j50]],0)</f>
        <v>71</v>
      </c>
      <c r="BA72">
        <f>RANK(TAcum[[#This Row],[j51]],TAcum[[#All],[j51]],0)</f>
        <v>71</v>
      </c>
      <c r="BB72">
        <f>RANK(TAcum[[#This Row],[j52]],TAcum[[#All],[j52]],0)</f>
        <v>71</v>
      </c>
      <c r="BC72">
        <f>RANK(TAcum[[#This Row],[j53]],TAcum[[#All],[j53]],0)</f>
        <v>71</v>
      </c>
      <c r="BD72">
        <f>RANK(TAcum[[#This Row],[j54]],TAcum[[#All],[j54]],0)</f>
        <v>71</v>
      </c>
      <c r="BE72">
        <f>RANK(TAcum[[#This Row],[j55]],TAcum[[#All],[j55]],0)</f>
        <v>71</v>
      </c>
      <c r="BF72">
        <f>RANK(TAcum[[#This Row],[j56]],TAcum[[#All],[j56]],0)</f>
        <v>71</v>
      </c>
      <c r="BG72">
        <f>RANK(TAcum[[#This Row],[j57]],TAcum[[#All],[j57]],0)</f>
        <v>71</v>
      </c>
      <c r="BH72">
        <f>RANK(TAcum[[#This Row],[j58]],TAcum[[#All],[j58]],0)</f>
        <v>71</v>
      </c>
      <c r="BI72">
        <f>RANK(TAcum[[#This Row],[j59]],TAcum[[#All],[j59]],0)</f>
        <v>71</v>
      </c>
      <c r="BJ72">
        <f>RANK(TAcum[[#This Row],[j60]],TAcum[[#All],[j60]],0)</f>
        <v>71</v>
      </c>
      <c r="BK72">
        <f>RANK(TAcum[[#This Row],[j61]],TAcum[[#All],[j61]],0)</f>
        <v>71</v>
      </c>
      <c r="BL72">
        <f>RANK(TAcum[[#This Row],[j62]],TAcum[[#All],[j62]],0)</f>
        <v>71</v>
      </c>
      <c r="BM72">
        <f>RANK(TAcum[[#This Row],[j63]],TAcum[[#All],[j63]],0)</f>
        <v>71</v>
      </c>
      <c r="BN72">
        <f>RANK(TAcum[[#This Row],[j64]],TAcum[[#All],[j64]],0)</f>
        <v>71</v>
      </c>
      <c r="BO72">
        <f>RANK(TAcum[[#This Row],[j65]],TAcum[[#All],[j65]],0)</f>
        <v>71</v>
      </c>
      <c r="BP72">
        <f>RANK(TAcum[[#This Row],[j66]],TAcum[[#All],[j66]],0)</f>
        <v>71</v>
      </c>
      <c r="BQ72">
        <f>RANK(TAcum[[#This Row],[j67]],TAcum[[#All],[j67]],0)</f>
        <v>71</v>
      </c>
      <c r="BR72">
        <f>RANK(TAcum[[#This Row],[j68]],TAcum[[#All],[j68]],0)</f>
        <v>71</v>
      </c>
      <c r="BS72">
        <f>RANK(TAcum[[#This Row],[j69]],TAcum[[#All],[j69]],0)</f>
        <v>71</v>
      </c>
      <c r="BT72">
        <f>RANK(TAcum[[#This Row],[j70]],TAcum[[#All],[j70]],0)</f>
        <v>71</v>
      </c>
      <c r="BU72">
        <f>RANK(TAcum[[#This Row],[j71]],TAcum[[#All],[j71]],0)</f>
        <v>71</v>
      </c>
      <c r="BV72">
        <f>RANK(TAcum[[#This Row],[j72]],TAcum[[#All],[j72]],0)</f>
        <v>71</v>
      </c>
      <c r="BW72">
        <f>RANK(TAcum[[#This Row],[j73]],TAcum[[#All],[j73]],0)</f>
        <v>71</v>
      </c>
    </row>
    <row r="73" spans="1:75" x14ac:dyDescent="0.25">
      <c r="A73" t="str">
        <f>TAcum[[#This Row],[Jogador]]</f>
        <v>Camila Dourado</v>
      </c>
      <c r="B73">
        <f>RANK(TAcum[[#This Row],[total]],TAcum[[#All],[total]],0)</f>
        <v>71</v>
      </c>
      <c r="C73">
        <f>RANK(TAcum[[#This Row],[j01]],TAcum[[#All],[j01]],0)</f>
        <v>65</v>
      </c>
      <c r="D73">
        <f>RANK(TAcum[[#This Row],[j02]],TAcum[[#All],[j02]],0)</f>
        <v>62</v>
      </c>
      <c r="E73">
        <f>RANK(TAcum[[#This Row],[j03]],TAcum[[#All],[j03]],0)</f>
        <v>82</v>
      </c>
      <c r="F73">
        <f>RANK(TAcum[[#This Row],[j04]],TAcum[[#All],[j04]],0)</f>
        <v>54</v>
      </c>
      <c r="G73">
        <f>RANK(TAcum[[#This Row],[j05]],TAcum[[#All],[j05]],0)</f>
        <v>55</v>
      </c>
      <c r="H73">
        <f>RANK(TAcum[[#This Row],[j06]],TAcum[[#All],[j06]],0)</f>
        <v>53</v>
      </c>
      <c r="I73">
        <f>RANK(TAcum[[#This Row],[j07]],TAcum[[#All],[j07]],0)</f>
        <v>61</v>
      </c>
      <c r="J73">
        <f>RANK(TAcum[[#This Row],[j08]],TAcum[[#All],[j08]],0)</f>
        <v>65</v>
      </c>
      <c r="K73">
        <f>RANK(TAcum[[#This Row],[j09]],TAcum[[#All],[j09]],0)</f>
        <v>41</v>
      </c>
      <c r="L73">
        <f>RANK(TAcum[[#This Row],[j10]],TAcum[[#All],[j10]],0)</f>
        <v>42</v>
      </c>
      <c r="M73">
        <f>RANK(TAcum[[#This Row],[j11]],TAcum[[#All],[j11]],0)</f>
        <v>51</v>
      </c>
      <c r="N73">
        <f>RANK(TAcum[[#This Row],[j12]],TAcum[[#All],[j12]],0)</f>
        <v>28</v>
      </c>
      <c r="O73">
        <f>RANK(TAcum[[#This Row],[j13]],TAcum[[#All],[j13]],0)</f>
        <v>56</v>
      </c>
      <c r="P73">
        <f>RANK(TAcum[[#This Row],[j14]],TAcum[[#All],[j14]],0)</f>
        <v>58</v>
      </c>
      <c r="Q73">
        <f>RANK(TAcum[[#This Row],[j15]],TAcum[[#All],[j15]],0)</f>
        <v>59</v>
      </c>
      <c r="R73">
        <f>RANK(TAcum[[#This Row],[j16]],TAcum[[#All],[j16]],0)</f>
        <v>69</v>
      </c>
      <c r="S73">
        <f>RANK(TAcum[[#This Row],[j17]],TAcum[[#All],[j17]],0)</f>
        <v>75</v>
      </c>
      <c r="T73">
        <f>RANK(TAcum[[#This Row],[j18]],TAcum[[#All],[j18]],0)</f>
        <v>76</v>
      </c>
      <c r="U73">
        <f>RANK(TAcum[[#This Row],[j19]],TAcum[[#All],[j19]],0)</f>
        <v>74</v>
      </c>
      <c r="V73">
        <f>RANK(TAcum[[#This Row],[j20]],TAcum[[#All],[j20]],0)</f>
        <v>81</v>
      </c>
      <c r="W73">
        <f>RANK(TAcum[[#This Row],[j21]],TAcum[[#All],[j21]],0)</f>
        <v>78</v>
      </c>
      <c r="X73">
        <f>RANK(TAcum[[#This Row],[j22]],TAcum[[#All],[j22]],0)</f>
        <v>83</v>
      </c>
      <c r="Y73">
        <f>RANK(TAcum[[#This Row],[j23]],TAcum[[#All],[j23]],0)</f>
        <v>95</v>
      </c>
      <c r="Z73">
        <f>RANK(TAcum[[#This Row],[j24]],TAcum[[#All],[j24]],0)</f>
        <v>88</v>
      </c>
      <c r="AA73">
        <f>RANK(TAcum[[#This Row],[j25]],TAcum[[#All],[j25]],0)</f>
        <v>84</v>
      </c>
      <c r="AB73">
        <f>RANK(TAcum[[#This Row],[j26]],TAcum[[#All],[j26]],0)</f>
        <v>65</v>
      </c>
      <c r="AC73">
        <f>RANK(TAcum[[#This Row],[j27]],TAcum[[#All],[j27]],0)</f>
        <v>65</v>
      </c>
      <c r="AD73">
        <f>RANK(TAcum[[#This Row],[j28]],TAcum[[#All],[j28]],0)</f>
        <v>74</v>
      </c>
      <c r="AE73">
        <f>RANK(TAcum[[#This Row],[j29]],TAcum[[#All],[j29]],0)</f>
        <v>71</v>
      </c>
      <c r="AF73">
        <f>RANK(TAcum[[#This Row],[j30]],TAcum[[#All],[j30]],0)</f>
        <v>71</v>
      </c>
      <c r="AG73">
        <f>RANK(TAcum[[#This Row],[j31]],TAcum[[#All],[j31]],0)</f>
        <v>71</v>
      </c>
      <c r="AH73">
        <f>RANK(TAcum[[#This Row],[j32]],TAcum[[#All],[j32]],0)</f>
        <v>71</v>
      </c>
      <c r="AI73">
        <f>RANK(TAcum[[#This Row],[j33]],TAcum[[#All],[j33]],0)</f>
        <v>71</v>
      </c>
      <c r="AJ73">
        <f>RANK(TAcum[[#This Row],[j34]],TAcum[[#All],[j34]],0)</f>
        <v>71</v>
      </c>
      <c r="AK73">
        <f>RANK(TAcum[[#This Row],[j35]],TAcum[[#All],[j35]],0)</f>
        <v>71</v>
      </c>
      <c r="AL73">
        <f>RANK(TAcum[[#This Row],[j36]],TAcum[[#All],[j36]],0)</f>
        <v>71</v>
      </c>
      <c r="AM73">
        <f>RANK(TAcum[[#This Row],[j37]],TAcum[[#All],[j37]],0)</f>
        <v>71</v>
      </c>
      <c r="AN73">
        <f>RANK(TAcum[[#This Row],[j38]],TAcum[[#All],[j38]],0)</f>
        <v>71</v>
      </c>
      <c r="AO73">
        <f>RANK(TAcum[[#This Row],[j39]],TAcum[[#All],[j39]],0)</f>
        <v>71</v>
      </c>
      <c r="AP73">
        <f>RANK(TAcum[[#This Row],[j40]],TAcum[[#All],[j40]],0)</f>
        <v>71</v>
      </c>
      <c r="AQ73">
        <f>RANK(TAcum[[#This Row],[j41]],TAcum[[#All],[j41]],0)</f>
        <v>71</v>
      </c>
      <c r="AR73">
        <f>RANK(TAcum[[#This Row],[j42]],TAcum[[#All],[j42]],0)</f>
        <v>71</v>
      </c>
      <c r="AS73">
        <f>RANK(TAcum[[#This Row],[j43]],TAcum[[#All],[j43]],0)</f>
        <v>71</v>
      </c>
      <c r="AT73">
        <f>RANK(TAcum[[#This Row],[j44]],TAcum[[#All],[j44]],0)</f>
        <v>71</v>
      </c>
      <c r="AU73">
        <f>RANK(TAcum[[#This Row],[j45]],TAcum[[#All],[j45]],0)</f>
        <v>71</v>
      </c>
      <c r="AV73">
        <f>RANK(TAcum[[#This Row],[j46]],TAcum[[#All],[j46]],0)</f>
        <v>71</v>
      </c>
      <c r="AW73">
        <f>RANK(TAcum[[#This Row],[j47]],TAcum[[#All],[j47]],0)</f>
        <v>71</v>
      </c>
      <c r="AX73">
        <f>RANK(TAcum[[#This Row],[j48]],TAcum[[#All],[j48]],0)</f>
        <v>71</v>
      </c>
      <c r="AY73">
        <f>RANK(TAcum[[#This Row],[j49]],TAcum[[#All],[j49]],0)</f>
        <v>71</v>
      </c>
      <c r="AZ73">
        <f>RANK(TAcum[[#This Row],[j50]],TAcum[[#All],[j50]],0)</f>
        <v>71</v>
      </c>
      <c r="BA73">
        <f>RANK(TAcum[[#This Row],[j51]],TAcum[[#All],[j51]],0)</f>
        <v>71</v>
      </c>
      <c r="BB73">
        <f>RANK(TAcum[[#This Row],[j52]],TAcum[[#All],[j52]],0)</f>
        <v>71</v>
      </c>
      <c r="BC73">
        <f>RANK(TAcum[[#This Row],[j53]],TAcum[[#All],[j53]],0)</f>
        <v>71</v>
      </c>
      <c r="BD73">
        <f>RANK(TAcum[[#This Row],[j54]],TAcum[[#All],[j54]],0)</f>
        <v>71</v>
      </c>
      <c r="BE73">
        <f>RANK(TAcum[[#This Row],[j55]],TAcum[[#All],[j55]],0)</f>
        <v>71</v>
      </c>
      <c r="BF73">
        <f>RANK(TAcum[[#This Row],[j56]],TAcum[[#All],[j56]],0)</f>
        <v>71</v>
      </c>
      <c r="BG73">
        <f>RANK(TAcum[[#This Row],[j57]],TAcum[[#All],[j57]],0)</f>
        <v>71</v>
      </c>
      <c r="BH73">
        <f>RANK(TAcum[[#This Row],[j58]],TAcum[[#All],[j58]],0)</f>
        <v>71</v>
      </c>
      <c r="BI73">
        <f>RANK(TAcum[[#This Row],[j59]],TAcum[[#All],[j59]],0)</f>
        <v>71</v>
      </c>
      <c r="BJ73">
        <f>RANK(TAcum[[#This Row],[j60]],TAcum[[#All],[j60]],0)</f>
        <v>71</v>
      </c>
      <c r="BK73">
        <f>RANK(TAcum[[#This Row],[j61]],TAcum[[#All],[j61]],0)</f>
        <v>71</v>
      </c>
      <c r="BL73">
        <f>RANK(TAcum[[#This Row],[j62]],TAcum[[#All],[j62]],0)</f>
        <v>71</v>
      </c>
      <c r="BM73">
        <f>RANK(TAcum[[#This Row],[j63]],TAcum[[#All],[j63]],0)</f>
        <v>71</v>
      </c>
      <c r="BN73">
        <f>RANK(TAcum[[#This Row],[j64]],TAcum[[#All],[j64]],0)</f>
        <v>71</v>
      </c>
      <c r="BO73">
        <f>RANK(TAcum[[#This Row],[j65]],TAcum[[#All],[j65]],0)</f>
        <v>71</v>
      </c>
      <c r="BP73">
        <f>RANK(TAcum[[#This Row],[j66]],TAcum[[#All],[j66]],0)</f>
        <v>71</v>
      </c>
      <c r="BQ73">
        <f>RANK(TAcum[[#This Row],[j67]],TAcum[[#All],[j67]],0)</f>
        <v>71</v>
      </c>
      <c r="BR73">
        <f>RANK(TAcum[[#This Row],[j68]],TAcum[[#All],[j68]],0)</f>
        <v>71</v>
      </c>
      <c r="BS73">
        <f>RANK(TAcum[[#This Row],[j69]],TAcum[[#All],[j69]],0)</f>
        <v>71</v>
      </c>
      <c r="BT73">
        <f>RANK(TAcum[[#This Row],[j70]],TAcum[[#All],[j70]],0)</f>
        <v>71</v>
      </c>
      <c r="BU73">
        <f>RANK(TAcum[[#This Row],[j71]],TAcum[[#All],[j71]],0)</f>
        <v>71</v>
      </c>
      <c r="BV73">
        <f>RANK(TAcum[[#This Row],[j72]],TAcum[[#All],[j72]],0)</f>
        <v>71</v>
      </c>
      <c r="BW73">
        <f>RANK(TAcum[[#This Row],[j73]],TAcum[[#All],[j73]],0)</f>
        <v>71</v>
      </c>
    </row>
    <row r="74" spans="1:75" x14ac:dyDescent="0.25">
      <c r="A74" t="str">
        <f>TAcum[[#This Row],[Jogador]]</f>
        <v>Diego</v>
      </c>
      <c r="B74">
        <f>RANK(TAcum[[#This Row],[total]],TAcum[[#All],[total]],0)</f>
        <v>71</v>
      </c>
      <c r="C74">
        <f>RANK(TAcum[[#This Row],[j01]],TAcum[[#All],[j01]],0)</f>
        <v>13</v>
      </c>
      <c r="D74">
        <f>RANK(TAcum[[#This Row],[j02]],TAcum[[#All],[j02]],0)</f>
        <v>14</v>
      </c>
      <c r="E74">
        <f>RANK(TAcum[[#This Row],[j03]],TAcum[[#All],[j03]],0)</f>
        <v>24</v>
      </c>
      <c r="F74">
        <f>RANK(TAcum[[#This Row],[j04]],TAcum[[#All],[j04]],0)</f>
        <v>71</v>
      </c>
      <c r="G74">
        <f>RANK(TAcum[[#This Row],[j05]],TAcum[[#All],[j05]],0)</f>
        <v>71</v>
      </c>
      <c r="H74">
        <f>RANK(TAcum[[#This Row],[j06]],TAcum[[#All],[j06]],0)</f>
        <v>71</v>
      </c>
      <c r="I74">
        <f>RANK(TAcum[[#This Row],[j07]],TAcum[[#All],[j07]],0)</f>
        <v>59</v>
      </c>
      <c r="J74">
        <f>RANK(TAcum[[#This Row],[j08]],TAcum[[#All],[j08]],0)</f>
        <v>61</v>
      </c>
      <c r="K74">
        <f>RANK(TAcum[[#This Row],[j09]],TAcum[[#All],[j09]],0)</f>
        <v>72</v>
      </c>
      <c r="L74">
        <f>RANK(TAcum[[#This Row],[j10]],TAcum[[#All],[j10]],0)</f>
        <v>74</v>
      </c>
      <c r="M74">
        <f>RANK(TAcum[[#This Row],[j11]],TAcum[[#All],[j11]],0)</f>
        <v>69</v>
      </c>
      <c r="N74">
        <f>RANK(TAcum[[#This Row],[j12]],TAcum[[#All],[j12]],0)</f>
        <v>62</v>
      </c>
      <c r="O74">
        <f>RANK(TAcum[[#This Row],[j13]],TAcum[[#All],[j13]],0)</f>
        <v>37</v>
      </c>
      <c r="P74">
        <f>RANK(TAcum[[#This Row],[j14]],TAcum[[#All],[j14]],0)</f>
        <v>45</v>
      </c>
      <c r="Q74">
        <f>RANK(TAcum[[#This Row],[j15]],TAcum[[#All],[j15]],0)</f>
        <v>45</v>
      </c>
      <c r="R74">
        <f>RANK(TAcum[[#This Row],[j16]],TAcum[[#All],[j16]],0)</f>
        <v>63</v>
      </c>
      <c r="S74">
        <f>RANK(TAcum[[#This Row],[j17]],TAcum[[#All],[j17]],0)</f>
        <v>68</v>
      </c>
      <c r="T74">
        <f>RANK(TAcum[[#This Row],[j18]],TAcum[[#All],[j18]],0)</f>
        <v>70</v>
      </c>
      <c r="U74">
        <f>RANK(TAcum[[#This Row],[j19]],TAcum[[#All],[j19]],0)</f>
        <v>67</v>
      </c>
      <c r="V74">
        <f>RANK(TAcum[[#This Row],[j20]],TAcum[[#All],[j20]],0)</f>
        <v>67</v>
      </c>
      <c r="W74">
        <f>RANK(TAcum[[#This Row],[j21]],TAcum[[#All],[j21]],0)</f>
        <v>66</v>
      </c>
      <c r="X74">
        <f>RANK(TAcum[[#This Row],[j22]],TAcum[[#All],[j22]],0)</f>
        <v>62</v>
      </c>
      <c r="Y74">
        <f>RANK(TAcum[[#This Row],[j23]],TAcum[[#All],[j23]],0)</f>
        <v>62</v>
      </c>
      <c r="Z74">
        <f>RANK(TAcum[[#This Row],[j24]],TAcum[[#All],[j24]],0)</f>
        <v>76</v>
      </c>
      <c r="AA74">
        <f>RANK(TAcum[[#This Row],[j25]],TAcum[[#All],[j25]],0)</f>
        <v>71</v>
      </c>
      <c r="AB74">
        <f>RANK(TAcum[[#This Row],[j26]],TAcum[[#All],[j26]],0)</f>
        <v>74</v>
      </c>
      <c r="AC74">
        <f>RANK(TAcum[[#This Row],[j27]],TAcum[[#All],[j27]],0)</f>
        <v>74</v>
      </c>
      <c r="AD74">
        <f>RANK(TAcum[[#This Row],[j28]],TAcum[[#All],[j28]],0)</f>
        <v>74</v>
      </c>
      <c r="AE74">
        <f>RANK(TAcum[[#This Row],[j29]],TAcum[[#All],[j29]],0)</f>
        <v>71</v>
      </c>
      <c r="AF74">
        <f>RANK(TAcum[[#This Row],[j30]],TAcum[[#All],[j30]],0)</f>
        <v>71</v>
      </c>
      <c r="AG74">
        <f>RANK(TAcum[[#This Row],[j31]],TAcum[[#All],[j31]],0)</f>
        <v>71</v>
      </c>
      <c r="AH74">
        <f>RANK(TAcum[[#This Row],[j32]],TAcum[[#All],[j32]],0)</f>
        <v>71</v>
      </c>
      <c r="AI74">
        <f>RANK(TAcum[[#This Row],[j33]],TAcum[[#All],[j33]],0)</f>
        <v>71</v>
      </c>
      <c r="AJ74">
        <f>RANK(TAcum[[#This Row],[j34]],TAcum[[#All],[j34]],0)</f>
        <v>71</v>
      </c>
      <c r="AK74">
        <f>RANK(TAcum[[#This Row],[j35]],TAcum[[#All],[j35]],0)</f>
        <v>71</v>
      </c>
      <c r="AL74">
        <f>RANK(TAcum[[#This Row],[j36]],TAcum[[#All],[j36]],0)</f>
        <v>71</v>
      </c>
      <c r="AM74">
        <f>RANK(TAcum[[#This Row],[j37]],TAcum[[#All],[j37]],0)</f>
        <v>71</v>
      </c>
      <c r="AN74">
        <f>RANK(TAcum[[#This Row],[j38]],TAcum[[#All],[j38]],0)</f>
        <v>71</v>
      </c>
      <c r="AO74">
        <f>RANK(TAcum[[#This Row],[j39]],TAcum[[#All],[j39]],0)</f>
        <v>71</v>
      </c>
      <c r="AP74">
        <f>RANK(TAcum[[#This Row],[j40]],TAcum[[#All],[j40]],0)</f>
        <v>71</v>
      </c>
      <c r="AQ74">
        <f>RANK(TAcum[[#This Row],[j41]],TAcum[[#All],[j41]],0)</f>
        <v>71</v>
      </c>
      <c r="AR74">
        <f>RANK(TAcum[[#This Row],[j42]],TAcum[[#All],[j42]],0)</f>
        <v>71</v>
      </c>
      <c r="AS74">
        <f>RANK(TAcum[[#This Row],[j43]],TAcum[[#All],[j43]],0)</f>
        <v>71</v>
      </c>
      <c r="AT74">
        <f>RANK(TAcum[[#This Row],[j44]],TAcum[[#All],[j44]],0)</f>
        <v>71</v>
      </c>
      <c r="AU74">
        <f>RANK(TAcum[[#This Row],[j45]],TAcum[[#All],[j45]],0)</f>
        <v>71</v>
      </c>
      <c r="AV74">
        <f>RANK(TAcum[[#This Row],[j46]],TAcum[[#All],[j46]],0)</f>
        <v>71</v>
      </c>
      <c r="AW74">
        <f>RANK(TAcum[[#This Row],[j47]],TAcum[[#All],[j47]],0)</f>
        <v>71</v>
      </c>
      <c r="AX74">
        <f>RANK(TAcum[[#This Row],[j48]],TAcum[[#All],[j48]],0)</f>
        <v>71</v>
      </c>
      <c r="AY74">
        <f>RANK(TAcum[[#This Row],[j49]],TAcum[[#All],[j49]],0)</f>
        <v>71</v>
      </c>
      <c r="AZ74">
        <f>RANK(TAcum[[#This Row],[j50]],TAcum[[#All],[j50]],0)</f>
        <v>71</v>
      </c>
      <c r="BA74">
        <f>RANK(TAcum[[#This Row],[j51]],TAcum[[#All],[j51]],0)</f>
        <v>71</v>
      </c>
      <c r="BB74">
        <f>RANK(TAcum[[#This Row],[j52]],TAcum[[#All],[j52]],0)</f>
        <v>71</v>
      </c>
      <c r="BC74">
        <f>RANK(TAcum[[#This Row],[j53]],TAcum[[#All],[j53]],0)</f>
        <v>71</v>
      </c>
      <c r="BD74">
        <f>RANK(TAcum[[#This Row],[j54]],TAcum[[#All],[j54]],0)</f>
        <v>71</v>
      </c>
      <c r="BE74">
        <f>RANK(TAcum[[#This Row],[j55]],TAcum[[#All],[j55]],0)</f>
        <v>71</v>
      </c>
      <c r="BF74">
        <f>RANK(TAcum[[#This Row],[j56]],TAcum[[#All],[j56]],0)</f>
        <v>71</v>
      </c>
      <c r="BG74">
        <f>RANK(TAcum[[#This Row],[j57]],TAcum[[#All],[j57]],0)</f>
        <v>71</v>
      </c>
      <c r="BH74">
        <f>RANK(TAcum[[#This Row],[j58]],TAcum[[#All],[j58]],0)</f>
        <v>71</v>
      </c>
      <c r="BI74">
        <f>RANK(TAcum[[#This Row],[j59]],TAcum[[#All],[j59]],0)</f>
        <v>71</v>
      </c>
      <c r="BJ74">
        <f>RANK(TAcum[[#This Row],[j60]],TAcum[[#All],[j60]],0)</f>
        <v>71</v>
      </c>
      <c r="BK74">
        <f>RANK(TAcum[[#This Row],[j61]],TAcum[[#All],[j61]],0)</f>
        <v>71</v>
      </c>
      <c r="BL74">
        <f>RANK(TAcum[[#This Row],[j62]],TAcum[[#All],[j62]],0)</f>
        <v>71</v>
      </c>
      <c r="BM74">
        <f>RANK(TAcum[[#This Row],[j63]],TAcum[[#All],[j63]],0)</f>
        <v>71</v>
      </c>
      <c r="BN74">
        <f>RANK(TAcum[[#This Row],[j64]],TAcum[[#All],[j64]],0)</f>
        <v>71</v>
      </c>
      <c r="BO74">
        <f>RANK(TAcum[[#This Row],[j65]],TAcum[[#All],[j65]],0)</f>
        <v>71</v>
      </c>
      <c r="BP74">
        <f>RANK(TAcum[[#This Row],[j66]],TAcum[[#All],[j66]],0)</f>
        <v>71</v>
      </c>
      <c r="BQ74">
        <f>RANK(TAcum[[#This Row],[j67]],TAcum[[#All],[j67]],0)</f>
        <v>71</v>
      </c>
      <c r="BR74">
        <f>RANK(TAcum[[#This Row],[j68]],TAcum[[#All],[j68]],0)</f>
        <v>71</v>
      </c>
      <c r="BS74">
        <f>RANK(TAcum[[#This Row],[j69]],TAcum[[#All],[j69]],0)</f>
        <v>71</v>
      </c>
      <c r="BT74">
        <f>RANK(TAcum[[#This Row],[j70]],TAcum[[#All],[j70]],0)</f>
        <v>71</v>
      </c>
      <c r="BU74">
        <f>RANK(TAcum[[#This Row],[j71]],TAcum[[#All],[j71]],0)</f>
        <v>71</v>
      </c>
      <c r="BV74">
        <f>RANK(TAcum[[#This Row],[j72]],TAcum[[#All],[j72]],0)</f>
        <v>71</v>
      </c>
      <c r="BW74">
        <f>RANK(TAcum[[#This Row],[j73]],TAcum[[#All],[j73]],0)</f>
        <v>71</v>
      </c>
    </row>
    <row r="75" spans="1:75" x14ac:dyDescent="0.25">
      <c r="A75" t="str">
        <f>TAcum[[#This Row],[Jogador]]</f>
        <v>Francisco Amaral</v>
      </c>
      <c r="B75">
        <f>RANK(TAcum[[#This Row],[total]],TAcum[[#All],[total]],0)</f>
        <v>71</v>
      </c>
      <c r="C75">
        <f>RANK(TAcum[[#This Row],[j01]],TAcum[[#All],[j01]],0)</f>
        <v>78</v>
      </c>
      <c r="D75">
        <f>RANK(TAcum[[#This Row],[j02]],TAcum[[#All],[j02]],0)</f>
        <v>77</v>
      </c>
      <c r="E75">
        <f>RANK(TAcum[[#This Row],[j03]],TAcum[[#All],[j03]],0)</f>
        <v>82</v>
      </c>
      <c r="F75">
        <f>RANK(TAcum[[#This Row],[j04]],TAcum[[#All],[j04]],0)</f>
        <v>89</v>
      </c>
      <c r="G75">
        <f>RANK(TAcum[[#This Row],[j05]],TAcum[[#All],[j05]],0)</f>
        <v>89</v>
      </c>
      <c r="H75">
        <f>RANK(TAcum[[#This Row],[j06]],TAcum[[#All],[j06]],0)</f>
        <v>88</v>
      </c>
      <c r="I75">
        <f>RANK(TAcum[[#This Row],[j07]],TAcum[[#All],[j07]],0)</f>
        <v>97</v>
      </c>
      <c r="J75">
        <f>RANK(TAcum[[#This Row],[j08]],TAcum[[#All],[j08]],0)</f>
        <v>98</v>
      </c>
      <c r="K75">
        <f>RANK(TAcum[[#This Row],[j09]],TAcum[[#All],[j09]],0)</f>
        <v>97</v>
      </c>
      <c r="L75">
        <f>RANK(TAcum[[#This Row],[j10]],TAcum[[#All],[j10]],0)</f>
        <v>98</v>
      </c>
      <c r="M75">
        <f>RANK(TAcum[[#This Row],[j11]],TAcum[[#All],[j11]],0)</f>
        <v>108</v>
      </c>
      <c r="N75">
        <f>RANK(TAcum[[#This Row],[j12]],TAcum[[#All],[j12]],0)</f>
        <v>109</v>
      </c>
      <c r="O75">
        <f>RANK(TAcum[[#This Row],[j13]],TAcum[[#All],[j13]],0)</f>
        <v>113</v>
      </c>
      <c r="P75">
        <f>RANK(TAcum[[#This Row],[j14]],TAcum[[#All],[j14]],0)</f>
        <v>110</v>
      </c>
      <c r="Q75">
        <f>RANK(TAcum[[#This Row],[j15]],TAcum[[#All],[j15]],0)</f>
        <v>109</v>
      </c>
      <c r="R75">
        <f>RANK(TAcum[[#This Row],[j16]],TAcum[[#All],[j16]],0)</f>
        <v>104</v>
      </c>
      <c r="S75">
        <f>RANK(TAcum[[#This Row],[j17]],TAcum[[#All],[j17]],0)</f>
        <v>90</v>
      </c>
      <c r="T75">
        <f>RANK(TAcum[[#This Row],[j18]],TAcum[[#All],[j18]],0)</f>
        <v>92</v>
      </c>
      <c r="U75">
        <f>RANK(TAcum[[#This Row],[j19]],TAcum[[#All],[j19]],0)</f>
        <v>84</v>
      </c>
      <c r="V75">
        <f>RANK(TAcum[[#This Row],[j20]],TAcum[[#All],[j20]],0)</f>
        <v>87</v>
      </c>
      <c r="W75">
        <f>RANK(TAcum[[#This Row],[j21]],TAcum[[#All],[j21]],0)</f>
        <v>91</v>
      </c>
      <c r="X75">
        <f>RANK(TAcum[[#This Row],[j22]],TAcum[[#All],[j22]],0)</f>
        <v>94</v>
      </c>
      <c r="Y75">
        <f>RANK(TAcum[[#This Row],[j23]],TAcum[[#All],[j23]],0)</f>
        <v>95</v>
      </c>
      <c r="Z75">
        <f>RANK(TAcum[[#This Row],[j24]],TAcum[[#All],[j24]],0)</f>
        <v>78</v>
      </c>
      <c r="AA75">
        <f>RANK(TAcum[[#This Row],[j25]],TAcum[[#All],[j25]],0)</f>
        <v>74</v>
      </c>
      <c r="AB75">
        <f>RANK(TAcum[[#This Row],[j26]],TAcum[[#All],[j26]],0)</f>
        <v>69</v>
      </c>
      <c r="AC75">
        <f>RANK(TAcum[[#This Row],[j27]],TAcum[[#All],[j27]],0)</f>
        <v>69</v>
      </c>
      <c r="AD75">
        <f>RANK(TAcum[[#This Row],[j28]],TAcum[[#All],[j28]],0)</f>
        <v>63</v>
      </c>
      <c r="AE75">
        <f>RANK(TAcum[[#This Row],[j29]],TAcum[[#All],[j29]],0)</f>
        <v>71</v>
      </c>
      <c r="AF75">
        <f>RANK(TAcum[[#This Row],[j30]],TAcum[[#All],[j30]],0)</f>
        <v>71</v>
      </c>
      <c r="AG75">
        <f>RANK(TAcum[[#This Row],[j31]],TAcum[[#All],[j31]],0)</f>
        <v>71</v>
      </c>
      <c r="AH75">
        <f>RANK(TAcum[[#This Row],[j32]],TAcum[[#All],[j32]],0)</f>
        <v>71</v>
      </c>
      <c r="AI75">
        <f>RANK(TAcum[[#This Row],[j33]],TAcum[[#All],[j33]],0)</f>
        <v>71</v>
      </c>
      <c r="AJ75">
        <f>RANK(TAcum[[#This Row],[j34]],TAcum[[#All],[j34]],0)</f>
        <v>71</v>
      </c>
      <c r="AK75">
        <f>RANK(TAcum[[#This Row],[j35]],TAcum[[#All],[j35]],0)</f>
        <v>71</v>
      </c>
      <c r="AL75">
        <f>RANK(TAcum[[#This Row],[j36]],TAcum[[#All],[j36]],0)</f>
        <v>71</v>
      </c>
      <c r="AM75">
        <f>RANK(TAcum[[#This Row],[j37]],TAcum[[#All],[j37]],0)</f>
        <v>71</v>
      </c>
      <c r="AN75">
        <f>RANK(TAcum[[#This Row],[j38]],TAcum[[#All],[j38]],0)</f>
        <v>71</v>
      </c>
      <c r="AO75">
        <f>RANK(TAcum[[#This Row],[j39]],TAcum[[#All],[j39]],0)</f>
        <v>71</v>
      </c>
      <c r="AP75">
        <f>RANK(TAcum[[#This Row],[j40]],TAcum[[#All],[j40]],0)</f>
        <v>71</v>
      </c>
      <c r="AQ75">
        <f>RANK(TAcum[[#This Row],[j41]],TAcum[[#All],[j41]],0)</f>
        <v>71</v>
      </c>
      <c r="AR75">
        <f>RANK(TAcum[[#This Row],[j42]],TAcum[[#All],[j42]],0)</f>
        <v>71</v>
      </c>
      <c r="AS75">
        <f>RANK(TAcum[[#This Row],[j43]],TAcum[[#All],[j43]],0)</f>
        <v>71</v>
      </c>
      <c r="AT75">
        <f>RANK(TAcum[[#This Row],[j44]],TAcum[[#All],[j44]],0)</f>
        <v>71</v>
      </c>
      <c r="AU75">
        <f>RANK(TAcum[[#This Row],[j45]],TAcum[[#All],[j45]],0)</f>
        <v>71</v>
      </c>
      <c r="AV75">
        <f>RANK(TAcum[[#This Row],[j46]],TAcum[[#All],[j46]],0)</f>
        <v>71</v>
      </c>
      <c r="AW75">
        <f>RANK(TAcum[[#This Row],[j47]],TAcum[[#All],[j47]],0)</f>
        <v>71</v>
      </c>
      <c r="AX75">
        <f>RANK(TAcum[[#This Row],[j48]],TAcum[[#All],[j48]],0)</f>
        <v>71</v>
      </c>
      <c r="AY75">
        <f>RANK(TAcum[[#This Row],[j49]],TAcum[[#All],[j49]],0)</f>
        <v>71</v>
      </c>
      <c r="AZ75">
        <f>RANK(TAcum[[#This Row],[j50]],TAcum[[#All],[j50]],0)</f>
        <v>71</v>
      </c>
      <c r="BA75">
        <f>RANK(TAcum[[#This Row],[j51]],TAcum[[#All],[j51]],0)</f>
        <v>71</v>
      </c>
      <c r="BB75">
        <f>RANK(TAcum[[#This Row],[j52]],TAcum[[#All],[j52]],0)</f>
        <v>71</v>
      </c>
      <c r="BC75">
        <f>RANK(TAcum[[#This Row],[j53]],TAcum[[#All],[j53]],0)</f>
        <v>71</v>
      </c>
      <c r="BD75">
        <f>RANK(TAcum[[#This Row],[j54]],TAcum[[#All],[j54]],0)</f>
        <v>71</v>
      </c>
      <c r="BE75">
        <f>RANK(TAcum[[#This Row],[j55]],TAcum[[#All],[j55]],0)</f>
        <v>71</v>
      </c>
      <c r="BF75">
        <f>RANK(TAcum[[#This Row],[j56]],TAcum[[#All],[j56]],0)</f>
        <v>71</v>
      </c>
      <c r="BG75">
        <f>RANK(TAcum[[#This Row],[j57]],TAcum[[#All],[j57]],0)</f>
        <v>71</v>
      </c>
      <c r="BH75">
        <f>RANK(TAcum[[#This Row],[j58]],TAcum[[#All],[j58]],0)</f>
        <v>71</v>
      </c>
      <c r="BI75">
        <f>RANK(TAcum[[#This Row],[j59]],TAcum[[#All],[j59]],0)</f>
        <v>71</v>
      </c>
      <c r="BJ75">
        <f>RANK(TAcum[[#This Row],[j60]],TAcum[[#All],[j60]],0)</f>
        <v>71</v>
      </c>
      <c r="BK75">
        <f>RANK(TAcum[[#This Row],[j61]],TAcum[[#All],[j61]],0)</f>
        <v>71</v>
      </c>
      <c r="BL75">
        <f>RANK(TAcum[[#This Row],[j62]],TAcum[[#All],[j62]],0)</f>
        <v>71</v>
      </c>
      <c r="BM75">
        <f>RANK(TAcum[[#This Row],[j63]],TAcum[[#All],[j63]],0)</f>
        <v>71</v>
      </c>
      <c r="BN75">
        <f>RANK(TAcum[[#This Row],[j64]],TAcum[[#All],[j64]],0)</f>
        <v>71</v>
      </c>
      <c r="BO75">
        <f>RANK(TAcum[[#This Row],[j65]],TAcum[[#All],[j65]],0)</f>
        <v>71</v>
      </c>
      <c r="BP75">
        <f>RANK(TAcum[[#This Row],[j66]],TAcum[[#All],[j66]],0)</f>
        <v>71</v>
      </c>
      <c r="BQ75">
        <f>RANK(TAcum[[#This Row],[j67]],TAcum[[#All],[j67]],0)</f>
        <v>71</v>
      </c>
      <c r="BR75">
        <f>RANK(TAcum[[#This Row],[j68]],TAcum[[#All],[j68]],0)</f>
        <v>71</v>
      </c>
      <c r="BS75">
        <f>RANK(TAcum[[#This Row],[j69]],TAcum[[#All],[j69]],0)</f>
        <v>71</v>
      </c>
      <c r="BT75">
        <f>RANK(TAcum[[#This Row],[j70]],TAcum[[#All],[j70]],0)</f>
        <v>71</v>
      </c>
      <c r="BU75">
        <f>RANK(TAcum[[#This Row],[j71]],TAcum[[#All],[j71]],0)</f>
        <v>71</v>
      </c>
      <c r="BV75">
        <f>RANK(TAcum[[#This Row],[j72]],TAcum[[#All],[j72]],0)</f>
        <v>71</v>
      </c>
      <c r="BW75">
        <f>RANK(TAcum[[#This Row],[j73]],TAcum[[#All],[j73]],0)</f>
        <v>71</v>
      </c>
    </row>
    <row r="76" spans="1:75" x14ac:dyDescent="0.25">
      <c r="A76" t="str">
        <f>TAcum[[#This Row],[Jogador]]</f>
        <v>Marcos Cafezeiro</v>
      </c>
      <c r="B76">
        <f>RANK(TAcum[[#This Row],[total]],TAcum[[#All],[total]],0)</f>
        <v>71</v>
      </c>
      <c r="C76">
        <f>RANK(TAcum[[#This Row],[j01]],TAcum[[#All],[j01]],0)</f>
        <v>13</v>
      </c>
      <c r="D76">
        <f>RANK(TAcum[[#This Row],[j02]],TAcum[[#All],[j02]],0)</f>
        <v>14</v>
      </c>
      <c r="E76">
        <f>RANK(TAcum[[#This Row],[j03]],TAcum[[#All],[j03]],0)</f>
        <v>52</v>
      </c>
      <c r="F76">
        <f>RANK(TAcum[[#This Row],[j04]],TAcum[[#All],[j04]],0)</f>
        <v>77</v>
      </c>
      <c r="G76">
        <f>RANK(TAcum[[#This Row],[j05]],TAcum[[#All],[j05]],0)</f>
        <v>79</v>
      </c>
      <c r="H76">
        <f>RANK(TAcum[[#This Row],[j06]],TAcum[[#All],[j06]],0)</f>
        <v>77</v>
      </c>
      <c r="I76">
        <f>RANK(TAcum[[#This Row],[j07]],TAcum[[#All],[j07]],0)</f>
        <v>67</v>
      </c>
      <c r="J76">
        <f>RANK(TAcum[[#This Row],[j08]],TAcum[[#All],[j08]],0)</f>
        <v>73</v>
      </c>
      <c r="K76">
        <f>RANK(TAcum[[#This Row],[j09]],TAcum[[#All],[j09]],0)</f>
        <v>72</v>
      </c>
      <c r="L76">
        <f>RANK(TAcum[[#This Row],[j10]],TAcum[[#All],[j10]],0)</f>
        <v>74</v>
      </c>
      <c r="M76">
        <f>RANK(TAcum[[#This Row],[j11]],TAcum[[#All],[j11]],0)</f>
        <v>69</v>
      </c>
      <c r="N76">
        <f>RANK(TAcum[[#This Row],[j12]],TAcum[[#All],[j12]],0)</f>
        <v>62</v>
      </c>
      <c r="O76">
        <f>RANK(TAcum[[#This Row],[j13]],TAcum[[#All],[j13]],0)</f>
        <v>68</v>
      </c>
      <c r="P76">
        <f>RANK(TAcum[[#This Row],[j14]],TAcum[[#All],[j14]],0)</f>
        <v>52</v>
      </c>
      <c r="Q76">
        <f>RANK(TAcum[[#This Row],[j15]],TAcum[[#All],[j15]],0)</f>
        <v>51</v>
      </c>
      <c r="R76">
        <f>RANK(TAcum[[#This Row],[j16]],TAcum[[#All],[j16]],0)</f>
        <v>78</v>
      </c>
      <c r="S76">
        <f>RANK(TAcum[[#This Row],[j17]],TAcum[[#All],[j17]],0)</f>
        <v>68</v>
      </c>
      <c r="T76">
        <f>RANK(TAcum[[#This Row],[j18]],TAcum[[#All],[j18]],0)</f>
        <v>48</v>
      </c>
      <c r="U76">
        <f>RANK(TAcum[[#This Row],[j19]],TAcum[[#All],[j19]],0)</f>
        <v>42</v>
      </c>
      <c r="V76">
        <f>RANK(TAcum[[#This Row],[j20]],TAcum[[#All],[j20]],0)</f>
        <v>48</v>
      </c>
      <c r="W76">
        <f>RANK(TAcum[[#This Row],[j21]],TAcum[[#All],[j21]],0)</f>
        <v>51</v>
      </c>
      <c r="X76">
        <f>RANK(TAcum[[#This Row],[j22]],TAcum[[#All],[j22]],0)</f>
        <v>56</v>
      </c>
      <c r="Y76">
        <f>RANK(TAcum[[#This Row],[j23]],TAcum[[#All],[j23]],0)</f>
        <v>58</v>
      </c>
      <c r="Z76">
        <f>RANK(TAcum[[#This Row],[j24]],TAcum[[#All],[j24]],0)</f>
        <v>67</v>
      </c>
      <c r="AA76">
        <f>RANK(TAcum[[#This Row],[j25]],TAcum[[#All],[j25]],0)</f>
        <v>63</v>
      </c>
      <c r="AB76">
        <f>RANK(TAcum[[#This Row],[j26]],TAcum[[#All],[j26]],0)</f>
        <v>65</v>
      </c>
      <c r="AC76">
        <f>RANK(TAcum[[#This Row],[j27]],TAcum[[#All],[j27]],0)</f>
        <v>65</v>
      </c>
      <c r="AD76">
        <f>RANK(TAcum[[#This Row],[j28]],TAcum[[#All],[j28]],0)</f>
        <v>63</v>
      </c>
      <c r="AE76">
        <f>RANK(TAcum[[#This Row],[j29]],TAcum[[#All],[j29]],0)</f>
        <v>71</v>
      </c>
      <c r="AF76">
        <f>RANK(TAcum[[#This Row],[j30]],TAcum[[#All],[j30]],0)</f>
        <v>71</v>
      </c>
      <c r="AG76">
        <f>RANK(TAcum[[#This Row],[j31]],TAcum[[#All],[j31]],0)</f>
        <v>71</v>
      </c>
      <c r="AH76">
        <f>RANK(TAcum[[#This Row],[j32]],TAcum[[#All],[j32]],0)</f>
        <v>71</v>
      </c>
      <c r="AI76">
        <f>RANK(TAcum[[#This Row],[j33]],TAcum[[#All],[j33]],0)</f>
        <v>71</v>
      </c>
      <c r="AJ76">
        <f>RANK(TAcum[[#This Row],[j34]],TAcum[[#All],[j34]],0)</f>
        <v>71</v>
      </c>
      <c r="AK76">
        <f>RANK(TAcum[[#This Row],[j35]],TAcum[[#All],[j35]],0)</f>
        <v>71</v>
      </c>
      <c r="AL76">
        <f>RANK(TAcum[[#This Row],[j36]],TAcum[[#All],[j36]],0)</f>
        <v>71</v>
      </c>
      <c r="AM76">
        <f>RANK(TAcum[[#This Row],[j37]],TAcum[[#All],[j37]],0)</f>
        <v>71</v>
      </c>
      <c r="AN76">
        <f>RANK(TAcum[[#This Row],[j38]],TAcum[[#All],[j38]],0)</f>
        <v>71</v>
      </c>
      <c r="AO76">
        <f>RANK(TAcum[[#This Row],[j39]],TAcum[[#All],[j39]],0)</f>
        <v>71</v>
      </c>
      <c r="AP76">
        <f>RANK(TAcum[[#This Row],[j40]],TAcum[[#All],[j40]],0)</f>
        <v>71</v>
      </c>
      <c r="AQ76">
        <f>RANK(TAcum[[#This Row],[j41]],TAcum[[#All],[j41]],0)</f>
        <v>71</v>
      </c>
      <c r="AR76">
        <f>RANK(TAcum[[#This Row],[j42]],TAcum[[#All],[j42]],0)</f>
        <v>71</v>
      </c>
      <c r="AS76">
        <f>RANK(TAcum[[#This Row],[j43]],TAcum[[#All],[j43]],0)</f>
        <v>71</v>
      </c>
      <c r="AT76">
        <f>RANK(TAcum[[#This Row],[j44]],TAcum[[#All],[j44]],0)</f>
        <v>71</v>
      </c>
      <c r="AU76">
        <f>RANK(TAcum[[#This Row],[j45]],TAcum[[#All],[j45]],0)</f>
        <v>71</v>
      </c>
      <c r="AV76">
        <f>RANK(TAcum[[#This Row],[j46]],TAcum[[#All],[j46]],0)</f>
        <v>71</v>
      </c>
      <c r="AW76">
        <f>RANK(TAcum[[#This Row],[j47]],TAcum[[#All],[j47]],0)</f>
        <v>71</v>
      </c>
      <c r="AX76">
        <f>RANK(TAcum[[#This Row],[j48]],TAcum[[#All],[j48]],0)</f>
        <v>71</v>
      </c>
      <c r="AY76">
        <f>RANK(TAcum[[#This Row],[j49]],TAcum[[#All],[j49]],0)</f>
        <v>71</v>
      </c>
      <c r="AZ76">
        <f>RANK(TAcum[[#This Row],[j50]],TAcum[[#All],[j50]],0)</f>
        <v>71</v>
      </c>
      <c r="BA76">
        <f>RANK(TAcum[[#This Row],[j51]],TAcum[[#All],[j51]],0)</f>
        <v>71</v>
      </c>
      <c r="BB76">
        <f>RANK(TAcum[[#This Row],[j52]],TAcum[[#All],[j52]],0)</f>
        <v>71</v>
      </c>
      <c r="BC76">
        <f>RANK(TAcum[[#This Row],[j53]],TAcum[[#All],[j53]],0)</f>
        <v>71</v>
      </c>
      <c r="BD76">
        <f>RANK(TAcum[[#This Row],[j54]],TAcum[[#All],[j54]],0)</f>
        <v>71</v>
      </c>
      <c r="BE76">
        <f>RANK(TAcum[[#This Row],[j55]],TAcum[[#All],[j55]],0)</f>
        <v>71</v>
      </c>
      <c r="BF76">
        <f>RANK(TAcum[[#This Row],[j56]],TAcum[[#All],[j56]],0)</f>
        <v>71</v>
      </c>
      <c r="BG76">
        <f>RANK(TAcum[[#This Row],[j57]],TAcum[[#All],[j57]],0)</f>
        <v>71</v>
      </c>
      <c r="BH76">
        <f>RANK(TAcum[[#This Row],[j58]],TAcum[[#All],[j58]],0)</f>
        <v>71</v>
      </c>
      <c r="BI76">
        <f>RANK(TAcum[[#This Row],[j59]],TAcum[[#All],[j59]],0)</f>
        <v>71</v>
      </c>
      <c r="BJ76">
        <f>RANK(TAcum[[#This Row],[j60]],TAcum[[#All],[j60]],0)</f>
        <v>71</v>
      </c>
      <c r="BK76">
        <f>RANK(TAcum[[#This Row],[j61]],TAcum[[#All],[j61]],0)</f>
        <v>71</v>
      </c>
      <c r="BL76">
        <f>RANK(TAcum[[#This Row],[j62]],TAcum[[#All],[j62]],0)</f>
        <v>71</v>
      </c>
      <c r="BM76">
        <f>RANK(TAcum[[#This Row],[j63]],TAcum[[#All],[j63]],0)</f>
        <v>71</v>
      </c>
      <c r="BN76">
        <f>RANK(TAcum[[#This Row],[j64]],TAcum[[#All],[j64]],0)</f>
        <v>71</v>
      </c>
      <c r="BO76">
        <f>RANK(TAcum[[#This Row],[j65]],TAcum[[#All],[j65]],0)</f>
        <v>71</v>
      </c>
      <c r="BP76">
        <f>RANK(TAcum[[#This Row],[j66]],TAcum[[#All],[j66]],0)</f>
        <v>71</v>
      </c>
      <c r="BQ76">
        <f>RANK(TAcum[[#This Row],[j67]],TAcum[[#All],[j67]],0)</f>
        <v>71</v>
      </c>
      <c r="BR76">
        <f>RANK(TAcum[[#This Row],[j68]],TAcum[[#All],[j68]],0)</f>
        <v>71</v>
      </c>
      <c r="BS76">
        <f>RANK(TAcum[[#This Row],[j69]],TAcum[[#All],[j69]],0)</f>
        <v>71</v>
      </c>
      <c r="BT76">
        <f>RANK(TAcum[[#This Row],[j70]],TAcum[[#All],[j70]],0)</f>
        <v>71</v>
      </c>
      <c r="BU76">
        <f>RANK(TAcum[[#This Row],[j71]],TAcum[[#All],[j71]],0)</f>
        <v>71</v>
      </c>
      <c r="BV76">
        <f>RANK(TAcum[[#This Row],[j72]],TAcum[[#All],[j72]],0)</f>
        <v>71</v>
      </c>
      <c r="BW76">
        <f>RANK(TAcum[[#This Row],[j73]],TAcum[[#All],[j73]],0)</f>
        <v>71</v>
      </c>
    </row>
    <row r="77" spans="1:75" x14ac:dyDescent="0.25">
      <c r="A77" t="str">
        <f>TAcum[[#This Row],[Jogador]]</f>
        <v>Gustavo Coni</v>
      </c>
      <c r="B77">
        <f>RANK(TAcum[[#This Row],[total]],TAcum[[#All],[total]],0)</f>
        <v>76</v>
      </c>
      <c r="C77">
        <f>RANK(TAcum[[#This Row],[j01]],TAcum[[#All],[j01]],0)</f>
        <v>62</v>
      </c>
      <c r="D77">
        <f>RANK(TAcum[[#This Row],[j02]],TAcum[[#All],[j02]],0)</f>
        <v>59</v>
      </c>
      <c r="E77">
        <f>RANK(TAcum[[#This Row],[j03]],TAcum[[#All],[j03]],0)</f>
        <v>52</v>
      </c>
      <c r="F77">
        <f>RANK(TAcum[[#This Row],[j04]],TAcum[[#All],[j04]],0)</f>
        <v>67</v>
      </c>
      <c r="G77">
        <f>RANK(TAcum[[#This Row],[j05]],TAcum[[#All],[j05]],0)</f>
        <v>52</v>
      </c>
      <c r="H77">
        <f>RANK(TAcum[[#This Row],[j06]],TAcum[[#All],[j06]],0)</f>
        <v>33</v>
      </c>
      <c r="I77">
        <f>RANK(TAcum[[#This Row],[j07]],TAcum[[#All],[j07]],0)</f>
        <v>42</v>
      </c>
      <c r="J77">
        <f>RANK(TAcum[[#This Row],[j08]],TAcum[[#All],[j08]],0)</f>
        <v>43</v>
      </c>
      <c r="K77">
        <f>RANK(TAcum[[#This Row],[j09]],TAcum[[#All],[j09]],0)</f>
        <v>60</v>
      </c>
      <c r="L77">
        <f>RANK(TAcum[[#This Row],[j10]],TAcum[[#All],[j10]],0)</f>
        <v>50</v>
      </c>
      <c r="M77">
        <f>RANK(TAcum[[#This Row],[j11]],TAcum[[#All],[j11]],0)</f>
        <v>82</v>
      </c>
      <c r="N77">
        <f>RANK(TAcum[[#This Row],[j12]],TAcum[[#All],[j12]],0)</f>
        <v>81</v>
      </c>
      <c r="O77">
        <f>RANK(TAcum[[#This Row],[j13]],TAcum[[#All],[j13]],0)</f>
        <v>84</v>
      </c>
      <c r="P77">
        <f>RANK(TAcum[[#This Row],[j14]],TAcum[[#All],[j14]],0)</f>
        <v>87</v>
      </c>
      <c r="Q77">
        <f>RANK(TAcum[[#This Row],[j15]],TAcum[[#All],[j15]],0)</f>
        <v>86</v>
      </c>
      <c r="R77">
        <f>RANK(TAcum[[#This Row],[j16]],TAcum[[#All],[j16]],0)</f>
        <v>93</v>
      </c>
      <c r="S77">
        <f>RANK(TAcum[[#This Row],[j17]],TAcum[[#All],[j17]],0)</f>
        <v>97</v>
      </c>
      <c r="T77">
        <f>RANK(TAcum[[#This Row],[j18]],TAcum[[#All],[j18]],0)</f>
        <v>76</v>
      </c>
      <c r="U77">
        <f>RANK(TAcum[[#This Row],[j19]],TAcum[[#All],[j19]],0)</f>
        <v>74</v>
      </c>
      <c r="V77">
        <f>RANK(TAcum[[#This Row],[j20]],TAcum[[#All],[j20]],0)</f>
        <v>64</v>
      </c>
      <c r="W77">
        <f>RANK(TAcum[[#This Row],[j21]],TAcum[[#All],[j21]],0)</f>
        <v>67</v>
      </c>
      <c r="X77">
        <f>RANK(TAcum[[#This Row],[j22]],TAcum[[#All],[j22]],0)</f>
        <v>72</v>
      </c>
      <c r="Y77">
        <f>RANK(TAcum[[#This Row],[j23]],TAcum[[#All],[j23]],0)</f>
        <v>83</v>
      </c>
      <c r="Z77">
        <f>RANK(TAcum[[#This Row],[j24]],TAcum[[#All],[j24]],0)</f>
        <v>98</v>
      </c>
      <c r="AA77">
        <f>RANK(TAcum[[#This Row],[j25]],TAcum[[#All],[j25]],0)</f>
        <v>100</v>
      </c>
      <c r="AB77">
        <f>RANK(TAcum[[#This Row],[j26]],TAcum[[#All],[j26]],0)</f>
        <v>76</v>
      </c>
      <c r="AC77">
        <f>RANK(TAcum[[#This Row],[j27]],TAcum[[#All],[j27]],0)</f>
        <v>74</v>
      </c>
      <c r="AD77">
        <f>RANK(TAcum[[#This Row],[j28]],TAcum[[#All],[j28]],0)</f>
        <v>68</v>
      </c>
      <c r="AE77">
        <f>RANK(TAcum[[#This Row],[j29]],TAcum[[#All],[j29]],0)</f>
        <v>76</v>
      </c>
      <c r="AF77">
        <f>RANK(TAcum[[#This Row],[j30]],TAcum[[#All],[j30]],0)</f>
        <v>76</v>
      </c>
      <c r="AG77">
        <f>RANK(TAcum[[#This Row],[j31]],TAcum[[#All],[j31]],0)</f>
        <v>76</v>
      </c>
      <c r="AH77">
        <f>RANK(TAcum[[#This Row],[j32]],TAcum[[#All],[j32]],0)</f>
        <v>76</v>
      </c>
      <c r="AI77">
        <f>RANK(TAcum[[#This Row],[j33]],TAcum[[#All],[j33]],0)</f>
        <v>76</v>
      </c>
      <c r="AJ77">
        <f>RANK(TAcum[[#This Row],[j34]],TAcum[[#All],[j34]],0)</f>
        <v>76</v>
      </c>
      <c r="AK77">
        <f>RANK(TAcum[[#This Row],[j35]],TAcum[[#All],[j35]],0)</f>
        <v>76</v>
      </c>
      <c r="AL77">
        <f>RANK(TAcum[[#This Row],[j36]],TAcum[[#All],[j36]],0)</f>
        <v>76</v>
      </c>
      <c r="AM77">
        <f>RANK(TAcum[[#This Row],[j37]],TAcum[[#All],[j37]],0)</f>
        <v>76</v>
      </c>
      <c r="AN77">
        <f>RANK(TAcum[[#This Row],[j38]],TAcum[[#All],[j38]],0)</f>
        <v>76</v>
      </c>
      <c r="AO77">
        <f>RANK(TAcum[[#This Row],[j39]],TAcum[[#All],[j39]],0)</f>
        <v>76</v>
      </c>
      <c r="AP77">
        <f>RANK(TAcum[[#This Row],[j40]],TAcum[[#All],[j40]],0)</f>
        <v>76</v>
      </c>
      <c r="AQ77">
        <f>RANK(TAcum[[#This Row],[j41]],TAcum[[#All],[j41]],0)</f>
        <v>76</v>
      </c>
      <c r="AR77">
        <f>RANK(TAcum[[#This Row],[j42]],TAcum[[#All],[j42]],0)</f>
        <v>76</v>
      </c>
      <c r="AS77">
        <f>RANK(TAcum[[#This Row],[j43]],TAcum[[#All],[j43]],0)</f>
        <v>76</v>
      </c>
      <c r="AT77">
        <f>RANK(TAcum[[#This Row],[j44]],TAcum[[#All],[j44]],0)</f>
        <v>76</v>
      </c>
      <c r="AU77">
        <f>RANK(TAcum[[#This Row],[j45]],TAcum[[#All],[j45]],0)</f>
        <v>76</v>
      </c>
      <c r="AV77">
        <f>RANK(TAcum[[#This Row],[j46]],TAcum[[#All],[j46]],0)</f>
        <v>76</v>
      </c>
      <c r="AW77">
        <f>RANK(TAcum[[#This Row],[j47]],TAcum[[#All],[j47]],0)</f>
        <v>76</v>
      </c>
      <c r="AX77">
        <f>RANK(TAcum[[#This Row],[j48]],TAcum[[#All],[j48]],0)</f>
        <v>76</v>
      </c>
      <c r="AY77">
        <f>RANK(TAcum[[#This Row],[j49]],TAcum[[#All],[j49]],0)</f>
        <v>76</v>
      </c>
      <c r="AZ77">
        <f>RANK(TAcum[[#This Row],[j50]],TAcum[[#All],[j50]],0)</f>
        <v>76</v>
      </c>
      <c r="BA77">
        <f>RANK(TAcum[[#This Row],[j51]],TAcum[[#All],[j51]],0)</f>
        <v>76</v>
      </c>
      <c r="BB77">
        <f>RANK(TAcum[[#This Row],[j52]],TAcum[[#All],[j52]],0)</f>
        <v>76</v>
      </c>
      <c r="BC77">
        <f>RANK(TAcum[[#This Row],[j53]],TAcum[[#All],[j53]],0)</f>
        <v>76</v>
      </c>
      <c r="BD77">
        <f>RANK(TAcum[[#This Row],[j54]],TAcum[[#All],[j54]],0)</f>
        <v>76</v>
      </c>
      <c r="BE77">
        <f>RANK(TAcum[[#This Row],[j55]],TAcum[[#All],[j55]],0)</f>
        <v>76</v>
      </c>
      <c r="BF77">
        <f>RANK(TAcum[[#This Row],[j56]],TAcum[[#All],[j56]],0)</f>
        <v>76</v>
      </c>
      <c r="BG77">
        <f>RANK(TAcum[[#This Row],[j57]],TAcum[[#All],[j57]],0)</f>
        <v>76</v>
      </c>
      <c r="BH77">
        <f>RANK(TAcum[[#This Row],[j58]],TAcum[[#All],[j58]],0)</f>
        <v>76</v>
      </c>
      <c r="BI77">
        <f>RANK(TAcum[[#This Row],[j59]],TAcum[[#All],[j59]],0)</f>
        <v>76</v>
      </c>
      <c r="BJ77">
        <f>RANK(TAcum[[#This Row],[j60]],TAcum[[#All],[j60]],0)</f>
        <v>76</v>
      </c>
      <c r="BK77">
        <f>RANK(TAcum[[#This Row],[j61]],TAcum[[#All],[j61]],0)</f>
        <v>76</v>
      </c>
      <c r="BL77">
        <f>RANK(TAcum[[#This Row],[j62]],TAcum[[#All],[j62]],0)</f>
        <v>76</v>
      </c>
      <c r="BM77">
        <f>RANK(TAcum[[#This Row],[j63]],TAcum[[#All],[j63]],0)</f>
        <v>76</v>
      </c>
      <c r="BN77">
        <f>RANK(TAcum[[#This Row],[j64]],TAcum[[#All],[j64]],0)</f>
        <v>76</v>
      </c>
      <c r="BO77">
        <f>RANK(TAcum[[#This Row],[j65]],TAcum[[#All],[j65]],0)</f>
        <v>76</v>
      </c>
      <c r="BP77">
        <f>RANK(TAcum[[#This Row],[j66]],TAcum[[#All],[j66]],0)</f>
        <v>76</v>
      </c>
      <c r="BQ77">
        <f>RANK(TAcum[[#This Row],[j67]],TAcum[[#All],[j67]],0)</f>
        <v>76</v>
      </c>
      <c r="BR77">
        <f>RANK(TAcum[[#This Row],[j68]],TAcum[[#All],[j68]],0)</f>
        <v>76</v>
      </c>
      <c r="BS77">
        <f>RANK(TAcum[[#This Row],[j69]],TAcum[[#All],[j69]],0)</f>
        <v>76</v>
      </c>
      <c r="BT77">
        <f>RANK(TAcum[[#This Row],[j70]],TAcum[[#All],[j70]],0)</f>
        <v>76</v>
      </c>
      <c r="BU77">
        <f>RANK(TAcum[[#This Row],[j71]],TAcum[[#All],[j71]],0)</f>
        <v>76</v>
      </c>
      <c r="BV77">
        <f>RANK(TAcum[[#This Row],[j72]],TAcum[[#All],[j72]],0)</f>
        <v>76</v>
      </c>
      <c r="BW77">
        <f>RANK(TAcum[[#This Row],[j73]],TAcum[[#All],[j73]],0)</f>
        <v>76</v>
      </c>
    </row>
    <row r="78" spans="1:75" x14ac:dyDescent="0.25">
      <c r="A78" t="str">
        <f>TAcum[[#This Row],[Jogador]]</f>
        <v>Juliana Coni</v>
      </c>
      <c r="B78">
        <f>RANK(TAcum[[#This Row],[total]],TAcum[[#All],[total]],0)</f>
        <v>76</v>
      </c>
      <c r="C78">
        <f>RANK(TAcum[[#This Row],[j01]],TAcum[[#All],[j01]],0)</f>
        <v>13</v>
      </c>
      <c r="D78">
        <f>RANK(TAcum[[#This Row],[j02]],TAcum[[#All],[j02]],0)</f>
        <v>14</v>
      </c>
      <c r="E78">
        <f>RANK(TAcum[[#This Row],[j03]],TAcum[[#All],[j03]],0)</f>
        <v>52</v>
      </c>
      <c r="F78">
        <f>RANK(TAcum[[#This Row],[j04]],TAcum[[#All],[j04]],0)</f>
        <v>77</v>
      </c>
      <c r="G78">
        <f>RANK(TAcum[[#This Row],[j05]],TAcum[[#All],[j05]],0)</f>
        <v>79</v>
      </c>
      <c r="H78">
        <f>RANK(TAcum[[#This Row],[j06]],TAcum[[#All],[j06]],0)</f>
        <v>77</v>
      </c>
      <c r="I78">
        <f>RANK(TAcum[[#This Row],[j07]],TAcum[[#All],[j07]],0)</f>
        <v>82</v>
      </c>
      <c r="J78">
        <f>RANK(TAcum[[#This Row],[j08]],TAcum[[#All],[j08]],0)</f>
        <v>86</v>
      </c>
      <c r="K78">
        <f>RANK(TAcum[[#This Row],[j09]],TAcum[[#All],[j09]],0)</f>
        <v>85</v>
      </c>
      <c r="L78">
        <f>RANK(TAcum[[#This Row],[j10]],TAcum[[#All],[j10]],0)</f>
        <v>86</v>
      </c>
      <c r="M78">
        <f>RANK(TAcum[[#This Row],[j11]],TAcum[[#All],[j11]],0)</f>
        <v>82</v>
      </c>
      <c r="N78">
        <f>RANK(TAcum[[#This Row],[j12]],TAcum[[#All],[j12]],0)</f>
        <v>81</v>
      </c>
      <c r="O78">
        <f>RANK(TAcum[[#This Row],[j13]],TAcum[[#All],[j13]],0)</f>
        <v>51</v>
      </c>
      <c r="P78">
        <f>RANK(TAcum[[#This Row],[j14]],TAcum[[#All],[j14]],0)</f>
        <v>56</v>
      </c>
      <c r="Q78">
        <f>RANK(TAcum[[#This Row],[j15]],TAcum[[#All],[j15]],0)</f>
        <v>76</v>
      </c>
      <c r="R78">
        <f>RANK(TAcum[[#This Row],[j16]],TAcum[[#All],[j16]],0)</f>
        <v>75</v>
      </c>
      <c r="S78">
        <f>RANK(TAcum[[#This Row],[j17]],TAcum[[#All],[j17]],0)</f>
        <v>79</v>
      </c>
      <c r="T78">
        <f>RANK(TAcum[[#This Row],[j18]],TAcum[[#All],[j18]],0)</f>
        <v>82</v>
      </c>
      <c r="U78">
        <f>RANK(TAcum[[#This Row],[j19]],TAcum[[#All],[j19]],0)</f>
        <v>76</v>
      </c>
      <c r="V78">
        <f>RANK(TAcum[[#This Row],[j20]],TAcum[[#All],[j20]],0)</f>
        <v>76</v>
      </c>
      <c r="W78">
        <f>RANK(TAcum[[#This Row],[j21]],TAcum[[#All],[j21]],0)</f>
        <v>81</v>
      </c>
      <c r="X78">
        <f>RANK(TAcum[[#This Row],[j22]],TAcum[[#All],[j22]],0)</f>
        <v>90</v>
      </c>
      <c r="Y78">
        <f>RANK(TAcum[[#This Row],[j23]],TAcum[[#All],[j23]],0)</f>
        <v>86</v>
      </c>
      <c r="Z78">
        <f>RANK(TAcum[[#This Row],[j24]],TAcum[[#All],[j24]],0)</f>
        <v>74</v>
      </c>
      <c r="AA78">
        <f>RANK(TAcum[[#This Row],[j25]],TAcum[[#All],[j25]],0)</f>
        <v>58</v>
      </c>
      <c r="AB78">
        <f>RANK(TAcum[[#This Row],[j26]],TAcum[[#All],[j26]],0)</f>
        <v>59</v>
      </c>
      <c r="AC78">
        <f>RANK(TAcum[[#This Row],[j27]],TAcum[[#All],[j27]],0)</f>
        <v>59</v>
      </c>
      <c r="AD78">
        <f>RANK(TAcum[[#This Row],[j28]],TAcum[[#All],[j28]],0)</f>
        <v>68</v>
      </c>
      <c r="AE78">
        <f>RANK(TAcum[[#This Row],[j29]],TAcum[[#All],[j29]],0)</f>
        <v>76</v>
      </c>
      <c r="AF78">
        <f>RANK(TAcum[[#This Row],[j30]],TAcum[[#All],[j30]],0)</f>
        <v>76</v>
      </c>
      <c r="AG78">
        <f>RANK(TAcum[[#This Row],[j31]],TAcum[[#All],[j31]],0)</f>
        <v>76</v>
      </c>
      <c r="AH78">
        <f>RANK(TAcum[[#This Row],[j32]],TAcum[[#All],[j32]],0)</f>
        <v>76</v>
      </c>
      <c r="AI78">
        <f>RANK(TAcum[[#This Row],[j33]],TAcum[[#All],[j33]],0)</f>
        <v>76</v>
      </c>
      <c r="AJ78">
        <f>RANK(TAcum[[#This Row],[j34]],TAcum[[#All],[j34]],0)</f>
        <v>76</v>
      </c>
      <c r="AK78">
        <f>RANK(TAcum[[#This Row],[j35]],TAcum[[#All],[j35]],0)</f>
        <v>76</v>
      </c>
      <c r="AL78">
        <f>RANK(TAcum[[#This Row],[j36]],TAcum[[#All],[j36]],0)</f>
        <v>76</v>
      </c>
      <c r="AM78">
        <f>RANK(TAcum[[#This Row],[j37]],TAcum[[#All],[j37]],0)</f>
        <v>76</v>
      </c>
      <c r="AN78">
        <f>RANK(TAcum[[#This Row],[j38]],TAcum[[#All],[j38]],0)</f>
        <v>76</v>
      </c>
      <c r="AO78">
        <f>RANK(TAcum[[#This Row],[j39]],TAcum[[#All],[j39]],0)</f>
        <v>76</v>
      </c>
      <c r="AP78">
        <f>RANK(TAcum[[#This Row],[j40]],TAcum[[#All],[j40]],0)</f>
        <v>76</v>
      </c>
      <c r="AQ78">
        <f>RANK(TAcum[[#This Row],[j41]],TAcum[[#All],[j41]],0)</f>
        <v>76</v>
      </c>
      <c r="AR78">
        <f>RANK(TAcum[[#This Row],[j42]],TAcum[[#All],[j42]],0)</f>
        <v>76</v>
      </c>
      <c r="AS78">
        <f>RANK(TAcum[[#This Row],[j43]],TAcum[[#All],[j43]],0)</f>
        <v>76</v>
      </c>
      <c r="AT78">
        <f>RANK(TAcum[[#This Row],[j44]],TAcum[[#All],[j44]],0)</f>
        <v>76</v>
      </c>
      <c r="AU78">
        <f>RANK(TAcum[[#This Row],[j45]],TAcum[[#All],[j45]],0)</f>
        <v>76</v>
      </c>
      <c r="AV78">
        <f>RANK(TAcum[[#This Row],[j46]],TAcum[[#All],[j46]],0)</f>
        <v>76</v>
      </c>
      <c r="AW78">
        <f>RANK(TAcum[[#This Row],[j47]],TAcum[[#All],[j47]],0)</f>
        <v>76</v>
      </c>
      <c r="AX78">
        <f>RANK(TAcum[[#This Row],[j48]],TAcum[[#All],[j48]],0)</f>
        <v>76</v>
      </c>
      <c r="AY78">
        <f>RANK(TAcum[[#This Row],[j49]],TAcum[[#All],[j49]],0)</f>
        <v>76</v>
      </c>
      <c r="AZ78">
        <f>RANK(TAcum[[#This Row],[j50]],TAcum[[#All],[j50]],0)</f>
        <v>76</v>
      </c>
      <c r="BA78">
        <f>RANK(TAcum[[#This Row],[j51]],TAcum[[#All],[j51]],0)</f>
        <v>76</v>
      </c>
      <c r="BB78">
        <f>RANK(TAcum[[#This Row],[j52]],TAcum[[#All],[j52]],0)</f>
        <v>76</v>
      </c>
      <c r="BC78">
        <f>RANK(TAcum[[#This Row],[j53]],TAcum[[#All],[j53]],0)</f>
        <v>76</v>
      </c>
      <c r="BD78">
        <f>RANK(TAcum[[#This Row],[j54]],TAcum[[#All],[j54]],0)</f>
        <v>76</v>
      </c>
      <c r="BE78">
        <f>RANK(TAcum[[#This Row],[j55]],TAcum[[#All],[j55]],0)</f>
        <v>76</v>
      </c>
      <c r="BF78">
        <f>RANK(TAcum[[#This Row],[j56]],TAcum[[#All],[j56]],0)</f>
        <v>76</v>
      </c>
      <c r="BG78">
        <f>RANK(TAcum[[#This Row],[j57]],TAcum[[#All],[j57]],0)</f>
        <v>76</v>
      </c>
      <c r="BH78">
        <f>RANK(TAcum[[#This Row],[j58]],TAcum[[#All],[j58]],0)</f>
        <v>76</v>
      </c>
      <c r="BI78">
        <f>RANK(TAcum[[#This Row],[j59]],TAcum[[#All],[j59]],0)</f>
        <v>76</v>
      </c>
      <c r="BJ78">
        <f>RANK(TAcum[[#This Row],[j60]],TAcum[[#All],[j60]],0)</f>
        <v>76</v>
      </c>
      <c r="BK78">
        <f>RANK(TAcum[[#This Row],[j61]],TAcum[[#All],[j61]],0)</f>
        <v>76</v>
      </c>
      <c r="BL78">
        <f>RANK(TAcum[[#This Row],[j62]],TAcum[[#All],[j62]],0)</f>
        <v>76</v>
      </c>
      <c r="BM78">
        <f>RANK(TAcum[[#This Row],[j63]],TAcum[[#All],[j63]],0)</f>
        <v>76</v>
      </c>
      <c r="BN78">
        <f>RANK(TAcum[[#This Row],[j64]],TAcum[[#All],[j64]],0)</f>
        <v>76</v>
      </c>
      <c r="BO78">
        <f>RANK(TAcum[[#This Row],[j65]],TAcum[[#All],[j65]],0)</f>
        <v>76</v>
      </c>
      <c r="BP78">
        <f>RANK(TAcum[[#This Row],[j66]],TAcum[[#All],[j66]],0)</f>
        <v>76</v>
      </c>
      <c r="BQ78">
        <f>RANK(TAcum[[#This Row],[j67]],TAcum[[#All],[j67]],0)</f>
        <v>76</v>
      </c>
      <c r="BR78">
        <f>RANK(TAcum[[#This Row],[j68]],TAcum[[#All],[j68]],0)</f>
        <v>76</v>
      </c>
      <c r="BS78">
        <f>RANK(TAcum[[#This Row],[j69]],TAcum[[#All],[j69]],0)</f>
        <v>76</v>
      </c>
      <c r="BT78">
        <f>RANK(TAcum[[#This Row],[j70]],TAcum[[#All],[j70]],0)</f>
        <v>76</v>
      </c>
      <c r="BU78">
        <f>RANK(TAcum[[#This Row],[j71]],TAcum[[#All],[j71]],0)</f>
        <v>76</v>
      </c>
      <c r="BV78">
        <f>RANK(TAcum[[#This Row],[j72]],TAcum[[#All],[j72]],0)</f>
        <v>76</v>
      </c>
      <c r="BW78">
        <f>RANK(TAcum[[#This Row],[j73]],TAcum[[#All],[j73]],0)</f>
        <v>76</v>
      </c>
    </row>
    <row r="79" spans="1:75" x14ac:dyDescent="0.25">
      <c r="A79" t="str">
        <f>TAcum[[#This Row],[Jogador]]</f>
        <v>Bago</v>
      </c>
      <c r="B79">
        <f>RANK(TAcum[[#This Row],[total]],TAcum[[#All],[total]],0)</f>
        <v>78</v>
      </c>
      <c r="C79">
        <f>RANK(TAcum[[#This Row],[j01]],TAcum[[#All],[j01]],0)</f>
        <v>78</v>
      </c>
      <c r="D79">
        <f>RANK(TAcum[[#This Row],[j02]],TAcum[[#All],[j02]],0)</f>
        <v>77</v>
      </c>
      <c r="E79">
        <f>RANK(TAcum[[#This Row],[j03]],TAcum[[#All],[j03]],0)</f>
        <v>82</v>
      </c>
      <c r="F79">
        <f>RANK(TAcum[[#This Row],[j04]],TAcum[[#All],[j04]],0)</f>
        <v>89</v>
      </c>
      <c r="G79">
        <f>RANK(TAcum[[#This Row],[j05]],TAcum[[#All],[j05]],0)</f>
        <v>89</v>
      </c>
      <c r="H79">
        <f>RANK(TAcum[[#This Row],[j06]],TAcum[[#All],[j06]],0)</f>
        <v>93</v>
      </c>
      <c r="I79">
        <f>RANK(TAcum[[#This Row],[j07]],TAcum[[#All],[j07]],0)</f>
        <v>101</v>
      </c>
      <c r="J79">
        <f>RANK(TAcum[[#This Row],[j08]],TAcum[[#All],[j08]],0)</f>
        <v>98</v>
      </c>
      <c r="K79">
        <f>RANK(TAcum[[#This Row],[j09]],TAcum[[#All],[j09]],0)</f>
        <v>97</v>
      </c>
      <c r="L79">
        <f>RANK(TAcum[[#This Row],[j10]],TAcum[[#All],[j10]],0)</f>
        <v>98</v>
      </c>
      <c r="M79">
        <f>RANK(TAcum[[#This Row],[j11]],TAcum[[#All],[j11]],0)</f>
        <v>99</v>
      </c>
      <c r="N79">
        <f>RANK(TAcum[[#This Row],[j12]],TAcum[[#All],[j12]],0)</f>
        <v>103</v>
      </c>
      <c r="O79">
        <f>RANK(TAcum[[#This Row],[j13]],TAcum[[#All],[j13]],0)</f>
        <v>107</v>
      </c>
      <c r="P79">
        <f>RANK(TAcum[[#This Row],[j14]],TAcum[[#All],[j14]],0)</f>
        <v>107</v>
      </c>
      <c r="Q79">
        <f>RANK(TAcum[[#This Row],[j15]],TAcum[[#All],[j15]],0)</f>
        <v>105</v>
      </c>
      <c r="R79">
        <f>RANK(TAcum[[#This Row],[j16]],TAcum[[#All],[j16]],0)</f>
        <v>101</v>
      </c>
      <c r="S79">
        <f>RANK(TAcum[[#This Row],[j17]],TAcum[[#All],[j17]],0)</f>
        <v>105</v>
      </c>
      <c r="T79">
        <f>RANK(TAcum[[#This Row],[j18]],TAcum[[#All],[j18]],0)</f>
        <v>105</v>
      </c>
      <c r="U79">
        <f>RANK(TAcum[[#This Row],[j19]],TAcum[[#All],[j19]],0)</f>
        <v>101</v>
      </c>
      <c r="V79">
        <f>RANK(TAcum[[#This Row],[j20]],TAcum[[#All],[j20]],0)</f>
        <v>101</v>
      </c>
      <c r="W79">
        <f>RANK(TAcum[[#This Row],[j21]],TAcum[[#All],[j21]],0)</f>
        <v>99</v>
      </c>
      <c r="X79">
        <f>RANK(TAcum[[#This Row],[j22]],TAcum[[#All],[j22]],0)</f>
        <v>103</v>
      </c>
      <c r="Y79">
        <f>RANK(TAcum[[#This Row],[j23]],TAcum[[#All],[j23]],0)</f>
        <v>89</v>
      </c>
      <c r="Z79">
        <f>RANK(TAcum[[#This Row],[j24]],TAcum[[#All],[j24]],0)</f>
        <v>83</v>
      </c>
      <c r="AA79">
        <f>RANK(TAcum[[#This Row],[j25]],TAcum[[#All],[j25]],0)</f>
        <v>79</v>
      </c>
      <c r="AB79">
        <f>RANK(TAcum[[#This Row],[j26]],TAcum[[#All],[j26]],0)</f>
        <v>75</v>
      </c>
      <c r="AC79">
        <f>RANK(TAcum[[#This Row],[j27]],TAcum[[#All],[j27]],0)</f>
        <v>76</v>
      </c>
      <c r="AD79">
        <f>RANK(TAcum[[#This Row],[j28]],TAcum[[#All],[j28]],0)</f>
        <v>71</v>
      </c>
      <c r="AE79">
        <f>RANK(TAcum[[#This Row],[j29]],TAcum[[#All],[j29]],0)</f>
        <v>78</v>
      </c>
      <c r="AF79">
        <f>RANK(TAcum[[#This Row],[j30]],TAcum[[#All],[j30]],0)</f>
        <v>78</v>
      </c>
      <c r="AG79">
        <f>RANK(TAcum[[#This Row],[j31]],TAcum[[#All],[j31]],0)</f>
        <v>78</v>
      </c>
      <c r="AH79">
        <f>RANK(TAcum[[#This Row],[j32]],TAcum[[#All],[j32]],0)</f>
        <v>78</v>
      </c>
      <c r="AI79">
        <f>RANK(TAcum[[#This Row],[j33]],TAcum[[#All],[j33]],0)</f>
        <v>78</v>
      </c>
      <c r="AJ79">
        <f>RANK(TAcum[[#This Row],[j34]],TAcum[[#All],[j34]],0)</f>
        <v>78</v>
      </c>
      <c r="AK79">
        <f>RANK(TAcum[[#This Row],[j35]],TAcum[[#All],[j35]],0)</f>
        <v>78</v>
      </c>
      <c r="AL79">
        <f>RANK(TAcum[[#This Row],[j36]],TAcum[[#All],[j36]],0)</f>
        <v>78</v>
      </c>
      <c r="AM79">
        <f>RANK(TAcum[[#This Row],[j37]],TAcum[[#All],[j37]],0)</f>
        <v>78</v>
      </c>
      <c r="AN79">
        <f>RANK(TAcum[[#This Row],[j38]],TAcum[[#All],[j38]],0)</f>
        <v>78</v>
      </c>
      <c r="AO79">
        <f>RANK(TAcum[[#This Row],[j39]],TAcum[[#All],[j39]],0)</f>
        <v>78</v>
      </c>
      <c r="AP79">
        <f>RANK(TAcum[[#This Row],[j40]],TAcum[[#All],[j40]],0)</f>
        <v>78</v>
      </c>
      <c r="AQ79">
        <f>RANK(TAcum[[#This Row],[j41]],TAcum[[#All],[j41]],0)</f>
        <v>78</v>
      </c>
      <c r="AR79">
        <f>RANK(TAcum[[#This Row],[j42]],TAcum[[#All],[j42]],0)</f>
        <v>78</v>
      </c>
      <c r="AS79">
        <f>RANK(TAcum[[#This Row],[j43]],TAcum[[#All],[j43]],0)</f>
        <v>78</v>
      </c>
      <c r="AT79">
        <f>RANK(TAcum[[#This Row],[j44]],TAcum[[#All],[j44]],0)</f>
        <v>78</v>
      </c>
      <c r="AU79">
        <f>RANK(TAcum[[#This Row],[j45]],TAcum[[#All],[j45]],0)</f>
        <v>78</v>
      </c>
      <c r="AV79">
        <f>RANK(TAcum[[#This Row],[j46]],TAcum[[#All],[j46]],0)</f>
        <v>78</v>
      </c>
      <c r="AW79">
        <f>RANK(TAcum[[#This Row],[j47]],TAcum[[#All],[j47]],0)</f>
        <v>78</v>
      </c>
      <c r="AX79">
        <f>RANK(TAcum[[#This Row],[j48]],TAcum[[#All],[j48]],0)</f>
        <v>78</v>
      </c>
      <c r="AY79">
        <f>RANK(TAcum[[#This Row],[j49]],TAcum[[#All],[j49]],0)</f>
        <v>78</v>
      </c>
      <c r="AZ79">
        <f>RANK(TAcum[[#This Row],[j50]],TAcum[[#All],[j50]],0)</f>
        <v>78</v>
      </c>
      <c r="BA79">
        <f>RANK(TAcum[[#This Row],[j51]],TAcum[[#All],[j51]],0)</f>
        <v>78</v>
      </c>
      <c r="BB79">
        <f>RANK(TAcum[[#This Row],[j52]],TAcum[[#All],[j52]],0)</f>
        <v>78</v>
      </c>
      <c r="BC79">
        <f>RANK(TAcum[[#This Row],[j53]],TAcum[[#All],[j53]],0)</f>
        <v>78</v>
      </c>
      <c r="BD79">
        <f>RANK(TAcum[[#This Row],[j54]],TAcum[[#All],[j54]],0)</f>
        <v>78</v>
      </c>
      <c r="BE79">
        <f>RANK(TAcum[[#This Row],[j55]],TAcum[[#All],[j55]],0)</f>
        <v>78</v>
      </c>
      <c r="BF79">
        <f>RANK(TAcum[[#This Row],[j56]],TAcum[[#All],[j56]],0)</f>
        <v>78</v>
      </c>
      <c r="BG79">
        <f>RANK(TAcum[[#This Row],[j57]],TAcum[[#All],[j57]],0)</f>
        <v>78</v>
      </c>
      <c r="BH79">
        <f>RANK(TAcum[[#This Row],[j58]],TAcum[[#All],[j58]],0)</f>
        <v>78</v>
      </c>
      <c r="BI79">
        <f>RANK(TAcum[[#This Row],[j59]],TAcum[[#All],[j59]],0)</f>
        <v>78</v>
      </c>
      <c r="BJ79">
        <f>RANK(TAcum[[#This Row],[j60]],TAcum[[#All],[j60]],0)</f>
        <v>78</v>
      </c>
      <c r="BK79">
        <f>RANK(TAcum[[#This Row],[j61]],TAcum[[#All],[j61]],0)</f>
        <v>78</v>
      </c>
      <c r="BL79">
        <f>RANK(TAcum[[#This Row],[j62]],TAcum[[#All],[j62]],0)</f>
        <v>78</v>
      </c>
      <c r="BM79">
        <f>RANK(TAcum[[#This Row],[j63]],TAcum[[#All],[j63]],0)</f>
        <v>78</v>
      </c>
      <c r="BN79">
        <f>RANK(TAcum[[#This Row],[j64]],TAcum[[#All],[j64]],0)</f>
        <v>78</v>
      </c>
      <c r="BO79">
        <f>RANK(TAcum[[#This Row],[j65]],TAcum[[#All],[j65]],0)</f>
        <v>78</v>
      </c>
      <c r="BP79">
        <f>RANK(TAcum[[#This Row],[j66]],TAcum[[#All],[j66]],0)</f>
        <v>78</v>
      </c>
      <c r="BQ79">
        <f>RANK(TAcum[[#This Row],[j67]],TAcum[[#All],[j67]],0)</f>
        <v>78</v>
      </c>
      <c r="BR79">
        <f>RANK(TAcum[[#This Row],[j68]],TAcum[[#All],[j68]],0)</f>
        <v>78</v>
      </c>
      <c r="BS79">
        <f>RANK(TAcum[[#This Row],[j69]],TAcum[[#All],[j69]],0)</f>
        <v>78</v>
      </c>
      <c r="BT79">
        <f>RANK(TAcum[[#This Row],[j70]],TAcum[[#All],[j70]],0)</f>
        <v>78</v>
      </c>
      <c r="BU79">
        <f>RANK(TAcum[[#This Row],[j71]],TAcum[[#All],[j71]],0)</f>
        <v>78</v>
      </c>
      <c r="BV79">
        <f>RANK(TAcum[[#This Row],[j72]],TAcum[[#All],[j72]],0)</f>
        <v>78</v>
      </c>
      <c r="BW79">
        <f>RANK(TAcum[[#This Row],[j73]],TAcum[[#All],[j73]],0)</f>
        <v>78</v>
      </c>
    </row>
    <row r="80" spans="1:75" x14ac:dyDescent="0.25">
      <c r="A80" t="str">
        <f>TAcum[[#This Row],[Jogador]]</f>
        <v>Vicente Coni Jr</v>
      </c>
      <c r="B80">
        <f>RANK(TAcum[[#This Row],[total]],TAcum[[#All],[total]],0)</f>
        <v>78</v>
      </c>
      <c r="C80">
        <f>RANK(TAcum[[#This Row],[j01]],TAcum[[#All],[j01]],0)</f>
        <v>1</v>
      </c>
      <c r="D80">
        <f>RANK(TAcum[[#This Row],[j02]],TAcum[[#All],[j02]],0)</f>
        <v>1</v>
      </c>
      <c r="E80">
        <f>RANK(TAcum[[#This Row],[j03]],TAcum[[#All],[j03]],0)</f>
        <v>3</v>
      </c>
      <c r="F80">
        <f>RANK(TAcum[[#This Row],[j04]],TAcum[[#All],[j04]],0)</f>
        <v>38</v>
      </c>
      <c r="G80">
        <f>RANK(TAcum[[#This Row],[j05]],TAcum[[#All],[j05]],0)</f>
        <v>39</v>
      </c>
      <c r="H80">
        <f>RANK(TAcum[[#This Row],[j06]],TAcum[[#All],[j06]],0)</f>
        <v>41</v>
      </c>
      <c r="I80">
        <f>RANK(TAcum[[#This Row],[j07]],TAcum[[#All],[j07]],0)</f>
        <v>49</v>
      </c>
      <c r="J80">
        <f>RANK(TAcum[[#This Row],[j08]],TAcum[[#All],[j08]],0)</f>
        <v>49</v>
      </c>
      <c r="K80">
        <f>RANK(TAcum[[#This Row],[j09]],TAcum[[#All],[j09]],0)</f>
        <v>27</v>
      </c>
      <c r="L80">
        <f>RANK(TAcum[[#This Row],[j10]],TAcum[[#All],[j10]],0)</f>
        <v>31</v>
      </c>
      <c r="M80">
        <f>RANK(TAcum[[#This Row],[j11]],TAcum[[#All],[j11]],0)</f>
        <v>40</v>
      </c>
      <c r="N80">
        <f>RANK(TAcum[[#This Row],[j12]],TAcum[[#All],[j12]],0)</f>
        <v>41</v>
      </c>
      <c r="O80">
        <f>RANK(TAcum[[#This Row],[j13]],TAcum[[#All],[j13]],0)</f>
        <v>59</v>
      </c>
      <c r="P80">
        <f>RANK(TAcum[[#This Row],[j14]],TAcum[[#All],[j14]],0)</f>
        <v>45</v>
      </c>
      <c r="Q80">
        <f>RANK(TAcum[[#This Row],[j15]],TAcum[[#All],[j15]],0)</f>
        <v>45</v>
      </c>
      <c r="R80">
        <f>RANK(TAcum[[#This Row],[j16]],TAcum[[#All],[j16]],0)</f>
        <v>55</v>
      </c>
      <c r="S80">
        <f>RANK(TAcum[[#This Row],[j17]],TAcum[[#All],[j17]],0)</f>
        <v>61</v>
      </c>
      <c r="T80">
        <f>RANK(TAcum[[#This Row],[j18]],TAcum[[#All],[j18]],0)</f>
        <v>63</v>
      </c>
      <c r="U80">
        <f>RANK(TAcum[[#This Row],[j19]],TAcum[[#All],[j19]],0)</f>
        <v>62</v>
      </c>
      <c r="V80">
        <f>RANK(TAcum[[#This Row],[j20]],TAcum[[#All],[j20]],0)</f>
        <v>61</v>
      </c>
      <c r="W80">
        <f>RANK(TAcum[[#This Row],[j21]],TAcum[[#All],[j21]],0)</f>
        <v>62</v>
      </c>
      <c r="X80">
        <f>RANK(TAcum[[#This Row],[j22]],TAcum[[#All],[j22]],0)</f>
        <v>67</v>
      </c>
      <c r="Y80">
        <f>RANK(TAcum[[#This Row],[j23]],TAcum[[#All],[j23]],0)</f>
        <v>56</v>
      </c>
      <c r="Z80">
        <f>RANK(TAcum[[#This Row],[j24]],TAcum[[#All],[j24]],0)</f>
        <v>64</v>
      </c>
      <c r="AA80">
        <f>RANK(TAcum[[#This Row],[j25]],TAcum[[#All],[j25]],0)</f>
        <v>60</v>
      </c>
      <c r="AB80">
        <f>RANK(TAcum[[#This Row],[j26]],TAcum[[#All],[j26]],0)</f>
        <v>63</v>
      </c>
      <c r="AC80">
        <f>RANK(TAcum[[#This Row],[j27]],TAcum[[#All],[j27]],0)</f>
        <v>63</v>
      </c>
      <c r="AD80">
        <f>RANK(TAcum[[#This Row],[j28]],TAcum[[#All],[j28]],0)</f>
        <v>71</v>
      </c>
      <c r="AE80">
        <f>RANK(TAcum[[#This Row],[j29]],TAcum[[#All],[j29]],0)</f>
        <v>78</v>
      </c>
      <c r="AF80">
        <f>RANK(TAcum[[#This Row],[j30]],TAcum[[#All],[j30]],0)</f>
        <v>78</v>
      </c>
      <c r="AG80">
        <f>RANK(TAcum[[#This Row],[j31]],TAcum[[#All],[j31]],0)</f>
        <v>78</v>
      </c>
      <c r="AH80">
        <f>RANK(TAcum[[#This Row],[j32]],TAcum[[#All],[j32]],0)</f>
        <v>78</v>
      </c>
      <c r="AI80">
        <f>RANK(TAcum[[#This Row],[j33]],TAcum[[#All],[j33]],0)</f>
        <v>78</v>
      </c>
      <c r="AJ80">
        <f>RANK(TAcum[[#This Row],[j34]],TAcum[[#All],[j34]],0)</f>
        <v>78</v>
      </c>
      <c r="AK80">
        <f>RANK(TAcum[[#This Row],[j35]],TAcum[[#All],[j35]],0)</f>
        <v>78</v>
      </c>
      <c r="AL80">
        <f>RANK(TAcum[[#This Row],[j36]],TAcum[[#All],[j36]],0)</f>
        <v>78</v>
      </c>
      <c r="AM80">
        <f>RANK(TAcum[[#This Row],[j37]],TAcum[[#All],[j37]],0)</f>
        <v>78</v>
      </c>
      <c r="AN80">
        <f>RANK(TAcum[[#This Row],[j38]],TAcum[[#All],[j38]],0)</f>
        <v>78</v>
      </c>
      <c r="AO80">
        <f>RANK(TAcum[[#This Row],[j39]],TAcum[[#All],[j39]],0)</f>
        <v>78</v>
      </c>
      <c r="AP80">
        <f>RANK(TAcum[[#This Row],[j40]],TAcum[[#All],[j40]],0)</f>
        <v>78</v>
      </c>
      <c r="AQ80">
        <f>RANK(TAcum[[#This Row],[j41]],TAcum[[#All],[j41]],0)</f>
        <v>78</v>
      </c>
      <c r="AR80">
        <f>RANK(TAcum[[#This Row],[j42]],TAcum[[#All],[j42]],0)</f>
        <v>78</v>
      </c>
      <c r="AS80">
        <f>RANK(TAcum[[#This Row],[j43]],TAcum[[#All],[j43]],0)</f>
        <v>78</v>
      </c>
      <c r="AT80">
        <f>RANK(TAcum[[#This Row],[j44]],TAcum[[#All],[j44]],0)</f>
        <v>78</v>
      </c>
      <c r="AU80">
        <f>RANK(TAcum[[#This Row],[j45]],TAcum[[#All],[j45]],0)</f>
        <v>78</v>
      </c>
      <c r="AV80">
        <f>RANK(TAcum[[#This Row],[j46]],TAcum[[#All],[j46]],0)</f>
        <v>78</v>
      </c>
      <c r="AW80">
        <f>RANK(TAcum[[#This Row],[j47]],TAcum[[#All],[j47]],0)</f>
        <v>78</v>
      </c>
      <c r="AX80">
        <f>RANK(TAcum[[#This Row],[j48]],TAcum[[#All],[j48]],0)</f>
        <v>78</v>
      </c>
      <c r="AY80">
        <f>RANK(TAcum[[#This Row],[j49]],TAcum[[#All],[j49]],0)</f>
        <v>78</v>
      </c>
      <c r="AZ80">
        <f>RANK(TAcum[[#This Row],[j50]],TAcum[[#All],[j50]],0)</f>
        <v>78</v>
      </c>
      <c r="BA80">
        <f>RANK(TAcum[[#This Row],[j51]],TAcum[[#All],[j51]],0)</f>
        <v>78</v>
      </c>
      <c r="BB80">
        <f>RANK(TAcum[[#This Row],[j52]],TAcum[[#All],[j52]],0)</f>
        <v>78</v>
      </c>
      <c r="BC80">
        <f>RANK(TAcum[[#This Row],[j53]],TAcum[[#All],[j53]],0)</f>
        <v>78</v>
      </c>
      <c r="BD80">
        <f>RANK(TAcum[[#This Row],[j54]],TAcum[[#All],[j54]],0)</f>
        <v>78</v>
      </c>
      <c r="BE80">
        <f>RANK(TAcum[[#This Row],[j55]],TAcum[[#All],[j55]],0)</f>
        <v>78</v>
      </c>
      <c r="BF80">
        <f>RANK(TAcum[[#This Row],[j56]],TAcum[[#All],[j56]],0)</f>
        <v>78</v>
      </c>
      <c r="BG80">
        <f>RANK(TAcum[[#This Row],[j57]],TAcum[[#All],[j57]],0)</f>
        <v>78</v>
      </c>
      <c r="BH80">
        <f>RANK(TAcum[[#This Row],[j58]],TAcum[[#All],[j58]],0)</f>
        <v>78</v>
      </c>
      <c r="BI80">
        <f>RANK(TAcum[[#This Row],[j59]],TAcum[[#All],[j59]],0)</f>
        <v>78</v>
      </c>
      <c r="BJ80">
        <f>RANK(TAcum[[#This Row],[j60]],TAcum[[#All],[j60]],0)</f>
        <v>78</v>
      </c>
      <c r="BK80">
        <f>RANK(TAcum[[#This Row],[j61]],TAcum[[#All],[j61]],0)</f>
        <v>78</v>
      </c>
      <c r="BL80">
        <f>RANK(TAcum[[#This Row],[j62]],TAcum[[#All],[j62]],0)</f>
        <v>78</v>
      </c>
      <c r="BM80">
        <f>RANK(TAcum[[#This Row],[j63]],TAcum[[#All],[j63]],0)</f>
        <v>78</v>
      </c>
      <c r="BN80">
        <f>RANK(TAcum[[#This Row],[j64]],TAcum[[#All],[j64]],0)</f>
        <v>78</v>
      </c>
      <c r="BO80">
        <f>RANK(TAcum[[#This Row],[j65]],TAcum[[#All],[j65]],0)</f>
        <v>78</v>
      </c>
      <c r="BP80">
        <f>RANK(TAcum[[#This Row],[j66]],TAcum[[#All],[j66]],0)</f>
        <v>78</v>
      </c>
      <c r="BQ80">
        <f>RANK(TAcum[[#This Row],[j67]],TAcum[[#All],[j67]],0)</f>
        <v>78</v>
      </c>
      <c r="BR80">
        <f>RANK(TAcum[[#This Row],[j68]],TAcum[[#All],[j68]],0)</f>
        <v>78</v>
      </c>
      <c r="BS80">
        <f>RANK(TAcum[[#This Row],[j69]],TAcum[[#All],[j69]],0)</f>
        <v>78</v>
      </c>
      <c r="BT80">
        <f>RANK(TAcum[[#This Row],[j70]],TAcum[[#All],[j70]],0)</f>
        <v>78</v>
      </c>
      <c r="BU80">
        <f>RANK(TAcum[[#This Row],[j71]],TAcum[[#All],[j71]],0)</f>
        <v>78</v>
      </c>
      <c r="BV80">
        <f>RANK(TAcum[[#This Row],[j72]],TAcum[[#All],[j72]],0)</f>
        <v>78</v>
      </c>
      <c r="BW80">
        <f>RANK(TAcum[[#This Row],[j73]],TAcum[[#All],[j73]],0)</f>
        <v>78</v>
      </c>
    </row>
    <row r="81" spans="1:75" x14ac:dyDescent="0.25">
      <c r="A81" t="str">
        <f>TAcum[[#This Row],[Jogador]]</f>
        <v>Henrique Schubach</v>
      </c>
      <c r="B81">
        <f>RANK(TAcum[[#This Row],[total]],TAcum[[#All],[total]],0)</f>
        <v>80</v>
      </c>
      <c r="C81">
        <f>RANK(TAcum[[#This Row],[j01]],TAcum[[#All],[j01]],0)</f>
        <v>78</v>
      </c>
      <c r="D81">
        <f>RANK(TAcum[[#This Row],[j02]],TAcum[[#All],[j02]],0)</f>
        <v>77</v>
      </c>
      <c r="E81">
        <f>RANK(TAcum[[#This Row],[j03]],TAcum[[#All],[j03]],0)</f>
        <v>61</v>
      </c>
      <c r="F81">
        <f>RANK(TAcum[[#This Row],[j04]],TAcum[[#All],[j04]],0)</f>
        <v>83</v>
      </c>
      <c r="G81">
        <f>RANK(TAcum[[#This Row],[j05]],TAcum[[#All],[j05]],0)</f>
        <v>85</v>
      </c>
      <c r="H81">
        <f>RANK(TAcum[[#This Row],[j06]],TAcum[[#All],[j06]],0)</f>
        <v>91</v>
      </c>
      <c r="I81">
        <f>RANK(TAcum[[#This Row],[j07]],TAcum[[#All],[j07]],0)</f>
        <v>42</v>
      </c>
      <c r="J81">
        <f>RANK(TAcum[[#This Row],[j08]],TAcum[[#All],[j08]],0)</f>
        <v>43</v>
      </c>
      <c r="K81">
        <f>RANK(TAcum[[#This Row],[j09]],TAcum[[#All],[j09]],0)</f>
        <v>48</v>
      </c>
      <c r="L81">
        <f>RANK(TAcum[[#This Row],[j10]],TAcum[[#All],[j10]],0)</f>
        <v>50</v>
      </c>
      <c r="M81">
        <f>RANK(TAcum[[#This Row],[j11]],TAcum[[#All],[j11]],0)</f>
        <v>57</v>
      </c>
      <c r="N81">
        <f>RANK(TAcum[[#This Row],[j12]],TAcum[[#All],[j12]],0)</f>
        <v>62</v>
      </c>
      <c r="O81">
        <f>RANK(TAcum[[#This Row],[j13]],TAcum[[#All],[j13]],0)</f>
        <v>87</v>
      </c>
      <c r="P81">
        <f>RANK(TAcum[[#This Row],[j14]],TAcum[[#All],[j14]],0)</f>
        <v>87</v>
      </c>
      <c r="Q81">
        <f>RANK(TAcum[[#This Row],[j15]],TAcum[[#All],[j15]],0)</f>
        <v>86</v>
      </c>
      <c r="R81">
        <f>RANK(TAcum[[#This Row],[j16]],TAcum[[#All],[j16]],0)</f>
        <v>106</v>
      </c>
      <c r="S81">
        <f>RANK(TAcum[[#This Row],[j17]],TAcum[[#All],[j17]],0)</f>
        <v>109</v>
      </c>
      <c r="T81">
        <f>RANK(TAcum[[#This Row],[j18]],TAcum[[#All],[j18]],0)</f>
        <v>110</v>
      </c>
      <c r="U81">
        <f>RANK(TAcum[[#This Row],[j19]],TAcum[[#All],[j19]],0)</f>
        <v>106</v>
      </c>
      <c r="V81">
        <f>RANK(TAcum[[#This Row],[j20]],TAcum[[#All],[j20]],0)</f>
        <v>105</v>
      </c>
      <c r="W81">
        <f>RANK(TAcum[[#This Row],[j21]],TAcum[[#All],[j21]],0)</f>
        <v>105</v>
      </c>
      <c r="X81">
        <f>RANK(TAcum[[#This Row],[j22]],TAcum[[#All],[j22]],0)</f>
        <v>101</v>
      </c>
      <c r="Y81">
        <f>RANK(TAcum[[#This Row],[j23]],TAcum[[#All],[j23]],0)</f>
        <v>101</v>
      </c>
      <c r="Z81">
        <f>RANK(TAcum[[#This Row],[j24]],TAcum[[#All],[j24]],0)</f>
        <v>94</v>
      </c>
      <c r="AA81">
        <f>RANK(TAcum[[#This Row],[j25]],TAcum[[#All],[j25]],0)</f>
        <v>76</v>
      </c>
      <c r="AB81">
        <f>RANK(TAcum[[#This Row],[j26]],TAcum[[#All],[j26]],0)</f>
        <v>81</v>
      </c>
      <c r="AC81">
        <f>RANK(TAcum[[#This Row],[j27]],TAcum[[#All],[j27]],0)</f>
        <v>81</v>
      </c>
      <c r="AD81">
        <f>RANK(TAcum[[#This Row],[j28]],TAcum[[#All],[j28]],0)</f>
        <v>81</v>
      </c>
      <c r="AE81">
        <f>RANK(TAcum[[#This Row],[j29]],TAcum[[#All],[j29]],0)</f>
        <v>80</v>
      </c>
      <c r="AF81">
        <f>RANK(TAcum[[#This Row],[j30]],TAcum[[#All],[j30]],0)</f>
        <v>80</v>
      </c>
      <c r="AG81">
        <f>RANK(TAcum[[#This Row],[j31]],TAcum[[#All],[j31]],0)</f>
        <v>80</v>
      </c>
      <c r="AH81">
        <f>RANK(TAcum[[#This Row],[j32]],TAcum[[#All],[j32]],0)</f>
        <v>80</v>
      </c>
      <c r="AI81">
        <f>RANK(TAcum[[#This Row],[j33]],TAcum[[#All],[j33]],0)</f>
        <v>80</v>
      </c>
      <c r="AJ81">
        <f>RANK(TAcum[[#This Row],[j34]],TAcum[[#All],[j34]],0)</f>
        <v>80</v>
      </c>
      <c r="AK81">
        <f>RANK(TAcum[[#This Row],[j35]],TAcum[[#All],[j35]],0)</f>
        <v>80</v>
      </c>
      <c r="AL81">
        <f>RANK(TAcum[[#This Row],[j36]],TAcum[[#All],[j36]],0)</f>
        <v>80</v>
      </c>
      <c r="AM81">
        <f>RANK(TAcum[[#This Row],[j37]],TAcum[[#All],[j37]],0)</f>
        <v>80</v>
      </c>
      <c r="AN81">
        <f>RANK(TAcum[[#This Row],[j38]],TAcum[[#All],[j38]],0)</f>
        <v>80</v>
      </c>
      <c r="AO81">
        <f>RANK(TAcum[[#This Row],[j39]],TAcum[[#All],[j39]],0)</f>
        <v>80</v>
      </c>
      <c r="AP81">
        <f>RANK(TAcum[[#This Row],[j40]],TAcum[[#All],[j40]],0)</f>
        <v>80</v>
      </c>
      <c r="AQ81">
        <f>RANK(TAcum[[#This Row],[j41]],TAcum[[#All],[j41]],0)</f>
        <v>80</v>
      </c>
      <c r="AR81">
        <f>RANK(TAcum[[#This Row],[j42]],TAcum[[#All],[j42]],0)</f>
        <v>80</v>
      </c>
      <c r="AS81">
        <f>RANK(TAcum[[#This Row],[j43]],TAcum[[#All],[j43]],0)</f>
        <v>80</v>
      </c>
      <c r="AT81">
        <f>RANK(TAcum[[#This Row],[j44]],TAcum[[#All],[j44]],0)</f>
        <v>80</v>
      </c>
      <c r="AU81">
        <f>RANK(TAcum[[#This Row],[j45]],TAcum[[#All],[j45]],0)</f>
        <v>80</v>
      </c>
      <c r="AV81">
        <f>RANK(TAcum[[#This Row],[j46]],TAcum[[#All],[j46]],0)</f>
        <v>80</v>
      </c>
      <c r="AW81">
        <f>RANK(TAcum[[#This Row],[j47]],TAcum[[#All],[j47]],0)</f>
        <v>80</v>
      </c>
      <c r="AX81">
        <f>RANK(TAcum[[#This Row],[j48]],TAcum[[#All],[j48]],0)</f>
        <v>80</v>
      </c>
      <c r="AY81">
        <f>RANK(TAcum[[#This Row],[j49]],TAcum[[#All],[j49]],0)</f>
        <v>80</v>
      </c>
      <c r="AZ81">
        <f>RANK(TAcum[[#This Row],[j50]],TAcum[[#All],[j50]],0)</f>
        <v>80</v>
      </c>
      <c r="BA81">
        <f>RANK(TAcum[[#This Row],[j51]],TAcum[[#All],[j51]],0)</f>
        <v>80</v>
      </c>
      <c r="BB81">
        <f>RANK(TAcum[[#This Row],[j52]],TAcum[[#All],[j52]],0)</f>
        <v>80</v>
      </c>
      <c r="BC81">
        <f>RANK(TAcum[[#This Row],[j53]],TAcum[[#All],[j53]],0)</f>
        <v>80</v>
      </c>
      <c r="BD81">
        <f>RANK(TAcum[[#This Row],[j54]],TAcum[[#All],[j54]],0)</f>
        <v>80</v>
      </c>
      <c r="BE81">
        <f>RANK(TAcum[[#This Row],[j55]],TAcum[[#All],[j55]],0)</f>
        <v>80</v>
      </c>
      <c r="BF81">
        <f>RANK(TAcum[[#This Row],[j56]],TAcum[[#All],[j56]],0)</f>
        <v>80</v>
      </c>
      <c r="BG81">
        <f>RANK(TAcum[[#This Row],[j57]],TAcum[[#All],[j57]],0)</f>
        <v>80</v>
      </c>
      <c r="BH81">
        <f>RANK(TAcum[[#This Row],[j58]],TAcum[[#All],[j58]],0)</f>
        <v>80</v>
      </c>
      <c r="BI81">
        <f>RANK(TAcum[[#This Row],[j59]],TAcum[[#All],[j59]],0)</f>
        <v>80</v>
      </c>
      <c r="BJ81">
        <f>RANK(TAcum[[#This Row],[j60]],TAcum[[#All],[j60]],0)</f>
        <v>80</v>
      </c>
      <c r="BK81">
        <f>RANK(TAcum[[#This Row],[j61]],TAcum[[#All],[j61]],0)</f>
        <v>80</v>
      </c>
      <c r="BL81">
        <f>RANK(TAcum[[#This Row],[j62]],TAcum[[#All],[j62]],0)</f>
        <v>80</v>
      </c>
      <c r="BM81">
        <f>RANK(TAcum[[#This Row],[j63]],TAcum[[#All],[j63]],0)</f>
        <v>80</v>
      </c>
      <c r="BN81">
        <f>RANK(TAcum[[#This Row],[j64]],TAcum[[#All],[j64]],0)</f>
        <v>80</v>
      </c>
      <c r="BO81">
        <f>RANK(TAcum[[#This Row],[j65]],TAcum[[#All],[j65]],0)</f>
        <v>80</v>
      </c>
      <c r="BP81">
        <f>RANK(TAcum[[#This Row],[j66]],TAcum[[#All],[j66]],0)</f>
        <v>80</v>
      </c>
      <c r="BQ81">
        <f>RANK(TAcum[[#This Row],[j67]],TAcum[[#All],[j67]],0)</f>
        <v>80</v>
      </c>
      <c r="BR81">
        <f>RANK(TAcum[[#This Row],[j68]],TAcum[[#All],[j68]],0)</f>
        <v>80</v>
      </c>
      <c r="BS81">
        <f>RANK(TAcum[[#This Row],[j69]],TAcum[[#All],[j69]],0)</f>
        <v>80</v>
      </c>
      <c r="BT81">
        <f>RANK(TAcum[[#This Row],[j70]],TAcum[[#All],[j70]],0)</f>
        <v>80</v>
      </c>
      <c r="BU81">
        <f>RANK(TAcum[[#This Row],[j71]],TAcum[[#All],[j71]],0)</f>
        <v>80</v>
      </c>
      <c r="BV81">
        <f>RANK(TAcum[[#This Row],[j72]],TAcum[[#All],[j72]],0)</f>
        <v>80</v>
      </c>
      <c r="BW81">
        <f>RANK(TAcum[[#This Row],[j73]],TAcum[[#All],[j73]],0)</f>
        <v>80</v>
      </c>
    </row>
    <row r="82" spans="1:75" x14ac:dyDescent="0.25">
      <c r="A82" t="str">
        <f>TAcum[[#This Row],[Jogador]]</f>
        <v>Luiz Fernando 1</v>
      </c>
      <c r="B82">
        <f>RANK(TAcum[[#This Row],[total]],TAcum[[#All],[total]],0)</f>
        <v>81</v>
      </c>
      <c r="C82">
        <f>RANK(TAcum[[#This Row],[j01]],TAcum[[#All],[j01]],0)</f>
        <v>65</v>
      </c>
      <c r="D82">
        <f>RANK(TAcum[[#This Row],[j02]],TAcum[[#All],[j02]],0)</f>
        <v>62</v>
      </c>
      <c r="E82">
        <f>RANK(TAcum[[#This Row],[j03]],TAcum[[#All],[j03]],0)</f>
        <v>75</v>
      </c>
      <c r="F82">
        <f>RANK(TAcum[[#This Row],[j04]],TAcum[[#All],[j04]],0)</f>
        <v>96</v>
      </c>
      <c r="G82">
        <f>RANK(TAcum[[#This Row],[j05]],TAcum[[#All],[j05]],0)</f>
        <v>96</v>
      </c>
      <c r="H82">
        <f>RANK(TAcum[[#This Row],[j06]],TAcum[[#All],[j06]],0)</f>
        <v>93</v>
      </c>
      <c r="I82">
        <f>RANK(TAcum[[#This Row],[j07]],TAcum[[#All],[j07]],0)</f>
        <v>97</v>
      </c>
      <c r="J82">
        <f>RANK(TAcum[[#This Row],[j08]],TAcum[[#All],[j08]],0)</f>
        <v>98</v>
      </c>
      <c r="K82">
        <f>RANK(TAcum[[#This Row],[j09]],TAcum[[#All],[j09]],0)</f>
        <v>97</v>
      </c>
      <c r="L82">
        <f>RANK(TAcum[[#This Row],[j10]],TAcum[[#All],[j10]],0)</f>
        <v>98</v>
      </c>
      <c r="M82">
        <f>RANK(TAcum[[#This Row],[j11]],TAcum[[#All],[j11]],0)</f>
        <v>95</v>
      </c>
      <c r="N82">
        <f>RANK(TAcum[[#This Row],[j12]],TAcum[[#All],[j12]],0)</f>
        <v>92</v>
      </c>
      <c r="O82">
        <f>RANK(TAcum[[#This Row],[j13]],TAcum[[#All],[j13]],0)</f>
        <v>92</v>
      </c>
      <c r="P82">
        <f>RANK(TAcum[[#This Row],[j14]],TAcum[[#All],[j14]],0)</f>
        <v>93</v>
      </c>
      <c r="Q82">
        <f>RANK(TAcum[[#This Row],[j15]],TAcum[[#All],[j15]],0)</f>
        <v>86</v>
      </c>
      <c r="R82">
        <f>RANK(TAcum[[#This Row],[j16]],TAcum[[#All],[j16]],0)</f>
        <v>87</v>
      </c>
      <c r="S82">
        <f>RANK(TAcum[[#This Row],[j17]],TAcum[[#All],[j17]],0)</f>
        <v>90</v>
      </c>
      <c r="T82">
        <f>RANK(TAcum[[#This Row],[j18]],TAcum[[#All],[j18]],0)</f>
        <v>92</v>
      </c>
      <c r="U82">
        <f>RANK(TAcum[[#This Row],[j19]],TAcum[[#All],[j19]],0)</f>
        <v>103</v>
      </c>
      <c r="V82">
        <f>RANK(TAcum[[#This Row],[j20]],TAcum[[#All],[j20]],0)</f>
        <v>76</v>
      </c>
      <c r="W82">
        <f>RANK(TAcum[[#This Row],[j21]],TAcum[[#All],[j21]],0)</f>
        <v>81</v>
      </c>
      <c r="X82">
        <f>RANK(TAcum[[#This Row],[j22]],TAcum[[#All],[j22]],0)</f>
        <v>90</v>
      </c>
      <c r="Y82">
        <f>RANK(TAcum[[#This Row],[j23]],TAcum[[#All],[j23]],0)</f>
        <v>86</v>
      </c>
      <c r="Z82">
        <f>RANK(TAcum[[#This Row],[j24]],TAcum[[#All],[j24]],0)</f>
        <v>96</v>
      </c>
      <c r="AA82">
        <f>RANK(TAcum[[#This Row],[j25]],TAcum[[#All],[j25]],0)</f>
        <v>79</v>
      </c>
      <c r="AB82">
        <f>RANK(TAcum[[#This Row],[j26]],TAcum[[#All],[j26]],0)</f>
        <v>85</v>
      </c>
      <c r="AC82">
        <f>RANK(TAcum[[#This Row],[j27]],TAcum[[#All],[j27]],0)</f>
        <v>85</v>
      </c>
      <c r="AD82">
        <f>RANK(TAcum[[#This Row],[j28]],TAcum[[#All],[j28]],0)</f>
        <v>85</v>
      </c>
      <c r="AE82">
        <f>RANK(TAcum[[#This Row],[j29]],TAcum[[#All],[j29]],0)</f>
        <v>81</v>
      </c>
      <c r="AF82">
        <f>RANK(TAcum[[#This Row],[j30]],TAcum[[#All],[j30]],0)</f>
        <v>81</v>
      </c>
      <c r="AG82">
        <f>RANK(TAcum[[#This Row],[j31]],TAcum[[#All],[j31]],0)</f>
        <v>81</v>
      </c>
      <c r="AH82">
        <f>RANK(TAcum[[#This Row],[j32]],TAcum[[#All],[j32]],0)</f>
        <v>81</v>
      </c>
      <c r="AI82">
        <f>RANK(TAcum[[#This Row],[j33]],TAcum[[#All],[j33]],0)</f>
        <v>81</v>
      </c>
      <c r="AJ82">
        <f>RANK(TAcum[[#This Row],[j34]],TAcum[[#All],[j34]],0)</f>
        <v>81</v>
      </c>
      <c r="AK82">
        <f>RANK(TAcum[[#This Row],[j35]],TAcum[[#All],[j35]],0)</f>
        <v>81</v>
      </c>
      <c r="AL82">
        <f>RANK(TAcum[[#This Row],[j36]],TAcum[[#All],[j36]],0)</f>
        <v>81</v>
      </c>
      <c r="AM82">
        <f>RANK(TAcum[[#This Row],[j37]],TAcum[[#All],[j37]],0)</f>
        <v>81</v>
      </c>
      <c r="AN82">
        <f>RANK(TAcum[[#This Row],[j38]],TAcum[[#All],[j38]],0)</f>
        <v>81</v>
      </c>
      <c r="AO82">
        <f>RANK(TAcum[[#This Row],[j39]],TAcum[[#All],[j39]],0)</f>
        <v>81</v>
      </c>
      <c r="AP82">
        <f>RANK(TAcum[[#This Row],[j40]],TAcum[[#All],[j40]],0)</f>
        <v>81</v>
      </c>
      <c r="AQ82">
        <f>RANK(TAcum[[#This Row],[j41]],TAcum[[#All],[j41]],0)</f>
        <v>81</v>
      </c>
      <c r="AR82">
        <f>RANK(TAcum[[#This Row],[j42]],TAcum[[#All],[j42]],0)</f>
        <v>81</v>
      </c>
      <c r="AS82">
        <f>RANK(TAcum[[#This Row],[j43]],TAcum[[#All],[j43]],0)</f>
        <v>81</v>
      </c>
      <c r="AT82">
        <f>RANK(TAcum[[#This Row],[j44]],TAcum[[#All],[j44]],0)</f>
        <v>81</v>
      </c>
      <c r="AU82">
        <f>RANK(TAcum[[#This Row],[j45]],TAcum[[#All],[j45]],0)</f>
        <v>81</v>
      </c>
      <c r="AV82">
        <f>RANK(TAcum[[#This Row],[j46]],TAcum[[#All],[j46]],0)</f>
        <v>81</v>
      </c>
      <c r="AW82">
        <f>RANK(TAcum[[#This Row],[j47]],TAcum[[#All],[j47]],0)</f>
        <v>81</v>
      </c>
      <c r="AX82">
        <f>RANK(TAcum[[#This Row],[j48]],TAcum[[#All],[j48]],0)</f>
        <v>81</v>
      </c>
      <c r="AY82">
        <f>RANK(TAcum[[#This Row],[j49]],TAcum[[#All],[j49]],0)</f>
        <v>81</v>
      </c>
      <c r="AZ82">
        <f>RANK(TAcum[[#This Row],[j50]],TAcum[[#All],[j50]],0)</f>
        <v>81</v>
      </c>
      <c r="BA82">
        <f>RANK(TAcum[[#This Row],[j51]],TAcum[[#All],[j51]],0)</f>
        <v>81</v>
      </c>
      <c r="BB82">
        <f>RANK(TAcum[[#This Row],[j52]],TAcum[[#All],[j52]],0)</f>
        <v>81</v>
      </c>
      <c r="BC82">
        <f>RANK(TAcum[[#This Row],[j53]],TAcum[[#All],[j53]],0)</f>
        <v>81</v>
      </c>
      <c r="BD82">
        <f>RANK(TAcum[[#This Row],[j54]],TAcum[[#All],[j54]],0)</f>
        <v>81</v>
      </c>
      <c r="BE82">
        <f>RANK(TAcum[[#This Row],[j55]],TAcum[[#All],[j55]],0)</f>
        <v>81</v>
      </c>
      <c r="BF82">
        <f>RANK(TAcum[[#This Row],[j56]],TAcum[[#All],[j56]],0)</f>
        <v>81</v>
      </c>
      <c r="BG82">
        <f>RANK(TAcum[[#This Row],[j57]],TAcum[[#All],[j57]],0)</f>
        <v>81</v>
      </c>
      <c r="BH82">
        <f>RANK(TAcum[[#This Row],[j58]],TAcum[[#All],[j58]],0)</f>
        <v>81</v>
      </c>
      <c r="BI82">
        <f>RANK(TAcum[[#This Row],[j59]],TAcum[[#All],[j59]],0)</f>
        <v>81</v>
      </c>
      <c r="BJ82">
        <f>RANK(TAcum[[#This Row],[j60]],TAcum[[#All],[j60]],0)</f>
        <v>81</v>
      </c>
      <c r="BK82">
        <f>RANK(TAcum[[#This Row],[j61]],TAcum[[#All],[j61]],0)</f>
        <v>81</v>
      </c>
      <c r="BL82">
        <f>RANK(TAcum[[#This Row],[j62]],TAcum[[#All],[j62]],0)</f>
        <v>81</v>
      </c>
      <c r="BM82">
        <f>RANK(TAcum[[#This Row],[j63]],TAcum[[#All],[j63]],0)</f>
        <v>81</v>
      </c>
      <c r="BN82">
        <f>RANK(TAcum[[#This Row],[j64]],TAcum[[#All],[j64]],0)</f>
        <v>81</v>
      </c>
      <c r="BO82">
        <f>RANK(TAcum[[#This Row],[j65]],TAcum[[#All],[j65]],0)</f>
        <v>81</v>
      </c>
      <c r="BP82">
        <f>RANK(TAcum[[#This Row],[j66]],TAcum[[#All],[j66]],0)</f>
        <v>81</v>
      </c>
      <c r="BQ82">
        <f>RANK(TAcum[[#This Row],[j67]],TAcum[[#All],[j67]],0)</f>
        <v>81</v>
      </c>
      <c r="BR82">
        <f>RANK(TAcum[[#This Row],[j68]],TAcum[[#All],[j68]],0)</f>
        <v>81</v>
      </c>
      <c r="BS82">
        <f>RANK(TAcum[[#This Row],[j69]],TAcum[[#All],[j69]],0)</f>
        <v>81</v>
      </c>
      <c r="BT82">
        <f>RANK(TAcum[[#This Row],[j70]],TAcum[[#All],[j70]],0)</f>
        <v>81</v>
      </c>
      <c r="BU82">
        <f>RANK(TAcum[[#This Row],[j71]],TAcum[[#All],[j71]],0)</f>
        <v>81</v>
      </c>
      <c r="BV82">
        <f>RANK(TAcum[[#This Row],[j72]],TAcum[[#All],[j72]],0)</f>
        <v>81</v>
      </c>
      <c r="BW82">
        <f>RANK(TAcum[[#This Row],[j73]],TAcum[[#All],[j73]],0)</f>
        <v>81</v>
      </c>
    </row>
    <row r="83" spans="1:75" x14ac:dyDescent="0.25">
      <c r="A83" t="str">
        <f>TAcum[[#This Row],[Jogador]]</f>
        <v>Aloisio Daniel</v>
      </c>
      <c r="B83">
        <f>RANK(TAcum[[#This Row],[total]],TAcum[[#All],[total]],0)</f>
        <v>82</v>
      </c>
      <c r="C83">
        <f>RANK(TAcum[[#This Row],[j01]],TAcum[[#All],[j01]],0)</f>
        <v>78</v>
      </c>
      <c r="D83">
        <f>RANK(TAcum[[#This Row],[j02]],TAcum[[#All],[j02]],0)</f>
        <v>77</v>
      </c>
      <c r="E83">
        <f>RANK(TAcum[[#This Row],[j03]],TAcum[[#All],[j03]],0)</f>
        <v>106</v>
      </c>
      <c r="F83">
        <f>RANK(TAcum[[#This Row],[j04]],TAcum[[#All],[j04]],0)</f>
        <v>105</v>
      </c>
      <c r="G83">
        <f>RANK(TAcum[[#This Row],[j05]],TAcum[[#All],[j05]],0)</f>
        <v>105</v>
      </c>
      <c r="H83">
        <f>RANK(TAcum[[#This Row],[j06]],TAcum[[#All],[j06]],0)</f>
        <v>109</v>
      </c>
      <c r="I83">
        <f>RANK(TAcum[[#This Row],[j07]],TAcum[[#All],[j07]],0)</f>
        <v>111</v>
      </c>
      <c r="J83">
        <f>RANK(TAcum[[#This Row],[j08]],TAcum[[#All],[j08]],0)</f>
        <v>108</v>
      </c>
      <c r="K83">
        <f>RANK(TAcum[[#This Row],[j09]],TAcum[[#All],[j09]],0)</f>
        <v>108</v>
      </c>
      <c r="L83">
        <f>RANK(TAcum[[#This Row],[j10]],TAcum[[#All],[j10]],0)</f>
        <v>109</v>
      </c>
      <c r="M83">
        <f>RANK(TAcum[[#This Row],[j11]],TAcum[[#All],[j11]],0)</f>
        <v>109</v>
      </c>
      <c r="N83">
        <f>RANK(TAcum[[#This Row],[j12]],TAcum[[#All],[j12]],0)</f>
        <v>111</v>
      </c>
      <c r="O83">
        <f>RANK(TAcum[[#This Row],[j13]],TAcum[[#All],[j13]],0)</f>
        <v>102</v>
      </c>
      <c r="P83">
        <f>RANK(TAcum[[#This Row],[j14]],TAcum[[#All],[j14]],0)</f>
        <v>104</v>
      </c>
      <c r="Q83">
        <f>RANK(TAcum[[#This Row],[j15]],TAcum[[#All],[j15]],0)</f>
        <v>97</v>
      </c>
      <c r="R83">
        <f>RANK(TAcum[[#This Row],[j16]],TAcum[[#All],[j16]],0)</f>
        <v>78</v>
      </c>
      <c r="S83">
        <f>RANK(TAcum[[#This Row],[j17]],TAcum[[#All],[j17]],0)</f>
        <v>83</v>
      </c>
      <c r="T83">
        <f>RANK(TAcum[[#This Row],[j18]],TAcum[[#All],[j18]],0)</f>
        <v>85</v>
      </c>
      <c r="U83">
        <f>RANK(TAcum[[#This Row],[j19]],TAcum[[#All],[j19]],0)</f>
        <v>84</v>
      </c>
      <c r="V83">
        <f>RANK(TAcum[[#This Row],[j20]],TAcum[[#All],[j20]],0)</f>
        <v>87</v>
      </c>
      <c r="W83">
        <f>RANK(TAcum[[#This Row],[j21]],TAcum[[#All],[j21]],0)</f>
        <v>91</v>
      </c>
      <c r="X83">
        <f>RANK(TAcum[[#This Row],[j22]],TAcum[[#All],[j22]],0)</f>
        <v>94</v>
      </c>
      <c r="Y83">
        <f>RANK(TAcum[[#This Row],[j23]],TAcum[[#All],[j23]],0)</f>
        <v>80</v>
      </c>
      <c r="Z83">
        <f>RANK(TAcum[[#This Row],[j24]],TAcum[[#All],[j24]],0)</f>
        <v>78</v>
      </c>
      <c r="AA83">
        <f>RANK(TAcum[[#This Row],[j25]],TAcum[[#All],[j25]],0)</f>
        <v>76</v>
      </c>
      <c r="AB83">
        <f>RANK(TAcum[[#This Row],[j26]],TAcum[[#All],[j26]],0)</f>
        <v>80</v>
      </c>
      <c r="AC83">
        <f>RANK(TAcum[[#This Row],[j27]],TAcum[[#All],[j27]],0)</f>
        <v>80</v>
      </c>
      <c r="AD83">
        <f>RANK(TAcum[[#This Row],[j28]],TAcum[[#All],[j28]],0)</f>
        <v>78</v>
      </c>
      <c r="AE83">
        <f>RANK(TAcum[[#This Row],[j29]],TAcum[[#All],[j29]],0)</f>
        <v>82</v>
      </c>
      <c r="AF83">
        <f>RANK(TAcum[[#This Row],[j30]],TAcum[[#All],[j30]],0)</f>
        <v>82</v>
      </c>
      <c r="AG83">
        <f>RANK(TAcum[[#This Row],[j31]],TAcum[[#All],[j31]],0)</f>
        <v>82</v>
      </c>
      <c r="AH83">
        <f>RANK(TAcum[[#This Row],[j32]],TAcum[[#All],[j32]],0)</f>
        <v>82</v>
      </c>
      <c r="AI83">
        <f>RANK(TAcum[[#This Row],[j33]],TAcum[[#All],[j33]],0)</f>
        <v>82</v>
      </c>
      <c r="AJ83">
        <f>RANK(TAcum[[#This Row],[j34]],TAcum[[#All],[j34]],0)</f>
        <v>82</v>
      </c>
      <c r="AK83">
        <f>RANK(TAcum[[#This Row],[j35]],TAcum[[#All],[j35]],0)</f>
        <v>82</v>
      </c>
      <c r="AL83">
        <f>RANK(TAcum[[#This Row],[j36]],TAcum[[#All],[j36]],0)</f>
        <v>82</v>
      </c>
      <c r="AM83">
        <f>RANK(TAcum[[#This Row],[j37]],TAcum[[#All],[j37]],0)</f>
        <v>82</v>
      </c>
      <c r="AN83">
        <f>RANK(TAcum[[#This Row],[j38]],TAcum[[#All],[j38]],0)</f>
        <v>82</v>
      </c>
      <c r="AO83">
        <f>RANK(TAcum[[#This Row],[j39]],TAcum[[#All],[j39]],0)</f>
        <v>82</v>
      </c>
      <c r="AP83">
        <f>RANK(TAcum[[#This Row],[j40]],TAcum[[#All],[j40]],0)</f>
        <v>82</v>
      </c>
      <c r="AQ83">
        <f>RANK(TAcum[[#This Row],[j41]],TAcum[[#All],[j41]],0)</f>
        <v>82</v>
      </c>
      <c r="AR83">
        <f>RANK(TAcum[[#This Row],[j42]],TAcum[[#All],[j42]],0)</f>
        <v>82</v>
      </c>
      <c r="AS83">
        <f>RANK(TAcum[[#This Row],[j43]],TAcum[[#All],[j43]],0)</f>
        <v>82</v>
      </c>
      <c r="AT83">
        <f>RANK(TAcum[[#This Row],[j44]],TAcum[[#All],[j44]],0)</f>
        <v>82</v>
      </c>
      <c r="AU83">
        <f>RANK(TAcum[[#This Row],[j45]],TAcum[[#All],[j45]],0)</f>
        <v>82</v>
      </c>
      <c r="AV83">
        <f>RANK(TAcum[[#This Row],[j46]],TAcum[[#All],[j46]],0)</f>
        <v>82</v>
      </c>
      <c r="AW83">
        <f>RANK(TAcum[[#This Row],[j47]],TAcum[[#All],[j47]],0)</f>
        <v>82</v>
      </c>
      <c r="AX83">
        <f>RANK(TAcum[[#This Row],[j48]],TAcum[[#All],[j48]],0)</f>
        <v>82</v>
      </c>
      <c r="AY83">
        <f>RANK(TAcum[[#This Row],[j49]],TAcum[[#All],[j49]],0)</f>
        <v>82</v>
      </c>
      <c r="AZ83">
        <f>RANK(TAcum[[#This Row],[j50]],TAcum[[#All],[j50]],0)</f>
        <v>82</v>
      </c>
      <c r="BA83">
        <f>RANK(TAcum[[#This Row],[j51]],TAcum[[#All],[j51]],0)</f>
        <v>82</v>
      </c>
      <c r="BB83">
        <f>RANK(TAcum[[#This Row],[j52]],TAcum[[#All],[j52]],0)</f>
        <v>82</v>
      </c>
      <c r="BC83">
        <f>RANK(TAcum[[#This Row],[j53]],TAcum[[#All],[j53]],0)</f>
        <v>82</v>
      </c>
      <c r="BD83">
        <f>RANK(TAcum[[#This Row],[j54]],TAcum[[#All],[j54]],0)</f>
        <v>82</v>
      </c>
      <c r="BE83">
        <f>RANK(TAcum[[#This Row],[j55]],TAcum[[#All],[j55]],0)</f>
        <v>82</v>
      </c>
      <c r="BF83">
        <f>RANK(TAcum[[#This Row],[j56]],TAcum[[#All],[j56]],0)</f>
        <v>82</v>
      </c>
      <c r="BG83">
        <f>RANK(TAcum[[#This Row],[j57]],TAcum[[#All],[j57]],0)</f>
        <v>82</v>
      </c>
      <c r="BH83">
        <f>RANK(TAcum[[#This Row],[j58]],TAcum[[#All],[j58]],0)</f>
        <v>82</v>
      </c>
      <c r="BI83">
        <f>RANK(TAcum[[#This Row],[j59]],TAcum[[#All],[j59]],0)</f>
        <v>82</v>
      </c>
      <c r="BJ83">
        <f>RANK(TAcum[[#This Row],[j60]],TAcum[[#All],[j60]],0)</f>
        <v>82</v>
      </c>
      <c r="BK83">
        <f>RANK(TAcum[[#This Row],[j61]],TAcum[[#All],[j61]],0)</f>
        <v>82</v>
      </c>
      <c r="BL83">
        <f>RANK(TAcum[[#This Row],[j62]],TAcum[[#All],[j62]],0)</f>
        <v>82</v>
      </c>
      <c r="BM83">
        <f>RANK(TAcum[[#This Row],[j63]],TAcum[[#All],[j63]],0)</f>
        <v>82</v>
      </c>
      <c r="BN83">
        <f>RANK(TAcum[[#This Row],[j64]],TAcum[[#All],[j64]],0)</f>
        <v>82</v>
      </c>
      <c r="BO83">
        <f>RANK(TAcum[[#This Row],[j65]],TAcum[[#All],[j65]],0)</f>
        <v>82</v>
      </c>
      <c r="BP83">
        <f>RANK(TAcum[[#This Row],[j66]],TAcum[[#All],[j66]],0)</f>
        <v>82</v>
      </c>
      <c r="BQ83">
        <f>RANK(TAcum[[#This Row],[j67]],TAcum[[#All],[j67]],0)</f>
        <v>82</v>
      </c>
      <c r="BR83">
        <f>RANK(TAcum[[#This Row],[j68]],TAcum[[#All],[j68]],0)</f>
        <v>82</v>
      </c>
      <c r="BS83">
        <f>RANK(TAcum[[#This Row],[j69]],TAcum[[#All],[j69]],0)</f>
        <v>82</v>
      </c>
      <c r="BT83">
        <f>RANK(TAcum[[#This Row],[j70]],TAcum[[#All],[j70]],0)</f>
        <v>82</v>
      </c>
      <c r="BU83">
        <f>RANK(TAcum[[#This Row],[j71]],TAcum[[#All],[j71]],0)</f>
        <v>82</v>
      </c>
      <c r="BV83">
        <f>RANK(TAcum[[#This Row],[j72]],TAcum[[#All],[j72]],0)</f>
        <v>82</v>
      </c>
      <c r="BW83">
        <f>RANK(TAcum[[#This Row],[j73]],TAcum[[#All],[j73]],0)</f>
        <v>82</v>
      </c>
    </row>
    <row r="84" spans="1:75" x14ac:dyDescent="0.25">
      <c r="A84" t="str">
        <f>TAcum[[#This Row],[Jogador]]</f>
        <v>André Bittencourt</v>
      </c>
      <c r="B84">
        <f>RANK(TAcum[[#This Row],[total]],TAcum[[#All],[total]],0)</f>
        <v>82</v>
      </c>
      <c r="C84">
        <f>RANK(TAcum[[#This Row],[j01]],TAcum[[#All],[j01]],0)</f>
        <v>78</v>
      </c>
      <c r="D84">
        <f>RANK(TAcum[[#This Row],[j02]],TAcum[[#All],[j02]],0)</f>
        <v>77</v>
      </c>
      <c r="E84">
        <f>RANK(TAcum[[#This Row],[j03]],TAcum[[#All],[j03]],0)</f>
        <v>82</v>
      </c>
      <c r="F84">
        <f>RANK(TAcum[[#This Row],[j04]],TAcum[[#All],[j04]],0)</f>
        <v>98</v>
      </c>
      <c r="G84">
        <f>RANK(TAcum[[#This Row],[j05]],TAcum[[#All],[j05]],0)</f>
        <v>98</v>
      </c>
      <c r="H84">
        <f>RANK(TAcum[[#This Row],[j06]],TAcum[[#All],[j06]],0)</f>
        <v>100</v>
      </c>
      <c r="I84">
        <f>RANK(TAcum[[#This Row],[j07]],TAcum[[#All],[j07]],0)</f>
        <v>103</v>
      </c>
      <c r="J84">
        <f>RANK(TAcum[[#This Row],[j08]],TAcum[[#All],[j08]],0)</f>
        <v>107</v>
      </c>
      <c r="K84">
        <f>RANK(TAcum[[#This Row],[j09]],TAcum[[#All],[j09]],0)</f>
        <v>107</v>
      </c>
      <c r="L84">
        <f>RANK(TAcum[[#This Row],[j10]],TAcum[[#All],[j10]],0)</f>
        <v>107</v>
      </c>
      <c r="M84">
        <f>RANK(TAcum[[#This Row],[j11]],TAcum[[#All],[j11]],0)</f>
        <v>106</v>
      </c>
      <c r="N84">
        <f>RANK(TAcum[[#This Row],[j12]],TAcum[[#All],[j12]],0)</f>
        <v>107</v>
      </c>
      <c r="O84">
        <f>RANK(TAcum[[#This Row],[j13]],TAcum[[#All],[j13]],0)</f>
        <v>110</v>
      </c>
      <c r="P84">
        <f>RANK(TAcum[[#This Row],[j14]],TAcum[[#All],[j14]],0)</f>
        <v>112</v>
      </c>
      <c r="Q84">
        <f>RANK(TAcum[[#This Row],[j15]],TAcum[[#All],[j15]],0)</f>
        <v>110</v>
      </c>
      <c r="R84">
        <f>RANK(TAcum[[#This Row],[j16]],TAcum[[#All],[j16]],0)</f>
        <v>110</v>
      </c>
      <c r="S84">
        <f>RANK(TAcum[[#This Row],[j17]],TAcum[[#All],[j17]],0)</f>
        <v>107</v>
      </c>
      <c r="T84">
        <f>RANK(TAcum[[#This Row],[j18]],TAcum[[#All],[j18]],0)</f>
        <v>108</v>
      </c>
      <c r="U84">
        <f>RANK(TAcum[[#This Row],[j19]],TAcum[[#All],[j19]],0)</f>
        <v>105</v>
      </c>
      <c r="V84">
        <f>RANK(TAcum[[#This Row],[j20]],TAcum[[#All],[j20]],0)</f>
        <v>108</v>
      </c>
      <c r="W84">
        <f>RANK(TAcum[[#This Row],[j21]],TAcum[[#All],[j21]],0)</f>
        <v>109</v>
      </c>
      <c r="X84">
        <f>RANK(TAcum[[#This Row],[j22]],TAcum[[#All],[j22]],0)</f>
        <v>109</v>
      </c>
      <c r="Y84">
        <f>RANK(TAcum[[#This Row],[j23]],TAcum[[#All],[j23]],0)</f>
        <v>102</v>
      </c>
      <c r="Z84">
        <f>RANK(TAcum[[#This Row],[j24]],TAcum[[#All],[j24]],0)</f>
        <v>100</v>
      </c>
      <c r="AA84">
        <f>RANK(TAcum[[#This Row],[j25]],TAcum[[#All],[j25]],0)</f>
        <v>100</v>
      </c>
      <c r="AB84">
        <f>RANK(TAcum[[#This Row],[j26]],TAcum[[#All],[j26]],0)</f>
        <v>106</v>
      </c>
      <c r="AC84">
        <f>RANK(TAcum[[#This Row],[j27]],TAcum[[#All],[j27]],0)</f>
        <v>106</v>
      </c>
      <c r="AD84">
        <f>RANK(TAcum[[#This Row],[j28]],TAcum[[#All],[j28]],0)</f>
        <v>101</v>
      </c>
      <c r="AE84">
        <f>RANK(TAcum[[#This Row],[j29]],TAcum[[#All],[j29]],0)</f>
        <v>82</v>
      </c>
      <c r="AF84">
        <f>RANK(TAcum[[#This Row],[j30]],TAcum[[#All],[j30]],0)</f>
        <v>82</v>
      </c>
      <c r="AG84">
        <f>RANK(TAcum[[#This Row],[j31]],TAcum[[#All],[j31]],0)</f>
        <v>82</v>
      </c>
      <c r="AH84">
        <f>RANK(TAcum[[#This Row],[j32]],TAcum[[#All],[j32]],0)</f>
        <v>82</v>
      </c>
      <c r="AI84">
        <f>RANK(TAcum[[#This Row],[j33]],TAcum[[#All],[j33]],0)</f>
        <v>82</v>
      </c>
      <c r="AJ84">
        <f>RANK(TAcum[[#This Row],[j34]],TAcum[[#All],[j34]],0)</f>
        <v>82</v>
      </c>
      <c r="AK84">
        <f>RANK(TAcum[[#This Row],[j35]],TAcum[[#All],[j35]],0)</f>
        <v>82</v>
      </c>
      <c r="AL84">
        <f>RANK(TAcum[[#This Row],[j36]],TAcum[[#All],[j36]],0)</f>
        <v>82</v>
      </c>
      <c r="AM84">
        <f>RANK(TAcum[[#This Row],[j37]],TAcum[[#All],[j37]],0)</f>
        <v>82</v>
      </c>
      <c r="AN84">
        <f>RANK(TAcum[[#This Row],[j38]],TAcum[[#All],[j38]],0)</f>
        <v>82</v>
      </c>
      <c r="AO84">
        <f>RANK(TAcum[[#This Row],[j39]],TAcum[[#All],[j39]],0)</f>
        <v>82</v>
      </c>
      <c r="AP84">
        <f>RANK(TAcum[[#This Row],[j40]],TAcum[[#All],[j40]],0)</f>
        <v>82</v>
      </c>
      <c r="AQ84">
        <f>RANK(TAcum[[#This Row],[j41]],TAcum[[#All],[j41]],0)</f>
        <v>82</v>
      </c>
      <c r="AR84">
        <f>RANK(TAcum[[#This Row],[j42]],TAcum[[#All],[j42]],0)</f>
        <v>82</v>
      </c>
      <c r="AS84">
        <f>RANK(TAcum[[#This Row],[j43]],TAcum[[#All],[j43]],0)</f>
        <v>82</v>
      </c>
      <c r="AT84">
        <f>RANK(TAcum[[#This Row],[j44]],TAcum[[#All],[j44]],0)</f>
        <v>82</v>
      </c>
      <c r="AU84">
        <f>RANK(TAcum[[#This Row],[j45]],TAcum[[#All],[j45]],0)</f>
        <v>82</v>
      </c>
      <c r="AV84">
        <f>RANK(TAcum[[#This Row],[j46]],TAcum[[#All],[j46]],0)</f>
        <v>82</v>
      </c>
      <c r="AW84">
        <f>RANK(TAcum[[#This Row],[j47]],TAcum[[#All],[j47]],0)</f>
        <v>82</v>
      </c>
      <c r="AX84">
        <f>RANK(TAcum[[#This Row],[j48]],TAcum[[#All],[j48]],0)</f>
        <v>82</v>
      </c>
      <c r="AY84">
        <f>RANK(TAcum[[#This Row],[j49]],TAcum[[#All],[j49]],0)</f>
        <v>82</v>
      </c>
      <c r="AZ84">
        <f>RANK(TAcum[[#This Row],[j50]],TAcum[[#All],[j50]],0)</f>
        <v>82</v>
      </c>
      <c r="BA84">
        <f>RANK(TAcum[[#This Row],[j51]],TAcum[[#All],[j51]],0)</f>
        <v>82</v>
      </c>
      <c r="BB84">
        <f>RANK(TAcum[[#This Row],[j52]],TAcum[[#All],[j52]],0)</f>
        <v>82</v>
      </c>
      <c r="BC84">
        <f>RANK(TAcum[[#This Row],[j53]],TAcum[[#All],[j53]],0)</f>
        <v>82</v>
      </c>
      <c r="BD84">
        <f>RANK(TAcum[[#This Row],[j54]],TAcum[[#All],[j54]],0)</f>
        <v>82</v>
      </c>
      <c r="BE84">
        <f>RANK(TAcum[[#This Row],[j55]],TAcum[[#All],[j55]],0)</f>
        <v>82</v>
      </c>
      <c r="BF84">
        <f>RANK(TAcum[[#This Row],[j56]],TAcum[[#All],[j56]],0)</f>
        <v>82</v>
      </c>
      <c r="BG84">
        <f>RANK(TAcum[[#This Row],[j57]],TAcum[[#All],[j57]],0)</f>
        <v>82</v>
      </c>
      <c r="BH84">
        <f>RANK(TAcum[[#This Row],[j58]],TAcum[[#All],[j58]],0)</f>
        <v>82</v>
      </c>
      <c r="BI84">
        <f>RANK(TAcum[[#This Row],[j59]],TAcum[[#All],[j59]],0)</f>
        <v>82</v>
      </c>
      <c r="BJ84">
        <f>RANK(TAcum[[#This Row],[j60]],TAcum[[#All],[j60]],0)</f>
        <v>82</v>
      </c>
      <c r="BK84">
        <f>RANK(TAcum[[#This Row],[j61]],TAcum[[#All],[j61]],0)</f>
        <v>82</v>
      </c>
      <c r="BL84">
        <f>RANK(TAcum[[#This Row],[j62]],TAcum[[#All],[j62]],0)</f>
        <v>82</v>
      </c>
      <c r="BM84">
        <f>RANK(TAcum[[#This Row],[j63]],TAcum[[#All],[j63]],0)</f>
        <v>82</v>
      </c>
      <c r="BN84">
        <f>RANK(TAcum[[#This Row],[j64]],TAcum[[#All],[j64]],0)</f>
        <v>82</v>
      </c>
      <c r="BO84">
        <f>RANK(TAcum[[#This Row],[j65]],TAcum[[#All],[j65]],0)</f>
        <v>82</v>
      </c>
      <c r="BP84">
        <f>RANK(TAcum[[#This Row],[j66]],TAcum[[#All],[j66]],0)</f>
        <v>82</v>
      </c>
      <c r="BQ84">
        <f>RANK(TAcum[[#This Row],[j67]],TAcum[[#All],[j67]],0)</f>
        <v>82</v>
      </c>
      <c r="BR84">
        <f>RANK(TAcum[[#This Row],[j68]],TAcum[[#All],[j68]],0)</f>
        <v>82</v>
      </c>
      <c r="BS84">
        <f>RANK(TAcum[[#This Row],[j69]],TAcum[[#All],[j69]],0)</f>
        <v>82</v>
      </c>
      <c r="BT84">
        <f>RANK(TAcum[[#This Row],[j70]],TAcum[[#All],[j70]],0)</f>
        <v>82</v>
      </c>
      <c r="BU84">
        <f>RANK(TAcum[[#This Row],[j71]],TAcum[[#All],[j71]],0)</f>
        <v>82</v>
      </c>
      <c r="BV84">
        <f>RANK(TAcum[[#This Row],[j72]],TAcum[[#All],[j72]],0)</f>
        <v>82</v>
      </c>
      <c r="BW84">
        <f>RANK(TAcum[[#This Row],[j73]],TAcum[[#All],[j73]],0)</f>
        <v>82</v>
      </c>
    </row>
    <row r="85" spans="1:75" x14ac:dyDescent="0.25">
      <c r="A85" t="str">
        <f>TAcum[[#This Row],[Jogador]]</f>
        <v>Cris Pinto 3</v>
      </c>
      <c r="B85">
        <f>RANK(TAcum[[#This Row],[total]],TAcum[[#All],[total]],0)</f>
        <v>82</v>
      </c>
      <c r="C85">
        <f>RANK(TAcum[[#This Row],[j01]],TAcum[[#All],[j01]],0)</f>
        <v>1</v>
      </c>
      <c r="D85">
        <f>RANK(TAcum[[#This Row],[j02]],TAcum[[#All],[j02]],0)</f>
        <v>1</v>
      </c>
      <c r="E85">
        <f>RANK(TAcum[[#This Row],[j03]],TAcum[[#All],[j03]],0)</f>
        <v>1</v>
      </c>
      <c r="F85">
        <f>RANK(TAcum[[#This Row],[j04]],TAcum[[#All],[j04]],0)</f>
        <v>8</v>
      </c>
      <c r="G85">
        <f>RANK(TAcum[[#This Row],[j05]],TAcum[[#All],[j05]],0)</f>
        <v>8</v>
      </c>
      <c r="H85">
        <f>RANK(TAcum[[#This Row],[j06]],TAcum[[#All],[j06]],0)</f>
        <v>8</v>
      </c>
      <c r="I85">
        <f>RANK(TAcum[[#This Row],[j07]],TAcum[[#All],[j07]],0)</f>
        <v>11</v>
      </c>
      <c r="J85">
        <f>RANK(TAcum[[#This Row],[j08]],TAcum[[#All],[j08]],0)</f>
        <v>6</v>
      </c>
      <c r="K85">
        <f>RANK(TAcum[[#This Row],[j09]],TAcum[[#All],[j09]],0)</f>
        <v>8</v>
      </c>
      <c r="L85">
        <f>RANK(TAcum[[#This Row],[j10]],TAcum[[#All],[j10]],0)</f>
        <v>10</v>
      </c>
      <c r="M85">
        <f>RANK(TAcum[[#This Row],[j11]],TAcum[[#All],[j11]],0)</f>
        <v>9</v>
      </c>
      <c r="N85">
        <f>RANK(TAcum[[#This Row],[j12]],TAcum[[#All],[j12]],0)</f>
        <v>15</v>
      </c>
      <c r="O85">
        <f>RANK(TAcum[[#This Row],[j13]],TAcum[[#All],[j13]],0)</f>
        <v>33</v>
      </c>
      <c r="P85">
        <f>RANK(TAcum[[#This Row],[j14]],TAcum[[#All],[j14]],0)</f>
        <v>35</v>
      </c>
      <c r="Q85">
        <f>RANK(TAcum[[#This Row],[j15]],TAcum[[#All],[j15]],0)</f>
        <v>59</v>
      </c>
      <c r="R85">
        <f>RANK(TAcum[[#This Row],[j16]],TAcum[[#All],[j16]],0)</f>
        <v>65</v>
      </c>
      <c r="S85">
        <f>RANK(TAcum[[#This Row],[j17]],TAcum[[#All],[j17]],0)</f>
        <v>72</v>
      </c>
      <c r="T85">
        <f>RANK(TAcum[[#This Row],[j18]],TAcum[[#All],[j18]],0)</f>
        <v>73</v>
      </c>
      <c r="U85">
        <f>RANK(TAcum[[#This Row],[j19]],TAcum[[#All],[j19]],0)</f>
        <v>79</v>
      </c>
      <c r="V85">
        <f>RANK(TAcum[[#This Row],[j20]],TAcum[[#All],[j20]],0)</f>
        <v>81</v>
      </c>
      <c r="W85">
        <f>RANK(TAcum[[#This Row],[j21]],TAcum[[#All],[j21]],0)</f>
        <v>86</v>
      </c>
      <c r="X85">
        <f>RANK(TAcum[[#This Row],[j22]],TAcum[[#All],[j22]],0)</f>
        <v>87</v>
      </c>
      <c r="Y85">
        <f>RANK(TAcum[[#This Row],[j23]],TAcum[[#All],[j23]],0)</f>
        <v>102</v>
      </c>
      <c r="Z85">
        <f>RANK(TAcum[[#This Row],[j24]],TAcum[[#All],[j24]],0)</f>
        <v>86</v>
      </c>
      <c r="AA85">
        <f>RANK(TAcum[[#This Row],[j25]],TAcum[[#All],[j25]],0)</f>
        <v>82</v>
      </c>
      <c r="AB85">
        <f>RANK(TAcum[[#This Row],[j26]],TAcum[[#All],[j26]],0)</f>
        <v>81</v>
      </c>
      <c r="AC85">
        <f>RANK(TAcum[[#This Row],[j27]],TAcum[[#All],[j27]],0)</f>
        <v>81</v>
      </c>
      <c r="AD85">
        <f>RANK(TAcum[[#This Row],[j28]],TAcum[[#All],[j28]],0)</f>
        <v>86</v>
      </c>
      <c r="AE85">
        <f>RANK(TAcum[[#This Row],[j29]],TAcum[[#All],[j29]],0)</f>
        <v>82</v>
      </c>
      <c r="AF85">
        <f>RANK(TAcum[[#This Row],[j30]],TAcum[[#All],[j30]],0)</f>
        <v>82</v>
      </c>
      <c r="AG85">
        <f>RANK(TAcum[[#This Row],[j31]],TAcum[[#All],[j31]],0)</f>
        <v>82</v>
      </c>
      <c r="AH85">
        <f>RANK(TAcum[[#This Row],[j32]],TAcum[[#All],[j32]],0)</f>
        <v>82</v>
      </c>
      <c r="AI85">
        <f>RANK(TAcum[[#This Row],[j33]],TAcum[[#All],[j33]],0)</f>
        <v>82</v>
      </c>
      <c r="AJ85">
        <f>RANK(TAcum[[#This Row],[j34]],TAcum[[#All],[j34]],0)</f>
        <v>82</v>
      </c>
      <c r="AK85">
        <f>RANK(TAcum[[#This Row],[j35]],TAcum[[#All],[j35]],0)</f>
        <v>82</v>
      </c>
      <c r="AL85">
        <f>RANK(TAcum[[#This Row],[j36]],TAcum[[#All],[j36]],0)</f>
        <v>82</v>
      </c>
      <c r="AM85">
        <f>RANK(TAcum[[#This Row],[j37]],TAcum[[#All],[j37]],0)</f>
        <v>82</v>
      </c>
      <c r="AN85">
        <f>RANK(TAcum[[#This Row],[j38]],TAcum[[#All],[j38]],0)</f>
        <v>82</v>
      </c>
      <c r="AO85">
        <f>RANK(TAcum[[#This Row],[j39]],TAcum[[#All],[j39]],0)</f>
        <v>82</v>
      </c>
      <c r="AP85">
        <f>RANK(TAcum[[#This Row],[j40]],TAcum[[#All],[j40]],0)</f>
        <v>82</v>
      </c>
      <c r="AQ85">
        <f>RANK(TAcum[[#This Row],[j41]],TAcum[[#All],[j41]],0)</f>
        <v>82</v>
      </c>
      <c r="AR85">
        <f>RANK(TAcum[[#This Row],[j42]],TAcum[[#All],[j42]],0)</f>
        <v>82</v>
      </c>
      <c r="AS85">
        <f>RANK(TAcum[[#This Row],[j43]],TAcum[[#All],[j43]],0)</f>
        <v>82</v>
      </c>
      <c r="AT85">
        <f>RANK(TAcum[[#This Row],[j44]],TAcum[[#All],[j44]],0)</f>
        <v>82</v>
      </c>
      <c r="AU85">
        <f>RANK(TAcum[[#This Row],[j45]],TAcum[[#All],[j45]],0)</f>
        <v>82</v>
      </c>
      <c r="AV85">
        <f>RANK(TAcum[[#This Row],[j46]],TAcum[[#All],[j46]],0)</f>
        <v>82</v>
      </c>
      <c r="AW85">
        <f>RANK(TAcum[[#This Row],[j47]],TAcum[[#All],[j47]],0)</f>
        <v>82</v>
      </c>
      <c r="AX85">
        <f>RANK(TAcum[[#This Row],[j48]],TAcum[[#All],[j48]],0)</f>
        <v>82</v>
      </c>
      <c r="AY85">
        <f>RANK(TAcum[[#This Row],[j49]],TAcum[[#All],[j49]],0)</f>
        <v>82</v>
      </c>
      <c r="AZ85">
        <f>RANK(TAcum[[#This Row],[j50]],TAcum[[#All],[j50]],0)</f>
        <v>82</v>
      </c>
      <c r="BA85">
        <f>RANK(TAcum[[#This Row],[j51]],TAcum[[#All],[j51]],0)</f>
        <v>82</v>
      </c>
      <c r="BB85">
        <f>RANK(TAcum[[#This Row],[j52]],TAcum[[#All],[j52]],0)</f>
        <v>82</v>
      </c>
      <c r="BC85">
        <f>RANK(TAcum[[#This Row],[j53]],TAcum[[#All],[j53]],0)</f>
        <v>82</v>
      </c>
      <c r="BD85">
        <f>RANK(TAcum[[#This Row],[j54]],TAcum[[#All],[j54]],0)</f>
        <v>82</v>
      </c>
      <c r="BE85">
        <f>RANK(TAcum[[#This Row],[j55]],TAcum[[#All],[j55]],0)</f>
        <v>82</v>
      </c>
      <c r="BF85">
        <f>RANK(TAcum[[#This Row],[j56]],TAcum[[#All],[j56]],0)</f>
        <v>82</v>
      </c>
      <c r="BG85">
        <f>RANK(TAcum[[#This Row],[j57]],TAcum[[#All],[j57]],0)</f>
        <v>82</v>
      </c>
      <c r="BH85">
        <f>RANK(TAcum[[#This Row],[j58]],TAcum[[#All],[j58]],0)</f>
        <v>82</v>
      </c>
      <c r="BI85">
        <f>RANK(TAcum[[#This Row],[j59]],TAcum[[#All],[j59]],0)</f>
        <v>82</v>
      </c>
      <c r="BJ85">
        <f>RANK(TAcum[[#This Row],[j60]],TAcum[[#All],[j60]],0)</f>
        <v>82</v>
      </c>
      <c r="BK85">
        <f>RANK(TAcum[[#This Row],[j61]],TAcum[[#All],[j61]],0)</f>
        <v>82</v>
      </c>
      <c r="BL85">
        <f>RANK(TAcum[[#This Row],[j62]],TAcum[[#All],[j62]],0)</f>
        <v>82</v>
      </c>
      <c r="BM85">
        <f>RANK(TAcum[[#This Row],[j63]],TAcum[[#All],[j63]],0)</f>
        <v>82</v>
      </c>
      <c r="BN85">
        <f>RANK(TAcum[[#This Row],[j64]],TAcum[[#All],[j64]],0)</f>
        <v>82</v>
      </c>
      <c r="BO85">
        <f>RANK(TAcum[[#This Row],[j65]],TAcum[[#All],[j65]],0)</f>
        <v>82</v>
      </c>
      <c r="BP85">
        <f>RANK(TAcum[[#This Row],[j66]],TAcum[[#All],[j66]],0)</f>
        <v>82</v>
      </c>
      <c r="BQ85">
        <f>RANK(TAcum[[#This Row],[j67]],TAcum[[#All],[j67]],0)</f>
        <v>82</v>
      </c>
      <c r="BR85">
        <f>RANK(TAcum[[#This Row],[j68]],TAcum[[#All],[j68]],0)</f>
        <v>82</v>
      </c>
      <c r="BS85">
        <f>RANK(TAcum[[#This Row],[j69]],TAcum[[#All],[j69]],0)</f>
        <v>82</v>
      </c>
      <c r="BT85">
        <f>RANK(TAcum[[#This Row],[j70]],TAcum[[#All],[j70]],0)</f>
        <v>82</v>
      </c>
      <c r="BU85">
        <f>RANK(TAcum[[#This Row],[j71]],TAcum[[#All],[j71]],0)</f>
        <v>82</v>
      </c>
      <c r="BV85">
        <f>RANK(TAcum[[#This Row],[j72]],TAcum[[#All],[j72]],0)</f>
        <v>82</v>
      </c>
      <c r="BW85">
        <f>RANK(TAcum[[#This Row],[j73]],TAcum[[#All],[j73]],0)</f>
        <v>82</v>
      </c>
    </row>
    <row r="86" spans="1:75" x14ac:dyDescent="0.25">
      <c r="A86" t="str">
        <f>TAcum[[#This Row],[Jogador]]</f>
        <v>Paulo Bandeira</v>
      </c>
      <c r="B86">
        <f>RANK(TAcum[[#This Row],[total]],TAcum[[#All],[total]],0)</f>
        <v>82</v>
      </c>
      <c r="C86">
        <f>RANK(TAcum[[#This Row],[j01]],TAcum[[#All],[j01]],0)</f>
        <v>78</v>
      </c>
      <c r="D86">
        <f>RANK(TAcum[[#This Row],[j02]],TAcum[[#All],[j02]],0)</f>
        <v>77</v>
      </c>
      <c r="E86">
        <f>RANK(TAcum[[#This Row],[j03]],TAcum[[#All],[j03]],0)</f>
        <v>106</v>
      </c>
      <c r="F86">
        <f>RANK(TAcum[[#This Row],[j04]],TAcum[[#All],[j04]],0)</f>
        <v>68</v>
      </c>
      <c r="G86">
        <f>RANK(TAcum[[#This Row],[j05]],TAcum[[#All],[j05]],0)</f>
        <v>68</v>
      </c>
      <c r="H86">
        <f>RANK(TAcum[[#This Row],[j06]],TAcum[[#All],[j06]],0)</f>
        <v>68</v>
      </c>
      <c r="I86">
        <f>RANK(TAcum[[#This Row],[j07]],TAcum[[#All],[j07]],0)</f>
        <v>49</v>
      </c>
      <c r="J86">
        <f>RANK(TAcum[[#This Row],[j08]],TAcum[[#All],[j08]],0)</f>
        <v>49</v>
      </c>
      <c r="K86">
        <f>RANK(TAcum[[#This Row],[j09]],TAcum[[#All],[j09]],0)</f>
        <v>64</v>
      </c>
      <c r="L86">
        <f>RANK(TAcum[[#This Row],[j10]],TAcum[[#All],[j10]],0)</f>
        <v>65</v>
      </c>
      <c r="M86">
        <f>RANK(TAcum[[#This Row],[j11]],TAcum[[#All],[j11]],0)</f>
        <v>61</v>
      </c>
      <c r="N86">
        <f>RANK(TAcum[[#This Row],[j12]],TAcum[[#All],[j12]],0)</f>
        <v>54</v>
      </c>
      <c r="O86">
        <f>RANK(TAcum[[#This Row],[j13]],TAcum[[#All],[j13]],0)</f>
        <v>80</v>
      </c>
      <c r="P86">
        <f>RANK(TAcum[[#This Row],[j14]],TAcum[[#All],[j14]],0)</f>
        <v>77</v>
      </c>
      <c r="Q86">
        <f>RANK(TAcum[[#This Row],[j15]],TAcum[[#All],[j15]],0)</f>
        <v>69</v>
      </c>
      <c r="R86">
        <f>RANK(TAcum[[#This Row],[j16]],TAcum[[#All],[j16]],0)</f>
        <v>75</v>
      </c>
      <c r="S86">
        <f>RANK(TAcum[[#This Row],[j17]],TAcum[[#All],[j17]],0)</f>
        <v>79</v>
      </c>
      <c r="T86">
        <f>RANK(TAcum[[#This Row],[j18]],TAcum[[#All],[j18]],0)</f>
        <v>82</v>
      </c>
      <c r="U86">
        <f>RANK(TAcum[[#This Row],[j19]],TAcum[[#All],[j19]],0)</f>
        <v>97</v>
      </c>
      <c r="V86">
        <f>RANK(TAcum[[#This Row],[j20]],TAcum[[#All],[j20]],0)</f>
        <v>70</v>
      </c>
      <c r="W86">
        <f>RANK(TAcum[[#This Row],[j21]],TAcum[[#All],[j21]],0)</f>
        <v>67</v>
      </c>
      <c r="X86">
        <f>RANK(TAcum[[#This Row],[j22]],TAcum[[#All],[j22]],0)</f>
        <v>72</v>
      </c>
      <c r="Y86">
        <f>RANK(TAcum[[#This Row],[j23]],TAcum[[#All],[j23]],0)</f>
        <v>71</v>
      </c>
      <c r="Z86">
        <f>RANK(TAcum[[#This Row],[j24]],TAcum[[#All],[j24]],0)</f>
        <v>80</v>
      </c>
      <c r="AA86">
        <f>RANK(TAcum[[#This Row],[j25]],TAcum[[#All],[j25]],0)</f>
        <v>96</v>
      </c>
      <c r="AB86">
        <f>RANK(TAcum[[#This Row],[j26]],TAcum[[#All],[j26]],0)</f>
        <v>102</v>
      </c>
      <c r="AC86">
        <f>RANK(TAcum[[#This Row],[j27]],TAcum[[#All],[j27]],0)</f>
        <v>103</v>
      </c>
      <c r="AD86">
        <f>RANK(TAcum[[#This Row],[j28]],TAcum[[#All],[j28]],0)</f>
        <v>101</v>
      </c>
      <c r="AE86">
        <f>RANK(TAcum[[#This Row],[j29]],TAcum[[#All],[j29]],0)</f>
        <v>82</v>
      </c>
      <c r="AF86">
        <f>RANK(TAcum[[#This Row],[j30]],TAcum[[#All],[j30]],0)</f>
        <v>82</v>
      </c>
      <c r="AG86">
        <f>RANK(TAcum[[#This Row],[j31]],TAcum[[#All],[j31]],0)</f>
        <v>82</v>
      </c>
      <c r="AH86">
        <f>RANK(TAcum[[#This Row],[j32]],TAcum[[#All],[j32]],0)</f>
        <v>82</v>
      </c>
      <c r="AI86">
        <f>RANK(TAcum[[#This Row],[j33]],TAcum[[#All],[j33]],0)</f>
        <v>82</v>
      </c>
      <c r="AJ86">
        <f>RANK(TAcum[[#This Row],[j34]],TAcum[[#All],[j34]],0)</f>
        <v>82</v>
      </c>
      <c r="AK86">
        <f>RANK(TAcum[[#This Row],[j35]],TAcum[[#All],[j35]],0)</f>
        <v>82</v>
      </c>
      <c r="AL86">
        <f>RANK(TAcum[[#This Row],[j36]],TAcum[[#All],[j36]],0)</f>
        <v>82</v>
      </c>
      <c r="AM86">
        <f>RANK(TAcum[[#This Row],[j37]],TAcum[[#All],[j37]],0)</f>
        <v>82</v>
      </c>
      <c r="AN86">
        <f>RANK(TAcum[[#This Row],[j38]],TAcum[[#All],[j38]],0)</f>
        <v>82</v>
      </c>
      <c r="AO86">
        <f>RANK(TAcum[[#This Row],[j39]],TAcum[[#All],[j39]],0)</f>
        <v>82</v>
      </c>
      <c r="AP86">
        <f>RANK(TAcum[[#This Row],[j40]],TAcum[[#All],[j40]],0)</f>
        <v>82</v>
      </c>
      <c r="AQ86">
        <f>RANK(TAcum[[#This Row],[j41]],TAcum[[#All],[j41]],0)</f>
        <v>82</v>
      </c>
      <c r="AR86">
        <f>RANK(TAcum[[#This Row],[j42]],TAcum[[#All],[j42]],0)</f>
        <v>82</v>
      </c>
      <c r="AS86">
        <f>RANK(TAcum[[#This Row],[j43]],TAcum[[#All],[j43]],0)</f>
        <v>82</v>
      </c>
      <c r="AT86">
        <f>RANK(TAcum[[#This Row],[j44]],TAcum[[#All],[j44]],0)</f>
        <v>82</v>
      </c>
      <c r="AU86">
        <f>RANK(TAcum[[#This Row],[j45]],TAcum[[#All],[j45]],0)</f>
        <v>82</v>
      </c>
      <c r="AV86">
        <f>RANK(TAcum[[#This Row],[j46]],TAcum[[#All],[j46]],0)</f>
        <v>82</v>
      </c>
      <c r="AW86">
        <f>RANK(TAcum[[#This Row],[j47]],TAcum[[#All],[j47]],0)</f>
        <v>82</v>
      </c>
      <c r="AX86">
        <f>RANK(TAcum[[#This Row],[j48]],TAcum[[#All],[j48]],0)</f>
        <v>82</v>
      </c>
      <c r="AY86">
        <f>RANK(TAcum[[#This Row],[j49]],TAcum[[#All],[j49]],0)</f>
        <v>82</v>
      </c>
      <c r="AZ86">
        <f>RANK(TAcum[[#This Row],[j50]],TAcum[[#All],[j50]],0)</f>
        <v>82</v>
      </c>
      <c r="BA86">
        <f>RANK(TAcum[[#This Row],[j51]],TAcum[[#All],[j51]],0)</f>
        <v>82</v>
      </c>
      <c r="BB86">
        <f>RANK(TAcum[[#This Row],[j52]],TAcum[[#All],[j52]],0)</f>
        <v>82</v>
      </c>
      <c r="BC86">
        <f>RANK(TAcum[[#This Row],[j53]],TAcum[[#All],[j53]],0)</f>
        <v>82</v>
      </c>
      <c r="BD86">
        <f>RANK(TAcum[[#This Row],[j54]],TAcum[[#All],[j54]],0)</f>
        <v>82</v>
      </c>
      <c r="BE86">
        <f>RANK(TAcum[[#This Row],[j55]],TAcum[[#All],[j55]],0)</f>
        <v>82</v>
      </c>
      <c r="BF86">
        <f>RANK(TAcum[[#This Row],[j56]],TAcum[[#All],[j56]],0)</f>
        <v>82</v>
      </c>
      <c r="BG86">
        <f>RANK(TAcum[[#This Row],[j57]],TAcum[[#All],[j57]],0)</f>
        <v>82</v>
      </c>
      <c r="BH86">
        <f>RANK(TAcum[[#This Row],[j58]],TAcum[[#All],[j58]],0)</f>
        <v>82</v>
      </c>
      <c r="BI86">
        <f>RANK(TAcum[[#This Row],[j59]],TAcum[[#All],[j59]],0)</f>
        <v>82</v>
      </c>
      <c r="BJ86">
        <f>RANK(TAcum[[#This Row],[j60]],TAcum[[#All],[j60]],0)</f>
        <v>82</v>
      </c>
      <c r="BK86">
        <f>RANK(TAcum[[#This Row],[j61]],TAcum[[#All],[j61]],0)</f>
        <v>82</v>
      </c>
      <c r="BL86">
        <f>RANK(TAcum[[#This Row],[j62]],TAcum[[#All],[j62]],0)</f>
        <v>82</v>
      </c>
      <c r="BM86">
        <f>RANK(TAcum[[#This Row],[j63]],TAcum[[#All],[j63]],0)</f>
        <v>82</v>
      </c>
      <c r="BN86">
        <f>RANK(TAcum[[#This Row],[j64]],TAcum[[#All],[j64]],0)</f>
        <v>82</v>
      </c>
      <c r="BO86">
        <f>RANK(TAcum[[#This Row],[j65]],TAcum[[#All],[j65]],0)</f>
        <v>82</v>
      </c>
      <c r="BP86">
        <f>RANK(TAcum[[#This Row],[j66]],TAcum[[#All],[j66]],0)</f>
        <v>82</v>
      </c>
      <c r="BQ86">
        <f>RANK(TAcum[[#This Row],[j67]],TAcum[[#All],[j67]],0)</f>
        <v>82</v>
      </c>
      <c r="BR86">
        <f>RANK(TAcum[[#This Row],[j68]],TAcum[[#All],[j68]],0)</f>
        <v>82</v>
      </c>
      <c r="BS86">
        <f>RANK(TAcum[[#This Row],[j69]],TAcum[[#All],[j69]],0)</f>
        <v>82</v>
      </c>
      <c r="BT86">
        <f>RANK(TAcum[[#This Row],[j70]],TAcum[[#All],[j70]],0)</f>
        <v>82</v>
      </c>
      <c r="BU86">
        <f>RANK(TAcum[[#This Row],[j71]],TAcum[[#All],[j71]],0)</f>
        <v>82</v>
      </c>
      <c r="BV86">
        <f>RANK(TAcum[[#This Row],[j72]],TAcum[[#All],[j72]],0)</f>
        <v>82</v>
      </c>
      <c r="BW86">
        <f>RANK(TAcum[[#This Row],[j73]],TAcum[[#All],[j73]],0)</f>
        <v>82</v>
      </c>
    </row>
    <row r="87" spans="1:75" x14ac:dyDescent="0.25">
      <c r="A87" t="str">
        <f>TAcum[[#This Row],[Jogador]]</f>
        <v>Renan Kirst</v>
      </c>
      <c r="B87">
        <f>RANK(TAcum[[#This Row],[total]],TAcum[[#All],[total]],0)</f>
        <v>82</v>
      </c>
      <c r="C87">
        <f>RANK(TAcum[[#This Row],[j01]],TAcum[[#All],[j01]],0)</f>
        <v>65</v>
      </c>
      <c r="D87">
        <f>RANK(TAcum[[#This Row],[j02]],TAcum[[#All],[j02]],0)</f>
        <v>62</v>
      </c>
      <c r="E87">
        <f>RANK(TAcum[[#This Row],[j03]],TAcum[[#All],[j03]],0)</f>
        <v>82</v>
      </c>
      <c r="F87">
        <f>RANK(TAcum[[#This Row],[j04]],TAcum[[#All],[j04]],0)</f>
        <v>105</v>
      </c>
      <c r="G87">
        <f>RANK(TAcum[[#This Row],[j05]],TAcum[[#All],[j05]],0)</f>
        <v>105</v>
      </c>
      <c r="H87">
        <f>RANK(TAcum[[#This Row],[j06]],TAcum[[#All],[j06]],0)</f>
        <v>93</v>
      </c>
      <c r="I87">
        <f>RANK(TAcum[[#This Row],[j07]],TAcum[[#All],[j07]],0)</f>
        <v>82</v>
      </c>
      <c r="J87">
        <f>RANK(TAcum[[#This Row],[j08]],TAcum[[#All],[j08]],0)</f>
        <v>86</v>
      </c>
      <c r="K87">
        <f>RANK(TAcum[[#This Row],[j09]],TAcum[[#All],[j09]],0)</f>
        <v>72</v>
      </c>
      <c r="L87">
        <f>RANK(TAcum[[#This Row],[j10]],TAcum[[#All],[j10]],0)</f>
        <v>74</v>
      </c>
      <c r="M87">
        <f>RANK(TAcum[[#This Row],[j11]],TAcum[[#All],[j11]],0)</f>
        <v>69</v>
      </c>
      <c r="N87">
        <f>RANK(TAcum[[#This Row],[j12]],TAcum[[#All],[j12]],0)</f>
        <v>85</v>
      </c>
      <c r="O87">
        <f>RANK(TAcum[[#This Row],[j13]],TAcum[[#All],[j13]],0)</f>
        <v>98</v>
      </c>
      <c r="P87">
        <f>RANK(TAcum[[#This Row],[j14]],TAcum[[#All],[j14]],0)</f>
        <v>87</v>
      </c>
      <c r="Q87">
        <f>RANK(TAcum[[#This Row],[j15]],TAcum[[#All],[j15]],0)</f>
        <v>86</v>
      </c>
      <c r="R87">
        <f>RANK(TAcum[[#This Row],[j16]],TAcum[[#All],[j16]],0)</f>
        <v>87</v>
      </c>
      <c r="S87">
        <f>RANK(TAcum[[#This Row],[j17]],TAcum[[#All],[j17]],0)</f>
        <v>90</v>
      </c>
      <c r="T87">
        <f>RANK(TAcum[[#This Row],[j18]],TAcum[[#All],[j18]],0)</f>
        <v>85</v>
      </c>
      <c r="U87">
        <f>RANK(TAcum[[#This Row],[j19]],TAcum[[#All],[j19]],0)</f>
        <v>79</v>
      </c>
      <c r="V87">
        <f>RANK(TAcum[[#This Row],[j20]],TAcum[[#All],[j20]],0)</f>
        <v>81</v>
      </c>
      <c r="W87">
        <f>RANK(TAcum[[#This Row],[j21]],TAcum[[#All],[j21]],0)</f>
        <v>67</v>
      </c>
      <c r="X87">
        <f>RANK(TAcum[[#This Row],[j22]],TAcum[[#All],[j22]],0)</f>
        <v>40</v>
      </c>
      <c r="Y87">
        <f>RANK(TAcum[[#This Row],[j23]],TAcum[[#All],[j23]],0)</f>
        <v>68</v>
      </c>
      <c r="Z87">
        <f>RANK(TAcum[[#This Row],[j24]],TAcum[[#All],[j24]],0)</f>
        <v>61</v>
      </c>
      <c r="AA87">
        <f>RANK(TAcum[[#This Row],[j25]],TAcum[[#All],[j25]],0)</f>
        <v>71</v>
      </c>
      <c r="AB87">
        <f>RANK(TAcum[[#This Row],[j26]],TAcum[[#All],[j26]],0)</f>
        <v>76</v>
      </c>
      <c r="AC87">
        <f>RANK(TAcum[[#This Row],[j27]],TAcum[[#All],[j27]],0)</f>
        <v>77</v>
      </c>
      <c r="AD87">
        <f>RANK(TAcum[[#This Row],[j28]],TAcum[[#All],[j28]],0)</f>
        <v>74</v>
      </c>
      <c r="AE87">
        <f>RANK(TAcum[[#This Row],[j29]],TAcum[[#All],[j29]],0)</f>
        <v>82</v>
      </c>
      <c r="AF87">
        <f>RANK(TAcum[[#This Row],[j30]],TAcum[[#All],[j30]],0)</f>
        <v>82</v>
      </c>
      <c r="AG87">
        <f>RANK(TAcum[[#This Row],[j31]],TAcum[[#All],[j31]],0)</f>
        <v>82</v>
      </c>
      <c r="AH87">
        <f>RANK(TAcum[[#This Row],[j32]],TAcum[[#All],[j32]],0)</f>
        <v>82</v>
      </c>
      <c r="AI87">
        <f>RANK(TAcum[[#This Row],[j33]],TAcum[[#All],[j33]],0)</f>
        <v>82</v>
      </c>
      <c r="AJ87">
        <f>RANK(TAcum[[#This Row],[j34]],TAcum[[#All],[j34]],0)</f>
        <v>82</v>
      </c>
      <c r="AK87">
        <f>RANK(TAcum[[#This Row],[j35]],TAcum[[#All],[j35]],0)</f>
        <v>82</v>
      </c>
      <c r="AL87">
        <f>RANK(TAcum[[#This Row],[j36]],TAcum[[#All],[j36]],0)</f>
        <v>82</v>
      </c>
      <c r="AM87">
        <f>RANK(TAcum[[#This Row],[j37]],TAcum[[#All],[j37]],0)</f>
        <v>82</v>
      </c>
      <c r="AN87">
        <f>RANK(TAcum[[#This Row],[j38]],TAcum[[#All],[j38]],0)</f>
        <v>82</v>
      </c>
      <c r="AO87">
        <f>RANK(TAcum[[#This Row],[j39]],TAcum[[#All],[j39]],0)</f>
        <v>82</v>
      </c>
      <c r="AP87">
        <f>RANK(TAcum[[#This Row],[j40]],TAcum[[#All],[j40]],0)</f>
        <v>82</v>
      </c>
      <c r="AQ87">
        <f>RANK(TAcum[[#This Row],[j41]],TAcum[[#All],[j41]],0)</f>
        <v>82</v>
      </c>
      <c r="AR87">
        <f>RANK(TAcum[[#This Row],[j42]],TAcum[[#All],[j42]],0)</f>
        <v>82</v>
      </c>
      <c r="AS87">
        <f>RANK(TAcum[[#This Row],[j43]],TAcum[[#All],[j43]],0)</f>
        <v>82</v>
      </c>
      <c r="AT87">
        <f>RANK(TAcum[[#This Row],[j44]],TAcum[[#All],[j44]],0)</f>
        <v>82</v>
      </c>
      <c r="AU87">
        <f>RANK(TAcum[[#This Row],[j45]],TAcum[[#All],[j45]],0)</f>
        <v>82</v>
      </c>
      <c r="AV87">
        <f>RANK(TAcum[[#This Row],[j46]],TAcum[[#All],[j46]],0)</f>
        <v>82</v>
      </c>
      <c r="AW87">
        <f>RANK(TAcum[[#This Row],[j47]],TAcum[[#All],[j47]],0)</f>
        <v>82</v>
      </c>
      <c r="AX87">
        <f>RANK(TAcum[[#This Row],[j48]],TAcum[[#All],[j48]],0)</f>
        <v>82</v>
      </c>
      <c r="AY87">
        <f>RANK(TAcum[[#This Row],[j49]],TAcum[[#All],[j49]],0)</f>
        <v>82</v>
      </c>
      <c r="AZ87">
        <f>RANK(TAcum[[#This Row],[j50]],TAcum[[#All],[j50]],0)</f>
        <v>82</v>
      </c>
      <c r="BA87">
        <f>RANK(TAcum[[#This Row],[j51]],TAcum[[#All],[j51]],0)</f>
        <v>82</v>
      </c>
      <c r="BB87">
        <f>RANK(TAcum[[#This Row],[j52]],TAcum[[#All],[j52]],0)</f>
        <v>82</v>
      </c>
      <c r="BC87">
        <f>RANK(TAcum[[#This Row],[j53]],TAcum[[#All],[j53]],0)</f>
        <v>82</v>
      </c>
      <c r="BD87">
        <f>RANK(TAcum[[#This Row],[j54]],TAcum[[#All],[j54]],0)</f>
        <v>82</v>
      </c>
      <c r="BE87">
        <f>RANK(TAcum[[#This Row],[j55]],TAcum[[#All],[j55]],0)</f>
        <v>82</v>
      </c>
      <c r="BF87">
        <f>RANK(TAcum[[#This Row],[j56]],TAcum[[#All],[j56]],0)</f>
        <v>82</v>
      </c>
      <c r="BG87">
        <f>RANK(TAcum[[#This Row],[j57]],TAcum[[#All],[j57]],0)</f>
        <v>82</v>
      </c>
      <c r="BH87">
        <f>RANK(TAcum[[#This Row],[j58]],TAcum[[#All],[j58]],0)</f>
        <v>82</v>
      </c>
      <c r="BI87">
        <f>RANK(TAcum[[#This Row],[j59]],TAcum[[#All],[j59]],0)</f>
        <v>82</v>
      </c>
      <c r="BJ87">
        <f>RANK(TAcum[[#This Row],[j60]],TAcum[[#All],[j60]],0)</f>
        <v>82</v>
      </c>
      <c r="BK87">
        <f>RANK(TAcum[[#This Row],[j61]],TAcum[[#All],[j61]],0)</f>
        <v>82</v>
      </c>
      <c r="BL87">
        <f>RANK(TAcum[[#This Row],[j62]],TAcum[[#All],[j62]],0)</f>
        <v>82</v>
      </c>
      <c r="BM87">
        <f>RANK(TAcum[[#This Row],[j63]],TAcum[[#All],[j63]],0)</f>
        <v>82</v>
      </c>
      <c r="BN87">
        <f>RANK(TAcum[[#This Row],[j64]],TAcum[[#All],[j64]],0)</f>
        <v>82</v>
      </c>
      <c r="BO87">
        <f>RANK(TAcum[[#This Row],[j65]],TAcum[[#All],[j65]],0)</f>
        <v>82</v>
      </c>
      <c r="BP87">
        <f>RANK(TAcum[[#This Row],[j66]],TAcum[[#All],[j66]],0)</f>
        <v>82</v>
      </c>
      <c r="BQ87">
        <f>RANK(TAcum[[#This Row],[j67]],TAcum[[#All],[j67]],0)</f>
        <v>82</v>
      </c>
      <c r="BR87">
        <f>RANK(TAcum[[#This Row],[j68]],TAcum[[#All],[j68]],0)</f>
        <v>82</v>
      </c>
      <c r="BS87">
        <f>RANK(TAcum[[#This Row],[j69]],TAcum[[#All],[j69]],0)</f>
        <v>82</v>
      </c>
      <c r="BT87">
        <f>RANK(TAcum[[#This Row],[j70]],TAcum[[#All],[j70]],0)</f>
        <v>82</v>
      </c>
      <c r="BU87">
        <f>RANK(TAcum[[#This Row],[j71]],TAcum[[#All],[j71]],0)</f>
        <v>82</v>
      </c>
      <c r="BV87">
        <f>RANK(TAcum[[#This Row],[j72]],TAcum[[#All],[j72]],0)</f>
        <v>82</v>
      </c>
      <c r="BW87">
        <f>RANK(TAcum[[#This Row],[j73]],TAcum[[#All],[j73]],0)</f>
        <v>82</v>
      </c>
    </row>
    <row r="88" spans="1:75" x14ac:dyDescent="0.25">
      <c r="A88" t="str">
        <f>TAcum[[#This Row],[Jogador]]</f>
        <v>Juliana Sampaio</v>
      </c>
      <c r="B88">
        <f>RANK(TAcum[[#This Row],[total]],TAcum[[#All],[total]],0)</f>
        <v>87</v>
      </c>
      <c r="C88">
        <f>RANK(TAcum[[#This Row],[j01]],TAcum[[#All],[j01]],0)</f>
        <v>78</v>
      </c>
      <c r="D88">
        <f>RANK(TAcum[[#This Row],[j02]],TAcum[[#All],[j02]],0)</f>
        <v>77</v>
      </c>
      <c r="E88">
        <f>RANK(TAcum[[#This Row],[j03]],TAcum[[#All],[j03]],0)</f>
        <v>82</v>
      </c>
      <c r="F88">
        <f>RANK(TAcum[[#This Row],[j04]],TAcum[[#All],[j04]],0)</f>
        <v>98</v>
      </c>
      <c r="G88">
        <f>RANK(TAcum[[#This Row],[j05]],TAcum[[#All],[j05]],0)</f>
        <v>98</v>
      </c>
      <c r="H88">
        <f>RANK(TAcum[[#This Row],[j06]],TAcum[[#All],[j06]],0)</f>
        <v>100</v>
      </c>
      <c r="I88">
        <f>RANK(TAcum[[#This Row],[j07]],TAcum[[#All],[j07]],0)</f>
        <v>101</v>
      </c>
      <c r="J88">
        <f>RANK(TAcum[[#This Row],[j08]],TAcum[[#All],[j08]],0)</f>
        <v>102</v>
      </c>
      <c r="K88">
        <f>RANK(TAcum[[#This Row],[j09]],TAcum[[#All],[j09]],0)</f>
        <v>102</v>
      </c>
      <c r="L88">
        <f>RANK(TAcum[[#This Row],[j10]],TAcum[[#All],[j10]],0)</f>
        <v>103</v>
      </c>
      <c r="M88">
        <f>RANK(TAcum[[#This Row],[j11]],TAcum[[#All],[j11]],0)</f>
        <v>99</v>
      </c>
      <c r="N88">
        <f>RANK(TAcum[[#This Row],[j12]],TAcum[[#All],[j12]],0)</f>
        <v>98</v>
      </c>
      <c r="O88">
        <f>RANK(TAcum[[#This Row],[j13]],TAcum[[#All],[j13]],0)</f>
        <v>98</v>
      </c>
      <c r="P88">
        <f>RANK(TAcum[[#This Row],[j14]],TAcum[[#All],[j14]],0)</f>
        <v>87</v>
      </c>
      <c r="Q88">
        <f>RANK(TAcum[[#This Row],[j15]],TAcum[[#All],[j15]],0)</f>
        <v>86</v>
      </c>
      <c r="R88">
        <f>RANK(TAcum[[#This Row],[j16]],TAcum[[#All],[j16]],0)</f>
        <v>72</v>
      </c>
      <c r="S88">
        <f>RANK(TAcum[[#This Row],[j17]],TAcum[[#All],[j17]],0)</f>
        <v>77</v>
      </c>
      <c r="T88">
        <f>RANK(TAcum[[#This Row],[j18]],TAcum[[#All],[j18]],0)</f>
        <v>79</v>
      </c>
      <c r="U88">
        <f>RANK(TAcum[[#This Row],[j19]],TAcum[[#All],[j19]],0)</f>
        <v>88</v>
      </c>
      <c r="V88">
        <f>RANK(TAcum[[#This Row],[j20]],TAcum[[#All],[j20]],0)</f>
        <v>76</v>
      </c>
      <c r="W88">
        <f>RANK(TAcum[[#This Row],[j21]],TAcum[[#All],[j21]],0)</f>
        <v>81</v>
      </c>
      <c r="X88">
        <f>RANK(TAcum[[#This Row],[j22]],TAcum[[#All],[j22]],0)</f>
        <v>85</v>
      </c>
      <c r="Y88">
        <f>RANK(TAcum[[#This Row],[j23]],TAcum[[#All],[j23]],0)</f>
        <v>71</v>
      </c>
      <c r="Z88">
        <f>RANK(TAcum[[#This Row],[j24]],TAcum[[#All],[j24]],0)</f>
        <v>74</v>
      </c>
      <c r="AA88">
        <f>RANK(TAcum[[#This Row],[j25]],TAcum[[#All],[j25]],0)</f>
        <v>73</v>
      </c>
      <c r="AB88">
        <f>RANK(TAcum[[#This Row],[j26]],TAcum[[#All],[j26]],0)</f>
        <v>78</v>
      </c>
      <c r="AC88">
        <f>RANK(TAcum[[#This Row],[j27]],TAcum[[#All],[j27]],0)</f>
        <v>78</v>
      </c>
      <c r="AD88">
        <f>RANK(TAcum[[#This Row],[j28]],TAcum[[#All],[j28]],0)</f>
        <v>80</v>
      </c>
      <c r="AE88">
        <f>RANK(TAcum[[#This Row],[j29]],TAcum[[#All],[j29]],0)</f>
        <v>87</v>
      </c>
      <c r="AF88">
        <f>RANK(TAcum[[#This Row],[j30]],TAcum[[#All],[j30]],0)</f>
        <v>87</v>
      </c>
      <c r="AG88">
        <f>RANK(TAcum[[#This Row],[j31]],TAcum[[#All],[j31]],0)</f>
        <v>87</v>
      </c>
      <c r="AH88">
        <f>RANK(TAcum[[#This Row],[j32]],TAcum[[#All],[j32]],0)</f>
        <v>87</v>
      </c>
      <c r="AI88">
        <f>RANK(TAcum[[#This Row],[j33]],TAcum[[#All],[j33]],0)</f>
        <v>87</v>
      </c>
      <c r="AJ88">
        <f>RANK(TAcum[[#This Row],[j34]],TAcum[[#All],[j34]],0)</f>
        <v>87</v>
      </c>
      <c r="AK88">
        <f>RANK(TAcum[[#This Row],[j35]],TAcum[[#All],[j35]],0)</f>
        <v>87</v>
      </c>
      <c r="AL88">
        <f>RANK(TAcum[[#This Row],[j36]],TAcum[[#All],[j36]],0)</f>
        <v>87</v>
      </c>
      <c r="AM88">
        <f>RANK(TAcum[[#This Row],[j37]],TAcum[[#All],[j37]],0)</f>
        <v>87</v>
      </c>
      <c r="AN88">
        <f>RANK(TAcum[[#This Row],[j38]],TAcum[[#All],[j38]],0)</f>
        <v>87</v>
      </c>
      <c r="AO88">
        <f>RANK(TAcum[[#This Row],[j39]],TAcum[[#All],[j39]],0)</f>
        <v>87</v>
      </c>
      <c r="AP88">
        <f>RANK(TAcum[[#This Row],[j40]],TAcum[[#All],[j40]],0)</f>
        <v>87</v>
      </c>
      <c r="AQ88">
        <f>RANK(TAcum[[#This Row],[j41]],TAcum[[#All],[j41]],0)</f>
        <v>87</v>
      </c>
      <c r="AR88">
        <f>RANK(TAcum[[#This Row],[j42]],TAcum[[#All],[j42]],0)</f>
        <v>87</v>
      </c>
      <c r="AS88">
        <f>RANK(TAcum[[#This Row],[j43]],TAcum[[#All],[j43]],0)</f>
        <v>87</v>
      </c>
      <c r="AT88">
        <f>RANK(TAcum[[#This Row],[j44]],TAcum[[#All],[j44]],0)</f>
        <v>87</v>
      </c>
      <c r="AU88">
        <f>RANK(TAcum[[#This Row],[j45]],TAcum[[#All],[j45]],0)</f>
        <v>87</v>
      </c>
      <c r="AV88">
        <f>RANK(TAcum[[#This Row],[j46]],TAcum[[#All],[j46]],0)</f>
        <v>87</v>
      </c>
      <c r="AW88">
        <f>RANK(TAcum[[#This Row],[j47]],TAcum[[#All],[j47]],0)</f>
        <v>87</v>
      </c>
      <c r="AX88">
        <f>RANK(TAcum[[#This Row],[j48]],TAcum[[#All],[j48]],0)</f>
        <v>87</v>
      </c>
      <c r="AY88">
        <f>RANK(TAcum[[#This Row],[j49]],TAcum[[#All],[j49]],0)</f>
        <v>87</v>
      </c>
      <c r="AZ88">
        <f>RANK(TAcum[[#This Row],[j50]],TAcum[[#All],[j50]],0)</f>
        <v>87</v>
      </c>
      <c r="BA88">
        <f>RANK(TAcum[[#This Row],[j51]],TAcum[[#All],[j51]],0)</f>
        <v>87</v>
      </c>
      <c r="BB88">
        <f>RANK(TAcum[[#This Row],[j52]],TAcum[[#All],[j52]],0)</f>
        <v>87</v>
      </c>
      <c r="BC88">
        <f>RANK(TAcum[[#This Row],[j53]],TAcum[[#All],[j53]],0)</f>
        <v>87</v>
      </c>
      <c r="BD88">
        <f>RANK(TAcum[[#This Row],[j54]],TAcum[[#All],[j54]],0)</f>
        <v>87</v>
      </c>
      <c r="BE88">
        <f>RANK(TAcum[[#This Row],[j55]],TAcum[[#All],[j55]],0)</f>
        <v>87</v>
      </c>
      <c r="BF88">
        <f>RANK(TAcum[[#This Row],[j56]],TAcum[[#All],[j56]],0)</f>
        <v>87</v>
      </c>
      <c r="BG88">
        <f>RANK(TAcum[[#This Row],[j57]],TAcum[[#All],[j57]],0)</f>
        <v>87</v>
      </c>
      <c r="BH88">
        <f>RANK(TAcum[[#This Row],[j58]],TAcum[[#All],[j58]],0)</f>
        <v>87</v>
      </c>
      <c r="BI88">
        <f>RANK(TAcum[[#This Row],[j59]],TAcum[[#All],[j59]],0)</f>
        <v>87</v>
      </c>
      <c r="BJ88">
        <f>RANK(TAcum[[#This Row],[j60]],TAcum[[#All],[j60]],0)</f>
        <v>87</v>
      </c>
      <c r="BK88">
        <f>RANK(TAcum[[#This Row],[j61]],TAcum[[#All],[j61]],0)</f>
        <v>87</v>
      </c>
      <c r="BL88">
        <f>RANK(TAcum[[#This Row],[j62]],TAcum[[#All],[j62]],0)</f>
        <v>87</v>
      </c>
      <c r="BM88">
        <f>RANK(TAcum[[#This Row],[j63]],TAcum[[#All],[j63]],0)</f>
        <v>87</v>
      </c>
      <c r="BN88">
        <f>RANK(TAcum[[#This Row],[j64]],TAcum[[#All],[j64]],0)</f>
        <v>87</v>
      </c>
      <c r="BO88">
        <f>RANK(TAcum[[#This Row],[j65]],TAcum[[#All],[j65]],0)</f>
        <v>87</v>
      </c>
      <c r="BP88">
        <f>RANK(TAcum[[#This Row],[j66]],TAcum[[#All],[j66]],0)</f>
        <v>87</v>
      </c>
      <c r="BQ88">
        <f>RANK(TAcum[[#This Row],[j67]],TAcum[[#All],[j67]],0)</f>
        <v>87</v>
      </c>
      <c r="BR88">
        <f>RANK(TAcum[[#This Row],[j68]],TAcum[[#All],[j68]],0)</f>
        <v>87</v>
      </c>
      <c r="BS88">
        <f>RANK(TAcum[[#This Row],[j69]],TAcum[[#All],[j69]],0)</f>
        <v>87</v>
      </c>
      <c r="BT88">
        <f>RANK(TAcum[[#This Row],[j70]],TAcum[[#All],[j70]],0)</f>
        <v>87</v>
      </c>
      <c r="BU88">
        <f>RANK(TAcum[[#This Row],[j71]],TAcum[[#All],[j71]],0)</f>
        <v>87</v>
      </c>
      <c r="BV88">
        <f>RANK(TAcum[[#This Row],[j72]],TAcum[[#All],[j72]],0)</f>
        <v>87</v>
      </c>
      <c r="BW88">
        <f>RANK(TAcum[[#This Row],[j73]],TAcum[[#All],[j73]],0)</f>
        <v>87</v>
      </c>
    </row>
    <row r="89" spans="1:75" x14ac:dyDescent="0.25">
      <c r="A89" t="str">
        <f>TAcum[[#This Row],[Jogador]]</f>
        <v>Rodrigo Rivas</v>
      </c>
      <c r="B89">
        <f>RANK(TAcum[[#This Row],[total]],TAcum[[#All],[total]],0)</f>
        <v>87</v>
      </c>
      <c r="C89">
        <f>RANK(TAcum[[#This Row],[j01]],TAcum[[#All],[j01]],0)</f>
        <v>78</v>
      </c>
      <c r="D89">
        <f>RANK(TAcum[[#This Row],[j02]],TAcum[[#All],[j02]],0)</f>
        <v>77</v>
      </c>
      <c r="E89">
        <f>RANK(TAcum[[#This Row],[j03]],TAcum[[#All],[j03]],0)</f>
        <v>82</v>
      </c>
      <c r="F89">
        <f>RANK(TAcum[[#This Row],[j04]],TAcum[[#All],[j04]],0)</f>
        <v>54</v>
      </c>
      <c r="G89">
        <f>RANK(TAcum[[#This Row],[j05]],TAcum[[#All],[j05]],0)</f>
        <v>55</v>
      </c>
      <c r="H89">
        <f>RANK(TAcum[[#This Row],[j06]],TAcum[[#All],[j06]],0)</f>
        <v>53</v>
      </c>
      <c r="I89">
        <f>RANK(TAcum[[#This Row],[j07]],TAcum[[#All],[j07]],0)</f>
        <v>37</v>
      </c>
      <c r="J89">
        <f>RANK(TAcum[[#This Row],[j08]],TAcum[[#All],[j08]],0)</f>
        <v>39</v>
      </c>
      <c r="K89">
        <f>RANK(TAcum[[#This Row],[j09]],TAcum[[#All],[j09]],0)</f>
        <v>52</v>
      </c>
      <c r="L89">
        <f>RANK(TAcum[[#This Row],[j10]],TAcum[[#All],[j10]],0)</f>
        <v>56</v>
      </c>
      <c r="M89">
        <f>RANK(TAcum[[#This Row],[j11]],TAcum[[#All],[j11]],0)</f>
        <v>61</v>
      </c>
      <c r="N89">
        <f>RANK(TAcum[[#This Row],[j12]],TAcum[[#All],[j12]],0)</f>
        <v>69</v>
      </c>
      <c r="O89">
        <f>RANK(TAcum[[#This Row],[j13]],TAcum[[#All],[j13]],0)</f>
        <v>43</v>
      </c>
      <c r="P89">
        <f>RANK(TAcum[[#This Row],[j14]],TAcum[[#All],[j14]],0)</f>
        <v>52</v>
      </c>
      <c r="Q89">
        <f>RANK(TAcum[[#This Row],[j15]],TAcum[[#All],[j15]],0)</f>
        <v>51</v>
      </c>
      <c r="R89">
        <f>RANK(TAcum[[#This Row],[j16]],TAcum[[#All],[j16]],0)</f>
        <v>65</v>
      </c>
      <c r="S89">
        <f>RANK(TAcum[[#This Row],[j17]],TAcum[[#All],[j17]],0)</f>
        <v>72</v>
      </c>
      <c r="T89">
        <f>RANK(TAcum[[#This Row],[j18]],TAcum[[#All],[j18]],0)</f>
        <v>73</v>
      </c>
      <c r="U89">
        <f>RANK(TAcum[[#This Row],[j19]],TAcum[[#All],[j19]],0)</f>
        <v>71</v>
      </c>
      <c r="V89">
        <f>RANK(TAcum[[#This Row],[j20]],TAcum[[#All],[j20]],0)</f>
        <v>70</v>
      </c>
      <c r="W89">
        <f>RANK(TAcum[[#This Row],[j21]],TAcum[[#All],[j21]],0)</f>
        <v>75</v>
      </c>
      <c r="X89">
        <f>RANK(TAcum[[#This Row],[j22]],TAcum[[#All],[j22]],0)</f>
        <v>76</v>
      </c>
      <c r="Y89">
        <f>RANK(TAcum[[#This Row],[j23]],TAcum[[#All],[j23]],0)</f>
        <v>75</v>
      </c>
      <c r="Z89">
        <f>RANK(TAcum[[#This Row],[j24]],TAcum[[#All],[j24]],0)</f>
        <v>83</v>
      </c>
      <c r="AA89">
        <f>RANK(TAcum[[#This Row],[j25]],TAcum[[#All],[j25]],0)</f>
        <v>84</v>
      </c>
      <c r="AB89">
        <f>RANK(TAcum[[#This Row],[j26]],TAcum[[#All],[j26]],0)</f>
        <v>91</v>
      </c>
      <c r="AC89">
        <f>RANK(TAcum[[#This Row],[j27]],TAcum[[#All],[j27]],0)</f>
        <v>91</v>
      </c>
      <c r="AD89">
        <f>RANK(TAcum[[#This Row],[j28]],TAcum[[#All],[j28]],0)</f>
        <v>88</v>
      </c>
      <c r="AE89">
        <f>RANK(TAcum[[#This Row],[j29]],TAcum[[#All],[j29]],0)</f>
        <v>87</v>
      </c>
      <c r="AF89">
        <f>RANK(TAcum[[#This Row],[j30]],TAcum[[#All],[j30]],0)</f>
        <v>87</v>
      </c>
      <c r="AG89">
        <f>RANK(TAcum[[#This Row],[j31]],TAcum[[#All],[j31]],0)</f>
        <v>87</v>
      </c>
      <c r="AH89">
        <f>RANK(TAcum[[#This Row],[j32]],TAcum[[#All],[j32]],0)</f>
        <v>87</v>
      </c>
      <c r="AI89">
        <f>RANK(TAcum[[#This Row],[j33]],TAcum[[#All],[j33]],0)</f>
        <v>87</v>
      </c>
      <c r="AJ89">
        <f>RANK(TAcum[[#This Row],[j34]],TAcum[[#All],[j34]],0)</f>
        <v>87</v>
      </c>
      <c r="AK89">
        <f>RANK(TAcum[[#This Row],[j35]],TAcum[[#All],[j35]],0)</f>
        <v>87</v>
      </c>
      <c r="AL89">
        <f>RANK(TAcum[[#This Row],[j36]],TAcum[[#All],[j36]],0)</f>
        <v>87</v>
      </c>
      <c r="AM89">
        <f>RANK(TAcum[[#This Row],[j37]],TAcum[[#All],[j37]],0)</f>
        <v>87</v>
      </c>
      <c r="AN89">
        <f>RANK(TAcum[[#This Row],[j38]],TAcum[[#All],[j38]],0)</f>
        <v>87</v>
      </c>
      <c r="AO89">
        <f>RANK(TAcum[[#This Row],[j39]],TAcum[[#All],[j39]],0)</f>
        <v>87</v>
      </c>
      <c r="AP89">
        <f>RANK(TAcum[[#This Row],[j40]],TAcum[[#All],[j40]],0)</f>
        <v>87</v>
      </c>
      <c r="AQ89">
        <f>RANK(TAcum[[#This Row],[j41]],TAcum[[#All],[j41]],0)</f>
        <v>87</v>
      </c>
      <c r="AR89">
        <f>RANK(TAcum[[#This Row],[j42]],TAcum[[#All],[j42]],0)</f>
        <v>87</v>
      </c>
      <c r="AS89">
        <f>RANK(TAcum[[#This Row],[j43]],TAcum[[#All],[j43]],0)</f>
        <v>87</v>
      </c>
      <c r="AT89">
        <f>RANK(TAcum[[#This Row],[j44]],TAcum[[#All],[j44]],0)</f>
        <v>87</v>
      </c>
      <c r="AU89">
        <f>RANK(TAcum[[#This Row],[j45]],TAcum[[#All],[j45]],0)</f>
        <v>87</v>
      </c>
      <c r="AV89">
        <f>RANK(TAcum[[#This Row],[j46]],TAcum[[#All],[j46]],0)</f>
        <v>87</v>
      </c>
      <c r="AW89">
        <f>RANK(TAcum[[#This Row],[j47]],TAcum[[#All],[j47]],0)</f>
        <v>87</v>
      </c>
      <c r="AX89">
        <f>RANK(TAcum[[#This Row],[j48]],TAcum[[#All],[j48]],0)</f>
        <v>87</v>
      </c>
      <c r="AY89">
        <f>RANK(TAcum[[#This Row],[j49]],TAcum[[#All],[j49]],0)</f>
        <v>87</v>
      </c>
      <c r="AZ89">
        <f>RANK(TAcum[[#This Row],[j50]],TAcum[[#All],[j50]],0)</f>
        <v>87</v>
      </c>
      <c r="BA89">
        <f>RANK(TAcum[[#This Row],[j51]],TAcum[[#All],[j51]],0)</f>
        <v>87</v>
      </c>
      <c r="BB89">
        <f>RANK(TAcum[[#This Row],[j52]],TAcum[[#All],[j52]],0)</f>
        <v>87</v>
      </c>
      <c r="BC89">
        <f>RANK(TAcum[[#This Row],[j53]],TAcum[[#All],[j53]],0)</f>
        <v>87</v>
      </c>
      <c r="BD89">
        <f>RANK(TAcum[[#This Row],[j54]],TAcum[[#All],[j54]],0)</f>
        <v>87</v>
      </c>
      <c r="BE89">
        <f>RANK(TAcum[[#This Row],[j55]],TAcum[[#All],[j55]],0)</f>
        <v>87</v>
      </c>
      <c r="BF89">
        <f>RANK(TAcum[[#This Row],[j56]],TAcum[[#All],[j56]],0)</f>
        <v>87</v>
      </c>
      <c r="BG89">
        <f>RANK(TAcum[[#This Row],[j57]],TAcum[[#All],[j57]],0)</f>
        <v>87</v>
      </c>
      <c r="BH89">
        <f>RANK(TAcum[[#This Row],[j58]],TAcum[[#All],[j58]],0)</f>
        <v>87</v>
      </c>
      <c r="BI89">
        <f>RANK(TAcum[[#This Row],[j59]],TAcum[[#All],[j59]],0)</f>
        <v>87</v>
      </c>
      <c r="BJ89">
        <f>RANK(TAcum[[#This Row],[j60]],TAcum[[#All],[j60]],0)</f>
        <v>87</v>
      </c>
      <c r="BK89">
        <f>RANK(TAcum[[#This Row],[j61]],TAcum[[#All],[j61]],0)</f>
        <v>87</v>
      </c>
      <c r="BL89">
        <f>RANK(TAcum[[#This Row],[j62]],TAcum[[#All],[j62]],0)</f>
        <v>87</v>
      </c>
      <c r="BM89">
        <f>RANK(TAcum[[#This Row],[j63]],TAcum[[#All],[j63]],0)</f>
        <v>87</v>
      </c>
      <c r="BN89">
        <f>RANK(TAcum[[#This Row],[j64]],TAcum[[#All],[j64]],0)</f>
        <v>87</v>
      </c>
      <c r="BO89">
        <f>RANK(TAcum[[#This Row],[j65]],TAcum[[#All],[j65]],0)</f>
        <v>87</v>
      </c>
      <c r="BP89">
        <f>RANK(TAcum[[#This Row],[j66]],TAcum[[#All],[j66]],0)</f>
        <v>87</v>
      </c>
      <c r="BQ89">
        <f>RANK(TAcum[[#This Row],[j67]],TAcum[[#All],[j67]],0)</f>
        <v>87</v>
      </c>
      <c r="BR89">
        <f>RANK(TAcum[[#This Row],[j68]],TAcum[[#All],[j68]],0)</f>
        <v>87</v>
      </c>
      <c r="BS89">
        <f>RANK(TAcum[[#This Row],[j69]],TAcum[[#All],[j69]],0)</f>
        <v>87</v>
      </c>
      <c r="BT89">
        <f>RANK(TAcum[[#This Row],[j70]],TAcum[[#All],[j70]],0)</f>
        <v>87</v>
      </c>
      <c r="BU89">
        <f>RANK(TAcum[[#This Row],[j71]],TAcum[[#All],[j71]],0)</f>
        <v>87</v>
      </c>
      <c r="BV89">
        <f>RANK(TAcum[[#This Row],[j72]],TAcum[[#All],[j72]],0)</f>
        <v>87</v>
      </c>
      <c r="BW89">
        <f>RANK(TAcum[[#This Row],[j73]],TAcum[[#All],[j73]],0)</f>
        <v>87</v>
      </c>
    </row>
    <row r="90" spans="1:75" x14ac:dyDescent="0.25">
      <c r="A90" t="str">
        <f>TAcum[[#This Row],[Jogador]]</f>
        <v>Pedro Amorim Boa Sorte</v>
      </c>
      <c r="B90">
        <f>RANK(TAcum[[#This Row],[total]],TAcum[[#All],[total]],0)</f>
        <v>89</v>
      </c>
      <c r="C90">
        <f>RANK(TAcum[[#This Row],[j01]],TAcum[[#All],[j01]],0)</f>
        <v>13</v>
      </c>
      <c r="D90">
        <f>RANK(TAcum[[#This Row],[j02]],TAcum[[#All],[j02]],0)</f>
        <v>13</v>
      </c>
      <c r="E90">
        <f>RANK(TAcum[[#This Row],[j03]],TAcum[[#All],[j03]],0)</f>
        <v>24</v>
      </c>
      <c r="F90">
        <f>RANK(TAcum[[#This Row],[j04]],TAcum[[#All],[j04]],0)</f>
        <v>71</v>
      </c>
      <c r="G90">
        <f>RANK(TAcum[[#This Row],[j05]],TAcum[[#All],[j05]],0)</f>
        <v>71</v>
      </c>
      <c r="H90">
        <f>RANK(TAcum[[#This Row],[j06]],TAcum[[#All],[j06]],0)</f>
        <v>77</v>
      </c>
      <c r="I90">
        <f>RANK(TAcum[[#This Row],[j07]],TAcum[[#All],[j07]],0)</f>
        <v>67</v>
      </c>
      <c r="J90">
        <f>RANK(TAcum[[#This Row],[j08]],TAcum[[#All],[j08]],0)</f>
        <v>61</v>
      </c>
      <c r="K90">
        <f>RANK(TAcum[[#This Row],[j09]],TAcum[[#All],[j09]],0)</f>
        <v>72</v>
      </c>
      <c r="L90">
        <f>RANK(TAcum[[#This Row],[j10]],TAcum[[#All],[j10]],0)</f>
        <v>62</v>
      </c>
      <c r="M90">
        <f>RANK(TAcum[[#This Row],[j11]],TAcum[[#All],[j11]],0)</f>
        <v>57</v>
      </c>
      <c r="N90">
        <f>RANK(TAcum[[#This Row],[j12]],TAcum[[#All],[j12]],0)</f>
        <v>62</v>
      </c>
      <c r="O90">
        <f>RANK(TAcum[[#This Row],[j13]],TAcum[[#All],[j13]],0)</f>
        <v>68</v>
      </c>
      <c r="P90">
        <f>RANK(TAcum[[#This Row],[j14]],TAcum[[#All],[j14]],0)</f>
        <v>74</v>
      </c>
      <c r="Q90">
        <f>RANK(TAcum[[#This Row],[j15]],TAcum[[#All],[j15]],0)</f>
        <v>66</v>
      </c>
      <c r="R90">
        <f>RANK(TAcum[[#This Row],[j16]],TAcum[[#All],[j16]],0)</f>
        <v>69</v>
      </c>
      <c r="S90">
        <f>RANK(TAcum[[#This Row],[j17]],TAcum[[#All],[j17]],0)</f>
        <v>75</v>
      </c>
      <c r="T90">
        <f>RANK(TAcum[[#This Row],[j18]],TAcum[[#All],[j18]],0)</f>
        <v>76</v>
      </c>
      <c r="U90">
        <f>RANK(TAcum[[#This Row],[j19]],TAcum[[#All],[j19]],0)</f>
        <v>71</v>
      </c>
      <c r="V90">
        <f>RANK(TAcum[[#This Row],[j20]],TAcum[[#All],[j20]],0)</f>
        <v>75</v>
      </c>
      <c r="W90">
        <f>RANK(TAcum[[#This Row],[j21]],TAcum[[#All],[j21]],0)</f>
        <v>78</v>
      </c>
      <c r="X90">
        <f>RANK(TAcum[[#This Row],[j22]],TAcum[[#All],[j22]],0)</f>
        <v>87</v>
      </c>
      <c r="Y90">
        <f>RANK(TAcum[[#This Row],[j23]],TAcum[[#All],[j23]],0)</f>
        <v>89</v>
      </c>
      <c r="Z90">
        <f>RANK(TAcum[[#This Row],[j24]],TAcum[[#All],[j24]],0)</f>
        <v>88</v>
      </c>
      <c r="AA90">
        <f>RANK(TAcum[[#This Row],[j25]],TAcum[[#All],[j25]],0)</f>
        <v>90</v>
      </c>
      <c r="AB90">
        <f>RANK(TAcum[[#This Row],[j26]],TAcum[[#All],[j26]],0)</f>
        <v>91</v>
      </c>
      <c r="AC90">
        <f>RANK(TAcum[[#This Row],[j27]],TAcum[[#All],[j27]],0)</f>
        <v>91</v>
      </c>
      <c r="AD90">
        <f>RANK(TAcum[[#This Row],[j28]],TAcum[[#All],[j28]],0)</f>
        <v>78</v>
      </c>
      <c r="AE90">
        <f>RANK(TAcum[[#This Row],[j29]],TAcum[[#All],[j29]],0)</f>
        <v>89</v>
      </c>
      <c r="AF90">
        <f>RANK(TAcum[[#This Row],[j30]],TAcum[[#All],[j30]],0)</f>
        <v>89</v>
      </c>
      <c r="AG90">
        <f>RANK(TAcum[[#This Row],[j31]],TAcum[[#All],[j31]],0)</f>
        <v>89</v>
      </c>
      <c r="AH90">
        <f>RANK(TAcum[[#This Row],[j32]],TAcum[[#All],[j32]],0)</f>
        <v>89</v>
      </c>
      <c r="AI90">
        <f>RANK(TAcum[[#This Row],[j33]],TAcum[[#All],[j33]],0)</f>
        <v>89</v>
      </c>
      <c r="AJ90">
        <f>RANK(TAcum[[#This Row],[j34]],TAcum[[#All],[j34]],0)</f>
        <v>89</v>
      </c>
      <c r="AK90">
        <f>RANK(TAcum[[#This Row],[j35]],TAcum[[#All],[j35]],0)</f>
        <v>89</v>
      </c>
      <c r="AL90">
        <f>RANK(TAcum[[#This Row],[j36]],TAcum[[#All],[j36]],0)</f>
        <v>89</v>
      </c>
      <c r="AM90">
        <f>RANK(TAcum[[#This Row],[j37]],TAcum[[#All],[j37]],0)</f>
        <v>89</v>
      </c>
      <c r="AN90">
        <f>RANK(TAcum[[#This Row],[j38]],TAcum[[#All],[j38]],0)</f>
        <v>89</v>
      </c>
      <c r="AO90">
        <f>RANK(TAcum[[#This Row],[j39]],TAcum[[#All],[j39]],0)</f>
        <v>89</v>
      </c>
      <c r="AP90">
        <f>RANK(TAcum[[#This Row],[j40]],TAcum[[#All],[j40]],0)</f>
        <v>89</v>
      </c>
      <c r="AQ90">
        <f>RANK(TAcum[[#This Row],[j41]],TAcum[[#All],[j41]],0)</f>
        <v>89</v>
      </c>
      <c r="AR90">
        <f>RANK(TAcum[[#This Row],[j42]],TAcum[[#All],[j42]],0)</f>
        <v>89</v>
      </c>
      <c r="AS90">
        <f>RANK(TAcum[[#This Row],[j43]],TAcum[[#All],[j43]],0)</f>
        <v>89</v>
      </c>
      <c r="AT90">
        <f>RANK(TAcum[[#This Row],[j44]],TAcum[[#All],[j44]],0)</f>
        <v>89</v>
      </c>
      <c r="AU90">
        <f>RANK(TAcum[[#This Row],[j45]],TAcum[[#All],[j45]],0)</f>
        <v>89</v>
      </c>
      <c r="AV90">
        <f>RANK(TAcum[[#This Row],[j46]],TAcum[[#All],[j46]],0)</f>
        <v>89</v>
      </c>
      <c r="AW90">
        <f>RANK(TAcum[[#This Row],[j47]],TAcum[[#All],[j47]],0)</f>
        <v>89</v>
      </c>
      <c r="AX90">
        <f>RANK(TAcum[[#This Row],[j48]],TAcum[[#All],[j48]],0)</f>
        <v>89</v>
      </c>
      <c r="AY90">
        <f>RANK(TAcum[[#This Row],[j49]],TAcum[[#All],[j49]],0)</f>
        <v>89</v>
      </c>
      <c r="AZ90">
        <f>RANK(TAcum[[#This Row],[j50]],TAcum[[#All],[j50]],0)</f>
        <v>89</v>
      </c>
      <c r="BA90">
        <f>RANK(TAcum[[#This Row],[j51]],TAcum[[#All],[j51]],0)</f>
        <v>89</v>
      </c>
      <c r="BB90">
        <f>RANK(TAcum[[#This Row],[j52]],TAcum[[#All],[j52]],0)</f>
        <v>89</v>
      </c>
      <c r="BC90">
        <f>RANK(TAcum[[#This Row],[j53]],TAcum[[#All],[j53]],0)</f>
        <v>89</v>
      </c>
      <c r="BD90">
        <f>RANK(TAcum[[#This Row],[j54]],TAcum[[#All],[j54]],0)</f>
        <v>89</v>
      </c>
      <c r="BE90">
        <f>RANK(TAcum[[#This Row],[j55]],TAcum[[#All],[j55]],0)</f>
        <v>89</v>
      </c>
      <c r="BF90">
        <f>RANK(TAcum[[#This Row],[j56]],TAcum[[#All],[j56]],0)</f>
        <v>89</v>
      </c>
      <c r="BG90">
        <f>RANK(TAcum[[#This Row],[j57]],TAcum[[#All],[j57]],0)</f>
        <v>89</v>
      </c>
      <c r="BH90">
        <f>RANK(TAcum[[#This Row],[j58]],TAcum[[#All],[j58]],0)</f>
        <v>89</v>
      </c>
      <c r="BI90">
        <f>RANK(TAcum[[#This Row],[j59]],TAcum[[#All],[j59]],0)</f>
        <v>89</v>
      </c>
      <c r="BJ90">
        <f>RANK(TAcum[[#This Row],[j60]],TAcum[[#All],[j60]],0)</f>
        <v>89</v>
      </c>
      <c r="BK90">
        <f>RANK(TAcum[[#This Row],[j61]],TAcum[[#All],[j61]],0)</f>
        <v>89</v>
      </c>
      <c r="BL90">
        <f>RANK(TAcum[[#This Row],[j62]],TAcum[[#All],[j62]],0)</f>
        <v>89</v>
      </c>
      <c r="BM90">
        <f>RANK(TAcum[[#This Row],[j63]],TAcum[[#All],[j63]],0)</f>
        <v>89</v>
      </c>
      <c r="BN90">
        <f>RANK(TAcum[[#This Row],[j64]],TAcum[[#All],[j64]],0)</f>
        <v>89</v>
      </c>
      <c r="BO90">
        <f>RANK(TAcum[[#This Row],[j65]],TAcum[[#All],[j65]],0)</f>
        <v>89</v>
      </c>
      <c r="BP90">
        <f>RANK(TAcum[[#This Row],[j66]],TAcum[[#All],[j66]],0)</f>
        <v>89</v>
      </c>
      <c r="BQ90">
        <f>RANK(TAcum[[#This Row],[j67]],TAcum[[#All],[j67]],0)</f>
        <v>89</v>
      </c>
      <c r="BR90">
        <f>RANK(TAcum[[#This Row],[j68]],TAcum[[#All],[j68]],0)</f>
        <v>89</v>
      </c>
      <c r="BS90">
        <f>RANK(TAcum[[#This Row],[j69]],TAcum[[#All],[j69]],0)</f>
        <v>89</v>
      </c>
      <c r="BT90">
        <f>RANK(TAcum[[#This Row],[j70]],TAcum[[#All],[j70]],0)</f>
        <v>89</v>
      </c>
      <c r="BU90">
        <f>RANK(TAcum[[#This Row],[j71]],TAcum[[#All],[j71]],0)</f>
        <v>89</v>
      </c>
      <c r="BV90">
        <f>RANK(TAcum[[#This Row],[j72]],TAcum[[#All],[j72]],0)</f>
        <v>89</v>
      </c>
      <c r="BW90">
        <f>RANK(TAcum[[#This Row],[j73]],TAcum[[#All],[j73]],0)</f>
        <v>89</v>
      </c>
    </row>
    <row r="91" spans="1:75" x14ac:dyDescent="0.25">
      <c r="A91" t="str">
        <f>TAcum[[#This Row],[Jogador]]</f>
        <v>Maria Carolina Fiuza</v>
      </c>
      <c r="B91">
        <f>RANK(TAcum[[#This Row],[total]],TAcum[[#All],[total]],0)</f>
        <v>90</v>
      </c>
      <c r="C91">
        <f>RANK(TAcum[[#This Row],[j01]],TAcum[[#All],[j01]],0)</f>
        <v>78</v>
      </c>
      <c r="D91">
        <f>RANK(TAcum[[#This Row],[j02]],TAcum[[#All],[j02]],0)</f>
        <v>77</v>
      </c>
      <c r="E91">
        <f>RANK(TAcum[[#This Row],[j03]],TAcum[[#All],[j03]],0)</f>
        <v>61</v>
      </c>
      <c r="F91">
        <f>RANK(TAcum[[#This Row],[j04]],TAcum[[#All],[j04]],0)</f>
        <v>32</v>
      </c>
      <c r="G91">
        <f>RANK(TAcum[[#This Row],[j05]],TAcum[[#All],[j05]],0)</f>
        <v>32</v>
      </c>
      <c r="H91">
        <f>RANK(TAcum[[#This Row],[j06]],TAcum[[#All],[j06]],0)</f>
        <v>33</v>
      </c>
      <c r="I91">
        <f>RANK(TAcum[[#This Row],[j07]],TAcum[[#All],[j07]],0)</f>
        <v>42</v>
      </c>
      <c r="J91">
        <f>RANK(TAcum[[#This Row],[j08]],TAcum[[#All],[j08]],0)</f>
        <v>43</v>
      </c>
      <c r="K91">
        <f>RANK(TAcum[[#This Row],[j09]],TAcum[[#All],[j09]],0)</f>
        <v>60</v>
      </c>
      <c r="L91">
        <f>RANK(TAcum[[#This Row],[j10]],TAcum[[#All],[j10]],0)</f>
        <v>62</v>
      </c>
      <c r="M91">
        <f>RANK(TAcum[[#This Row],[j11]],TAcum[[#All],[j11]],0)</f>
        <v>69</v>
      </c>
      <c r="N91">
        <f>RANK(TAcum[[#This Row],[j12]],TAcum[[#All],[j12]],0)</f>
        <v>73</v>
      </c>
      <c r="O91">
        <f>RANK(TAcum[[#This Row],[j13]],TAcum[[#All],[j13]],0)</f>
        <v>77</v>
      </c>
      <c r="P91">
        <f>RANK(TAcum[[#This Row],[j14]],TAcum[[#All],[j14]],0)</f>
        <v>81</v>
      </c>
      <c r="Q91">
        <f>RANK(TAcum[[#This Row],[j15]],TAcum[[#All],[j15]],0)</f>
        <v>79</v>
      </c>
      <c r="R91">
        <f>RANK(TAcum[[#This Row],[j16]],TAcum[[#All],[j16]],0)</f>
        <v>87</v>
      </c>
      <c r="S91">
        <f>RANK(TAcum[[#This Row],[j17]],TAcum[[#All],[j17]],0)</f>
        <v>90</v>
      </c>
      <c r="T91">
        <f>RANK(TAcum[[#This Row],[j18]],TAcum[[#All],[j18]],0)</f>
        <v>92</v>
      </c>
      <c r="U91">
        <f>RANK(TAcum[[#This Row],[j19]],TAcum[[#All],[j19]],0)</f>
        <v>103</v>
      </c>
      <c r="V91">
        <f>RANK(TAcum[[#This Row],[j20]],TAcum[[#All],[j20]],0)</f>
        <v>103</v>
      </c>
      <c r="W91">
        <f>RANK(TAcum[[#This Row],[j21]],TAcum[[#All],[j21]],0)</f>
        <v>105</v>
      </c>
      <c r="X91">
        <f>RANK(TAcum[[#This Row],[j22]],TAcum[[#All],[j22]],0)</f>
        <v>107</v>
      </c>
      <c r="Y91">
        <f>RANK(TAcum[[#This Row],[j23]],TAcum[[#All],[j23]],0)</f>
        <v>107</v>
      </c>
      <c r="Z91">
        <f>RANK(TAcum[[#This Row],[j24]],TAcum[[#All],[j24]],0)</f>
        <v>110</v>
      </c>
      <c r="AA91">
        <f>RANK(TAcum[[#This Row],[j25]],TAcum[[#All],[j25]],0)</f>
        <v>109</v>
      </c>
      <c r="AB91">
        <f>RANK(TAcum[[#This Row],[j26]],TAcum[[#All],[j26]],0)</f>
        <v>102</v>
      </c>
      <c r="AC91">
        <f>RANK(TAcum[[#This Row],[j27]],TAcum[[#All],[j27]],0)</f>
        <v>97</v>
      </c>
      <c r="AD91">
        <f>RANK(TAcum[[#This Row],[j28]],TAcum[[#All],[j28]],0)</f>
        <v>94</v>
      </c>
      <c r="AE91">
        <f>RANK(TAcum[[#This Row],[j29]],TAcum[[#All],[j29]],0)</f>
        <v>90</v>
      </c>
      <c r="AF91">
        <f>RANK(TAcum[[#This Row],[j30]],TAcum[[#All],[j30]],0)</f>
        <v>90</v>
      </c>
      <c r="AG91">
        <f>RANK(TAcum[[#This Row],[j31]],TAcum[[#All],[j31]],0)</f>
        <v>90</v>
      </c>
      <c r="AH91">
        <f>RANK(TAcum[[#This Row],[j32]],TAcum[[#All],[j32]],0)</f>
        <v>90</v>
      </c>
      <c r="AI91">
        <f>RANK(TAcum[[#This Row],[j33]],TAcum[[#All],[j33]],0)</f>
        <v>90</v>
      </c>
      <c r="AJ91">
        <f>RANK(TAcum[[#This Row],[j34]],TAcum[[#All],[j34]],0)</f>
        <v>90</v>
      </c>
      <c r="AK91">
        <f>RANK(TAcum[[#This Row],[j35]],TAcum[[#All],[j35]],0)</f>
        <v>90</v>
      </c>
      <c r="AL91">
        <f>RANK(TAcum[[#This Row],[j36]],TAcum[[#All],[j36]],0)</f>
        <v>90</v>
      </c>
      <c r="AM91">
        <f>RANK(TAcum[[#This Row],[j37]],TAcum[[#All],[j37]],0)</f>
        <v>90</v>
      </c>
      <c r="AN91">
        <f>RANK(TAcum[[#This Row],[j38]],TAcum[[#All],[j38]],0)</f>
        <v>90</v>
      </c>
      <c r="AO91">
        <f>RANK(TAcum[[#This Row],[j39]],TAcum[[#All],[j39]],0)</f>
        <v>90</v>
      </c>
      <c r="AP91">
        <f>RANK(TAcum[[#This Row],[j40]],TAcum[[#All],[j40]],0)</f>
        <v>90</v>
      </c>
      <c r="AQ91">
        <f>RANK(TAcum[[#This Row],[j41]],TAcum[[#All],[j41]],0)</f>
        <v>90</v>
      </c>
      <c r="AR91">
        <f>RANK(TAcum[[#This Row],[j42]],TAcum[[#All],[j42]],0)</f>
        <v>90</v>
      </c>
      <c r="AS91">
        <f>RANK(TAcum[[#This Row],[j43]],TAcum[[#All],[j43]],0)</f>
        <v>90</v>
      </c>
      <c r="AT91">
        <f>RANK(TAcum[[#This Row],[j44]],TAcum[[#All],[j44]],0)</f>
        <v>90</v>
      </c>
      <c r="AU91">
        <f>RANK(TAcum[[#This Row],[j45]],TAcum[[#All],[j45]],0)</f>
        <v>90</v>
      </c>
      <c r="AV91">
        <f>RANK(TAcum[[#This Row],[j46]],TAcum[[#All],[j46]],0)</f>
        <v>90</v>
      </c>
      <c r="AW91">
        <f>RANK(TAcum[[#This Row],[j47]],TAcum[[#All],[j47]],0)</f>
        <v>90</v>
      </c>
      <c r="AX91">
        <f>RANK(TAcum[[#This Row],[j48]],TAcum[[#All],[j48]],0)</f>
        <v>90</v>
      </c>
      <c r="AY91">
        <f>RANK(TAcum[[#This Row],[j49]],TAcum[[#All],[j49]],0)</f>
        <v>90</v>
      </c>
      <c r="AZ91">
        <f>RANK(TAcum[[#This Row],[j50]],TAcum[[#All],[j50]],0)</f>
        <v>90</v>
      </c>
      <c r="BA91">
        <f>RANK(TAcum[[#This Row],[j51]],TAcum[[#All],[j51]],0)</f>
        <v>90</v>
      </c>
      <c r="BB91">
        <f>RANK(TAcum[[#This Row],[j52]],TAcum[[#All],[j52]],0)</f>
        <v>90</v>
      </c>
      <c r="BC91">
        <f>RANK(TAcum[[#This Row],[j53]],TAcum[[#All],[j53]],0)</f>
        <v>90</v>
      </c>
      <c r="BD91">
        <f>RANK(TAcum[[#This Row],[j54]],TAcum[[#All],[j54]],0)</f>
        <v>90</v>
      </c>
      <c r="BE91">
        <f>RANK(TAcum[[#This Row],[j55]],TAcum[[#All],[j55]],0)</f>
        <v>90</v>
      </c>
      <c r="BF91">
        <f>RANK(TAcum[[#This Row],[j56]],TAcum[[#All],[j56]],0)</f>
        <v>90</v>
      </c>
      <c r="BG91">
        <f>RANK(TAcum[[#This Row],[j57]],TAcum[[#All],[j57]],0)</f>
        <v>90</v>
      </c>
      <c r="BH91">
        <f>RANK(TAcum[[#This Row],[j58]],TAcum[[#All],[j58]],0)</f>
        <v>90</v>
      </c>
      <c r="BI91">
        <f>RANK(TAcum[[#This Row],[j59]],TAcum[[#All],[j59]],0)</f>
        <v>90</v>
      </c>
      <c r="BJ91">
        <f>RANK(TAcum[[#This Row],[j60]],TAcum[[#All],[j60]],0)</f>
        <v>90</v>
      </c>
      <c r="BK91">
        <f>RANK(TAcum[[#This Row],[j61]],TAcum[[#All],[j61]],0)</f>
        <v>90</v>
      </c>
      <c r="BL91">
        <f>RANK(TAcum[[#This Row],[j62]],TAcum[[#All],[j62]],0)</f>
        <v>90</v>
      </c>
      <c r="BM91">
        <f>RANK(TAcum[[#This Row],[j63]],TAcum[[#All],[j63]],0)</f>
        <v>90</v>
      </c>
      <c r="BN91">
        <f>RANK(TAcum[[#This Row],[j64]],TAcum[[#All],[j64]],0)</f>
        <v>90</v>
      </c>
      <c r="BO91">
        <f>RANK(TAcum[[#This Row],[j65]],TAcum[[#All],[j65]],0)</f>
        <v>90</v>
      </c>
      <c r="BP91">
        <f>RANK(TAcum[[#This Row],[j66]],TAcum[[#All],[j66]],0)</f>
        <v>90</v>
      </c>
      <c r="BQ91">
        <f>RANK(TAcum[[#This Row],[j67]],TAcum[[#All],[j67]],0)</f>
        <v>90</v>
      </c>
      <c r="BR91">
        <f>RANK(TAcum[[#This Row],[j68]],TAcum[[#All],[j68]],0)</f>
        <v>90</v>
      </c>
      <c r="BS91">
        <f>RANK(TAcum[[#This Row],[j69]],TAcum[[#All],[j69]],0)</f>
        <v>90</v>
      </c>
      <c r="BT91">
        <f>RANK(TAcum[[#This Row],[j70]],TAcum[[#All],[j70]],0)</f>
        <v>90</v>
      </c>
      <c r="BU91">
        <f>RANK(TAcum[[#This Row],[j71]],TAcum[[#All],[j71]],0)</f>
        <v>90</v>
      </c>
      <c r="BV91">
        <f>RANK(TAcum[[#This Row],[j72]],TAcum[[#All],[j72]],0)</f>
        <v>90</v>
      </c>
      <c r="BW91">
        <f>RANK(TAcum[[#This Row],[j73]],TAcum[[#All],[j73]],0)</f>
        <v>90</v>
      </c>
    </row>
    <row r="92" spans="1:75" x14ac:dyDescent="0.25">
      <c r="A92" t="str">
        <f>TAcum[[#This Row],[Jogador]]</f>
        <v>Cris Pinto 2</v>
      </c>
      <c r="B92">
        <f>RANK(TAcum[[#This Row],[total]],TAcum[[#All],[total]],0)</f>
        <v>91</v>
      </c>
      <c r="C92">
        <f>RANK(TAcum[[#This Row],[j01]],TAcum[[#All],[j01]],0)</f>
        <v>1</v>
      </c>
      <c r="D92">
        <f>RANK(TAcum[[#This Row],[j02]],TAcum[[#All],[j02]],0)</f>
        <v>1</v>
      </c>
      <c r="E92">
        <f>RANK(TAcum[[#This Row],[j03]],TAcum[[#All],[j03]],0)</f>
        <v>3</v>
      </c>
      <c r="F92">
        <f>RANK(TAcum[[#This Row],[j04]],TAcum[[#All],[j04]],0)</f>
        <v>54</v>
      </c>
      <c r="G92">
        <f>RANK(TAcum[[#This Row],[j05]],TAcum[[#All],[j05]],0)</f>
        <v>55</v>
      </c>
      <c r="H92">
        <f>RANK(TAcum[[#This Row],[j06]],TAcum[[#All],[j06]],0)</f>
        <v>53</v>
      </c>
      <c r="I92">
        <f>RANK(TAcum[[#This Row],[j07]],TAcum[[#All],[j07]],0)</f>
        <v>37</v>
      </c>
      <c r="J92">
        <f>RANK(TAcum[[#This Row],[j08]],TAcum[[#All],[j08]],0)</f>
        <v>39</v>
      </c>
      <c r="K92">
        <f>RANK(TAcum[[#This Row],[j09]],TAcum[[#All],[j09]],0)</f>
        <v>41</v>
      </c>
      <c r="L92">
        <f>RANK(TAcum[[#This Row],[j10]],TAcum[[#All],[j10]],0)</f>
        <v>31</v>
      </c>
      <c r="M92">
        <f>RANK(TAcum[[#This Row],[j11]],TAcum[[#All],[j11]],0)</f>
        <v>30</v>
      </c>
      <c r="N92">
        <f>RANK(TAcum[[#This Row],[j12]],TAcum[[#All],[j12]],0)</f>
        <v>29</v>
      </c>
      <c r="O92">
        <f>RANK(TAcum[[#This Row],[j13]],TAcum[[#All],[j13]],0)</f>
        <v>59</v>
      </c>
      <c r="P92">
        <f>RANK(TAcum[[#This Row],[j14]],TAcum[[#All],[j14]],0)</f>
        <v>59</v>
      </c>
      <c r="Q92">
        <f>RANK(TAcum[[#This Row],[j15]],TAcum[[#All],[j15]],0)</f>
        <v>61</v>
      </c>
      <c r="R92">
        <f>RANK(TAcum[[#This Row],[j16]],TAcum[[#All],[j16]],0)</f>
        <v>49</v>
      </c>
      <c r="S92">
        <f>RANK(TAcum[[#This Row],[j17]],TAcum[[#All],[j17]],0)</f>
        <v>57</v>
      </c>
      <c r="T92">
        <f>RANK(TAcum[[#This Row],[j18]],TAcum[[#All],[j18]],0)</f>
        <v>60</v>
      </c>
      <c r="U92">
        <f>RANK(TAcum[[#This Row],[j19]],TAcum[[#All],[j19]],0)</f>
        <v>71</v>
      </c>
      <c r="V92">
        <f>RANK(TAcum[[#This Row],[j20]],TAcum[[#All],[j20]],0)</f>
        <v>70</v>
      </c>
      <c r="W92">
        <f>RANK(TAcum[[#This Row],[j21]],TAcum[[#All],[j21]],0)</f>
        <v>67</v>
      </c>
      <c r="X92">
        <f>RANK(TAcum[[#This Row],[j22]],TAcum[[#All],[j22]],0)</f>
        <v>76</v>
      </c>
      <c r="Y92">
        <f>RANK(TAcum[[#This Row],[j23]],TAcum[[#All],[j23]],0)</f>
        <v>75</v>
      </c>
      <c r="Z92">
        <f>RANK(TAcum[[#This Row],[j24]],TAcum[[#All],[j24]],0)</f>
        <v>61</v>
      </c>
      <c r="AA92">
        <f>RANK(TAcum[[#This Row],[j25]],TAcum[[#All],[j25]],0)</f>
        <v>63</v>
      </c>
      <c r="AB92">
        <f>RANK(TAcum[[#This Row],[j26]],TAcum[[#All],[j26]],0)</f>
        <v>69</v>
      </c>
      <c r="AC92">
        <f>RANK(TAcum[[#This Row],[j27]],TAcum[[#All],[j27]],0)</f>
        <v>69</v>
      </c>
      <c r="AD92">
        <f>RANK(TAcum[[#This Row],[j28]],TAcum[[#All],[j28]],0)</f>
        <v>81</v>
      </c>
      <c r="AE92">
        <f>RANK(TAcum[[#This Row],[j29]],TAcum[[#All],[j29]],0)</f>
        <v>91</v>
      </c>
      <c r="AF92">
        <f>RANK(TAcum[[#This Row],[j30]],TAcum[[#All],[j30]],0)</f>
        <v>91</v>
      </c>
      <c r="AG92">
        <f>RANK(TAcum[[#This Row],[j31]],TAcum[[#All],[j31]],0)</f>
        <v>91</v>
      </c>
      <c r="AH92">
        <f>RANK(TAcum[[#This Row],[j32]],TAcum[[#All],[j32]],0)</f>
        <v>91</v>
      </c>
      <c r="AI92">
        <f>RANK(TAcum[[#This Row],[j33]],TAcum[[#All],[j33]],0)</f>
        <v>91</v>
      </c>
      <c r="AJ92">
        <f>RANK(TAcum[[#This Row],[j34]],TAcum[[#All],[j34]],0)</f>
        <v>91</v>
      </c>
      <c r="AK92">
        <f>RANK(TAcum[[#This Row],[j35]],TAcum[[#All],[j35]],0)</f>
        <v>91</v>
      </c>
      <c r="AL92">
        <f>RANK(TAcum[[#This Row],[j36]],TAcum[[#All],[j36]],0)</f>
        <v>91</v>
      </c>
      <c r="AM92">
        <f>RANK(TAcum[[#This Row],[j37]],TAcum[[#All],[j37]],0)</f>
        <v>91</v>
      </c>
      <c r="AN92">
        <f>RANK(TAcum[[#This Row],[j38]],TAcum[[#All],[j38]],0)</f>
        <v>91</v>
      </c>
      <c r="AO92">
        <f>RANK(TAcum[[#This Row],[j39]],TAcum[[#All],[j39]],0)</f>
        <v>91</v>
      </c>
      <c r="AP92">
        <f>RANK(TAcum[[#This Row],[j40]],TAcum[[#All],[j40]],0)</f>
        <v>91</v>
      </c>
      <c r="AQ92">
        <f>RANK(TAcum[[#This Row],[j41]],TAcum[[#All],[j41]],0)</f>
        <v>91</v>
      </c>
      <c r="AR92">
        <f>RANK(TAcum[[#This Row],[j42]],TAcum[[#All],[j42]],0)</f>
        <v>91</v>
      </c>
      <c r="AS92">
        <f>RANK(TAcum[[#This Row],[j43]],TAcum[[#All],[j43]],0)</f>
        <v>91</v>
      </c>
      <c r="AT92">
        <f>RANK(TAcum[[#This Row],[j44]],TAcum[[#All],[j44]],0)</f>
        <v>91</v>
      </c>
      <c r="AU92">
        <f>RANK(TAcum[[#This Row],[j45]],TAcum[[#All],[j45]],0)</f>
        <v>91</v>
      </c>
      <c r="AV92">
        <f>RANK(TAcum[[#This Row],[j46]],TAcum[[#All],[j46]],0)</f>
        <v>91</v>
      </c>
      <c r="AW92">
        <f>RANK(TAcum[[#This Row],[j47]],TAcum[[#All],[j47]],0)</f>
        <v>91</v>
      </c>
      <c r="AX92">
        <f>RANK(TAcum[[#This Row],[j48]],TAcum[[#All],[j48]],0)</f>
        <v>91</v>
      </c>
      <c r="AY92">
        <f>RANK(TAcum[[#This Row],[j49]],TAcum[[#All],[j49]],0)</f>
        <v>91</v>
      </c>
      <c r="AZ92">
        <f>RANK(TAcum[[#This Row],[j50]],TAcum[[#All],[j50]],0)</f>
        <v>91</v>
      </c>
      <c r="BA92">
        <f>RANK(TAcum[[#This Row],[j51]],TAcum[[#All],[j51]],0)</f>
        <v>91</v>
      </c>
      <c r="BB92">
        <f>RANK(TAcum[[#This Row],[j52]],TAcum[[#All],[j52]],0)</f>
        <v>91</v>
      </c>
      <c r="BC92">
        <f>RANK(TAcum[[#This Row],[j53]],TAcum[[#All],[j53]],0)</f>
        <v>91</v>
      </c>
      <c r="BD92">
        <f>RANK(TAcum[[#This Row],[j54]],TAcum[[#All],[j54]],0)</f>
        <v>91</v>
      </c>
      <c r="BE92">
        <f>RANK(TAcum[[#This Row],[j55]],TAcum[[#All],[j55]],0)</f>
        <v>91</v>
      </c>
      <c r="BF92">
        <f>RANK(TAcum[[#This Row],[j56]],TAcum[[#All],[j56]],0)</f>
        <v>91</v>
      </c>
      <c r="BG92">
        <f>RANK(TAcum[[#This Row],[j57]],TAcum[[#All],[j57]],0)</f>
        <v>91</v>
      </c>
      <c r="BH92">
        <f>RANK(TAcum[[#This Row],[j58]],TAcum[[#All],[j58]],0)</f>
        <v>91</v>
      </c>
      <c r="BI92">
        <f>RANK(TAcum[[#This Row],[j59]],TAcum[[#All],[j59]],0)</f>
        <v>91</v>
      </c>
      <c r="BJ92">
        <f>RANK(TAcum[[#This Row],[j60]],TAcum[[#All],[j60]],0)</f>
        <v>91</v>
      </c>
      <c r="BK92">
        <f>RANK(TAcum[[#This Row],[j61]],TAcum[[#All],[j61]],0)</f>
        <v>91</v>
      </c>
      <c r="BL92">
        <f>RANK(TAcum[[#This Row],[j62]],TAcum[[#All],[j62]],0)</f>
        <v>91</v>
      </c>
      <c r="BM92">
        <f>RANK(TAcum[[#This Row],[j63]],TAcum[[#All],[j63]],0)</f>
        <v>91</v>
      </c>
      <c r="BN92">
        <f>RANK(TAcum[[#This Row],[j64]],TAcum[[#All],[j64]],0)</f>
        <v>91</v>
      </c>
      <c r="BO92">
        <f>RANK(TAcum[[#This Row],[j65]],TAcum[[#All],[j65]],0)</f>
        <v>91</v>
      </c>
      <c r="BP92">
        <f>RANK(TAcum[[#This Row],[j66]],TAcum[[#All],[j66]],0)</f>
        <v>91</v>
      </c>
      <c r="BQ92">
        <f>RANK(TAcum[[#This Row],[j67]],TAcum[[#All],[j67]],0)</f>
        <v>91</v>
      </c>
      <c r="BR92">
        <f>RANK(TAcum[[#This Row],[j68]],TAcum[[#All],[j68]],0)</f>
        <v>91</v>
      </c>
      <c r="BS92">
        <f>RANK(TAcum[[#This Row],[j69]],TAcum[[#All],[j69]],0)</f>
        <v>91</v>
      </c>
      <c r="BT92">
        <f>RANK(TAcum[[#This Row],[j70]],TAcum[[#All],[j70]],0)</f>
        <v>91</v>
      </c>
      <c r="BU92">
        <f>RANK(TAcum[[#This Row],[j71]],TAcum[[#All],[j71]],0)</f>
        <v>91</v>
      </c>
      <c r="BV92">
        <f>RANK(TAcum[[#This Row],[j72]],TAcum[[#All],[j72]],0)</f>
        <v>91</v>
      </c>
      <c r="BW92">
        <f>RANK(TAcum[[#This Row],[j73]],TAcum[[#All],[j73]],0)</f>
        <v>91</v>
      </c>
    </row>
    <row r="93" spans="1:75" x14ac:dyDescent="0.25">
      <c r="A93" t="str">
        <f>TAcum[[#This Row],[Jogador]]</f>
        <v>Faustino 2</v>
      </c>
      <c r="B93">
        <f>RANK(TAcum[[#This Row],[total]],TAcum[[#All],[total]],0)</f>
        <v>91</v>
      </c>
      <c r="C93">
        <f>RANK(TAcum[[#This Row],[j01]],TAcum[[#All],[j01]],0)</f>
        <v>78</v>
      </c>
      <c r="D93">
        <f>RANK(TAcum[[#This Row],[j02]],TAcum[[#All],[j02]],0)</f>
        <v>77</v>
      </c>
      <c r="E93">
        <f>RANK(TAcum[[#This Row],[j03]],TAcum[[#All],[j03]],0)</f>
        <v>61</v>
      </c>
      <c r="F93">
        <f>RANK(TAcum[[#This Row],[j04]],TAcum[[#All],[j04]],0)</f>
        <v>83</v>
      </c>
      <c r="G93">
        <f>RANK(TAcum[[#This Row],[j05]],TAcum[[#All],[j05]],0)</f>
        <v>85</v>
      </c>
      <c r="H93">
        <f>RANK(TAcum[[#This Row],[j06]],TAcum[[#All],[j06]],0)</f>
        <v>84</v>
      </c>
      <c r="I93">
        <f>RANK(TAcum[[#This Row],[j07]],TAcum[[#All],[j07]],0)</f>
        <v>71</v>
      </c>
      <c r="J93">
        <f>RANK(TAcum[[#This Row],[j08]],TAcum[[#All],[j08]],0)</f>
        <v>76</v>
      </c>
      <c r="K93">
        <f>RANK(TAcum[[#This Row],[j09]],TAcum[[#All],[j09]],0)</f>
        <v>82</v>
      </c>
      <c r="L93">
        <f>RANK(TAcum[[#This Row],[j10]],TAcum[[#All],[j10]],0)</f>
        <v>79</v>
      </c>
      <c r="M93">
        <f>RANK(TAcum[[#This Row],[j11]],TAcum[[#All],[j11]],0)</f>
        <v>97</v>
      </c>
      <c r="N93">
        <f>RANK(TAcum[[#This Row],[j12]],TAcum[[#All],[j12]],0)</f>
        <v>102</v>
      </c>
      <c r="O93">
        <f>RANK(TAcum[[#This Row],[j13]],TAcum[[#All],[j13]],0)</f>
        <v>94</v>
      </c>
      <c r="P93">
        <f>RANK(TAcum[[#This Row],[j14]],TAcum[[#All],[j14]],0)</f>
        <v>83</v>
      </c>
      <c r="Q93">
        <f>RANK(TAcum[[#This Row],[j15]],TAcum[[#All],[j15]],0)</f>
        <v>81</v>
      </c>
      <c r="R93">
        <f>RANK(TAcum[[#This Row],[j16]],TAcum[[#All],[j16]],0)</f>
        <v>90</v>
      </c>
      <c r="S93">
        <f>RANK(TAcum[[#This Row],[j17]],TAcum[[#All],[j17]],0)</f>
        <v>94</v>
      </c>
      <c r="T93">
        <f>RANK(TAcum[[#This Row],[j18]],TAcum[[#All],[j18]],0)</f>
        <v>95</v>
      </c>
      <c r="U93">
        <f>RANK(TAcum[[#This Row],[j19]],TAcum[[#All],[j19]],0)</f>
        <v>92</v>
      </c>
      <c r="V93">
        <f>RANK(TAcum[[#This Row],[j20]],TAcum[[#All],[j20]],0)</f>
        <v>97</v>
      </c>
      <c r="W93">
        <f>RANK(TAcum[[#This Row],[j21]],TAcum[[#All],[j21]],0)</f>
        <v>87</v>
      </c>
      <c r="X93">
        <f>RANK(TAcum[[#This Row],[j22]],TAcum[[#All],[j22]],0)</f>
        <v>78</v>
      </c>
      <c r="Y93">
        <f>RANK(TAcum[[#This Row],[j23]],TAcum[[#All],[j23]],0)</f>
        <v>80</v>
      </c>
      <c r="Z93">
        <f>RANK(TAcum[[#This Row],[j24]],TAcum[[#All],[j24]],0)</f>
        <v>92</v>
      </c>
      <c r="AA93">
        <f>RANK(TAcum[[#This Row],[j25]],TAcum[[#All],[j25]],0)</f>
        <v>87</v>
      </c>
      <c r="AB93">
        <f>RANK(TAcum[[#This Row],[j26]],TAcum[[#All],[j26]],0)</f>
        <v>89</v>
      </c>
      <c r="AC93">
        <f>RANK(TAcum[[#This Row],[j27]],TAcum[[#All],[j27]],0)</f>
        <v>89</v>
      </c>
      <c r="AD93">
        <f>RANK(TAcum[[#This Row],[j28]],TAcum[[#All],[j28]],0)</f>
        <v>86</v>
      </c>
      <c r="AE93">
        <f>RANK(TAcum[[#This Row],[j29]],TAcum[[#All],[j29]],0)</f>
        <v>91</v>
      </c>
      <c r="AF93">
        <f>RANK(TAcum[[#This Row],[j30]],TAcum[[#All],[j30]],0)</f>
        <v>91</v>
      </c>
      <c r="AG93">
        <f>RANK(TAcum[[#This Row],[j31]],TAcum[[#All],[j31]],0)</f>
        <v>91</v>
      </c>
      <c r="AH93">
        <f>RANK(TAcum[[#This Row],[j32]],TAcum[[#All],[j32]],0)</f>
        <v>91</v>
      </c>
      <c r="AI93">
        <f>RANK(TAcum[[#This Row],[j33]],TAcum[[#All],[j33]],0)</f>
        <v>91</v>
      </c>
      <c r="AJ93">
        <f>RANK(TAcum[[#This Row],[j34]],TAcum[[#All],[j34]],0)</f>
        <v>91</v>
      </c>
      <c r="AK93">
        <f>RANK(TAcum[[#This Row],[j35]],TAcum[[#All],[j35]],0)</f>
        <v>91</v>
      </c>
      <c r="AL93">
        <f>RANK(TAcum[[#This Row],[j36]],TAcum[[#All],[j36]],0)</f>
        <v>91</v>
      </c>
      <c r="AM93">
        <f>RANK(TAcum[[#This Row],[j37]],TAcum[[#All],[j37]],0)</f>
        <v>91</v>
      </c>
      <c r="AN93">
        <f>RANK(TAcum[[#This Row],[j38]],TAcum[[#All],[j38]],0)</f>
        <v>91</v>
      </c>
      <c r="AO93">
        <f>RANK(TAcum[[#This Row],[j39]],TAcum[[#All],[j39]],0)</f>
        <v>91</v>
      </c>
      <c r="AP93">
        <f>RANK(TAcum[[#This Row],[j40]],TAcum[[#All],[j40]],0)</f>
        <v>91</v>
      </c>
      <c r="AQ93">
        <f>RANK(TAcum[[#This Row],[j41]],TAcum[[#All],[j41]],0)</f>
        <v>91</v>
      </c>
      <c r="AR93">
        <f>RANK(TAcum[[#This Row],[j42]],TAcum[[#All],[j42]],0)</f>
        <v>91</v>
      </c>
      <c r="AS93">
        <f>RANK(TAcum[[#This Row],[j43]],TAcum[[#All],[j43]],0)</f>
        <v>91</v>
      </c>
      <c r="AT93">
        <f>RANK(TAcum[[#This Row],[j44]],TAcum[[#All],[j44]],0)</f>
        <v>91</v>
      </c>
      <c r="AU93">
        <f>RANK(TAcum[[#This Row],[j45]],TAcum[[#All],[j45]],0)</f>
        <v>91</v>
      </c>
      <c r="AV93">
        <f>RANK(TAcum[[#This Row],[j46]],TAcum[[#All],[j46]],0)</f>
        <v>91</v>
      </c>
      <c r="AW93">
        <f>RANK(TAcum[[#This Row],[j47]],TAcum[[#All],[j47]],0)</f>
        <v>91</v>
      </c>
      <c r="AX93">
        <f>RANK(TAcum[[#This Row],[j48]],TAcum[[#All],[j48]],0)</f>
        <v>91</v>
      </c>
      <c r="AY93">
        <f>RANK(TAcum[[#This Row],[j49]],TAcum[[#All],[j49]],0)</f>
        <v>91</v>
      </c>
      <c r="AZ93">
        <f>RANK(TAcum[[#This Row],[j50]],TAcum[[#All],[j50]],0)</f>
        <v>91</v>
      </c>
      <c r="BA93">
        <f>RANK(TAcum[[#This Row],[j51]],TAcum[[#All],[j51]],0)</f>
        <v>91</v>
      </c>
      <c r="BB93">
        <f>RANK(TAcum[[#This Row],[j52]],TAcum[[#All],[j52]],0)</f>
        <v>91</v>
      </c>
      <c r="BC93">
        <f>RANK(TAcum[[#This Row],[j53]],TAcum[[#All],[j53]],0)</f>
        <v>91</v>
      </c>
      <c r="BD93">
        <f>RANK(TAcum[[#This Row],[j54]],TAcum[[#All],[j54]],0)</f>
        <v>91</v>
      </c>
      <c r="BE93">
        <f>RANK(TAcum[[#This Row],[j55]],TAcum[[#All],[j55]],0)</f>
        <v>91</v>
      </c>
      <c r="BF93">
        <f>RANK(TAcum[[#This Row],[j56]],TAcum[[#All],[j56]],0)</f>
        <v>91</v>
      </c>
      <c r="BG93">
        <f>RANK(TAcum[[#This Row],[j57]],TAcum[[#All],[j57]],0)</f>
        <v>91</v>
      </c>
      <c r="BH93">
        <f>RANK(TAcum[[#This Row],[j58]],TAcum[[#All],[j58]],0)</f>
        <v>91</v>
      </c>
      <c r="BI93">
        <f>RANK(TAcum[[#This Row],[j59]],TAcum[[#All],[j59]],0)</f>
        <v>91</v>
      </c>
      <c r="BJ93">
        <f>RANK(TAcum[[#This Row],[j60]],TAcum[[#All],[j60]],0)</f>
        <v>91</v>
      </c>
      <c r="BK93">
        <f>RANK(TAcum[[#This Row],[j61]],TAcum[[#All],[j61]],0)</f>
        <v>91</v>
      </c>
      <c r="BL93">
        <f>RANK(TAcum[[#This Row],[j62]],TAcum[[#All],[j62]],0)</f>
        <v>91</v>
      </c>
      <c r="BM93">
        <f>RANK(TAcum[[#This Row],[j63]],TAcum[[#All],[j63]],0)</f>
        <v>91</v>
      </c>
      <c r="BN93">
        <f>RANK(TAcum[[#This Row],[j64]],TAcum[[#All],[j64]],0)</f>
        <v>91</v>
      </c>
      <c r="BO93">
        <f>RANK(TAcum[[#This Row],[j65]],TAcum[[#All],[j65]],0)</f>
        <v>91</v>
      </c>
      <c r="BP93">
        <f>RANK(TAcum[[#This Row],[j66]],TAcum[[#All],[j66]],0)</f>
        <v>91</v>
      </c>
      <c r="BQ93">
        <f>RANK(TAcum[[#This Row],[j67]],TAcum[[#All],[j67]],0)</f>
        <v>91</v>
      </c>
      <c r="BR93">
        <f>RANK(TAcum[[#This Row],[j68]],TAcum[[#All],[j68]],0)</f>
        <v>91</v>
      </c>
      <c r="BS93">
        <f>RANK(TAcum[[#This Row],[j69]],TAcum[[#All],[j69]],0)</f>
        <v>91</v>
      </c>
      <c r="BT93">
        <f>RANK(TAcum[[#This Row],[j70]],TAcum[[#All],[j70]],0)</f>
        <v>91</v>
      </c>
      <c r="BU93">
        <f>RANK(TAcum[[#This Row],[j71]],TAcum[[#All],[j71]],0)</f>
        <v>91</v>
      </c>
      <c r="BV93">
        <f>RANK(TAcum[[#This Row],[j72]],TAcum[[#All],[j72]],0)</f>
        <v>91</v>
      </c>
      <c r="BW93">
        <f>RANK(TAcum[[#This Row],[j73]],TAcum[[#All],[j73]],0)</f>
        <v>91</v>
      </c>
    </row>
    <row r="94" spans="1:75" x14ac:dyDescent="0.25">
      <c r="A94" t="str">
        <f>TAcum[[#This Row],[Jogador]]</f>
        <v>Alan Salles</v>
      </c>
      <c r="B94">
        <f>RANK(TAcum[[#This Row],[total]],TAcum[[#All],[total]],0)</f>
        <v>93</v>
      </c>
      <c r="C94">
        <f>RANK(TAcum[[#This Row],[j01]],TAcum[[#All],[j01]],0)</f>
        <v>78</v>
      </c>
      <c r="D94">
        <f>RANK(TAcum[[#This Row],[j02]],TAcum[[#All],[j02]],0)</f>
        <v>77</v>
      </c>
      <c r="E94">
        <f>RANK(TAcum[[#This Row],[j03]],TAcum[[#All],[j03]],0)</f>
        <v>113</v>
      </c>
      <c r="F94">
        <f>RANK(TAcum[[#This Row],[j04]],TAcum[[#All],[j04]],0)</f>
        <v>94</v>
      </c>
      <c r="G94">
        <f>RANK(TAcum[[#This Row],[j05]],TAcum[[#All],[j05]],0)</f>
        <v>94</v>
      </c>
      <c r="H94">
        <f>RANK(TAcum[[#This Row],[j06]],TAcum[[#All],[j06]],0)</f>
        <v>91</v>
      </c>
      <c r="I94">
        <f>RANK(TAcum[[#This Row],[j07]],TAcum[[#All],[j07]],0)</f>
        <v>95</v>
      </c>
      <c r="J94">
        <f>RANK(TAcum[[#This Row],[j08]],TAcum[[#All],[j08]],0)</f>
        <v>94</v>
      </c>
      <c r="K94">
        <f>RANK(TAcum[[#This Row],[j09]],TAcum[[#All],[j09]],0)</f>
        <v>96</v>
      </c>
      <c r="L94">
        <f>RANK(TAcum[[#This Row],[j10]],TAcum[[#All],[j10]],0)</f>
        <v>97</v>
      </c>
      <c r="M94">
        <f>RANK(TAcum[[#This Row],[j11]],TAcum[[#All],[j11]],0)</f>
        <v>97</v>
      </c>
      <c r="N94">
        <f>RANK(TAcum[[#This Row],[j12]],TAcum[[#All],[j12]],0)</f>
        <v>96</v>
      </c>
      <c r="O94">
        <f>RANK(TAcum[[#This Row],[j13]],TAcum[[#All],[j13]],0)</f>
        <v>94</v>
      </c>
      <c r="P94">
        <f>RANK(TAcum[[#This Row],[j14]],TAcum[[#All],[j14]],0)</f>
        <v>96</v>
      </c>
      <c r="Q94">
        <f>RANK(TAcum[[#This Row],[j15]],TAcum[[#All],[j15]],0)</f>
        <v>97</v>
      </c>
      <c r="R94">
        <f>RANK(TAcum[[#This Row],[j16]],TAcum[[#All],[j16]],0)</f>
        <v>97</v>
      </c>
      <c r="S94">
        <f>RANK(TAcum[[#This Row],[j17]],TAcum[[#All],[j17]],0)</f>
        <v>102</v>
      </c>
      <c r="T94">
        <f>RANK(TAcum[[#This Row],[j18]],TAcum[[#All],[j18]],0)</f>
        <v>103</v>
      </c>
      <c r="U94">
        <f>RANK(TAcum[[#This Row],[j19]],TAcum[[#All],[j19]],0)</f>
        <v>97</v>
      </c>
      <c r="V94">
        <f>RANK(TAcum[[#This Row],[j20]],TAcum[[#All],[j20]],0)</f>
        <v>101</v>
      </c>
      <c r="W94">
        <f>RANK(TAcum[[#This Row],[j21]],TAcum[[#All],[j21]],0)</f>
        <v>104</v>
      </c>
      <c r="X94">
        <f>RANK(TAcum[[#This Row],[j22]],TAcum[[#All],[j22]],0)</f>
        <v>106</v>
      </c>
      <c r="Y94">
        <f>RANK(TAcum[[#This Row],[j23]],TAcum[[#All],[j23]],0)</f>
        <v>106</v>
      </c>
      <c r="Z94">
        <f>RANK(TAcum[[#This Row],[j24]],TAcum[[#All],[j24]],0)</f>
        <v>108</v>
      </c>
      <c r="AA94">
        <f>RANK(TAcum[[#This Row],[j25]],TAcum[[#All],[j25]],0)</f>
        <v>107</v>
      </c>
      <c r="AB94">
        <f>RANK(TAcum[[#This Row],[j26]],TAcum[[#All],[j26]],0)</f>
        <v>85</v>
      </c>
      <c r="AC94">
        <f>RANK(TAcum[[#This Row],[j27]],TAcum[[#All],[j27]],0)</f>
        <v>85</v>
      </c>
      <c r="AD94">
        <f>RANK(TAcum[[#This Row],[j28]],TAcum[[#All],[j28]],0)</f>
        <v>88</v>
      </c>
      <c r="AE94">
        <f>RANK(TAcum[[#This Row],[j29]],TAcum[[#All],[j29]],0)</f>
        <v>93</v>
      </c>
      <c r="AF94">
        <f>RANK(TAcum[[#This Row],[j30]],TAcum[[#All],[j30]],0)</f>
        <v>93</v>
      </c>
      <c r="AG94">
        <f>RANK(TAcum[[#This Row],[j31]],TAcum[[#All],[j31]],0)</f>
        <v>93</v>
      </c>
      <c r="AH94">
        <f>RANK(TAcum[[#This Row],[j32]],TAcum[[#All],[j32]],0)</f>
        <v>93</v>
      </c>
      <c r="AI94">
        <f>RANK(TAcum[[#This Row],[j33]],TAcum[[#All],[j33]],0)</f>
        <v>93</v>
      </c>
      <c r="AJ94">
        <f>RANK(TAcum[[#This Row],[j34]],TAcum[[#All],[j34]],0)</f>
        <v>93</v>
      </c>
      <c r="AK94">
        <f>RANK(TAcum[[#This Row],[j35]],TAcum[[#All],[j35]],0)</f>
        <v>93</v>
      </c>
      <c r="AL94">
        <f>RANK(TAcum[[#This Row],[j36]],TAcum[[#All],[j36]],0)</f>
        <v>93</v>
      </c>
      <c r="AM94">
        <f>RANK(TAcum[[#This Row],[j37]],TAcum[[#All],[j37]],0)</f>
        <v>93</v>
      </c>
      <c r="AN94">
        <f>RANK(TAcum[[#This Row],[j38]],TAcum[[#All],[j38]],0)</f>
        <v>93</v>
      </c>
      <c r="AO94">
        <f>RANK(TAcum[[#This Row],[j39]],TAcum[[#All],[j39]],0)</f>
        <v>93</v>
      </c>
      <c r="AP94">
        <f>RANK(TAcum[[#This Row],[j40]],TAcum[[#All],[j40]],0)</f>
        <v>93</v>
      </c>
      <c r="AQ94">
        <f>RANK(TAcum[[#This Row],[j41]],TAcum[[#All],[j41]],0)</f>
        <v>93</v>
      </c>
      <c r="AR94">
        <f>RANK(TAcum[[#This Row],[j42]],TAcum[[#All],[j42]],0)</f>
        <v>93</v>
      </c>
      <c r="AS94">
        <f>RANK(TAcum[[#This Row],[j43]],TAcum[[#All],[j43]],0)</f>
        <v>93</v>
      </c>
      <c r="AT94">
        <f>RANK(TAcum[[#This Row],[j44]],TAcum[[#All],[j44]],0)</f>
        <v>93</v>
      </c>
      <c r="AU94">
        <f>RANK(TAcum[[#This Row],[j45]],TAcum[[#All],[j45]],0)</f>
        <v>93</v>
      </c>
      <c r="AV94">
        <f>RANK(TAcum[[#This Row],[j46]],TAcum[[#All],[j46]],0)</f>
        <v>93</v>
      </c>
      <c r="AW94">
        <f>RANK(TAcum[[#This Row],[j47]],TAcum[[#All],[j47]],0)</f>
        <v>93</v>
      </c>
      <c r="AX94">
        <f>RANK(TAcum[[#This Row],[j48]],TAcum[[#All],[j48]],0)</f>
        <v>93</v>
      </c>
      <c r="AY94">
        <f>RANK(TAcum[[#This Row],[j49]],TAcum[[#All],[j49]],0)</f>
        <v>93</v>
      </c>
      <c r="AZ94">
        <f>RANK(TAcum[[#This Row],[j50]],TAcum[[#All],[j50]],0)</f>
        <v>93</v>
      </c>
      <c r="BA94">
        <f>RANK(TAcum[[#This Row],[j51]],TAcum[[#All],[j51]],0)</f>
        <v>93</v>
      </c>
      <c r="BB94">
        <f>RANK(TAcum[[#This Row],[j52]],TAcum[[#All],[j52]],0)</f>
        <v>93</v>
      </c>
      <c r="BC94">
        <f>RANK(TAcum[[#This Row],[j53]],TAcum[[#All],[j53]],0)</f>
        <v>93</v>
      </c>
      <c r="BD94">
        <f>RANK(TAcum[[#This Row],[j54]],TAcum[[#All],[j54]],0)</f>
        <v>93</v>
      </c>
      <c r="BE94">
        <f>RANK(TAcum[[#This Row],[j55]],TAcum[[#All],[j55]],0)</f>
        <v>93</v>
      </c>
      <c r="BF94">
        <f>RANK(TAcum[[#This Row],[j56]],TAcum[[#All],[j56]],0)</f>
        <v>93</v>
      </c>
      <c r="BG94">
        <f>RANK(TAcum[[#This Row],[j57]],TAcum[[#All],[j57]],0)</f>
        <v>93</v>
      </c>
      <c r="BH94">
        <f>RANK(TAcum[[#This Row],[j58]],TAcum[[#All],[j58]],0)</f>
        <v>93</v>
      </c>
      <c r="BI94">
        <f>RANK(TAcum[[#This Row],[j59]],TAcum[[#All],[j59]],0)</f>
        <v>93</v>
      </c>
      <c r="BJ94">
        <f>RANK(TAcum[[#This Row],[j60]],TAcum[[#All],[j60]],0)</f>
        <v>93</v>
      </c>
      <c r="BK94">
        <f>RANK(TAcum[[#This Row],[j61]],TAcum[[#All],[j61]],0)</f>
        <v>93</v>
      </c>
      <c r="BL94">
        <f>RANK(TAcum[[#This Row],[j62]],TAcum[[#All],[j62]],0)</f>
        <v>93</v>
      </c>
      <c r="BM94">
        <f>RANK(TAcum[[#This Row],[j63]],TAcum[[#All],[j63]],0)</f>
        <v>93</v>
      </c>
      <c r="BN94">
        <f>RANK(TAcum[[#This Row],[j64]],TAcum[[#All],[j64]],0)</f>
        <v>93</v>
      </c>
      <c r="BO94">
        <f>RANK(TAcum[[#This Row],[j65]],TAcum[[#All],[j65]],0)</f>
        <v>93</v>
      </c>
      <c r="BP94">
        <f>RANK(TAcum[[#This Row],[j66]],TAcum[[#All],[j66]],0)</f>
        <v>93</v>
      </c>
      <c r="BQ94">
        <f>RANK(TAcum[[#This Row],[j67]],TAcum[[#All],[j67]],0)</f>
        <v>93</v>
      </c>
      <c r="BR94">
        <f>RANK(TAcum[[#This Row],[j68]],TAcum[[#All],[j68]],0)</f>
        <v>93</v>
      </c>
      <c r="BS94">
        <f>RANK(TAcum[[#This Row],[j69]],TAcum[[#All],[j69]],0)</f>
        <v>93</v>
      </c>
      <c r="BT94">
        <f>RANK(TAcum[[#This Row],[j70]],TAcum[[#All],[j70]],0)</f>
        <v>93</v>
      </c>
      <c r="BU94">
        <f>RANK(TAcum[[#This Row],[j71]],TAcum[[#All],[j71]],0)</f>
        <v>93</v>
      </c>
      <c r="BV94">
        <f>RANK(TAcum[[#This Row],[j72]],TAcum[[#All],[j72]],0)</f>
        <v>93</v>
      </c>
      <c r="BW94">
        <f>RANK(TAcum[[#This Row],[j73]],TAcum[[#All],[j73]],0)</f>
        <v>93</v>
      </c>
    </row>
    <row r="95" spans="1:75" x14ac:dyDescent="0.25">
      <c r="A95" t="str">
        <f>TAcum[[#This Row],[Jogador]]</f>
        <v>Maria Clara Saraiva</v>
      </c>
      <c r="B95">
        <f>RANK(TAcum[[#This Row],[total]],TAcum[[#All],[total]],0)</f>
        <v>93</v>
      </c>
      <c r="C95">
        <f>RANK(TAcum[[#This Row],[j01]],TAcum[[#All],[j01]],0)</f>
        <v>78</v>
      </c>
      <c r="D95">
        <f>RANK(TAcum[[#This Row],[j02]],TAcum[[#All],[j02]],0)</f>
        <v>77</v>
      </c>
      <c r="E95">
        <f>RANK(TAcum[[#This Row],[j03]],TAcum[[#All],[j03]],0)</f>
        <v>61</v>
      </c>
      <c r="F95">
        <f>RANK(TAcum[[#This Row],[j04]],TAcum[[#All],[j04]],0)</f>
        <v>32</v>
      </c>
      <c r="G95">
        <f>RANK(TAcum[[#This Row],[j05]],TAcum[[#All],[j05]],0)</f>
        <v>32</v>
      </c>
      <c r="H95">
        <f>RANK(TAcum[[#This Row],[j06]],TAcum[[#All],[j06]],0)</f>
        <v>33</v>
      </c>
      <c r="I95">
        <f>RANK(TAcum[[#This Row],[j07]],TAcum[[#All],[j07]],0)</f>
        <v>42</v>
      </c>
      <c r="J95">
        <f>RANK(TAcum[[#This Row],[j08]],TAcum[[#All],[j08]],0)</f>
        <v>38</v>
      </c>
      <c r="K95">
        <f>RANK(TAcum[[#This Row],[j09]],TAcum[[#All],[j09]],0)</f>
        <v>40</v>
      </c>
      <c r="L95">
        <f>RANK(TAcum[[#This Row],[j10]],TAcum[[#All],[j10]],0)</f>
        <v>41</v>
      </c>
      <c r="M95">
        <f>RANK(TAcum[[#This Row],[j11]],TAcum[[#All],[j11]],0)</f>
        <v>39</v>
      </c>
      <c r="N95">
        <f>RANK(TAcum[[#This Row],[j12]],TAcum[[#All],[j12]],0)</f>
        <v>40</v>
      </c>
      <c r="O95">
        <f>RANK(TAcum[[#This Row],[j13]],TAcum[[#All],[j13]],0)</f>
        <v>56</v>
      </c>
      <c r="P95">
        <f>RANK(TAcum[[#This Row],[j14]],TAcum[[#All],[j14]],0)</f>
        <v>68</v>
      </c>
      <c r="Q95">
        <f>RANK(TAcum[[#This Row],[j15]],TAcum[[#All],[j15]],0)</f>
        <v>66</v>
      </c>
      <c r="R95">
        <f>RANK(TAcum[[#This Row],[j16]],TAcum[[#All],[j16]],0)</f>
        <v>93</v>
      </c>
      <c r="S95">
        <f>RANK(TAcum[[#This Row],[j17]],TAcum[[#All],[j17]],0)</f>
        <v>97</v>
      </c>
      <c r="T95">
        <f>RANK(TAcum[[#This Row],[j18]],TAcum[[#All],[j18]],0)</f>
        <v>99</v>
      </c>
      <c r="U95">
        <f>RANK(TAcum[[#This Row],[j19]],TAcum[[#All],[j19]],0)</f>
        <v>106</v>
      </c>
      <c r="V95">
        <f>RANK(TAcum[[#This Row],[j20]],TAcum[[#All],[j20]],0)</f>
        <v>105</v>
      </c>
      <c r="W95">
        <f>RANK(TAcum[[#This Row],[j21]],TAcum[[#All],[j21]],0)</f>
        <v>108</v>
      </c>
      <c r="X95">
        <f>RANK(TAcum[[#This Row],[j22]],TAcum[[#All],[j22]],0)</f>
        <v>104</v>
      </c>
      <c r="Y95">
        <f>RANK(TAcum[[#This Row],[j23]],TAcum[[#All],[j23]],0)</f>
        <v>102</v>
      </c>
      <c r="Z95">
        <f>RANK(TAcum[[#This Row],[j24]],TAcum[[#All],[j24]],0)</f>
        <v>100</v>
      </c>
      <c r="AA95">
        <f>RANK(TAcum[[#This Row],[j25]],TAcum[[#All],[j25]],0)</f>
        <v>104</v>
      </c>
      <c r="AB95">
        <f>RANK(TAcum[[#This Row],[j26]],TAcum[[#All],[j26]],0)</f>
        <v>97</v>
      </c>
      <c r="AC95">
        <f>RANK(TAcum[[#This Row],[j27]],TAcum[[#All],[j27]],0)</f>
        <v>97</v>
      </c>
      <c r="AD95">
        <f>RANK(TAcum[[#This Row],[j28]],TAcum[[#All],[j28]],0)</f>
        <v>95</v>
      </c>
      <c r="AE95">
        <f>RANK(TAcum[[#This Row],[j29]],TAcum[[#All],[j29]],0)</f>
        <v>93</v>
      </c>
      <c r="AF95">
        <f>RANK(TAcum[[#This Row],[j30]],TAcum[[#All],[j30]],0)</f>
        <v>93</v>
      </c>
      <c r="AG95">
        <f>RANK(TAcum[[#This Row],[j31]],TAcum[[#All],[j31]],0)</f>
        <v>93</v>
      </c>
      <c r="AH95">
        <f>RANK(TAcum[[#This Row],[j32]],TAcum[[#All],[j32]],0)</f>
        <v>93</v>
      </c>
      <c r="AI95">
        <f>RANK(TAcum[[#This Row],[j33]],TAcum[[#All],[j33]],0)</f>
        <v>93</v>
      </c>
      <c r="AJ95">
        <f>RANK(TAcum[[#This Row],[j34]],TAcum[[#All],[j34]],0)</f>
        <v>93</v>
      </c>
      <c r="AK95">
        <f>RANK(TAcum[[#This Row],[j35]],TAcum[[#All],[j35]],0)</f>
        <v>93</v>
      </c>
      <c r="AL95">
        <f>RANK(TAcum[[#This Row],[j36]],TAcum[[#All],[j36]],0)</f>
        <v>93</v>
      </c>
      <c r="AM95">
        <f>RANK(TAcum[[#This Row],[j37]],TAcum[[#All],[j37]],0)</f>
        <v>93</v>
      </c>
      <c r="AN95">
        <f>RANK(TAcum[[#This Row],[j38]],TAcum[[#All],[j38]],0)</f>
        <v>93</v>
      </c>
      <c r="AO95">
        <f>RANK(TAcum[[#This Row],[j39]],TAcum[[#All],[j39]],0)</f>
        <v>93</v>
      </c>
      <c r="AP95">
        <f>RANK(TAcum[[#This Row],[j40]],TAcum[[#All],[j40]],0)</f>
        <v>93</v>
      </c>
      <c r="AQ95">
        <f>RANK(TAcum[[#This Row],[j41]],TAcum[[#All],[j41]],0)</f>
        <v>93</v>
      </c>
      <c r="AR95">
        <f>RANK(TAcum[[#This Row],[j42]],TAcum[[#All],[j42]],0)</f>
        <v>93</v>
      </c>
      <c r="AS95">
        <f>RANK(TAcum[[#This Row],[j43]],TAcum[[#All],[j43]],0)</f>
        <v>93</v>
      </c>
      <c r="AT95">
        <f>RANK(TAcum[[#This Row],[j44]],TAcum[[#All],[j44]],0)</f>
        <v>93</v>
      </c>
      <c r="AU95">
        <f>RANK(TAcum[[#This Row],[j45]],TAcum[[#All],[j45]],0)</f>
        <v>93</v>
      </c>
      <c r="AV95">
        <f>RANK(TAcum[[#This Row],[j46]],TAcum[[#All],[j46]],0)</f>
        <v>93</v>
      </c>
      <c r="AW95">
        <f>RANK(TAcum[[#This Row],[j47]],TAcum[[#All],[j47]],0)</f>
        <v>93</v>
      </c>
      <c r="AX95">
        <f>RANK(TAcum[[#This Row],[j48]],TAcum[[#All],[j48]],0)</f>
        <v>93</v>
      </c>
      <c r="AY95">
        <f>RANK(TAcum[[#This Row],[j49]],TAcum[[#All],[j49]],0)</f>
        <v>93</v>
      </c>
      <c r="AZ95">
        <f>RANK(TAcum[[#This Row],[j50]],TAcum[[#All],[j50]],0)</f>
        <v>93</v>
      </c>
      <c r="BA95">
        <f>RANK(TAcum[[#This Row],[j51]],TAcum[[#All],[j51]],0)</f>
        <v>93</v>
      </c>
      <c r="BB95">
        <f>RANK(TAcum[[#This Row],[j52]],TAcum[[#All],[j52]],0)</f>
        <v>93</v>
      </c>
      <c r="BC95">
        <f>RANK(TAcum[[#This Row],[j53]],TAcum[[#All],[j53]],0)</f>
        <v>93</v>
      </c>
      <c r="BD95">
        <f>RANK(TAcum[[#This Row],[j54]],TAcum[[#All],[j54]],0)</f>
        <v>93</v>
      </c>
      <c r="BE95">
        <f>RANK(TAcum[[#This Row],[j55]],TAcum[[#All],[j55]],0)</f>
        <v>93</v>
      </c>
      <c r="BF95">
        <f>RANK(TAcum[[#This Row],[j56]],TAcum[[#All],[j56]],0)</f>
        <v>93</v>
      </c>
      <c r="BG95">
        <f>RANK(TAcum[[#This Row],[j57]],TAcum[[#All],[j57]],0)</f>
        <v>93</v>
      </c>
      <c r="BH95">
        <f>RANK(TAcum[[#This Row],[j58]],TAcum[[#All],[j58]],0)</f>
        <v>93</v>
      </c>
      <c r="BI95">
        <f>RANK(TAcum[[#This Row],[j59]],TAcum[[#All],[j59]],0)</f>
        <v>93</v>
      </c>
      <c r="BJ95">
        <f>RANK(TAcum[[#This Row],[j60]],TAcum[[#All],[j60]],0)</f>
        <v>93</v>
      </c>
      <c r="BK95">
        <f>RANK(TAcum[[#This Row],[j61]],TAcum[[#All],[j61]],0)</f>
        <v>93</v>
      </c>
      <c r="BL95">
        <f>RANK(TAcum[[#This Row],[j62]],TAcum[[#All],[j62]],0)</f>
        <v>93</v>
      </c>
      <c r="BM95">
        <f>RANK(TAcum[[#This Row],[j63]],TAcum[[#All],[j63]],0)</f>
        <v>93</v>
      </c>
      <c r="BN95">
        <f>RANK(TAcum[[#This Row],[j64]],TAcum[[#All],[j64]],0)</f>
        <v>93</v>
      </c>
      <c r="BO95">
        <f>RANK(TAcum[[#This Row],[j65]],TAcum[[#All],[j65]],0)</f>
        <v>93</v>
      </c>
      <c r="BP95">
        <f>RANK(TAcum[[#This Row],[j66]],TAcum[[#All],[j66]],0)</f>
        <v>93</v>
      </c>
      <c r="BQ95">
        <f>RANK(TAcum[[#This Row],[j67]],TAcum[[#All],[j67]],0)</f>
        <v>93</v>
      </c>
      <c r="BR95">
        <f>RANK(TAcum[[#This Row],[j68]],TAcum[[#All],[j68]],0)</f>
        <v>93</v>
      </c>
      <c r="BS95">
        <f>RANK(TAcum[[#This Row],[j69]],TAcum[[#All],[j69]],0)</f>
        <v>93</v>
      </c>
      <c r="BT95">
        <f>RANK(TAcum[[#This Row],[j70]],TAcum[[#All],[j70]],0)</f>
        <v>93</v>
      </c>
      <c r="BU95">
        <f>RANK(TAcum[[#This Row],[j71]],TAcum[[#All],[j71]],0)</f>
        <v>93</v>
      </c>
      <c r="BV95">
        <f>RANK(TAcum[[#This Row],[j72]],TAcum[[#All],[j72]],0)</f>
        <v>93</v>
      </c>
      <c r="BW95">
        <f>RANK(TAcum[[#This Row],[j73]],TAcum[[#All],[j73]],0)</f>
        <v>93</v>
      </c>
    </row>
    <row r="96" spans="1:75" x14ac:dyDescent="0.25">
      <c r="A96" t="str">
        <f>TAcum[[#This Row],[Jogador]]</f>
        <v>Mario Jorge</v>
      </c>
      <c r="B96">
        <f>RANK(TAcum[[#This Row],[total]],TAcum[[#All],[total]],0)</f>
        <v>95</v>
      </c>
      <c r="C96">
        <f>RANK(TAcum[[#This Row],[j01]],TAcum[[#All],[j01]],0)</f>
        <v>78</v>
      </c>
      <c r="D96">
        <f>RANK(TAcum[[#This Row],[j02]],TAcum[[#All],[j02]],0)</f>
        <v>77</v>
      </c>
      <c r="E96">
        <f>RANK(TAcum[[#This Row],[j03]],TAcum[[#All],[j03]],0)</f>
        <v>110</v>
      </c>
      <c r="F96">
        <f>RANK(TAcum[[#This Row],[j04]],TAcum[[#All],[j04]],0)</f>
        <v>110</v>
      </c>
      <c r="G96">
        <f>RANK(TAcum[[#This Row],[j05]],TAcum[[#All],[j05]],0)</f>
        <v>110</v>
      </c>
      <c r="H96">
        <f>RANK(TAcum[[#This Row],[j06]],TAcum[[#All],[j06]],0)</f>
        <v>113</v>
      </c>
      <c r="I96">
        <f>RANK(TAcum[[#This Row],[j07]],TAcum[[#All],[j07]],0)</f>
        <v>114</v>
      </c>
      <c r="J96">
        <f>RANK(TAcum[[#This Row],[j08]],TAcum[[#All],[j08]],0)</f>
        <v>114</v>
      </c>
      <c r="K96">
        <f>RANK(TAcum[[#This Row],[j09]],TAcum[[#All],[j09]],0)</f>
        <v>114</v>
      </c>
      <c r="L96">
        <f>RANK(TAcum[[#This Row],[j10]],TAcum[[#All],[j10]],0)</f>
        <v>114</v>
      </c>
      <c r="M96">
        <f>RANK(TAcum[[#This Row],[j11]],TAcum[[#All],[j11]],0)</f>
        <v>114</v>
      </c>
      <c r="N96">
        <f>RANK(TAcum[[#This Row],[j12]],TAcum[[#All],[j12]],0)</f>
        <v>114</v>
      </c>
      <c r="O96">
        <f>RANK(TAcum[[#This Row],[j13]],TAcum[[#All],[j13]],0)</f>
        <v>109</v>
      </c>
      <c r="P96">
        <f>RANK(TAcum[[#This Row],[j14]],TAcum[[#All],[j14]],0)</f>
        <v>109</v>
      </c>
      <c r="Q96">
        <f>RANK(TAcum[[#This Row],[j15]],TAcum[[#All],[j15]],0)</f>
        <v>108</v>
      </c>
      <c r="R96">
        <f>RANK(TAcum[[#This Row],[j16]],TAcum[[#All],[j16]],0)</f>
        <v>103</v>
      </c>
      <c r="S96">
        <f>RANK(TAcum[[#This Row],[j17]],TAcum[[#All],[j17]],0)</f>
        <v>87</v>
      </c>
      <c r="T96">
        <f>RANK(TAcum[[#This Row],[j18]],TAcum[[#All],[j18]],0)</f>
        <v>90</v>
      </c>
      <c r="U96">
        <f>RANK(TAcum[[#This Row],[j19]],TAcum[[#All],[j19]],0)</f>
        <v>82</v>
      </c>
      <c r="V96">
        <f>RANK(TAcum[[#This Row],[j20]],TAcum[[#All],[j20]],0)</f>
        <v>85</v>
      </c>
      <c r="W96">
        <f>RANK(TAcum[[#This Row],[j21]],TAcum[[#All],[j21]],0)</f>
        <v>76</v>
      </c>
      <c r="X96">
        <f>RANK(TAcum[[#This Row],[j22]],TAcum[[#All],[j22]],0)</f>
        <v>78</v>
      </c>
      <c r="Y96">
        <f>RANK(TAcum[[#This Row],[j23]],TAcum[[#All],[j23]],0)</f>
        <v>77</v>
      </c>
      <c r="Z96">
        <f>RANK(TAcum[[#This Row],[j24]],TAcum[[#All],[j24]],0)</f>
        <v>92</v>
      </c>
      <c r="AA96">
        <f>RANK(TAcum[[#This Row],[j25]],TAcum[[#All],[j25]],0)</f>
        <v>87</v>
      </c>
      <c r="AB96">
        <f>RANK(TAcum[[#This Row],[j26]],TAcum[[#All],[j26]],0)</f>
        <v>89</v>
      </c>
      <c r="AC96">
        <f>RANK(TAcum[[#This Row],[j27]],TAcum[[#All],[j27]],0)</f>
        <v>89</v>
      </c>
      <c r="AD96">
        <f>RANK(TAcum[[#This Row],[j28]],TAcum[[#All],[j28]],0)</f>
        <v>99</v>
      </c>
      <c r="AE96">
        <f>RANK(TAcum[[#This Row],[j29]],TAcum[[#All],[j29]],0)</f>
        <v>95</v>
      </c>
      <c r="AF96">
        <f>RANK(TAcum[[#This Row],[j30]],TAcum[[#All],[j30]],0)</f>
        <v>95</v>
      </c>
      <c r="AG96">
        <f>RANK(TAcum[[#This Row],[j31]],TAcum[[#All],[j31]],0)</f>
        <v>95</v>
      </c>
      <c r="AH96">
        <f>RANK(TAcum[[#This Row],[j32]],TAcum[[#All],[j32]],0)</f>
        <v>95</v>
      </c>
      <c r="AI96">
        <f>RANK(TAcum[[#This Row],[j33]],TAcum[[#All],[j33]],0)</f>
        <v>95</v>
      </c>
      <c r="AJ96">
        <f>RANK(TAcum[[#This Row],[j34]],TAcum[[#All],[j34]],0)</f>
        <v>95</v>
      </c>
      <c r="AK96">
        <f>RANK(TAcum[[#This Row],[j35]],TAcum[[#All],[j35]],0)</f>
        <v>95</v>
      </c>
      <c r="AL96">
        <f>RANK(TAcum[[#This Row],[j36]],TAcum[[#All],[j36]],0)</f>
        <v>95</v>
      </c>
      <c r="AM96">
        <f>RANK(TAcum[[#This Row],[j37]],TAcum[[#All],[j37]],0)</f>
        <v>95</v>
      </c>
      <c r="AN96">
        <f>RANK(TAcum[[#This Row],[j38]],TAcum[[#All],[j38]],0)</f>
        <v>95</v>
      </c>
      <c r="AO96">
        <f>RANK(TAcum[[#This Row],[j39]],TAcum[[#All],[j39]],0)</f>
        <v>95</v>
      </c>
      <c r="AP96">
        <f>RANK(TAcum[[#This Row],[j40]],TAcum[[#All],[j40]],0)</f>
        <v>95</v>
      </c>
      <c r="AQ96">
        <f>RANK(TAcum[[#This Row],[j41]],TAcum[[#All],[j41]],0)</f>
        <v>95</v>
      </c>
      <c r="AR96">
        <f>RANK(TAcum[[#This Row],[j42]],TAcum[[#All],[j42]],0)</f>
        <v>95</v>
      </c>
      <c r="AS96">
        <f>RANK(TAcum[[#This Row],[j43]],TAcum[[#All],[j43]],0)</f>
        <v>95</v>
      </c>
      <c r="AT96">
        <f>RANK(TAcum[[#This Row],[j44]],TAcum[[#All],[j44]],0)</f>
        <v>95</v>
      </c>
      <c r="AU96">
        <f>RANK(TAcum[[#This Row],[j45]],TAcum[[#All],[j45]],0)</f>
        <v>95</v>
      </c>
      <c r="AV96">
        <f>RANK(TAcum[[#This Row],[j46]],TAcum[[#All],[j46]],0)</f>
        <v>95</v>
      </c>
      <c r="AW96">
        <f>RANK(TAcum[[#This Row],[j47]],TAcum[[#All],[j47]],0)</f>
        <v>95</v>
      </c>
      <c r="AX96">
        <f>RANK(TAcum[[#This Row],[j48]],TAcum[[#All],[j48]],0)</f>
        <v>95</v>
      </c>
      <c r="AY96">
        <f>RANK(TAcum[[#This Row],[j49]],TAcum[[#All],[j49]],0)</f>
        <v>95</v>
      </c>
      <c r="AZ96">
        <f>RANK(TAcum[[#This Row],[j50]],TAcum[[#All],[j50]],0)</f>
        <v>95</v>
      </c>
      <c r="BA96">
        <f>RANK(TAcum[[#This Row],[j51]],TAcum[[#All],[j51]],0)</f>
        <v>95</v>
      </c>
      <c r="BB96">
        <f>RANK(TAcum[[#This Row],[j52]],TAcum[[#All],[j52]],0)</f>
        <v>95</v>
      </c>
      <c r="BC96">
        <f>RANK(TAcum[[#This Row],[j53]],TAcum[[#All],[j53]],0)</f>
        <v>95</v>
      </c>
      <c r="BD96">
        <f>RANK(TAcum[[#This Row],[j54]],TAcum[[#All],[j54]],0)</f>
        <v>95</v>
      </c>
      <c r="BE96">
        <f>RANK(TAcum[[#This Row],[j55]],TAcum[[#All],[j55]],0)</f>
        <v>95</v>
      </c>
      <c r="BF96">
        <f>RANK(TAcum[[#This Row],[j56]],TAcum[[#All],[j56]],0)</f>
        <v>95</v>
      </c>
      <c r="BG96">
        <f>RANK(TAcum[[#This Row],[j57]],TAcum[[#All],[j57]],0)</f>
        <v>95</v>
      </c>
      <c r="BH96">
        <f>RANK(TAcum[[#This Row],[j58]],TAcum[[#All],[j58]],0)</f>
        <v>95</v>
      </c>
      <c r="BI96">
        <f>RANK(TAcum[[#This Row],[j59]],TAcum[[#All],[j59]],0)</f>
        <v>95</v>
      </c>
      <c r="BJ96">
        <f>RANK(TAcum[[#This Row],[j60]],TAcum[[#All],[j60]],0)</f>
        <v>95</v>
      </c>
      <c r="BK96">
        <f>RANK(TAcum[[#This Row],[j61]],TAcum[[#All],[j61]],0)</f>
        <v>95</v>
      </c>
      <c r="BL96">
        <f>RANK(TAcum[[#This Row],[j62]],TAcum[[#All],[j62]],0)</f>
        <v>95</v>
      </c>
      <c r="BM96">
        <f>RANK(TAcum[[#This Row],[j63]],TAcum[[#All],[j63]],0)</f>
        <v>95</v>
      </c>
      <c r="BN96">
        <f>RANK(TAcum[[#This Row],[j64]],TAcum[[#All],[j64]],0)</f>
        <v>95</v>
      </c>
      <c r="BO96">
        <f>RANK(TAcum[[#This Row],[j65]],TAcum[[#All],[j65]],0)</f>
        <v>95</v>
      </c>
      <c r="BP96">
        <f>RANK(TAcum[[#This Row],[j66]],TAcum[[#All],[j66]],0)</f>
        <v>95</v>
      </c>
      <c r="BQ96">
        <f>RANK(TAcum[[#This Row],[j67]],TAcum[[#All],[j67]],0)</f>
        <v>95</v>
      </c>
      <c r="BR96">
        <f>RANK(TAcum[[#This Row],[j68]],TAcum[[#All],[j68]],0)</f>
        <v>95</v>
      </c>
      <c r="BS96">
        <f>RANK(TAcum[[#This Row],[j69]],TAcum[[#All],[j69]],0)</f>
        <v>95</v>
      </c>
      <c r="BT96">
        <f>RANK(TAcum[[#This Row],[j70]],TAcum[[#All],[j70]],0)</f>
        <v>95</v>
      </c>
      <c r="BU96">
        <f>RANK(TAcum[[#This Row],[j71]],TAcum[[#All],[j71]],0)</f>
        <v>95</v>
      </c>
      <c r="BV96">
        <f>RANK(TAcum[[#This Row],[j72]],TAcum[[#All],[j72]],0)</f>
        <v>95</v>
      </c>
      <c r="BW96">
        <f>RANK(TAcum[[#This Row],[j73]],TAcum[[#All],[j73]],0)</f>
        <v>95</v>
      </c>
    </row>
    <row r="97" spans="1:75" x14ac:dyDescent="0.25">
      <c r="A97" t="str">
        <f>TAcum[[#This Row],[Jogador]]</f>
        <v>Yago Barbosa Santana</v>
      </c>
      <c r="B97">
        <f>RANK(TAcum[[#This Row],[total]],TAcum[[#All],[total]],0)</f>
        <v>95</v>
      </c>
      <c r="C97">
        <f>RANK(TAcum[[#This Row],[j01]],TAcum[[#All],[j01]],0)</f>
        <v>78</v>
      </c>
      <c r="D97">
        <f>RANK(TAcum[[#This Row],[j02]],TAcum[[#All],[j02]],0)</f>
        <v>77</v>
      </c>
      <c r="E97">
        <f>RANK(TAcum[[#This Row],[j03]],TAcum[[#All],[j03]],0)</f>
        <v>82</v>
      </c>
      <c r="F97">
        <f>RANK(TAcum[[#This Row],[j04]],TAcum[[#All],[j04]],0)</f>
        <v>98</v>
      </c>
      <c r="G97">
        <f>RANK(TAcum[[#This Row],[j05]],TAcum[[#All],[j05]],0)</f>
        <v>98</v>
      </c>
      <c r="H97">
        <f>RANK(TAcum[[#This Row],[j06]],TAcum[[#All],[j06]],0)</f>
        <v>100</v>
      </c>
      <c r="I97">
        <f>RANK(TAcum[[#This Row],[j07]],TAcum[[#All],[j07]],0)</f>
        <v>103</v>
      </c>
      <c r="J97">
        <f>RANK(TAcum[[#This Row],[j08]],TAcum[[#All],[j08]],0)</f>
        <v>102</v>
      </c>
      <c r="K97">
        <f>RANK(TAcum[[#This Row],[j09]],TAcum[[#All],[j09]],0)</f>
        <v>102</v>
      </c>
      <c r="L97">
        <f>RANK(TAcum[[#This Row],[j10]],TAcum[[#All],[j10]],0)</f>
        <v>103</v>
      </c>
      <c r="M97">
        <f>RANK(TAcum[[#This Row],[j11]],TAcum[[#All],[j11]],0)</f>
        <v>99</v>
      </c>
      <c r="N97">
        <f>RANK(TAcum[[#This Row],[j12]],TAcum[[#All],[j12]],0)</f>
        <v>98</v>
      </c>
      <c r="O97">
        <f>RANK(TAcum[[#This Row],[j13]],TAcum[[#All],[j13]],0)</f>
        <v>105</v>
      </c>
      <c r="P97">
        <f>RANK(TAcum[[#This Row],[j14]],TAcum[[#All],[j14]],0)</f>
        <v>100</v>
      </c>
      <c r="Q97">
        <f>RANK(TAcum[[#This Row],[j15]],TAcum[[#All],[j15]],0)</f>
        <v>100</v>
      </c>
      <c r="R97">
        <f>RANK(TAcum[[#This Row],[j16]],TAcum[[#All],[j16]],0)</f>
        <v>98</v>
      </c>
      <c r="S97">
        <f>RANK(TAcum[[#This Row],[j17]],TAcum[[#All],[j17]],0)</f>
        <v>79</v>
      </c>
      <c r="T97">
        <f>RANK(TAcum[[#This Row],[j18]],TAcum[[#All],[j18]],0)</f>
        <v>82</v>
      </c>
      <c r="U97">
        <f>RANK(TAcum[[#This Row],[j19]],TAcum[[#All],[j19]],0)</f>
        <v>82</v>
      </c>
      <c r="V97">
        <f>RANK(TAcum[[#This Row],[j20]],TAcum[[#All],[j20]],0)</f>
        <v>85</v>
      </c>
      <c r="W97">
        <f>RANK(TAcum[[#This Row],[j21]],TAcum[[#All],[j21]],0)</f>
        <v>87</v>
      </c>
      <c r="X97">
        <f>RANK(TAcum[[#This Row],[j22]],TAcum[[#All],[j22]],0)</f>
        <v>90</v>
      </c>
      <c r="Y97">
        <f>RANK(TAcum[[#This Row],[j23]],TAcum[[#All],[j23]],0)</f>
        <v>86</v>
      </c>
      <c r="Z97">
        <f>RANK(TAcum[[#This Row],[j24]],TAcum[[#All],[j24]],0)</f>
        <v>96</v>
      </c>
      <c r="AA97">
        <f>RANK(TAcum[[#This Row],[j25]],TAcum[[#All],[j25]],0)</f>
        <v>95</v>
      </c>
      <c r="AB97">
        <f>RANK(TAcum[[#This Row],[j26]],TAcum[[#All],[j26]],0)</f>
        <v>101</v>
      </c>
      <c r="AC97">
        <f>RANK(TAcum[[#This Row],[j27]],TAcum[[#All],[j27]],0)</f>
        <v>102</v>
      </c>
      <c r="AD97">
        <f>RANK(TAcum[[#This Row],[j28]],TAcum[[#All],[j28]],0)</f>
        <v>99</v>
      </c>
      <c r="AE97">
        <f>RANK(TAcum[[#This Row],[j29]],TAcum[[#All],[j29]],0)</f>
        <v>95</v>
      </c>
      <c r="AF97">
        <f>RANK(TAcum[[#This Row],[j30]],TAcum[[#All],[j30]],0)</f>
        <v>95</v>
      </c>
      <c r="AG97">
        <f>RANK(TAcum[[#This Row],[j31]],TAcum[[#All],[j31]],0)</f>
        <v>95</v>
      </c>
      <c r="AH97">
        <f>RANK(TAcum[[#This Row],[j32]],TAcum[[#All],[j32]],0)</f>
        <v>95</v>
      </c>
      <c r="AI97">
        <f>RANK(TAcum[[#This Row],[j33]],TAcum[[#All],[j33]],0)</f>
        <v>95</v>
      </c>
      <c r="AJ97">
        <f>RANK(TAcum[[#This Row],[j34]],TAcum[[#All],[j34]],0)</f>
        <v>95</v>
      </c>
      <c r="AK97">
        <f>RANK(TAcum[[#This Row],[j35]],TAcum[[#All],[j35]],0)</f>
        <v>95</v>
      </c>
      <c r="AL97">
        <f>RANK(TAcum[[#This Row],[j36]],TAcum[[#All],[j36]],0)</f>
        <v>95</v>
      </c>
      <c r="AM97">
        <f>RANK(TAcum[[#This Row],[j37]],TAcum[[#All],[j37]],0)</f>
        <v>95</v>
      </c>
      <c r="AN97">
        <f>RANK(TAcum[[#This Row],[j38]],TAcum[[#All],[j38]],0)</f>
        <v>95</v>
      </c>
      <c r="AO97">
        <f>RANK(TAcum[[#This Row],[j39]],TAcum[[#All],[j39]],0)</f>
        <v>95</v>
      </c>
      <c r="AP97">
        <f>RANK(TAcum[[#This Row],[j40]],TAcum[[#All],[j40]],0)</f>
        <v>95</v>
      </c>
      <c r="AQ97">
        <f>RANK(TAcum[[#This Row],[j41]],TAcum[[#All],[j41]],0)</f>
        <v>95</v>
      </c>
      <c r="AR97">
        <f>RANK(TAcum[[#This Row],[j42]],TAcum[[#All],[j42]],0)</f>
        <v>95</v>
      </c>
      <c r="AS97">
        <f>RANK(TAcum[[#This Row],[j43]],TAcum[[#All],[j43]],0)</f>
        <v>95</v>
      </c>
      <c r="AT97">
        <f>RANK(TAcum[[#This Row],[j44]],TAcum[[#All],[j44]],0)</f>
        <v>95</v>
      </c>
      <c r="AU97">
        <f>RANK(TAcum[[#This Row],[j45]],TAcum[[#All],[j45]],0)</f>
        <v>95</v>
      </c>
      <c r="AV97">
        <f>RANK(TAcum[[#This Row],[j46]],TAcum[[#All],[j46]],0)</f>
        <v>95</v>
      </c>
      <c r="AW97">
        <f>RANK(TAcum[[#This Row],[j47]],TAcum[[#All],[j47]],0)</f>
        <v>95</v>
      </c>
      <c r="AX97">
        <f>RANK(TAcum[[#This Row],[j48]],TAcum[[#All],[j48]],0)</f>
        <v>95</v>
      </c>
      <c r="AY97">
        <f>RANK(TAcum[[#This Row],[j49]],TAcum[[#All],[j49]],0)</f>
        <v>95</v>
      </c>
      <c r="AZ97">
        <f>RANK(TAcum[[#This Row],[j50]],TAcum[[#All],[j50]],0)</f>
        <v>95</v>
      </c>
      <c r="BA97">
        <f>RANK(TAcum[[#This Row],[j51]],TAcum[[#All],[j51]],0)</f>
        <v>95</v>
      </c>
      <c r="BB97">
        <f>RANK(TAcum[[#This Row],[j52]],TAcum[[#All],[j52]],0)</f>
        <v>95</v>
      </c>
      <c r="BC97">
        <f>RANK(TAcum[[#This Row],[j53]],TAcum[[#All],[j53]],0)</f>
        <v>95</v>
      </c>
      <c r="BD97">
        <f>RANK(TAcum[[#This Row],[j54]],TAcum[[#All],[j54]],0)</f>
        <v>95</v>
      </c>
      <c r="BE97">
        <f>RANK(TAcum[[#This Row],[j55]],TAcum[[#All],[j55]],0)</f>
        <v>95</v>
      </c>
      <c r="BF97">
        <f>RANK(TAcum[[#This Row],[j56]],TAcum[[#All],[j56]],0)</f>
        <v>95</v>
      </c>
      <c r="BG97">
        <f>RANK(TAcum[[#This Row],[j57]],TAcum[[#All],[j57]],0)</f>
        <v>95</v>
      </c>
      <c r="BH97">
        <f>RANK(TAcum[[#This Row],[j58]],TAcum[[#All],[j58]],0)</f>
        <v>95</v>
      </c>
      <c r="BI97">
        <f>RANK(TAcum[[#This Row],[j59]],TAcum[[#All],[j59]],0)</f>
        <v>95</v>
      </c>
      <c r="BJ97">
        <f>RANK(TAcum[[#This Row],[j60]],TAcum[[#All],[j60]],0)</f>
        <v>95</v>
      </c>
      <c r="BK97">
        <f>RANK(TAcum[[#This Row],[j61]],TAcum[[#All],[j61]],0)</f>
        <v>95</v>
      </c>
      <c r="BL97">
        <f>RANK(TAcum[[#This Row],[j62]],TAcum[[#All],[j62]],0)</f>
        <v>95</v>
      </c>
      <c r="BM97">
        <f>RANK(TAcum[[#This Row],[j63]],TAcum[[#All],[j63]],0)</f>
        <v>95</v>
      </c>
      <c r="BN97">
        <f>RANK(TAcum[[#This Row],[j64]],TAcum[[#All],[j64]],0)</f>
        <v>95</v>
      </c>
      <c r="BO97">
        <f>RANK(TAcum[[#This Row],[j65]],TAcum[[#All],[j65]],0)</f>
        <v>95</v>
      </c>
      <c r="BP97">
        <f>RANK(TAcum[[#This Row],[j66]],TAcum[[#All],[j66]],0)</f>
        <v>95</v>
      </c>
      <c r="BQ97">
        <f>RANK(TAcum[[#This Row],[j67]],TAcum[[#All],[j67]],0)</f>
        <v>95</v>
      </c>
      <c r="BR97">
        <f>RANK(TAcum[[#This Row],[j68]],TAcum[[#All],[j68]],0)</f>
        <v>95</v>
      </c>
      <c r="BS97">
        <f>RANK(TAcum[[#This Row],[j69]],TAcum[[#All],[j69]],0)</f>
        <v>95</v>
      </c>
      <c r="BT97">
        <f>RANK(TAcum[[#This Row],[j70]],TAcum[[#All],[j70]],0)</f>
        <v>95</v>
      </c>
      <c r="BU97">
        <f>RANK(TAcum[[#This Row],[j71]],TAcum[[#All],[j71]],0)</f>
        <v>95</v>
      </c>
      <c r="BV97">
        <f>RANK(TAcum[[#This Row],[j72]],TAcum[[#All],[j72]],0)</f>
        <v>95</v>
      </c>
      <c r="BW97">
        <f>RANK(TAcum[[#This Row],[j73]],TAcum[[#All],[j73]],0)</f>
        <v>95</v>
      </c>
    </row>
    <row r="98" spans="1:75" x14ac:dyDescent="0.25">
      <c r="A98" t="str">
        <f>TAcum[[#This Row],[Jogador]]</f>
        <v>Fernanda Freitas</v>
      </c>
      <c r="B98">
        <f>RANK(TAcum[[#This Row],[total]],TAcum[[#All],[total]],0)</f>
        <v>97</v>
      </c>
      <c r="C98">
        <f>RANK(TAcum[[#This Row],[j01]],TAcum[[#All],[j01]],0)</f>
        <v>78</v>
      </c>
      <c r="D98">
        <f>RANK(TAcum[[#This Row],[j02]],TAcum[[#All],[j02]],0)</f>
        <v>77</v>
      </c>
      <c r="E98">
        <f>RANK(TAcum[[#This Row],[j03]],TAcum[[#All],[j03]],0)</f>
        <v>82</v>
      </c>
      <c r="F98">
        <f>RANK(TAcum[[#This Row],[j04]],TAcum[[#All],[j04]],0)</f>
        <v>98</v>
      </c>
      <c r="G98">
        <f>RANK(TAcum[[#This Row],[j05]],TAcum[[#All],[j05]],0)</f>
        <v>98</v>
      </c>
      <c r="H98">
        <f>RANK(TAcum[[#This Row],[j06]],TAcum[[#All],[j06]],0)</f>
        <v>100</v>
      </c>
      <c r="I98">
        <f>RANK(TAcum[[#This Row],[j07]],TAcum[[#All],[j07]],0)</f>
        <v>93</v>
      </c>
      <c r="J98">
        <f>RANK(TAcum[[#This Row],[j08]],TAcum[[#All],[j08]],0)</f>
        <v>86</v>
      </c>
      <c r="K98">
        <f>RANK(TAcum[[#This Row],[j09]],TAcum[[#All],[j09]],0)</f>
        <v>85</v>
      </c>
      <c r="L98">
        <f>RANK(TAcum[[#This Row],[j10]],TAcum[[#All],[j10]],0)</f>
        <v>86</v>
      </c>
      <c r="M98">
        <f>RANK(TAcum[[#This Row],[j11]],TAcum[[#All],[j11]],0)</f>
        <v>88</v>
      </c>
      <c r="N98">
        <f>RANK(TAcum[[#This Row],[j12]],TAcum[[#All],[j12]],0)</f>
        <v>92</v>
      </c>
      <c r="O98">
        <f>RANK(TAcum[[#This Row],[j13]],TAcum[[#All],[j13]],0)</f>
        <v>92</v>
      </c>
      <c r="P98">
        <f>RANK(TAcum[[#This Row],[j14]],TAcum[[#All],[j14]],0)</f>
        <v>100</v>
      </c>
      <c r="Q98">
        <f>RANK(TAcum[[#This Row],[j15]],TAcum[[#All],[j15]],0)</f>
        <v>95</v>
      </c>
      <c r="R98">
        <f>RANK(TAcum[[#This Row],[j16]],TAcum[[#All],[j16]],0)</f>
        <v>93</v>
      </c>
      <c r="S98">
        <f>RANK(TAcum[[#This Row],[j17]],TAcum[[#All],[j17]],0)</f>
        <v>97</v>
      </c>
      <c r="T98">
        <f>RANK(TAcum[[#This Row],[j18]],TAcum[[#All],[j18]],0)</f>
        <v>99</v>
      </c>
      <c r="U98">
        <f>RANK(TAcum[[#This Row],[j19]],TAcum[[#All],[j19]],0)</f>
        <v>90</v>
      </c>
      <c r="V98">
        <f>RANK(TAcum[[#This Row],[j20]],TAcum[[#All],[j20]],0)</f>
        <v>95</v>
      </c>
      <c r="W98">
        <f>RANK(TAcum[[#This Row],[j21]],TAcum[[#All],[j21]],0)</f>
        <v>91</v>
      </c>
      <c r="X98">
        <f>RANK(TAcum[[#This Row],[j22]],TAcum[[#All],[j22]],0)</f>
        <v>87</v>
      </c>
      <c r="Y98">
        <f>RANK(TAcum[[#This Row],[j23]],TAcum[[#All],[j23]],0)</f>
        <v>89</v>
      </c>
      <c r="Z98">
        <f>RANK(TAcum[[#This Row],[j24]],TAcum[[#All],[j24]],0)</f>
        <v>88</v>
      </c>
      <c r="AA98">
        <f>RANK(TAcum[[#This Row],[j25]],TAcum[[#All],[j25]],0)</f>
        <v>84</v>
      </c>
      <c r="AB98">
        <f>RANK(TAcum[[#This Row],[j26]],TAcum[[#All],[j26]],0)</f>
        <v>85</v>
      </c>
      <c r="AC98">
        <f>RANK(TAcum[[#This Row],[j27]],TAcum[[#All],[j27]],0)</f>
        <v>85</v>
      </c>
      <c r="AD98">
        <f>RANK(TAcum[[#This Row],[j28]],TAcum[[#All],[j28]],0)</f>
        <v>88</v>
      </c>
      <c r="AE98">
        <f>RANK(TAcum[[#This Row],[j29]],TAcum[[#All],[j29]],0)</f>
        <v>97</v>
      </c>
      <c r="AF98">
        <f>RANK(TAcum[[#This Row],[j30]],TAcum[[#All],[j30]],0)</f>
        <v>97</v>
      </c>
      <c r="AG98">
        <f>RANK(TAcum[[#This Row],[j31]],TAcum[[#All],[j31]],0)</f>
        <v>97</v>
      </c>
      <c r="AH98">
        <f>RANK(TAcum[[#This Row],[j32]],TAcum[[#All],[j32]],0)</f>
        <v>97</v>
      </c>
      <c r="AI98">
        <f>RANK(TAcum[[#This Row],[j33]],TAcum[[#All],[j33]],0)</f>
        <v>97</v>
      </c>
      <c r="AJ98">
        <f>RANK(TAcum[[#This Row],[j34]],TAcum[[#All],[j34]],0)</f>
        <v>97</v>
      </c>
      <c r="AK98">
        <f>RANK(TAcum[[#This Row],[j35]],TAcum[[#All],[j35]],0)</f>
        <v>97</v>
      </c>
      <c r="AL98">
        <f>RANK(TAcum[[#This Row],[j36]],TAcum[[#All],[j36]],0)</f>
        <v>97</v>
      </c>
      <c r="AM98">
        <f>RANK(TAcum[[#This Row],[j37]],TAcum[[#All],[j37]],0)</f>
        <v>97</v>
      </c>
      <c r="AN98">
        <f>RANK(TAcum[[#This Row],[j38]],TAcum[[#All],[j38]],0)</f>
        <v>97</v>
      </c>
      <c r="AO98">
        <f>RANK(TAcum[[#This Row],[j39]],TAcum[[#All],[j39]],0)</f>
        <v>97</v>
      </c>
      <c r="AP98">
        <f>RANK(TAcum[[#This Row],[j40]],TAcum[[#All],[j40]],0)</f>
        <v>97</v>
      </c>
      <c r="AQ98">
        <f>RANK(TAcum[[#This Row],[j41]],TAcum[[#All],[j41]],0)</f>
        <v>97</v>
      </c>
      <c r="AR98">
        <f>RANK(TAcum[[#This Row],[j42]],TAcum[[#All],[j42]],0)</f>
        <v>97</v>
      </c>
      <c r="AS98">
        <f>RANK(TAcum[[#This Row],[j43]],TAcum[[#All],[j43]],0)</f>
        <v>97</v>
      </c>
      <c r="AT98">
        <f>RANK(TAcum[[#This Row],[j44]],TAcum[[#All],[j44]],0)</f>
        <v>97</v>
      </c>
      <c r="AU98">
        <f>RANK(TAcum[[#This Row],[j45]],TAcum[[#All],[j45]],0)</f>
        <v>97</v>
      </c>
      <c r="AV98">
        <f>RANK(TAcum[[#This Row],[j46]],TAcum[[#All],[j46]],0)</f>
        <v>97</v>
      </c>
      <c r="AW98">
        <f>RANK(TAcum[[#This Row],[j47]],TAcum[[#All],[j47]],0)</f>
        <v>97</v>
      </c>
      <c r="AX98">
        <f>RANK(TAcum[[#This Row],[j48]],TAcum[[#All],[j48]],0)</f>
        <v>97</v>
      </c>
      <c r="AY98">
        <f>RANK(TAcum[[#This Row],[j49]],TAcum[[#All],[j49]],0)</f>
        <v>97</v>
      </c>
      <c r="AZ98">
        <f>RANK(TAcum[[#This Row],[j50]],TAcum[[#All],[j50]],0)</f>
        <v>97</v>
      </c>
      <c r="BA98">
        <f>RANK(TAcum[[#This Row],[j51]],TAcum[[#All],[j51]],0)</f>
        <v>97</v>
      </c>
      <c r="BB98">
        <f>RANK(TAcum[[#This Row],[j52]],TAcum[[#All],[j52]],0)</f>
        <v>97</v>
      </c>
      <c r="BC98">
        <f>RANK(TAcum[[#This Row],[j53]],TAcum[[#All],[j53]],0)</f>
        <v>97</v>
      </c>
      <c r="BD98">
        <f>RANK(TAcum[[#This Row],[j54]],TAcum[[#All],[j54]],0)</f>
        <v>97</v>
      </c>
      <c r="BE98">
        <f>RANK(TAcum[[#This Row],[j55]],TAcum[[#All],[j55]],0)</f>
        <v>97</v>
      </c>
      <c r="BF98">
        <f>RANK(TAcum[[#This Row],[j56]],TAcum[[#All],[j56]],0)</f>
        <v>97</v>
      </c>
      <c r="BG98">
        <f>RANK(TAcum[[#This Row],[j57]],TAcum[[#All],[j57]],0)</f>
        <v>97</v>
      </c>
      <c r="BH98">
        <f>RANK(TAcum[[#This Row],[j58]],TAcum[[#All],[j58]],0)</f>
        <v>97</v>
      </c>
      <c r="BI98">
        <f>RANK(TAcum[[#This Row],[j59]],TAcum[[#All],[j59]],0)</f>
        <v>97</v>
      </c>
      <c r="BJ98">
        <f>RANK(TAcum[[#This Row],[j60]],TAcum[[#All],[j60]],0)</f>
        <v>97</v>
      </c>
      <c r="BK98">
        <f>RANK(TAcum[[#This Row],[j61]],TAcum[[#All],[j61]],0)</f>
        <v>97</v>
      </c>
      <c r="BL98">
        <f>RANK(TAcum[[#This Row],[j62]],TAcum[[#All],[j62]],0)</f>
        <v>97</v>
      </c>
      <c r="BM98">
        <f>RANK(TAcum[[#This Row],[j63]],TAcum[[#All],[j63]],0)</f>
        <v>97</v>
      </c>
      <c r="BN98">
        <f>RANK(TAcum[[#This Row],[j64]],TAcum[[#All],[j64]],0)</f>
        <v>97</v>
      </c>
      <c r="BO98">
        <f>RANK(TAcum[[#This Row],[j65]],TAcum[[#All],[j65]],0)</f>
        <v>97</v>
      </c>
      <c r="BP98">
        <f>RANK(TAcum[[#This Row],[j66]],TAcum[[#All],[j66]],0)</f>
        <v>97</v>
      </c>
      <c r="BQ98">
        <f>RANK(TAcum[[#This Row],[j67]],TAcum[[#All],[j67]],0)</f>
        <v>97</v>
      </c>
      <c r="BR98">
        <f>RANK(TAcum[[#This Row],[j68]],TAcum[[#All],[j68]],0)</f>
        <v>97</v>
      </c>
      <c r="BS98">
        <f>RANK(TAcum[[#This Row],[j69]],TAcum[[#All],[j69]],0)</f>
        <v>97</v>
      </c>
      <c r="BT98">
        <f>RANK(TAcum[[#This Row],[j70]],TAcum[[#All],[j70]],0)</f>
        <v>97</v>
      </c>
      <c r="BU98">
        <f>RANK(TAcum[[#This Row],[j71]],TAcum[[#All],[j71]],0)</f>
        <v>97</v>
      </c>
      <c r="BV98">
        <f>RANK(TAcum[[#This Row],[j72]],TAcum[[#All],[j72]],0)</f>
        <v>97</v>
      </c>
      <c r="BW98">
        <f>RANK(TAcum[[#This Row],[j73]],TAcum[[#All],[j73]],0)</f>
        <v>97</v>
      </c>
    </row>
    <row r="99" spans="1:75" x14ac:dyDescent="0.25">
      <c r="A99" t="str">
        <f>TAcum[[#This Row],[Jogador]]</f>
        <v>Pedrinho Coral</v>
      </c>
      <c r="B99">
        <f>RANK(TAcum[[#This Row],[total]],TAcum[[#All],[total]],0)</f>
        <v>97</v>
      </c>
      <c r="C99">
        <f>RANK(TAcum[[#This Row],[j01]],TAcum[[#All],[j01]],0)</f>
        <v>78</v>
      </c>
      <c r="D99">
        <f>RANK(TAcum[[#This Row],[j02]],TAcum[[#All],[j02]],0)</f>
        <v>77</v>
      </c>
      <c r="E99">
        <f>RANK(TAcum[[#This Row],[j03]],TAcum[[#All],[j03]],0)</f>
        <v>61</v>
      </c>
      <c r="F99">
        <f>RANK(TAcum[[#This Row],[j04]],TAcum[[#All],[j04]],0)</f>
        <v>94</v>
      </c>
      <c r="G99">
        <f>RANK(TAcum[[#This Row],[j05]],TAcum[[#All],[j05]],0)</f>
        <v>94</v>
      </c>
      <c r="H99">
        <f>RANK(TAcum[[#This Row],[j06]],TAcum[[#All],[j06]],0)</f>
        <v>99</v>
      </c>
      <c r="I99">
        <f>RANK(TAcum[[#This Row],[j07]],TAcum[[#All],[j07]],0)</f>
        <v>90</v>
      </c>
      <c r="J99">
        <f>RANK(TAcum[[#This Row],[j08]],TAcum[[#All],[j08]],0)</f>
        <v>83</v>
      </c>
      <c r="K99">
        <f>RANK(TAcum[[#This Row],[j09]],TAcum[[#All],[j09]],0)</f>
        <v>82</v>
      </c>
      <c r="L99">
        <f>RANK(TAcum[[#This Row],[j10]],TAcum[[#All],[j10]],0)</f>
        <v>85</v>
      </c>
      <c r="M99">
        <f>RANK(TAcum[[#This Row],[j11]],TAcum[[#All],[j11]],0)</f>
        <v>81</v>
      </c>
      <c r="N99">
        <f>RANK(TAcum[[#This Row],[j12]],TAcum[[#All],[j12]],0)</f>
        <v>76</v>
      </c>
      <c r="O99">
        <f>RANK(TAcum[[#This Row],[j13]],TAcum[[#All],[j13]],0)</f>
        <v>73</v>
      </c>
      <c r="P99">
        <f>RANK(TAcum[[#This Row],[j14]],TAcum[[#All],[j14]],0)</f>
        <v>70</v>
      </c>
      <c r="Q99">
        <f>RANK(TAcum[[#This Row],[j15]],TAcum[[#All],[j15]],0)</f>
        <v>69</v>
      </c>
      <c r="R99">
        <f>RANK(TAcum[[#This Row],[j16]],TAcum[[#All],[j16]],0)</f>
        <v>59</v>
      </c>
      <c r="S99">
        <f>RANK(TAcum[[#This Row],[j17]],TAcum[[#All],[j17]],0)</f>
        <v>64</v>
      </c>
      <c r="T99">
        <f>RANK(TAcum[[#This Row],[j18]],TAcum[[#All],[j18]],0)</f>
        <v>67</v>
      </c>
      <c r="U99">
        <f>RANK(TAcum[[#This Row],[j19]],TAcum[[#All],[j19]],0)</f>
        <v>79</v>
      </c>
      <c r="V99">
        <f>RANK(TAcum[[#This Row],[j20]],TAcum[[#All],[j20]],0)</f>
        <v>81</v>
      </c>
      <c r="W99">
        <f>RANK(TAcum[[#This Row],[j21]],TAcum[[#All],[j21]],0)</f>
        <v>78</v>
      </c>
      <c r="X99">
        <f>RANK(TAcum[[#This Row],[j22]],TAcum[[#All],[j22]],0)</f>
        <v>83</v>
      </c>
      <c r="Y99">
        <f>RANK(TAcum[[#This Row],[j23]],TAcum[[#All],[j23]],0)</f>
        <v>83</v>
      </c>
      <c r="Z99">
        <f>RANK(TAcum[[#This Row],[j24]],TAcum[[#All],[j24]],0)</f>
        <v>98</v>
      </c>
      <c r="AA99">
        <f>RANK(TAcum[[#This Row],[j25]],TAcum[[#All],[j25]],0)</f>
        <v>100</v>
      </c>
      <c r="AB99">
        <f>RANK(TAcum[[#This Row],[j26]],TAcum[[#All],[j26]],0)</f>
        <v>91</v>
      </c>
      <c r="AC99">
        <f>RANK(TAcum[[#This Row],[j27]],TAcum[[#All],[j27]],0)</f>
        <v>91</v>
      </c>
      <c r="AD99">
        <f>RANK(TAcum[[#This Row],[j28]],TAcum[[#All],[j28]],0)</f>
        <v>88</v>
      </c>
      <c r="AE99">
        <f>RANK(TAcum[[#This Row],[j29]],TAcum[[#All],[j29]],0)</f>
        <v>97</v>
      </c>
      <c r="AF99">
        <f>RANK(TAcum[[#This Row],[j30]],TAcum[[#All],[j30]],0)</f>
        <v>97</v>
      </c>
      <c r="AG99">
        <f>RANK(TAcum[[#This Row],[j31]],TAcum[[#All],[j31]],0)</f>
        <v>97</v>
      </c>
      <c r="AH99">
        <f>RANK(TAcum[[#This Row],[j32]],TAcum[[#All],[j32]],0)</f>
        <v>97</v>
      </c>
      <c r="AI99">
        <f>RANK(TAcum[[#This Row],[j33]],TAcum[[#All],[j33]],0)</f>
        <v>97</v>
      </c>
      <c r="AJ99">
        <f>RANK(TAcum[[#This Row],[j34]],TAcum[[#All],[j34]],0)</f>
        <v>97</v>
      </c>
      <c r="AK99">
        <f>RANK(TAcum[[#This Row],[j35]],TAcum[[#All],[j35]],0)</f>
        <v>97</v>
      </c>
      <c r="AL99">
        <f>RANK(TAcum[[#This Row],[j36]],TAcum[[#All],[j36]],0)</f>
        <v>97</v>
      </c>
      <c r="AM99">
        <f>RANK(TAcum[[#This Row],[j37]],TAcum[[#All],[j37]],0)</f>
        <v>97</v>
      </c>
      <c r="AN99">
        <f>RANK(TAcum[[#This Row],[j38]],TAcum[[#All],[j38]],0)</f>
        <v>97</v>
      </c>
      <c r="AO99">
        <f>RANK(TAcum[[#This Row],[j39]],TAcum[[#All],[j39]],0)</f>
        <v>97</v>
      </c>
      <c r="AP99">
        <f>RANK(TAcum[[#This Row],[j40]],TAcum[[#All],[j40]],0)</f>
        <v>97</v>
      </c>
      <c r="AQ99">
        <f>RANK(TAcum[[#This Row],[j41]],TAcum[[#All],[j41]],0)</f>
        <v>97</v>
      </c>
      <c r="AR99">
        <f>RANK(TAcum[[#This Row],[j42]],TAcum[[#All],[j42]],0)</f>
        <v>97</v>
      </c>
      <c r="AS99">
        <f>RANK(TAcum[[#This Row],[j43]],TAcum[[#All],[j43]],0)</f>
        <v>97</v>
      </c>
      <c r="AT99">
        <f>RANK(TAcum[[#This Row],[j44]],TAcum[[#All],[j44]],0)</f>
        <v>97</v>
      </c>
      <c r="AU99">
        <f>RANK(TAcum[[#This Row],[j45]],TAcum[[#All],[j45]],0)</f>
        <v>97</v>
      </c>
      <c r="AV99">
        <f>RANK(TAcum[[#This Row],[j46]],TAcum[[#All],[j46]],0)</f>
        <v>97</v>
      </c>
      <c r="AW99">
        <f>RANK(TAcum[[#This Row],[j47]],TAcum[[#All],[j47]],0)</f>
        <v>97</v>
      </c>
      <c r="AX99">
        <f>RANK(TAcum[[#This Row],[j48]],TAcum[[#All],[j48]],0)</f>
        <v>97</v>
      </c>
      <c r="AY99">
        <f>RANK(TAcum[[#This Row],[j49]],TAcum[[#All],[j49]],0)</f>
        <v>97</v>
      </c>
      <c r="AZ99">
        <f>RANK(TAcum[[#This Row],[j50]],TAcum[[#All],[j50]],0)</f>
        <v>97</v>
      </c>
      <c r="BA99">
        <f>RANK(TAcum[[#This Row],[j51]],TAcum[[#All],[j51]],0)</f>
        <v>97</v>
      </c>
      <c r="BB99">
        <f>RANK(TAcum[[#This Row],[j52]],TAcum[[#All],[j52]],0)</f>
        <v>97</v>
      </c>
      <c r="BC99">
        <f>RANK(TAcum[[#This Row],[j53]],TAcum[[#All],[j53]],0)</f>
        <v>97</v>
      </c>
      <c r="BD99">
        <f>RANK(TAcum[[#This Row],[j54]],TAcum[[#All],[j54]],0)</f>
        <v>97</v>
      </c>
      <c r="BE99">
        <f>RANK(TAcum[[#This Row],[j55]],TAcum[[#All],[j55]],0)</f>
        <v>97</v>
      </c>
      <c r="BF99">
        <f>RANK(TAcum[[#This Row],[j56]],TAcum[[#All],[j56]],0)</f>
        <v>97</v>
      </c>
      <c r="BG99">
        <f>RANK(TAcum[[#This Row],[j57]],TAcum[[#All],[j57]],0)</f>
        <v>97</v>
      </c>
      <c r="BH99">
        <f>RANK(TAcum[[#This Row],[j58]],TAcum[[#All],[j58]],0)</f>
        <v>97</v>
      </c>
      <c r="BI99">
        <f>RANK(TAcum[[#This Row],[j59]],TAcum[[#All],[j59]],0)</f>
        <v>97</v>
      </c>
      <c r="BJ99">
        <f>RANK(TAcum[[#This Row],[j60]],TAcum[[#All],[j60]],0)</f>
        <v>97</v>
      </c>
      <c r="BK99">
        <f>RANK(TAcum[[#This Row],[j61]],TAcum[[#All],[j61]],0)</f>
        <v>97</v>
      </c>
      <c r="BL99">
        <f>RANK(TAcum[[#This Row],[j62]],TAcum[[#All],[j62]],0)</f>
        <v>97</v>
      </c>
      <c r="BM99">
        <f>RANK(TAcum[[#This Row],[j63]],TAcum[[#All],[j63]],0)</f>
        <v>97</v>
      </c>
      <c r="BN99">
        <f>RANK(TAcum[[#This Row],[j64]],TAcum[[#All],[j64]],0)</f>
        <v>97</v>
      </c>
      <c r="BO99">
        <f>RANK(TAcum[[#This Row],[j65]],TAcum[[#All],[j65]],0)</f>
        <v>97</v>
      </c>
      <c r="BP99">
        <f>RANK(TAcum[[#This Row],[j66]],TAcum[[#All],[j66]],0)</f>
        <v>97</v>
      </c>
      <c r="BQ99">
        <f>RANK(TAcum[[#This Row],[j67]],TAcum[[#All],[j67]],0)</f>
        <v>97</v>
      </c>
      <c r="BR99">
        <f>RANK(TAcum[[#This Row],[j68]],TAcum[[#All],[j68]],0)</f>
        <v>97</v>
      </c>
      <c r="BS99">
        <f>RANK(TAcum[[#This Row],[j69]],TAcum[[#All],[j69]],0)</f>
        <v>97</v>
      </c>
      <c r="BT99">
        <f>RANK(TAcum[[#This Row],[j70]],TAcum[[#All],[j70]],0)</f>
        <v>97</v>
      </c>
      <c r="BU99">
        <f>RANK(TAcum[[#This Row],[j71]],TAcum[[#All],[j71]],0)</f>
        <v>97</v>
      </c>
      <c r="BV99">
        <f>RANK(TAcum[[#This Row],[j72]],TAcum[[#All],[j72]],0)</f>
        <v>97</v>
      </c>
      <c r="BW99">
        <f>RANK(TAcum[[#This Row],[j73]],TAcum[[#All],[j73]],0)</f>
        <v>97</v>
      </c>
    </row>
    <row r="100" spans="1:75" x14ac:dyDescent="0.25">
      <c r="A100" t="str">
        <f>TAcum[[#This Row],[Jogador]]</f>
        <v>Peu</v>
      </c>
      <c r="B100">
        <f>RANK(TAcum[[#This Row],[total]],TAcum[[#All],[total]],0)</f>
        <v>97</v>
      </c>
      <c r="C100">
        <f>RANK(TAcum[[#This Row],[j01]],TAcum[[#All],[j01]],0)</f>
        <v>78</v>
      </c>
      <c r="D100">
        <f>RANK(TAcum[[#This Row],[j02]],TAcum[[#All],[j02]],0)</f>
        <v>77</v>
      </c>
      <c r="E100">
        <f>RANK(TAcum[[#This Row],[j03]],TAcum[[#All],[j03]],0)</f>
        <v>61</v>
      </c>
      <c r="F100">
        <f>RANK(TAcum[[#This Row],[j04]],TAcum[[#All],[j04]],0)</f>
        <v>83</v>
      </c>
      <c r="G100">
        <f>RANK(TAcum[[#This Row],[j05]],TAcum[[#All],[j05]],0)</f>
        <v>85</v>
      </c>
      <c r="H100">
        <f>RANK(TAcum[[#This Row],[j06]],TAcum[[#All],[j06]],0)</f>
        <v>84</v>
      </c>
      <c r="I100">
        <f>RANK(TAcum[[#This Row],[j07]],TAcum[[#All],[j07]],0)</f>
        <v>71</v>
      </c>
      <c r="J100">
        <f>RANK(TAcum[[#This Row],[j08]],TAcum[[#All],[j08]],0)</f>
        <v>76</v>
      </c>
      <c r="K100">
        <f>RANK(TAcum[[#This Row],[j09]],TAcum[[#All],[j09]],0)</f>
        <v>77</v>
      </c>
      <c r="L100">
        <f>RANK(TAcum[[#This Row],[j10]],TAcum[[#All],[j10]],0)</f>
        <v>65</v>
      </c>
      <c r="M100">
        <f>RANK(TAcum[[#This Row],[j11]],TAcum[[#All],[j11]],0)</f>
        <v>61</v>
      </c>
      <c r="N100">
        <f>RANK(TAcum[[#This Row],[j12]],TAcum[[#All],[j12]],0)</f>
        <v>69</v>
      </c>
      <c r="O100">
        <f>RANK(TAcum[[#This Row],[j13]],TAcum[[#All],[j13]],0)</f>
        <v>85</v>
      </c>
      <c r="P100">
        <f>RANK(TAcum[[#This Row],[j14]],TAcum[[#All],[j14]],0)</f>
        <v>83</v>
      </c>
      <c r="Q100">
        <f>RANK(TAcum[[#This Row],[j15]],TAcum[[#All],[j15]],0)</f>
        <v>81</v>
      </c>
      <c r="R100">
        <f>RANK(TAcum[[#This Row],[j16]],TAcum[[#All],[j16]],0)</f>
        <v>84</v>
      </c>
      <c r="S100">
        <f>RANK(TAcum[[#This Row],[j17]],TAcum[[#All],[j17]],0)</f>
        <v>87</v>
      </c>
      <c r="T100">
        <f>RANK(TAcum[[#This Row],[j18]],TAcum[[#All],[j18]],0)</f>
        <v>90</v>
      </c>
      <c r="U100">
        <f>RANK(TAcum[[#This Row],[j19]],TAcum[[#All],[j19]],0)</f>
        <v>88</v>
      </c>
      <c r="V100">
        <f>RANK(TAcum[[#This Row],[j20]],TAcum[[#All],[j20]],0)</f>
        <v>92</v>
      </c>
      <c r="W100">
        <f>RANK(TAcum[[#This Row],[j21]],TAcum[[#All],[j21]],0)</f>
        <v>95</v>
      </c>
      <c r="X100">
        <f>RANK(TAcum[[#This Row],[j22]],TAcum[[#All],[j22]],0)</f>
        <v>98</v>
      </c>
      <c r="Y100">
        <f>RANK(TAcum[[#This Row],[j23]],TAcum[[#All],[j23]],0)</f>
        <v>98</v>
      </c>
      <c r="Z100">
        <f>RANK(TAcum[[#This Row],[j24]],TAcum[[#All],[j24]],0)</f>
        <v>105</v>
      </c>
      <c r="AA100">
        <f>RANK(TAcum[[#This Row],[j25]],TAcum[[#All],[j25]],0)</f>
        <v>90</v>
      </c>
      <c r="AB100">
        <f>RANK(TAcum[[#This Row],[j26]],TAcum[[#All],[j26]],0)</f>
        <v>91</v>
      </c>
      <c r="AC100">
        <f>RANK(TAcum[[#This Row],[j27]],TAcum[[#All],[j27]],0)</f>
        <v>91</v>
      </c>
      <c r="AD100">
        <f>RANK(TAcum[[#This Row],[j28]],TAcum[[#All],[j28]],0)</f>
        <v>101</v>
      </c>
      <c r="AE100">
        <f>RANK(TAcum[[#This Row],[j29]],TAcum[[#All],[j29]],0)</f>
        <v>97</v>
      </c>
      <c r="AF100">
        <f>RANK(TAcum[[#This Row],[j30]],TAcum[[#All],[j30]],0)</f>
        <v>97</v>
      </c>
      <c r="AG100">
        <f>RANK(TAcum[[#This Row],[j31]],TAcum[[#All],[j31]],0)</f>
        <v>97</v>
      </c>
      <c r="AH100">
        <f>RANK(TAcum[[#This Row],[j32]],TAcum[[#All],[j32]],0)</f>
        <v>97</v>
      </c>
      <c r="AI100">
        <f>RANK(TAcum[[#This Row],[j33]],TAcum[[#All],[j33]],0)</f>
        <v>97</v>
      </c>
      <c r="AJ100">
        <f>RANK(TAcum[[#This Row],[j34]],TAcum[[#All],[j34]],0)</f>
        <v>97</v>
      </c>
      <c r="AK100">
        <f>RANK(TAcum[[#This Row],[j35]],TAcum[[#All],[j35]],0)</f>
        <v>97</v>
      </c>
      <c r="AL100">
        <f>RANK(TAcum[[#This Row],[j36]],TAcum[[#All],[j36]],0)</f>
        <v>97</v>
      </c>
      <c r="AM100">
        <f>RANK(TAcum[[#This Row],[j37]],TAcum[[#All],[j37]],0)</f>
        <v>97</v>
      </c>
      <c r="AN100">
        <f>RANK(TAcum[[#This Row],[j38]],TAcum[[#All],[j38]],0)</f>
        <v>97</v>
      </c>
      <c r="AO100">
        <f>RANK(TAcum[[#This Row],[j39]],TAcum[[#All],[j39]],0)</f>
        <v>97</v>
      </c>
      <c r="AP100">
        <f>RANK(TAcum[[#This Row],[j40]],TAcum[[#All],[j40]],0)</f>
        <v>97</v>
      </c>
      <c r="AQ100">
        <f>RANK(TAcum[[#This Row],[j41]],TAcum[[#All],[j41]],0)</f>
        <v>97</v>
      </c>
      <c r="AR100">
        <f>RANK(TAcum[[#This Row],[j42]],TAcum[[#All],[j42]],0)</f>
        <v>97</v>
      </c>
      <c r="AS100">
        <f>RANK(TAcum[[#This Row],[j43]],TAcum[[#All],[j43]],0)</f>
        <v>97</v>
      </c>
      <c r="AT100">
        <f>RANK(TAcum[[#This Row],[j44]],TAcum[[#All],[j44]],0)</f>
        <v>97</v>
      </c>
      <c r="AU100">
        <f>RANK(TAcum[[#This Row],[j45]],TAcum[[#All],[j45]],0)</f>
        <v>97</v>
      </c>
      <c r="AV100">
        <f>RANK(TAcum[[#This Row],[j46]],TAcum[[#All],[j46]],0)</f>
        <v>97</v>
      </c>
      <c r="AW100">
        <f>RANK(TAcum[[#This Row],[j47]],TAcum[[#All],[j47]],0)</f>
        <v>97</v>
      </c>
      <c r="AX100">
        <f>RANK(TAcum[[#This Row],[j48]],TAcum[[#All],[j48]],0)</f>
        <v>97</v>
      </c>
      <c r="AY100">
        <f>RANK(TAcum[[#This Row],[j49]],TAcum[[#All],[j49]],0)</f>
        <v>97</v>
      </c>
      <c r="AZ100">
        <f>RANK(TAcum[[#This Row],[j50]],TAcum[[#All],[j50]],0)</f>
        <v>97</v>
      </c>
      <c r="BA100">
        <f>RANK(TAcum[[#This Row],[j51]],TAcum[[#All],[j51]],0)</f>
        <v>97</v>
      </c>
      <c r="BB100">
        <f>RANK(TAcum[[#This Row],[j52]],TAcum[[#All],[j52]],0)</f>
        <v>97</v>
      </c>
      <c r="BC100">
        <f>RANK(TAcum[[#This Row],[j53]],TAcum[[#All],[j53]],0)</f>
        <v>97</v>
      </c>
      <c r="BD100">
        <f>RANK(TAcum[[#This Row],[j54]],TAcum[[#All],[j54]],0)</f>
        <v>97</v>
      </c>
      <c r="BE100">
        <f>RANK(TAcum[[#This Row],[j55]],TAcum[[#All],[j55]],0)</f>
        <v>97</v>
      </c>
      <c r="BF100">
        <f>RANK(TAcum[[#This Row],[j56]],TAcum[[#All],[j56]],0)</f>
        <v>97</v>
      </c>
      <c r="BG100">
        <f>RANK(TAcum[[#This Row],[j57]],TAcum[[#All],[j57]],0)</f>
        <v>97</v>
      </c>
      <c r="BH100">
        <f>RANK(TAcum[[#This Row],[j58]],TAcum[[#All],[j58]],0)</f>
        <v>97</v>
      </c>
      <c r="BI100">
        <f>RANK(TAcum[[#This Row],[j59]],TAcum[[#All],[j59]],0)</f>
        <v>97</v>
      </c>
      <c r="BJ100">
        <f>RANK(TAcum[[#This Row],[j60]],TAcum[[#All],[j60]],0)</f>
        <v>97</v>
      </c>
      <c r="BK100">
        <f>RANK(TAcum[[#This Row],[j61]],TAcum[[#All],[j61]],0)</f>
        <v>97</v>
      </c>
      <c r="BL100">
        <f>RANK(TAcum[[#This Row],[j62]],TAcum[[#All],[j62]],0)</f>
        <v>97</v>
      </c>
      <c r="BM100">
        <f>RANK(TAcum[[#This Row],[j63]],TAcum[[#All],[j63]],0)</f>
        <v>97</v>
      </c>
      <c r="BN100">
        <f>RANK(TAcum[[#This Row],[j64]],TAcum[[#All],[j64]],0)</f>
        <v>97</v>
      </c>
      <c r="BO100">
        <f>RANK(TAcum[[#This Row],[j65]],TAcum[[#All],[j65]],0)</f>
        <v>97</v>
      </c>
      <c r="BP100">
        <f>RANK(TAcum[[#This Row],[j66]],TAcum[[#All],[j66]],0)</f>
        <v>97</v>
      </c>
      <c r="BQ100">
        <f>RANK(TAcum[[#This Row],[j67]],TAcum[[#All],[j67]],0)</f>
        <v>97</v>
      </c>
      <c r="BR100">
        <f>RANK(TAcum[[#This Row],[j68]],TAcum[[#All],[j68]],0)</f>
        <v>97</v>
      </c>
      <c r="BS100">
        <f>RANK(TAcum[[#This Row],[j69]],TAcum[[#All],[j69]],0)</f>
        <v>97</v>
      </c>
      <c r="BT100">
        <f>RANK(TAcum[[#This Row],[j70]],TAcum[[#All],[j70]],0)</f>
        <v>97</v>
      </c>
      <c r="BU100">
        <f>RANK(TAcum[[#This Row],[j71]],TAcum[[#All],[j71]],0)</f>
        <v>97</v>
      </c>
      <c r="BV100">
        <f>RANK(TAcum[[#This Row],[j72]],TAcum[[#All],[j72]],0)</f>
        <v>97</v>
      </c>
      <c r="BW100">
        <f>RANK(TAcum[[#This Row],[j73]],TAcum[[#All],[j73]],0)</f>
        <v>97</v>
      </c>
    </row>
    <row r="101" spans="1:75" x14ac:dyDescent="0.25">
      <c r="A101" t="str">
        <f>TAcum[[#This Row],[Jogador]]</f>
        <v>Uilson Almeida de Campos</v>
      </c>
      <c r="B101">
        <f>RANK(TAcum[[#This Row],[total]],TAcum[[#All],[total]],0)</f>
        <v>100</v>
      </c>
      <c r="C101">
        <f>RANK(TAcum[[#This Row],[j01]],TAcum[[#All],[j01]],0)</f>
        <v>13</v>
      </c>
      <c r="D101">
        <f>RANK(TAcum[[#This Row],[j02]],TAcum[[#All],[j02]],0)</f>
        <v>14</v>
      </c>
      <c r="E101">
        <f>RANK(TAcum[[#This Row],[j03]],TAcum[[#All],[j03]],0)</f>
        <v>24</v>
      </c>
      <c r="F101">
        <f>RANK(TAcum[[#This Row],[j04]],TAcum[[#All],[j04]],0)</f>
        <v>52</v>
      </c>
      <c r="G101">
        <f>RANK(TAcum[[#This Row],[j05]],TAcum[[#All],[j05]],0)</f>
        <v>52</v>
      </c>
      <c r="H101">
        <f>RANK(TAcum[[#This Row],[j06]],TAcum[[#All],[j06]],0)</f>
        <v>66</v>
      </c>
      <c r="I101">
        <f>RANK(TAcum[[#This Row],[j07]],TAcum[[#All],[j07]],0)</f>
        <v>42</v>
      </c>
      <c r="J101">
        <f>RANK(TAcum[[#This Row],[j08]],TAcum[[#All],[j08]],0)</f>
        <v>43</v>
      </c>
      <c r="K101">
        <f>RANK(TAcum[[#This Row],[j09]],TAcum[[#All],[j09]],0)</f>
        <v>48</v>
      </c>
      <c r="L101">
        <f>RANK(TAcum[[#This Row],[j10]],TAcum[[#All],[j10]],0)</f>
        <v>50</v>
      </c>
      <c r="M101">
        <f>RANK(TAcum[[#This Row],[j11]],TAcum[[#All],[j11]],0)</f>
        <v>57</v>
      </c>
      <c r="N101">
        <f>RANK(TAcum[[#This Row],[j12]],TAcum[[#All],[j12]],0)</f>
        <v>62</v>
      </c>
      <c r="O101">
        <f>RANK(TAcum[[#This Row],[j13]],TAcum[[#All],[j13]],0)</f>
        <v>68</v>
      </c>
      <c r="P101">
        <f>RANK(TAcum[[#This Row],[j14]],TAcum[[#All],[j14]],0)</f>
        <v>74</v>
      </c>
      <c r="Q101">
        <f>RANK(TAcum[[#This Row],[j15]],TAcum[[#All],[j15]],0)</f>
        <v>73</v>
      </c>
      <c r="R101">
        <f>RANK(TAcum[[#This Row],[j16]],TAcum[[#All],[j16]],0)</f>
        <v>78</v>
      </c>
      <c r="S101">
        <f>RANK(TAcum[[#This Row],[j17]],TAcum[[#All],[j17]],0)</f>
        <v>68</v>
      </c>
      <c r="T101">
        <f>RANK(TAcum[[#This Row],[j18]],TAcum[[#All],[j18]],0)</f>
        <v>70</v>
      </c>
      <c r="U101">
        <f>RANK(TAcum[[#This Row],[j19]],TAcum[[#All],[j19]],0)</f>
        <v>67</v>
      </c>
      <c r="V101">
        <f>RANK(TAcum[[#This Row],[j20]],TAcum[[#All],[j20]],0)</f>
        <v>67</v>
      </c>
      <c r="W101">
        <f>RANK(TAcum[[#This Row],[j21]],TAcum[[#All],[j21]],0)</f>
        <v>73</v>
      </c>
      <c r="X101">
        <f>RANK(TAcum[[#This Row],[j22]],TAcum[[#All],[j22]],0)</f>
        <v>78</v>
      </c>
      <c r="Y101">
        <f>RANK(TAcum[[#This Row],[j23]],TAcum[[#All],[j23]],0)</f>
        <v>77</v>
      </c>
      <c r="Z101">
        <f>RANK(TAcum[[#This Row],[j24]],TAcum[[#All],[j24]],0)</f>
        <v>86</v>
      </c>
      <c r="AA101">
        <f>RANK(TAcum[[#This Row],[j25]],TAcum[[#All],[j25]],0)</f>
        <v>87</v>
      </c>
      <c r="AB101">
        <f>RANK(TAcum[[#This Row],[j26]],TAcum[[#All],[j26]],0)</f>
        <v>96</v>
      </c>
      <c r="AC101">
        <f>RANK(TAcum[[#This Row],[j27]],TAcum[[#All],[j27]],0)</f>
        <v>96</v>
      </c>
      <c r="AD101">
        <f>RANK(TAcum[[#This Row],[j28]],TAcum[[#All],[j28]],0)</f>
        <v>93</v>
      </c>
      <c r="AE101">
        <f>RANK(TAcum[[#This Row],[j29]],TAcum[[#All],[j29]],0)</f>
        <v>100</v>
      </c>
      <c r="AF101">
        <f>RANK(TAcum[[#This Row],[j30]],TAcum[[#All],[j30]],0)</f>
        <v>100</v>
      </c>
      <c r="AG101">
        <f>RANK(TAcum[[#This Row],[j31]],TAcum[[#All],[j31]],0)</f>
        <v>100</v>
      </c>
      <c r="AH101">
        <f>RANK(TAcum[[#This Row],[j32]],TAcum[[#All],[j32]],0)</f>
        <v>100</v>
      </c>
      <c r="AI101">
        <f>RANK(TAcum[[#This Row],[j33]],TAcum[[#All],[j33]],0)</f>
        <v>100</v>
      </c>
      <c r="AJ101">
        <f>RANK(TAcum[[#This Row],[j34]],TAcum[[#All],[j34]],0)</f>
        <v>100</v>
      </c>
      <c r="AK101">
        <f>RANK(TAcum[[#This Row],[j35]],TAcum[[#All],[j35]],0)</f>
        <v>100</v>
      </c>
      <c r="AL101">
        <f>RANK(TAcum[[#This Row],[j36]],TAcum[[#All],[j36]],0)</f>
        <v>100</v>
      </c>
      <c r="AM101">
        <f>RANK(TAcum[[#This Row],[j37]],TAcum[[#All],[j37]],0)</f>
        <v>100</v>
      </c>
      <c r="AN101">
        <f>RANK(TAcum[[#This Row],[j38]],TAcum[[#All],[j38]],0)</f>
        <v>100</v>
      </c>
      <c r="AO101">
        <f>RANK(TAcum[[#This Row],[j39]],TAcum[[#All],[j39]],0)</f>
        <v>100</v>
      </c>
      <c r="AP101">
        <f>RANK(TAcum[[#This Row],[j40]],TAcum[[#All],[j40]],0)</f>
        <v>100</v>
      </c>
      <c r="AQ101">
        <f>RANK(TAcum[[#This Row],[j41]],TAcum[[#All],[j41]],0)</f>
        <v>100</v>
      </c>
      <c r="AR101">
        <f>RANK(TAcum[[#This Row],[j42]],TAcum[[#All],[j42]],0)</f>
        <v>100</v>
      </c>
      <c r="AS101">
        <f>RANK(TAcum[[#This Row],[j43]],TAcum[[#All],[j43]],0)</f>
        <v>100</v>
      </c>
      <c r="AT101">
        <f>RANK(TAcum[[#This Row],[j44]],TAcum[[#All],[j44]],0)</f>
        <v>100</v>
      </c>
      <c r="AU101">
        <f>RANK(TAcum[[#This Row],[j45]],TAcum[[#All],[j45]],0)</f>
        <v>100</v>
      </c>
      <c r="AV101">
        <f>RANK(TAcum[[#This Row],[j46]],TAcum[[#All],[j46]],0)</f>
        <v>100</v>
      </c>
      <c r="AW101">
        <f>RANK(TAcum[[#This Row],[j47]],TAcum[[#All],[j47]],0)</f>
        <v>100</v>
      </c>
      <c r="AX101">
        <f>RANK(TAcum[[#This Row],[j48]],TAcum[[#All],[j48]],0)</f>
        <v>100</v>
      </c>
      <c r="AY101">
        <f>RANK(TAcum[[#This Row],[j49]],TAcum[[#All],[j49]],0)</f>
        <v>100</v>
      </c>
      <c r="AZ101">
        <f>RANK(TAcum[[#This Row],[j50]],TAcum[[#All],[j50]],0)</f>
        <v>100</v>
      </c>
      <c r="BA101">
        <f>RANK(TAcum[[#This Row],[j51]],TAcum[[#All],[j51]],0)</f>
        <v>100</v>
      </c>
      <c r="BB101">
        <f>RANK(TAcum[[#This Row],[j52]],TAcum[[#All],[j52]],0)</f>
        <v>100</v>
      </c>
      <c r="BC101">
        <f>RANK(TAcum[[#This Row],[j53]],TAcum[[#All],[j53]],0)</f>
        <v>100</v>
      </c>
      <c r="BD101">
        <f>RANK(TAcum[[#This Row],[j54]],TAcum[[#All],[j54]],0)</f>
        <v>100</v>
      </c>
      <c r="BE101">
        <f>RANK(TAcum[[#This Row],[j55]],TAcum[[#All],[j55]],0)</f>
        <v>100</v>
      </c>
      <c r="BF101">
        <f>RANK(TAcum[[#This Row],[j56]],TAcum[[#All],[j56]],0)</f>
        <v>100</v>
      </c>
      <c r="BG101">
        <f>RANK(TAcum[[#This Row],[j57]],TAcum[[#All],[j57]],0)</f>
        <v>100</v>
      </c>
      <c r="BH101">
        <f>RANK(TAcum[[#This Row],[j58]],TAcum[[#All],[j58]],0)</f>
        <v>100</v>
      </c>
      <c r="BI101">
        <f>RANK(TAcum[[#This Row],[j59]],TAcum[[#All],[j59]],0)</f>
        <v>100</v>
      </c>
      <c r="BJ101">
        <f>RANK(TAcum[[#This Row],[j60]],TAcum[[#All],[j60]],0)</f>
        <v>100</v>
      </c>
      <c r="BK101">
        <f>RANK(TAcum[[#This Row],[j61]],TAcum[[#All],[j61]],0)</f>
        <v>100</v>
      </c>
      <c r="BL101">
        <f>RANK(TAcum[[#This Row],[j62]],TAcum[[#All],[j62]],0)</f>
        <v>100</v>
      </c>
      <c r="BM101">
        <f>RANK(TAcum[[#This Row],[j63]],TAcum[[#All],[j63]],0)</f>
        <v>100</v>
      </c>
      <c r="BN101">
        <f>RANK(TAcum[[#This Row],[j64]],TAcum[[#All],[j64]],0)</f>
        <v>100</v>
      </c>
      <c r="BO101">
        <f>RANK(TAcum[[#This Row],[j65]],TAcum[[#All],[j65]],0)</f>
        <v>100</v>
      </c>
      <c r="BP101">
        <f>RANK(TAcum[[#This Row],[j66]],TAcum[[#All],[j66]],0)</f>
        <v>100</v>
      </c>
      <c r="BQ101">
        <f>RANK(TAcum[[#This Row],[j67]],TAcum[[#All],[j67]],0)</f>
        <v>100</v>
      </c>
      <c r="BR101">
        <f>RANK(TAcum[[#This Row],[j68]],TAcum[[#All],[j68]],0)</f>
        <v>100</v>
      </c>
      <c r="BS101">
        <f>RANK(TAcum[[#This Row],[j69]],TAcum[[#All],[j69]],0)</f>
        <v>100</v>
      </c>
      <c r="BT101">
        <f>RANK(TAcum[[#This Row],[j70]],TAcum[[#All],[j70]],0)</f>
        <v>100</v>
      </c>
      <c r="BU101">
        <f>RANK(TAcum[[#This Row],[j71]],TAcum[[#All],[j71]],0)</f>
        <v>100</v>
      </c>
      <c r="BV101">
        <f>RANK(TAcum[[#This Row],[j72]],TAcum[[#All],[j72]],0)</f>
        <v>100</v>
      </c>
      <c r="BW101">
        <f>RANK(TAcum[[#This Row],[j73]],TAcum[[#All],[j73]],0)</f>
        <v>100</v>
      </c>
    </row>
    <row r="102" spans="1:75" x14ac:dyDescent="0.25">
      <c r="A102" t="str">
        <f>TAcum[[#This Row],[Jogador]]</f>
        <v>Kleber Antas Meyer</v>
      </c>
      <c r="B102">
        <f>RANK(TAcum[[#This Row],[total]],TAcum[[#All],[total]],0)</f>
        <v>101</v>
      </c>
      <c r="C102">
        <f>RANK(TAcum[[#This Row],[j01]],TAcum[[#All],[j01]],0)</f>
        <v>78</v>
      </c>
      <c r="D102">
        <f>RANK(TAcum[[#This Row],[j02]],TAcum[[#All],[j02]],0)</f>
        <v>77</v>
      </c>
      <c r="E102">
        <f>RANK(TAcum[[#This Row],[j03]],TAcum[[#All],[j03]],0)</f>
        <v>61</v>
      </c>
      <c r="F102">
        <f>RANK(TAcum[[#This Row],[j04]],TAcum[[#All],[j04]],0)</f>
        <v>68</v>
      </c>
      <c r="G102">
        <f>RANK(TAcum[[#This Row],[j05]],TAcum[[#All],[j05]],0)</f>
        <v>68</v>
      </c>
      <c r="H102">
        <f>RANK(TAcum[[#This Row],[j06]],TAcum[[#All],[j06]],0)</f>
        <v>75</v>
      </c>
      <c r="I102">
        <f>RANK(TAcum[[#This Row],[j07]],TAcum[[#All],[j07]],0)</f>
        <v>90</v>
      </c>
      <c r="J102">
        <f>RANK(TAcum[[#This Row],[j08]],TAcum[[#All],[j08]],0)</f>
        <v>83</v>
      </c>
      <c r="K102">
        <f>RANK(TAcum[[#This Row],[j09]],TAcum[[#All],[j09]],0)</f>
        <v>93</v>
      </c>
      <c r="L102">
        <f>RANK(TAcum[[#This Row],[j10]],TAcum[[#All],[j10]],0)</f>
        <v>94</v>
      </c>
      <c r="M102">
        <f>RANK(TAcum[[#This Row],[j11]],TAcum[[#All],[j11]],0)</f>
        <v>94</v>
      </c>
      <c r="N102">
        <f>RANK(TAcum[[#This Row],[j12]],TAcum[[#All],[j12]],0)</f>
        <v>96</v>
      </c>
      <c r="O102">
        <f>RANK(TAcum[[#This Row],[j13]],TAcum[[#All],[j13]],0)</f>
        <v>77</v>
      </c>
      <c r="P102">
        <f>RANK(TAcum[[#This Row],[j14]],TAcum[[#All],[j14]],0)</f>
        <v>74</v>
      </c>
      <c r="Q102">
        <f>RANK(TAcum[[#This Row],[j15]],TAcum[[#All],[j15]],0)</f>
        <v>73</v>
      </c>
      <c r="R102">
        <f>RANK(TAcum[[#This Row],[j16]],TAcum[[#All],[j16]],0)</f>
        <v>78</v>
      </c>
      <c r="S102">
        <f>RANK(TAcum[[#This Row],[j17]],TAcum[[#All],[j17]],0)</f>
        <v>83</v>
      </c>
      <c r="T102">
        <f>RANK(TAcum[[#This Row],[j18]],TAcum[[#All],[j18]],0)</f>
        <v>85</v>
      </c>
      <c r="U102">
        <f>RANK(TAcum[[#This Row],[j19]],TAcum[[#All],[j19]],0)</f>
        <v>99</v>
      </c>
      <c r="V102">
        <f>RANK(TAcum[[#This Row],[j20]],TAcum[[#All],[j20]],0)</f>
        <v>98</v>
      </c>
      <c r="W102">
        <f>RANK(TAcum[[#This Row],[j21]],TAcum[[#All],[j21]],0)</f>
        <v>100</v>
      </c>
      <c r="X102">
        <f>RANK(TAcum[[#This Row],[j22]],TAcum[[#All],[j22]],0)</f>
        <v>78</v>
      </c>
      <c r="Y102">
        <f>RANK(TAcum[[#This Row],[j23]],TAcum[[#All],[j23]],0)</f>
        <v>94</v>
      </c>
      <c r="Z102">
        <f>RANK(TAcum[[#This Row],[j24]],TAcum[[#All],[j24]],0)</f>
        <v>77</v>
      </c>
      <c r="AA102">
        <f>RANK(TAcum[[#This Row],[j25]],TAcum[[#All],[j25]],0)</f>
        <v>90</v>
      </c>
      <c r="AB102">
        <f>RANK(TAcum[[#This Row],[j26]],TAcum[[#All],[j26]],0)</f>
        <v>97</v>
      </c>
      <c r="AC102">
        <f>RANK(TAcum[[#This Row],[j27]],TAcum[[#All],[j27]],0)</f>
        <v>97</v>
      </c>
      <c r="AD102">
        <f>RANK(TAcum[[#This Row],[j28]],TAcum[[#All],[j28]],0)</f>
        <v>95</v>
      </c>
      <c r="AE102">
        <f>RANK(TAcum[[#This Row],[j29]],TAcum[[#All],[j29]],0)</f>
        <v>101</v>
      </c>
      <c r="AF102">
        <f>RANK(TAcum[[#This Row],[j30]],TAcum[[#All],[j30]],0)</f>
        <v>101</v>
      </c>
      <c r="AG102">
        <f>RANK(TAcum[[#This Row],[j31]],TAcum[[#All],[j31]],0)</f>
        <v>101</v>
      </c>
      <c r="AH102">
        <f>RANK(TAcum[[#This Row],[j32]],TAcum[[#All],[j32]],0)</f>
        <v>101</v>
      </c>
      <c r="AI102">
        <f>RANK(TAcum[[#This Row],[j33]],TAcum[[#All],[j33]],0)</f>
        <v>101</v>
      </c>
      <c r="AJ102">
        <f>RANK(TAcum[[#This Row],[j34]],TAcum[[#All],[j34]],0)</f>
        <v>101</v>
      </c>
      <c r="AK102">
        <f>RANK(TAcum[[#This Row],[j35]],TAcum[[#All],[j35]],0)</f>
        <v>101</v>
      </c>
      <c r="AL102">
        <f>RANK(TAcum[[#This Row],[j36]],TAcum[[#All],[j36]],0)</f>
        <v>101</v>
      </c>
      <c r="AM102">
        <f>RANK(TAcum[[#This Row],[j37]],TAcum[[#All],[j37]],0)</f>
        <v>101</v>
      </c>
      <c r="AN102">
        <f>RANK(TAcum[[#This Row],[j38]],TAcum[[#All],[j38]],0)</f>
        <v>101</v>
      </c>
      <c r="AO102">
        <f>RANK(TAcum[[#This Row],[j39]],TAcum[[#All],[j39]],0)</f>
        <v>101</v>
      </c>
      <c r="AP102">
        <f>RANK(TAcum[[#This Row],[j40]],TAcum[[#All],[j40]],0)</f>
        <v>101</v>
      </c>
      <c r="AQ102">
        <f>RANK(TAcum[[#This Row],[j41]],TAcum[[#All],[j41]],0)</f>
        <v>101</v>
      </c>
      <c r="AR102">
        <f>RANK(TAcum[[#This Row],[j42]],TAcum[[#All],[j42]],0)</f>
        <v>101</v>
      </c>
      <c r="AS102">
        <f>RANK(TAcum[[#This Row],[j43]],TAcum[[#All],[j43]],0)</f>
        <v>101</v>
      </c>
      <c r="AT102">
        <f>RANK(TAcum[[#This Row],[j44]],TAcum[[#All],[j44]],0)</f>
        <v>101</v>
      </c>
      <c r="AU102">
        <f>RANK(TAcum[[#This Row],[j45]],TAcum[[#All],[j45]],0)</f>
        <v>101</v>
      </c>
      <c r="AV102">
        <f>RANK(TAcum[[#This Row],[j46]],TAcum[[#All],[j46]],0)</f>
        <v>101</v>
      </c>
      <c r="AW102">
        <f>RANK(TAcum[[#This Row],[j47]],TAcum[[#All],[j47]],0)</f>
        <v>101</v>
      </c>
      <c r="AX102">
        <f>RANK(TAcum[[#This Row],[j48]],TAcum[[#All],[j48]],0)</f>
        <v>101</v>
      </c>
      <c r="AY102">
        <f>RANK(TAcum[[#This Row],[j49]],TAcum[[#All],[j49]],0)</f>
        <v>101</v>
      </c>
      <c r="AZ102">
        <f>RANK(TAcum[[#This Row],[j50]],TAcum[[#All],[j50]],0)</f>
        <v>101</v>
      </c>
      <c r="BA102">
        <f>RANK(TAcum[[#This Row],[j51]],TAcum[[#All],[j51]],0)</f>
        <v>101</v>
      </c>
      <c r="BB102">
        <f>RANK(TAcum[[#This Row],[j52]],TAcum[[#All],[j52]],0)</f>
        <v>101</v>
      </c>
      <c r="BC102">
        <f>RANK(TAcum[[#This Row],[j53]],TAcum[[#All],[j53]],0)</f>
        <v>101</v>
      </c>
      <c r="BD102">
        <f>RANK(TAcum[[#This Row],[j54]],TAcum[[#All],[j54]],0)</f>
        <v>101</v>
      </c>
      <c r="BE102">
        <f>RANK(TAcum[[#This Row],[j55]],TAcum[[#All],[j55]],0)</f>
        <v>101</v>
      </c>
      <c r="BF102">
        <f>RANK(TAcum[[#This Row],[j56]],TAcum[[#All],[j56]],0)</f>
        <v>101</v>
      </c>
      <c r="BG102">
        <f>RANK(TAcum[[#This Row],[j57]],TAcum[[#All],[j57]],0)</f>
        <v>101</v>
      </c>
      <c r="BH102">
        <f>RANK(TAcum[[#This Row],[j58]],TAcum[[#All],[j58]],0)</f>
        <v>101</v>
      </c>
      <c r="BI102">
        <f>RANK(TAcum[[#This Row],[j59]],TAcum[[#All],[j59]],0)</f>
        <v>101</v>
      </c>
      <c r="BJ102">
        <f>RANK(TAcum[[#This Row],[j60]],TAcum[[#All],[j60]],0)</f>
        <v>101</v>
      </c>
      <c r="BK102">
        <f>RANK(TAcum[[#This Row],[j61]],TAcum[[#All],[j61]],0)</f>
        <v>101</v>
      </c>
      <c r="BL102">
        <f>RANK(TAcum[[#This Row],[j62]],TAcum[[#All],[j62]],0)</f>
        <v>101</v>
      </c>
      <c r="BM102">
        <f>RANK(TAcum[[#This Row],[j63]],TAcum[[#All],[j63]],0)</f>
        <v>101</v>
      </c>
      <c r="BN102">
        <f>RANK(TAcum[[#This Row],[j64]],TAcum[[#All],[j64]],0)</f>
        <v>101</v>
      </c>
      <c r="BO102">
        <f>RANK(TAcum[[#This Row],[j65]],TAcum[[#All],[j65]],0)</f>
        <v>101</v>
      </c>
      <c r="BP102">
        <f>RANK(TAcum[[#This Row],[j66]],TAcum[[#All],[j66]],0)</f>
        <v>101</v>
      </c>
      <c r="BQ102">
        <f>RANK(TAcum[[#This Row],[j67]],TAcum[[#All],[j67]],0)</f>
        <v>101</v>
      </c>
      <c r="BR102">
        <f>RANK(TAcum[[#This Row],[j68]],TAcum[[#All],[j68]],0)</f>
        <v>101</v>
      </c>
      <c r="BS102">
        <f>RANK(TAcum[[#This Row],[j69]],TAcum[[#All],[j69]],0)</f>
        <v>101</v>
      </c>
      <c r="BT102">
        <f>RANK(TAcum[[#This Row],[j70]],TAcum[[#All],[j70]],0)</f>
        <v>101</v>
      </c>
      <c r="BU102">
        <f>RANK(TAcum[[#This Row],[j71]],TAcum[[#All],[j71]],0)</f>
        <v>101</v>
      </c>
      <c r="BV102">
        <f>RANK(TAcum[[#This Row],[j72]],TAcum[[#All],[j72]],0)</f>
        <v>101</v>
      </c>
      <c r="BW102">
        <f>RANK(TAcum[[#This Row],[j73]],TAcum[[#All],[j73]],0)</f>
        <v>101</v>
      </c>
    </row>
    <row r="103" spans="1:75" x14ac:dyDescent="0.25">
      <c r="A103" t="str">
        <f>TAcum[[#This Row],[Jogador]]</f>
        <v>Mateus Baleeiro Costa</v>
      </c>
      <c r="B103">
        <f>RANK(TAcum[[#This Row],[total]],TAcum[[#All],[total]],0)</f>
        <v>101</v>
      </c>
      <c r="C103">
        <f>RANK(TAcum[[#This Row],[j01]],TAcum[[#All],[j01]],0)</f>
        <v>13</v>
      </c>
      <c r="D103">
        <f>RANK(TAcum[[#This Row],[j02]],TAcum[[#All],[j02]],0)</f>
        <v>14</v>
      </c>
      <c r="E103">
        <f>RANK(TAcum[[#This Row],[j03]],TAcum[[#All],[j03]],0)</f>
        <v>82</v>
      </c>
      <c r="F103">
        <f>RANK(TAcum[[#This Row],[j04]],TAcum[[#All],[j04]],0)</f>
        <v>54</v>
      </c>
      <c r="G103">
        <f>RANK(TAcum[[#This Row],[j05]],TAcum[[#All],[j05]],0)</f>
        <v>55</v>
      </c>
      <c r="H103">
        <f>RANK(TAcum[[#This Row],[j06]],TAcum[[#All],[j06]],0)</f>
        <v>53</v>
      </c>
      <c r="I103">
        <f>RANK(TAcum[[#This Row],[j07]],TAcum[[#All],[j07]],0)</f>
        <v>71</v>
      </c>
      <c r="J103">
        <f>RANK(TAcum[[#This Row],[j08]],TAcum[[#All],[j08]],0)</f>
        <v>65</v>
      </c>
      <c r="K103">
        <f>RANK(TAcum[[#This Row],[j09]],TAcum[[#All],[j09]],0)</f>
        <v>64</v>
      </c>
      <c r="L103">
        <f>RANK(TAcum[[#This Row],[j10]],TAcum[[#All],[j10]],0)</f>
        <v>65</v>
      </c>
      <c r="M103">
        <f>RANK(TAcum[[#This Row],[j11]],TAcum[[#All],[j11]],0)</f>
        <v>61</v>
      </c>
      <c r="N103">
        <f>RANK(TAcum[[#This Row],[j12]],TAcum[[#All],[j12]],0)</f>
        <v>69</v>
      </c>
      <c r="O103">
        <f>RANK(TAcum[[#This Row],[j13]],TAcum[[#All],[j13]],0)</f>
        <v>73</v>
      </c>
      <c r="P103">
        <f>RANK(TAcum[[#This Row],[j14]],TAcum[[#All],[j14]],0)</f>
        <v>70</v>
      </c>
      <c r="Q103">
        <f>RANK(TAcum[[#This Row],[j15]],TAcum[[#All],[j15]],0)</f>
        <v>92</v>
      </c>
      <c r="R103">
        <f>RANK(TAcum[[#This Row],[j16]],TAcum[[#All],[j16]],0)</f>
        <v>90</v>
      </c>
      <c r="S103">
        <f>RANK(TAcum[[#This Row],[j17]],TAcum[[#All],[j17]],0)</f>
        <v>94</v>
      </c>
      <c r="T103">
        <f>RANK(TAcum[[#This Row],[j18]],TAcum[[#All],[j18]],0)</f>
        <v>95</v>
      </c>
      <c r="U103">
        <f>RANK(TAcum[[#This Row],[j19]],TAcum[[#All],[j19]],0)</f>
        <v>92</v>
      </c>
      <c r="V103">
        <f>RANK(TAcum[[#This Row],[j20]],TAcum[[#All],[j20]],0)</f>
        <v>92</v>
      </c>
      <c r="W103">
        <f>RANK(TAcum[[#This Row],[j21]],TAcum[[#All],[j21]],0)</f>
        <v>95</v>
      </c>
      <c r="X103">
        <f>RANK(TAcum[[#This Row],[j22]],TAcum[[#All],[j22]],0)</f>
        <v>98</v>
      </c>
      <c r="Y103">
        <f>RANK(TAcum[[#This Row],[j23]],TAcum[[#All],[j23]],0)</f>
        <v>83</v>
      </c>
      <c r="Z103">
        <f>RANK(TAcum[[#This Row],[j24]],TAcum[[#All],[j24]],0)</f>
        <v>94</v>
      </c>
      <c r="AA103">
        <f>RANK(TAcum[[#This Row],[j25]],TAcum[[#All],[j25]],0)</f>
        <v>90</v>
      </c>
      <c r="AB103">
        <f>RANK(TAcum[[#This Row],[j26]],TAcum[[#All],[j26]],0)</f>
        <v>97</v>
      </c>
      <c r="AC103">
        <f>RANK(TAcum[[#This Row],[j27]],TAcum[[#All],[j27]],0)</f>
        <v>97</v>
      </c>
      <c r="AD103">
        <f>RANK(TAcum[[#This Row],[j28]],TAcum[[#All],[j28]],0)</f>
        <v>95</v>
      </c>
      <c r="AE103">
        <f>RANK(TAcum[[#This Row],[j29]],TAcum[[#All],[j29]],0)</f>
        <v>101</v>
      </c>
      <c r="AF103">
        <f>RANK(TAcum[[#This Row],[j30]],TAcum[[#All],[j30]],0)</f>
        <v>101</v>
      </c>
      <c r="AG103">
        <f>RANK(TAcum[[#This Row],[j31]],TAcum[[#All],[j31]],0)</f>
        <v>101</v>
      </c>
      <c r="AH103">
        <f>RANK(TAcum[[#This Row],[j32]],TAcum[[#All],[j32]],0)</f>
        <v>101</v>
      </c>
      <c r="AI103">
        <f>RANK(TAcum[[#This Row],[j33]],TAcum[[#All],[j33]],0)</f>
        <v>101</v>
      </c>
      <c r="AJ103">
        <f>RANK(TAcum[[#This Row],[j34]],TAcum[[#All],[j34]],0)</f>
        <v>101</v>
      </c>
      <c r="AK103">
        <f>RANK(TAcum[[#This Row],[j35]],TAcum[[#All],[j35]],0)</f>
        <v>101</v>
      </c>
      <c r="AL103">
        <f>RANK(TAcum[[#This Row],[j36]],TAcum[[#All],[j36]],0)</f>
        <v>101</v>
      </c>
      <c r="AM103">
        <f>RANK(TAcum[[#This Row],[j37]],TAcum[[#All],[j37]],0)</f>
        <v>101</v>
      </c>
      <c r="AN103">
        <f>RANK(TAcum[[#This Row],[j38]],TAcum[[#All],[j38]],0)</f>
        <v>101</v>
      </c>
      <c r="AO103">
        <f>RANK(TAcum[[#This Row],[j39]],TAcum[[#All],[j39]],0)</f>
        <v>101</v>
      </c>
      <c r="AP103">
        <f>RANK(TAcum[[#This Row],[j40]],TAcum[[#All],[j40]],0)</f>
        <v>101</v>
      </c>
      <c r="AQ103">
        <f>RANK(TAcum[[#This Row],[j41]],TAcum[[#All],[j41]],0)</f>
        <v>101</v>
      </c>
      <c r="AR103">
        <f>RANK(TAcum[[#This Row],[j42]],TAcum[[#All],[j42]],0)</f>
        <v>101</v>
      </c>
      <c r="AS103">
        <f>RANK(TAcum[[#This Row],[j43]],TAcum[[#All],[j43]],0)</f>
        <v>101</v>
      </c>
      <c r="AT103">
        <f>RANK(TAcum[[#This Row],[j44]],TAcum[[#All],[j44]],0)</f>
        <v>101</v>
      </c>
      <c r="AU103">
        <f>RANK(TAcum[[#This Row],[j45]],TAcum[[#All],[j45]],0)</f>
        <v>101</v>
      </c>
      <c r="AV103">
        <f>RANK(TAcum[[#This Row],[j46]],TAcum[[#All],[j46]],0)</f>
        <v>101</v>
      </c>
      <c r="AW103">
        <f>RANK(TAcum[[#This Row],[j47]],TAcum[[#All],[j47]],0)</f>
        <v>101</v>
      </c>
      <c r="AX103">
        <f>RANK(TAcum[[#This Row],[j48]],TAcum[[#All],[j48]],0)</f>
        <v>101</v>
      </c>
      <c r="AY103">
        <f>RANK(TAcum[[#This Row],[j49]],TAcum[[#All],[j49]],0)</f>
        <v>101</v>
      </c>
      <c r="AZ103">
        <f>RANK(TAcum[[#This Row],[j50]],TAcum[[#All],[j50]],0)</f>
        <v>101</v>
      </c>
      <c r="BA103">
        <f>RANK(TAcum[[#This Row],[j51]],TAcum[[#All],[j51]],0)</f>
        <v>101</v>
      </c>
      <c r="BB103">
        <f>RANK(TAcum[[#This Row],[j52]],TAcum[[#All],[j52]],0)</f>
        <v>101</v>
      </c>
      <c r="BC103">
        <f>RANK(TAcum[[#This Row],[j53]],TAcum[[#All],[j53]],0)</f>
        <v>101</v>
      </c>
      <c r="BD103">
        <f>RANK(TAcum[[#This Row],[j54]],TAcum[[#All],[j54]],0)</f>
        <v>101</v>
      </c>
      <c r="BE103">
        <f>RANK(TAcum[[#This Row],[j55]],TAcum[[#All],[j55]],0)</f>
        <v>101</v>
      </c>
      <c r="BF103">
        <f>RANK(TAcum[[#This Row],[j56]],TAcum[[#All],[j56]],0)</f>
        <v>101</v>
      </c>
      <c r="BG103">
        <f>RANK(TAcum[[#This Row],[j57]],TAcum[[#All],[j57]],0)</f>
        <v>101</v>
      </c>
      <c r="BH103">
        <f>RANK(TAcum[[#This Row],[j58]],TAcum[[#All],[j58]],0)</f>
        <v>101</v>
      </c>
      <c r="BI103">
        <f>RANK(TAcum[[#This Row],[j59]],TAcum[[#All],[j59]],0)</f>
        <v>101</v>
      </c>
      <c r="BJ103">
        <f>RANK(TAcum[[#This Row],[j60]],TAcum[[#All],[j60]],0)</f>
        <v>101</v>
      </c>
      <c r="BK103">
        <f>RANK(TAcum[[#This Row],[j61]],TAcum[[#All],[j61]],0)</f>
        <v>101</v>
      </c>
      <c r="BL103">
        <f>RANK(TAcum[[#This Row],[j62]],TAcum[[#All],[j62]],0)</f>
        <v>101</v>
      </c>
      <c r="BM103">
        <f>RANK(TAcum[[#This Row],[j63]],TAcum[[#All],[j63]],0)</f>
        <v>101</v>
      </c>
      <c r="BN103">
        <f>RANK(TAcum[[#This Row],[j64]],TAcum[[#All],[j64]],0)</f>
        <v>101</v>
      </c>
      <c r="BO103">
        <f>RANK(TAcum[[#This Row],[j65]],TAcum[[#All],[j65]],0)</f>
        <v>101</v>
      </c>
      <c r="BP103">
        <f>RANK(TAcum[[#This Row],[j66]],TAcum[[#All],[j66]],0)</f>
        <v>101</v>
      </c>
      <c r="BQ103">
        <f>RANK(TAcum[[#This Row],[j67]],TAcum[[#All],[j67]],0)</f>
        <v>101</v>
      </c>
      <c r="BR103">
        <f>RANK(TAcum[[#This Row],[j68]],TAcum[[#All],[j68]],0)</f>
        <v>101</v>
      </c>
      <c r="BS103">
        <f>RANK(TAcum[[#This Row],[j69]],TAcum[[#All],[j69]],0)</f>
        <v>101</v>
      </c>
      <c r="BT103">
        <f>RANK(TAcum[[#This Row],[j70]],TAcum[[#All],[j70]],0)</f>
        <v>101</v>
      </c>
      <c r="BU103">
        <f>RANK(TAcum[[#This Row],[j71]],TAcum[[#All],[j71]],0)</f>
        <v>101</v>
      </c>
      <c r="BV103">
        <f>RANK(TAcum[[#This Row],[j72]],TAcum[[#All],[j72]],0)</f>
        <v>101</v>
      </c>
      <c r="BW103">
        <f>RANK(TAcum[[#This Row],[j73]],TAcum[[#All],[j73]],0)</f>
        <v>101</v>
      </c>
    </row>
    <row r="104" spans="1:75" x14ac:dyDescent="0.25">
      <c r="A104" t="str">
        <f>TAcum[[#This Row],[Jogador]]</f>
        <v>Tadeu Meniconi</v>
      </c>
      <c r="B104">
        <f>RANK(TAcum[[#This Row],[total]],TAcum[[#All],[total]],0)</f>
        <v>101</v>
      </c>
      <c r="C104">
        <f>RANK(TAcum[[#This Row],[j01]],TAcum[[#All],[j01]],0)</f>
        <v>78</v>
      </c>
      <c r="D104">
        <f>RANK(TAcum[[#This Row],[j02]],TAcum[[#All],[j02]],0)</f>
        <v>77</v>
      </c>
      <c r="E104">
        <f>RANK(TAcum[[#This Row],[j03]],TAcum[[#All],[j03]],0)</f>
        <v>110</v>
      </c>
      <c r="F104">
        <f>RANK(TAcum[[#This Row],[j04]],TAcum[[#All],[j04]],0)</f>
        <v>110</v>
      </c>
      <c r="G104">
        <f>RANK(TAcum[[#This Row],[j05]],TAcum[[#All],[j05]],0)</f>
        <v>110</v>
      </c>
      <c r="H104">
        <f>RANK(TAcum[[#This Row],[j06]],TAcum[[#All],[j06]],0)</f>
        <v>111</v>
      </c>
      <c r="I104">
        <f>RANK(TAcum[[#This Row],[j07]],TAcum[[#All],[j07]],0)</f>
        <v>103</v>
      </c>
      <c r="J104">
        <f>RANK(TAcum[[#This Row],[j08]],TAcum[[#All],[j08]],0)</f>
        <v>102</v>
      </c>
      <c r="K104">
        <f>RANK(TAcum[[#This Row],[j09]],TAcum[[#All],[j09]],0)</f>
        <v>102</v>
      </c>
      <c r="L104">
        <f>RANK(TAcum[[#This Row],[j10]],TAcum[[#All],[j10]],0)</f>
        <v>103</v>
      </c>
      <c r="M104">
        <f>RANK(TAcum[[#This Row],[j11]],TAcum[[#All],[j11]],0)</f>
        <v>99</v>
      </c>
      <c r="N104">
        <f>RANK(TAcum[[#This Row],[j12]],TAcum[[#All],[j12]],0)</f>
        <v>103</v>
      </c>
      <c r="O104">
        <f>RANK(TAcum[[#This Row],[j13]],TAcum[[#All],[j13]],0)</f>
        <v>107</v>
      </c>
      <c r="P104">
        <f>RANK(TAcum[[#This Row],[j14]],TAcum[[#All],[j14]],0)</f>
        <v>107</v>
      </c>
      <c r="Q104">
        <f>RANK(TAcum[[#This Row],[j15]],TAcum[[#All],[j15]],0)</f>
        <v>105</v>
      </c>
      <c r="R104">
        <f>RANK(TAcum[[#This Row],[j16]],TAcum[[#All],[j16]],0)</f>
        <v>109</v>
      </c>
      <c r="S104">
        <f>RANK(TAcum[[#This Row],[j17]],TAcum[[#All],[j17]],0)</f>
        <v>102</v>
      </c>
      <c r="T104">
        <f>RANK(TAcum[[#This Row],[j18]],TAcum[[#All],[j18]],0)</f>
        <v>95</v>
      </c>
      <c r="U104">
        <f>RANK(TAcum[[#This Row],[j19]],TAcum[[#All],[j19]],0)</f>
        <v>92</v>
      </c>
      <c r="V104">
        <f>RANK(TAcum[[#This Row],[j20]],TAcum[[#All],[j20]],0)</f>
        <v>92</v>
      </c>
      <c r="W104">
        <f>RANK(TAcum[[#This Row],[j21]],TAcum[[#All],[j21]],0)</f>
        <v>81</v>
      </c>
      <c r="X104">
        <f>RANK(TAcum[[#This Row],[j22]],TAcum[[#All],[j22]],0)</f>
        <v>85</v>
      </c>
      <c r="Y104">
        <f>RANK(TAcum[[#This Row],[j23]],TAcum[[#All],[j23]],0)</f>
        <v>71</v>
      </c>
      <c r="Z104">
        <f>RANK(TAcum[[#This Row],[j24]],TAcum[[#All],[j24]],0)</f>
        <v>80</v>
      </c>
      <c r="AA104">
        <f>RANK(TAcum[[#This Row],[j25]],TAcum[[#All],[j25]],0)</f>
        <v>96</v>
      </c>
      <c r="AB104">
        <f>RANK(TAcum[[#This Row],[j26]],TAcum[[#All],[j26]],0)</f>
        <v>97</v>
      </c>
      <c r="AC104">
        <f>RANK(TAcum[[#This Row],[j27]],TAcum[[#All],[j27]],0)</f>
        <v>97</v>
      </c>
      <c r="AD104">
        <f>RANK(TAcum[[#This Row],[j28]],TAcum[[#All],[j28]],0)</f>
        <v>105</v>
      </c>
      <c r="AE104">
        <f>RANK(TAcum[[#This Row],[j29]],TAcum[[#All],[j29]],0)</f>
        <v>101</v>
      </c>
      <c r="AF104">
        <f>RANK(TAcum[[#This Row],[j30]],TAcum[[#All],[j30]],0)</f>
        <v>101</v>
      </c>
      <c r="AG104">
        <f>RANK(TAcum[[#This Row],[j31]],TAcum[[#All],[j31]],0)</f>
        <v>101</v>
      </c>
      <c r="AH104">
        <f>RANK(TAcum[[#This Row],[j32]],TAcum[[#All],[j32]],0)</f>
        <v>101</v>
      </c>
      <c r="AI104">
        <f>RANK(TAcum[[#This Row],[j33]],TAcum[[#All],[j33]],0)</f>
        <v>101</v>
      </c>
      <c r="AJ104">
        <f>RANK(TAcum[[#This Row],[j34]],TAcum[[#All],[j34]],0)</f>
        <v>101</v>
      </c>
      <c r="AK104">
        <f>RANK(TAcum[[#This Row],[j35]],TAcum[[#All],[j35]],0)</f>
        <v>101</v>
      </c>
      <c r="AL104">
        <f>RANK(TAcum[[#This Row],[j36]],TAcum[[#All],[j36]],0)</f>
        <v>101</v>
      </c>
      <c r="AM104">
        <f>RANK(TAcum[[#This Row],[j37]],TAcum[[#All],[j37]],0)</f>
        <v>101</v>
      </c>
      <c r="AN104">
        <f>RANK(TAcum[[#This Row],[j38]],TAcum[[#All],[j38]],0)</f>
        <v>101</v>
      </c>
      <c r="AO104">
        <f>RANK(TAcum[[#This Row],[j39]],TAcum[[#All],[j39]],0)</f>
        <v>101</v>
      </c>
      <c r="AP104">
        <f>RANK(TAcum[[#This Row],[j40]],TAcum[[#All],[j40]],0)</f>
        <v>101</v>
      </c>
      <c r="AQ104">
        <f>RANK(TAcum[[#This Row],[j41]],TAcum[[#All],[j41]],0)</f>
        <v>101</v>
      </c>
      <c r="AR104">
        <f>RANK(TAcum[[#This Row],[j42]],TAcum[[#All],[j42]],0)</f>
        <v>101</v>
      </c>
      <c r="AS104">
        <f>RANK(TAcum[[#This Row],[j43]],TAcum[[#All],[j43]],0)</f>
        <v>101</v>
      </c>
      <c r="AT104">
        <f>RANK(TAcum[[#This Row],[j44]],TAcum[[#All],[j44]],0)</f>
        <v>101</v>
      </c>
      <c r="AU104">
        <f>RANK(TAcum[[#This Row],[j45]],TAcum[[#All],[j45]],0)</f>
        <v>101</v>
      </c>
      <c r="AV104">
        <f>RANK(TAcum[[#This Row],[j46]],TAcum[[#All],[j46]],0)</f>
        <v>101</v>
      </c>
      <c r="AW104">
        <f>RANK(TAcum[[#This Row],[j47]],TAcum[[#All],[j47]],0)</f>
        <v>101</v>
      </c>
      <c r="AX104">
        <f>RANK(TAcum[[#This Row],[j48]],TAcum[[#All],[j48]],0)</f>
        <v>101</v>
      </c>
      <c r="AY104">
        <f>RANK(TAcum[[#This Row],[j49]],TAcum[[#All],[j49]],0)</f>
        <v>101</v>
      </c>
      <c r="AZ104">
        <f>RANK(TAcum[[#This Row],[j50]],TAcum[[#All],[j50]],0)</f>
        <v>101</v>
      </c>
      <c r="BA104">
        <f>RANK(TAcum[[#This Row],[j51]],TAcum[[#All],[j51]],0)</f>
        <v>101</v>
      </c>
      <c r="BB104">
        <f>RANK(TAcum[[#This Row],[j52]],TAcum[[#All],[j52]],0)</f>
        <v>101</v>
      </c>
      <c r="BC104">
        <f>RANK(TAcum[[#This Row],[j53]],TAcum[[#All],[j53]],0)</f>
        <v>101</v>
      </c>
      <c r="BD104">
        <f>RANK(TAcum[[#This Row],[j54]],TAcum[[#All],[j54]],0)</f>
        <v>101</v>
      </c>
      <c r="BE104">
        <f>RANK(TAcum[[#This Row],[j55]],TAcum[[#All],[j55]],0)</f>
        <v>101</v>
      </c>
      <c r="BF104">
        <f>RANK(TAcum[[#This Row],[j56]],TAcum[[#All],[j56]],0)</f>
        <v>101</v>
      </c>
      <c r="BG104">
        <f>RANK(TAcum[[#This Row],[j57]],TAcum[[#All],[j57]],0)</f>
        <v>101</v>
      </c>
      <c r="BH104">
        <f>RANK(TAcum[[#This Row],[j58]],TAcum[[#All],[j58]],0)</f>
        <v>101</v>
      </c>
      <c r="BI104">
        <f>RANK(TAcum[[#This Row],[j59]],TAcum[[#All],[j59]],0)</f>
        <v>101</v>
      </c>
      <c r="BJ104">
        <f>RANK(TAcum[[#This Row],[j60]],TAcum[[#All],[j60]],0)</f>
        <v>101</v>
      </c>
      <c r="BK104">
        <f>RANK(TAcum[[#This Row],[j61]],TAcum[[#All],[j61]],0)</f>
        <v>101</v>
      </c>
      <c r="BL104">
        <f>RANK(TAcum[[#This Row],[j62]],TAcum[[#All],[j62]],0)</f>
        <v>101</v>
      </c>
      <c r="BM104">
        <f>RANK(TAcum[[#This Row],[j63]],TAcum[[#All],[j63]],0)</f>
        <v>101</v>
      </c>
      <c r="BN104">
        <f>RANK(TAcum[[#This Row],[j64]],TAcum[[#All],[j64]],0)</f>
        <v>101</v>
      </c>
      <c r="BO104">
        <f>RANK(TAcum[[#This Row],[j65]],TAcum[[#All],[j65]],0)</f>
        <v>101</v>
      </c>
      <c r="BP104">
        <f>RANK(TAcum[[#This Row],[j66]],TAcum[[#All],[j66]],0)</f>
        <v>101</v>
      </c>
      <c r="BQ104">
        <f>RANK(TAcum[[#This Row],[j67]],TAcum[[#All],[j67]],0)</f>
        <v>101</v>
      </c>
      <c r="BR104">
        <f>RANK(TAcum[[#This Row],[j68]],TAcum[[#All],[j68]],0)</f>
        <v>101</v>
      </c>
      <c r="BS104">
        <f>RANK(TAcum[[#This Row],[j69]],TAcum[[#All],[j69]],0)</f>
        <v>101</v>
      </c>
      <c r="BT104">
        <f>RANK(TAcum[[#This Row],[j70]],TAcum[[#All],[j70]],0)</f>
        <v>101</v>
      </c>
      <c r="BU104">
        <f>RANK(TAcum[[#This Row],[j71]],TAcum[[#All],[j71]],0)</f>
        <v>101</v>
      </c>
      <c r="BV104">
        <f>RANK(TAcum[[#This Row],[j72]],TAcum[[#All],[j72]],0)</f>
        <v>101</v>
      </c>
      <c r="BW104">
        <f>RANK(TAcum[[#This Row],[j73]],TAcum[[#All],[j73]],0)</f>
        <v>101</v>
      </c>
    </row>
    <row r="105" spans="1:75" x14ac:dyDescent="0.25">
      <c r="A105" t="str">
        <f>TAcum[[#This Row],[Jogador]]</f>
        <v>Pedro Cauê</v>
      </c>
      <c r="B105">
        <f>RANK(TAcum[[#This Row],[total]],TAcum[[#All],[total]],0)</f>
        <v>104</v>
      </c>
      <c r="C105">
        <f>RANK(TAcum[[#This Row],[j01]],TAcum[[#All],[j01]],0)</f>
        <v>65</v>
      </c>
      <c r="D105">
        <f>RANK(TAcum[[#This Row],[j02]],TAcum[[#All],[j02]],0)</f>
        <v>62</v>
      </c>
      <c r="E105">
        <f>RANK(TAcum[[#This Row],[j03]],TAcum[[#All],[j03]],0)</f>
        <v>82</v>
      </c>
      <c r="F105">
        <f>RANK(TAcum[[#This Row],[j04]],TAcum[[#All],[j04]],0)</f>
        <v>89</v>
      </c>
      <c r="G105">
        <f>RANK(TAcum[[#This Row],[j05]],TAcum[[#All],[j05]],0)</f>
        <v>89</v>
      </c>
      <c r="H105">
        <f>RANK(TAcum[[#This Row],[j06]],TAcum[[#All],[j06]],0)</f>
        <v>93</v>
      </c>
      <c r="I105">
        <f>RANK(TAcum[[#This Row],[j07]],TAcum[[#All],[j07]],0)</f>
        <v>82</v>
      </c>
      <c r="J105">
        <f>RANK(TAcum[[#This Row],[j08]],TAcum[[#All],[j08]],0)</f>
        <v>86</v>
      </c>
      <c r="K105">
        <f>RANK(TAcum[[#This Row],[j09]],TAcum[[#All],[j09]],0)</f>
        <v>85</v>
      </c>
      <c r="L105">
        <f>RANK(TAcum[[#This Row],[j10]],TAcum[[#All],[j10]],0)</f>
        <v>86</v>
      </c>
      <c r="M105">
        <f>RANK(TAcum[[#This Row],[j11]],TAcum[[#All],[j11]],0)</f>
        <v>88</v>
      </c>
      <c r="N105">
        <f>RANK(TAcum[[#This Row],[j12]],TAcum[[#All],[j12]],0)</f>
        <v>85</v>
      </c>
      <c r="O105">
        <f>RANK(TAcum[[#This Row],[j13]],TAcum[[#All],[j13]],0)</f>
        <v>87</v>
      </c>
      <c r="P105">
        <f>RANK(TAcum[[#This Row],[j14]],TAcum[[#All],[j14]],0)</f>
        <v>93</v>
      </c>
      <c r="Q105">
        <f>RANK(TAcum[[#This Row],[j15]],TAcum[[#All],[j15]],0)</f>
        <v>95</v>
      </c>
      <c r="R105">
        <f>RANK(TAcum[[#This Row],[j16]],TAcum[[#All],[j16]],0)</f>
        <v>93</v>
      </c>
      <c r="S105">
        <f>RANK(TAcum[[#This Row],[j17]],TAcum[[#All],[j17]],0)</f>
        <v>97</v>
      </c>
      <c r="T105">
        <f>RANK(TAcum[[#This Row],[j18]],TAcum[[#All],[j18]],0)</f>
        <v>99</v>
      </c>
      <c r="U105">
        <f>RANK(TAcum[[#This Row],[j19]],TAcum[[#All],[j19]],0)</f>
        <v>106</v>
      </c>
      <c r="V105">
        <f>RANK(TAcum[[#This Row],[j20]],TAcum[[#All],[j20]],0)</f>
        <v>105</v>
      </c>
      <c r="W105">
        <f>RANK(TAcum[[#This Row],[j21]],TAcum[[#All],[j21]],0)</f>
        <v>105</v>
      </c>
      <c r="X105">
        <f>RANK(TAcum[[#This Row],[j22]],TAcum[[#All],[j22]],0)</f>
        <v>107</v>
      </c>
      <c r="Y105">
        <f>RANK(TAcum[[#This Row],[j23]],TAcum[[#All],[j23]],0)</f>
        <v>98</v>
      </c>
      <c r="Z105">
        <f>RANK(TAcum[[#This Row],[j24]],TAcum[[#All],[j24]],0)</f>
        <v>106</v>
      </c>
      <c r="AA105">
        <f>RANK(TAcum[[#This Row],[j25]],TAcum[[#All],[j25]],0)</f>
        <v>96</v>
      </c>
      <c r="AB105">
        <f>RANK(TAcum[[#This Row],[j26]],TAcum[[#All],[j26]],0)</f>
        <v>102</v>
      </c>
      <c r="AC105">
        <f>RANK(TAcum[[#This Row],[j27]],TAcum[[#All],[j27]],0)</f>
        <v>103</v>
      </c>
      <c r="AD105">
        <f>RANK(TAcum[[#This Row],[j28]],TAcum[[#All],[j28]],0)</f>
        <v>95</v>
      </c>
      <c r="AE105">
        <f>RANK(TAcum[[#This Row],[j29]],TAcum[[#All],[j29]],0)</f>
        <v>104</v>
      </c>
      <c r="AF105">
        <f>RANK(TAcum[[#This Row],[j30]],TAcum[[#All],[j30]],0)</f>
        <v>104</v>
      </c>
      <c r="AG105">
        <f>RANK(TAcum[[#This Row],[j31]],TAcum[[#All],[j31]],0)</f>
        <v>104</v>
      </c>
      <c r="AH105">
        <f>RANK(TAcum[[#This Row],[j32]],TAcum[[#All],[j32]],0)</f>
        <v>104</v>
      </c>
      <c r="AI105">
        <f>RANK(TAcum[[#This Row],[j33]],TAcum[[#All],[j33]],0)</f>
        <v>104</v>
      </c>
      <c r="AJ105">
        <f>RANK(TAcum[[#This Row],[j34]],TAcum[[#All],[j34]],0)</f>
        <v>104</v>
      </c>
      <c r="AK105">
        <f>RANK(TAcum[[#This Row],[j35]],TAcum[[#All],[j35]],0)</f>
        <v>104</v>
      </c>
      <c r="AL105">
        <f>RANK(TAcum[[#This Row],[j36]],TAcum[[#All],[j36]],0)</f>
        <v>104</v>
      </c>
      <c r="AM105">
        <f>RANK(TAcum[[#This Row],[j37]],TAcum[[#All],[j37]],0)</f>
        <v>104</v>
      </c>
      <c r="AN105">
        <f>RANK(TAcum[[#This Row],[j38]],TAcum[[#All],[j38]],0)</f>
        <v>104</v>
      </c>
      <c r="AO105">
        <f>RANK(TAcum[[#This Row],[j39]],TAcum[[#All],[j39]],0)</f>
        <v>104</v>
      </c>
      <c r="AP105">
        <f>RANK(TAcum[[#This Row],[j40]],TAcum[[#All],[j40]],0)</f>
        <v>104</v>
      </c>
      <c r="AQ105">
        <f>RANK(TAcum[[#This Row],[j41]],TAcum[[#All],[j41]],0)</f>
        <v>104</v>
      </c>
      <c r="AR105">
        <f>RANK(TAcum[[#This Row],[j42]],TAcum[[#All],[j42]],0)</f>
        <v>104</v>
      </c>
      <c r="AS105">
        <f>RANK(TAcum[[#This Row],[j43]],TAcum[[#All],[j43]],0)</f>
        <v>104</v>
      </c>
      <c r="AT105">
        <f>RANK(TAcum[[#This Row],[j44]],TAcum[[#All],[j44]],0)</f>
        <v>104</v>
      </c>
      <c r="AU105">
        <f>RANK(TAcum[[#This Row],[j45]],TAcum[[#All],[j45]],0)</f>
        <v>104</v>
      </c>
      <c r="AV105">
        <f>RANK(TAcum[[#This Row],[j46]],TAcum[[#All],[j46]],0)</f>
        <v>104</v>
      </c>
      <c r="AW105">
        <f>RANK(TAcum[[#This Row],[j47]],TAcum[[#All],[j47]],0)</f>
        <v>104</v>
      </c>
      <c r="AX105">
        <f>RANK(TAcum[[#This Row],[j48]],TAcum[[#All],[j48]],0)</f>
        <v>104</v>
      </c>
      <c r="AY105">
        <f>RANK(TAcum[[#This Row],[j49]],TAcum[[#All],[j49]],0)</f>
        <v>104</v>
      </c>
      <c r="AZ105">
        <f>RANK(TAcum[[#This Row],[j50]],TAcum[[#All],[j50]],0)</f>
        <v>104</v>
      </c>
      <c r="BA105">
        <f>RANK(TAcum[[#This Row],[j51]],TAcum[[#All],[j51]],0)</f>
        <v>104</v>
      </c>
      <c r="BB105">
        <f>RANK(TAcum[[#This Row],[j52]],TAcum[[#All],[j52]],0)</f>
        <v>104</v>
      </c>
      <c r="BC105">
        <f>RANK(TAcum[[#This Row],[j53]],TAcum[[#All],[j53]],0)</f>
        <v>104</v>
      </c>
      <c r="BD105">
        <f>RANK(TAcum[[#This Row],[j54]],TAcum[[#All],[j54]],0)</f>
        <v>104</v>
      </c>
      <c r="BE105">
        <f>RANK(TAcum[[#This Row],[j55]],TAcum[[#All],[j55]],0)</f>
        <v>104</v>
      </c>
      <c r="BF105">
        <f>RANK(TAcum[[#This Row],[j56]],TAcum[[#All],[j56]],0)</f>
        <v>104</v>
      </c>
      <c r="BG105">
        <f>RANK(TAcum[[#This Row],[j57]],TAcum[[#All],[j57]],0)</f>
        <v>104</v>
      </c>
      <c r="BH105">
        <f>RANK(TAcum[[#This Row],[j58]],TAcum[[#All],[j58]],0)</f>
        <v>104</v>
      </c>
      <c r="BI105">
        <f>RANK(TAcum[[#This Row],[j59]],TAcum[[#All],[j59]],0)</f>
        <v>104</v>
      </c>
      <c r="BJ105">
        <f>RANK(TAcum[[#This Row],[j60]],TAcum[[#All],[j60]],0)</f>
        <v>104</v>
      </c>
      <c r="BK105">
        <f>RANK(TAcum[[#This Row],[j61]],TAcum[[#All],[j61]],0)</f>
        <v>104</v>
      </c>
      <c r="BL105">
        <f>RANK(TAcum[[#This Row],[j62]],TAcum[[#All],[j62]],0)</f>
        <v>104</v>
      </c>
      <c r="BM105">
        <f>RANK(TAcum[[#This Row],[j63]],TAcum[[#All],[j63]],0)</f>
        <v>104</v>
      </c>
      <c r="BN105">
        <f>RANK(TAcum[[#This Row],[j64]],TAcum[[#All],[j64]],0)</f>
        <v>104</v>
      </c>
      <c r="BO105">
        <f>RANK(TAcum[[#This Row],[j65]],TAcum[[#All],[j65]],0)</f>
        <v>104</v>
      </c>
      <c r="BP105">
        <f>RANK(TAcum[[#This Row],[j66]],TAcum[[#All],[j66]],0)</f>
        <v>104</v>
      </c>
      <c r="BQ105">
        <f>RANK(TAcum[[#This Row],[j67]],TAcum[[#All],[j67]],0)</f>
        <v>104</v>
      </c>
      <c r="BR105">
        <f>RANK(TAcum[[#This Row],[j68]],TAcum[[#All],[j68]],0)</f>
        <v>104</v>
      </c>
      <c r="BS105">
        <f>RANK(TAcum[[#This Row],[j69]],TAcum[[#All],[j69]],0)</f>
        <v>104</v>
      </c>
      <c r="BT105">
        <f>RANK(TAcum[[#This Row],[j70]],TAcum[[#All],[j70]],0)</f>
        <v>104</v>
      </c>
      <c r="BU105">
        <f>RANK(TAcum[[#This Row],[j71]],TAcum[[#All],[j71]],0)</f>
        <v>104</v>
      </c>
      <c r="BV105">
        <f>RANK(TAcum[[#This Row],[j72]],TAcum[[#All],[j72]],0)</f>
        <v>104</v>
      </c>
      <c r="BW105">
        <f>RANK(TAcum[[#This Row],[j73]],TAcum[[#All],[j73]],0)</f>
        <v>104</v>
      </c>
    </row>
    <row r="106" spans="1:75" x14ac:dyDescent="0.25">
      <c r="A106" t="str">
        <f>TAcum[[#This Row],[Jogador]]</f>
        <v>Sandro Ricardo França</v>
      </c>
      <c r="B106">
        <f>RANK(TAcum[[#This Row],[total]],TAcum[[#All],[total]],0)</f>
        <v>104</v>
      </c>
      <c r="C106">
        <f>RANK(TAcum[[#This Row],[j01]],TAcum[[#All],[j01]],0)</f>
        <v>13</v>
      </c>
      <c r="D106">
        <f>RANK(TAcum[[#This Row],[j02]],TAcum[[#All],[j02]],0)</f>
        <v>14</v>
      </c>
      <c r="E106">
        <f>RANK(TAcum[[#This Row],[j03]],TAcum[[#All],[j03]],0)</f>
        <v>24</v>
      </c>
      <c r="F106">
        <f>RANK(TAcum[[#This Row],[j04]],TAcum[[#All],[j04]],0)</f>
        <v>9</v>
      </c>
      <c r="G106">
        <f>RANK(TAcum[[#This Row],[j05]],TAcum[[#All],[j05]],0)</f>
        <v>9</v>
      </c>
      <c r="H106">
        <f>RANK(TAcum[[#This Row],[j06]],TAcum[[#All],[j06]],0)</f>
        <v>23</v>
      </c>
      <c r="I106">
        <f>RANK(TAcum[[#This Row],[j07]],TAcum[[#All],[j07]],0)</f>
        <v>16</v>
      </c>
      <c r="J106">
        <f>RANK(TAcum[[#This Row],[j08]],TAcum[[#All],[j08]],0)</f>
        <v>20</v>
      </c>
      <c r="K106">
        <f>RANK(TAcum[[#This Row],[j09]],TAcum[[#All],[j09]],0)</f>
        <v>21</v>
      </c>
      <c r="L106">
        <f>RANK(TAcum[[#This Row],[j10]],TAcum[[#All],[j10]],0)</f>
        <v>21</v>
      </c>
      <c r="M106">
        <f>RANK(TAcum[[#This Row],[j11]],TAcum[[#All],[j11]],0)</f>
        <v>23</v>
      </c>
      <c r="N106">
        <f>RANK(TAcum[[#This Row],[j12]],TAcum[[#All],[j12]],0)</f>
        <v>29</v>
      </c>
      <c r="O106">
        <f>RANK(TAcum[[#This Row],[j13]],TAcum[[#All],[j13]],0)</f>
        <v>51</v>
      </c>
      <c r="P106">
        <f>RANK(TAcum[[#This Row],[j14]],TAcum[[#All],[j14]],0)</f>
        <v>59</v>
      </c>
      <c r="Q106">
        <f>RANK(TAcum[[#This Row],[j15]],TAcum[[#All],[j15]],0)</f>
        <v>81</v>
      </c>
      <c r="R106">
        <f>RANK(TAcum[[#This Row],[j16]],TAcum[[#All],[j16]],0)</f>
        <v>84</v>
      </c>
      <c r="S106">
        <f>RANK(TAcum[[#This Row],[j17]],TAcum[[#All],[j17]],0)</f>
        <v>72</v>
      </c>
      <c r="T106">
        <f>RANK(TAcum[[#This Row],[j18]],TAcum[[#All],[j18]],0)</f>
        <v>73</v>
      </c>
      <c r="U106">
        <f>RANK(TAcum[[#This Row],[j19]],TAcum[[#All],[j19]],0)</f>
        <v>84</v>
      </c>
      <c r="V106">
        <f>RANK(TAcum[[#This Row],[j20]],TAcum[[#All],[j20]],0)</f>
        <v>87</v>
      </c>
      <c r="W106">
        <f>RANK(TAcum[[#This Row],[j21]],TAcum[[#All],[j21]],0)</f>
        <v>89</v>
      </c>
      <c r="X106">
        <f>RANK(TAcum[[#This Row],[j22]],TAcum[[#All],[j22]],0)</f>
        <v>94</v>
      </c>
      <c r="Y106">
        <f>RANK(TAcum[[#This Row],[j23]],TAcum[[#All],[j23]],0)</f>
        <v>95</v>
      </c>
      <c r="Z106">
        <f>RANK(TAcum[[#This Row],[j24]],TAcum[[#All],[j24]],0)</f>
        <v>100</v>
      </c>
      <c r="AA106">
        <f>RANK(TAcum[[#This Row],[j25]],TAcum[[#All],[j25]],0)</f>
        <v>100</v>
      </c>
      <c r="AB106">
        <f>RANK(TAcum[[#This Row],[j26]],TAcum[[#All],[j26]],0)</f>
        <v>102</v>
      </c>
      <c r="AC106">
        <f>RANK(TAcum[[#This Row],[j27]],TAcum[[#All],[j27]],0)</f>
        <v>103</v>
      </c>
      <c r="AD106">
        <f>RANK(TAcum[[#This Row],[j28]],TAcum[[#All],[j28]],0)</f>
        <v>101</v>
      </c>
      <c r="AE106">
        <f>RANK(TAcum[[#This Row],[j29]],TAcum[[#All],[j29]],0)</f>
        <v>104</v>
      </c>
      <c r="AF106">
        <f>RANK(TAcum[[#This Row],[j30]],TAcum[[#All],[j30]],0)</f>
        <v>104</v>
      </c>
      <c r="AG106">
        <f>RANK(TAcum[[#This Row],[j31]],TAcum[[#All],[j31]],0)</f>
        <v>104</v>
      </c>
      <c r="AH106">
        <f>RANK(TAcum[[#This Row],[j32]],TAcum[[#All],[j32]],0)</f>
        <v>104</v>
      </c>
      <c r="AI106">
        <f>RANK(TAcum[[#This Row],[j33]],TAcum[[#All],[j33]],0)</f>
        <v>104</v>
      </c>
      <c r="AJ106">
        <f>RANK(TAcum[[#This Row],[j34]],TAcum[[#All],[j34]],0)</f>
        <v>104</v>
      </c>
      <c r="AK106">
        <f>RANK(TAcum[[#This Row],[j35]],TAcum[[#All],[j35]],0)</f>
        <v>104</v>
      </c>
      <c r="AL106">
        <f>RANK(TAcum[[#This Row],[j36]],TAcum[[#All],[j36]],0)</f>
        <v>104</v>
      </c>
      <c r="AM106">
        <f>RANK(TAcum[[#This Row],[j37]],TAcum[[#All],[j37]],0)</f>
        <v>104</v>
      </c>
      <c r="AN106">
        <f>RANK(TAcum[[#This Row],[j38]],TAcum[[#All],[j38]],0)</f>
        <v>104</v>
      </c>
      <c r="AO106">
        <f>RANK(TAcum[[#This Row],[j39]],TAcum[[#All],[j39]],0)</f>
        <v>104</v>
      </c>
      <c r="AP106">
        <f>RANK(TAcum[[#This Row],[j40]],TAcum[[#All],[j40]],0)</f>
        <v>104</v>
      </c>
      <c r="AQ106">
        <f>RANK(TAcum[[#This Row],[j41]],TAcum[[#All],[j41]],0)</f>
        <v>104</v>
      </c>
      <c r="AR106">
        <f>RANK(TAcum[[#This Row],[j42]],TAcum[[#All],[j42]],0)</f>
        <v>104</v>
      </c>
      <c r="AS106">
        <f>RANK(TAcum[[#This Row],[j43]],TAcum[[#All],[j43]],0)</f>
        <v>104</v>
      </c>
      <c r="AT106">
        <f>RANK(TAcum[[#This Row],[j44]],TAcum[[#All],[j44]],0)</f>
        <v>104</v>
      </c>
      <c r="AU106">
        <f>RANK(TAcum[[#This Row],[j45]],TAcum[[#All],[j45]],0)</f>
        <v>104</v>
      </c>
      <c r="AV106">
        <f>RANK(TAcum[[#This Row],[j46]],TAcum[[#All],[j46]],0)</f>
        <v>104</v>
      </c>
      <c r="AW106">
        <f>RANK(TAcum[[#This Row],[j47]],TAcum[[#All],[j47]],0)</f>
        <v>104</v>
      </c>
      <c r="AX106">
        <f>RANK(TAcum[[#This Row],[j48]],TAcum[[#All],[j48]],0)</f>
        <v>104</v>
      </c>
      <c r="AY106">
        <f>RANK(TAcum[[#This Row],[j49]],TAcum[[#All],[j49]],0)</f>
        <v>104</v>
      </c>
      <c r="AZ106">
        <f>RANK(TAcum[[#This Row],[j50]],TAcum[[#All],[j50]],0)</f>
        <v>104</v>
      </c>
      <c r="BA106">
        <f>RANK(TAcum[[#This Row],[j51]],TAcum[[#All],[j51]],0)</f>
        <v>104</v>
      </c>
      <c r="BB106">
        <f>RANK(TAcum[[#This Row],[j52]],TAcum[[#All],[j52]],0)</f>
        <v>104</v>
      </c>
      <c r="BC106">
        <f>RANK(TAcum[[#This Row],[j53]],TAcum[[#All],[j53]],0)</f>
        <v>104</v>
      </c>
      <c r="BD106">
        <f>RANK(TAcum[[#This Row],[j54]],TAcum[[#All],[j54]],0)</f>
        <v>104</v>
      </c>
      <c r="BE106">
        <f>RANK(TAcum[[#This Row],[j55]],TAcum[[#All],[j55]],0)</f>
        <v>104</v>
      </c>
      <c r="BF106">
        <f>RANK(TAcum[[#This Row],[j56]],TAcum[[#All],[j56]],0)</f>
        <v>104</v>
      </c>
      <c r="BG106">
        <f>RANK(TAcum[[#This Row],[j57]],TAcum[[#All],[j57]],0)</f>
        <v>104</v>
      </c>
      <c r="BH106">
        <f>RANK(TAcum[[#This Row],[j58]],TAcum[[#All],[j58]],0)</f>
        <v>104</v>
      </c>
      <c r="BI106">
        <f>RANK(TAcum[[#This Row],[j59]],TAcum[[#All],[j59]],0)</f>
        <v>104</v>
      </c>
      <c r="BJ106">
        <f>RANK(TAcum[[#This Row],[j60]],TAcum[[#All],[j60]],0)</f>
        <v>104</v>
      </c>
      <c r="BK106">
        <f>RANK(TAcum[[#This Row],[j61]],TAcum[[#All],[j61]],0)</f>
        <v>104</v>
      </c>
      <c r="BL106">
        <f>RANK(TAcum[[#This Row],[j62]],TAcum[[#All],[j62]],0)</f>
        <v>104</v>
      </c>
      <c r="BM106">
        <f>RANK(TAcum[[#This Row],[j63]],TAcum[[#All],[j63]],0)</f>
        <v>104</v>
      </c>
      <c r="BN106">
        <f>RANK(TAcum[[#This Row],[j64]],TAcum[[#All],[j64]],0)</f>
        <v>104</v>
      </c>
      <c r="BO106">
        <f>RANK(TAcum[[#This Row],[j65]],TAcum[[#All],[j65]],0)</f>
        <v>104</v>
      </c>
      <c r="BP106">
        <f>RANK(TAcum[[#This Row],[j66]],TAcum[[#All],[j66]],0)</f>
        <v>104</v>
      </c>
      <c r="BQ106">
        <f>RANK(TAcum[[#This Row],[j67]],TAcum[[#All],[j67]],0)</f>
        <v>104</v>
      </c>
      <c r="BR106">
        <f>RANK(TAcum[[#This Row],[j68]],TAcum[[#All],[j68]],0)</f>
        <v>104</v>
      </c>
      <c r="BS106">
        <f>RANK(TAcum[[#This Row],[j69]],TAcum[[#All],[j69]],0)</f>
        <v>104</v>
      </c>
      <c r="BT106">
        <f>RANK(TAcum[[#This Row],[j70]],TAcum[[#All],[j70]],0)</f>
        <v>104</v>
      </c>
      <c r="BU106">
        <f>RANK(TAcum[[#This Row],[j71]],TAcum[[#All],[j71]],0)</f>
        <v>104</v>
      </c>
      <c r="BV106">
        <f>RANK(TAcum[[#This Row],[j72]],TAcum[[#All],[j72]],0)</f>
        <v>104</v>
      </c>
      <c r="BW106">
        <f>RANK(TAcum[[#This Row],[j73]],TAcum[[#All],[j73]],0)</f>
        <v>104</v>
      </c>
    </row>
    <row r="107" spans="1:75" x14ac:dyDescent="0.25">
      <c r="A107" t="str">
        <f>TAcum[[#This Row],[Jogador]]</f>
        <v>Victor Flores</v>
      </c>
      <c r="B107">
        <f>RANK(TAcum[[#This Row],[total]],TAcum[[#All],[total]],0)</f>
        <v>104</v>
      </c>
      <c r="C107">
        <f>RANK(TAcum[[#This Row],[j01]],TAcum[[#All],[j01]],0)</f>
        <v>78</v>
      </c>
      <c r="D107">
        <f>RANK(TAcum[[#This Row],[j02]],TAcum[[#All],[j02]],0)</f>
        <v>77</v>
      </c>
      <c r="E107">
        <f>RANK(TAcum[[#This Row],[j03]],TAcum[[#All],[j03]],0)</f>
        <v>82</v>
      </c>
      <c r="F107">
        <f>RANK(TAcum[[#This Row],[j04]],TAcum[[#All],[j04]],0)</f>
        <v>54</v>
      </c>
      <c r="G107">
        <f>RANK(TAcum[[#This Row],[j05]],TAcum[[#All],[j05]],0)</f>
        <v>55</v>
      </c>
      <c r="H107">
        <f>RANK(TAcum[[#This Row],[j06]],TAcum[[#All],[j06]],0)</f>
        <v>53</v>
      </c>
      <c r="I107">
        <f>RANK(TAcum[[#This Row],[j07]],TAcum[[#All],[j07]],0)</f>
        <v>71</v>
      </c>
      <c r="J107">
        <f>RANK(TAcum[[#This Row],[j08]],TAcum[[#All],[j08]],0)</f>
        <v>65</v>
      </c>
      <c r="K107">
        <f>RANK(TAcum[[#This Row],[j09]],TAcum[[#All],[j09]],0)</f>
        <v>77</v>
      </c>
      <c r="L107">
        <f>RANK(TAcum[[#This Row],[j10]],TAcum[[#All],[j10]],0)</f>
        <v>79</v>
      </c>
      <c r="M107">
        <f>RANK(TAcum[[#This Row],[j11]],TAcum[[#All],[j11]],0)</f>
        <v>75</v>
      </c>
      <c r="N107">
        <f>RANK(TAcum[[#This Row],[j12]],TAcum[[#All],[j12]],0)</f>
        <v>76</v>
      </c>
      <c r="O107">
        <f>RANK(TAcum[[#This Row],[j13]],TAcum[[#All],[j13]],0)</f>
        <v>90</v>
      </c>
      <c r="P107">
        <f>RANK(TAcum[[#This Row],[j14]],TAcum[[#All],[j14]],0)</f>
        <v>96</v>
      </c>
      <c r="Q107">
        <f>RANK(TAcum[[#This Row],[j15]],TAcum[[#All],[j15]],0)</f>
        <v>97</v>
      </c>
      <c r="R107">
        <f>RANK(TAcum[[#This Row],[j16]],TAcum[[#All],[j16]],0)</f>
        <v>78</v>
      </c>
      <c r="S107">
        <f>RANK(TAcum[[#This Row],[j17]],TAcum[[#All],[j17]],0)</f>
        <v>83</v>
      </c>
      <c r="T107">
        <f>RANK(TAcum[[#This Row],[j18]],TAcum[[#All],[j18]],0)</f>
        <v>85</v>
      </c>
      <c r="U107">
        <f>RANK(TAcum[[#This Row],[j19]],TAcum[[#All],[j19]],0)</f>
        <v>99</v>
      </c>
      <c r="V107">
        <f>RANK(TAcum[[#This Row],[j20]],TAcum[[#All],[j20]],0)</f>
        <v>98</v>
      </c>
      <c r="W107">
        <f>RANK(TAcum[[#This Row],[j21]],TAcum[[#All],[j21]],0)</f>
        <v>100</v>
      </c>
      <c r="X107">
        <f>RANK(TAcum[[#This Row],[j22]],TAcum[[#All],[j22]],0)</f>
        <v>104</v>
      </c>
      <c r="Y107">
        <f>RANK(TAcum[[#This Row],[j23]],TAcum[[#All],[j23]],0)</f>
        <v>107</v>
      </c>
      <c r="Z107">
        <f>RANK(TAcum[[#This Row],[j24]],TAcum[[#All],[j24]],0)</f>
        <v>100</v>
      </c>
      <c r="AA107">
        <f>RANK(TAcum[[#This Row],[j25]],TAcum[[#All],[j25]],0)</f>
        <v>104</v>
      </c>
      <c r="AB107">
        <f>RANK(TAcum[[#This Row],[j26]],TAcum[[#All],[j26]],0)</f>
        <v>107</v>
      </c>
      <c r="AC107">
        <f>RANK(TAcum[[#This Row],[j27]],TAcum[[#All],[j27]],0)</f>
        <v>107</v>
      </c>
      <c r="AD107">
        <f>RANK(TAcum[[#This Row],[j28]],TAcum[[#All],[j28]],0)</f>
        <v>108</v>
      </c>
      <c r="AE107">
        <f>RANK(TAcum[[#This Row],[j29]],TAcum[[#All],[j29]],0)</f>
        <v>104</v>
      </c>
      <c r="AF107">
        <f>RANK(TAcum[[#This Row],[j30]],TAcum[[#All],[j30]],0)</f>
        <v>104</v>
      </c>
      <c r="AG107">
        <f>RANK(TAcum[[#This Row],[j31]],TAcum[[#All],[j31]],0)</f>
        <v>104</v>
      </c>
      <c r="AH107">
        <f>RANK(TAcum[[#This Row],[j32]],TAcum[[#All],[j32]],0)</f>
        <v>104</v>
      </c>
      <c r="AI107">
        <f>RANK(TAcum[[#This Row],[j33]],TAcum[[#All],[j33]],0)</f>
        <v>104</v>
      </c>
      <c r="AJ107">
        <f>RANK(TAcum[[#This Row],[j34]],TAcum[[#All],[j34]],0)</f>
        <v>104</v>
      </c>
      <c r="AK107">
        <f>RANK(TAcum[[#This Row],[j35]],TAcum[[#All],[j35]],0)</f>
        <v>104</v>
      </c>
      <c r="AL107">
        <f>RANK(TAcum[[#This Row],[j36]],TAcum[[#All],[j36]],0)</f>
        <v>104</v>
      </c>
      <c r="AM107">
        <f>RANK(TAcum[[#This Row],[j37]],TAcum[[#All],[j37]],0)</f>
        <v>104</v>
      </c>
      <c r="AN107">
        <f>RANK(TAcum[[#This Row],[j38]],TAcum[[#All],[j38]],0)</f>
        <v>104</v>
      </c>
      <c r="AO107">
        <f>RANK(TAcum[[#This Row],[j39]],TAcum[[#All],[j39]],0)</f>
        <v>104</v>
      </c>
      <c r="AP107">
        <f>RANK(TAcum[[#This Row],[j40]],TAcum[[#All],[j40]],0)</f>
        <v>104</v>
      </c>
      <c r="AQ107">
        <f>RANK(TAcum[[#This Row],[j41]],TAcum[[#All],[j41]],0)</f>
        <v>104</v>
      </c>
      <c r="AR107">
        <f>RANK(TAcum[[#This Row],[j42]],TAcum[[#All],[j42]],0)</f>
        <v>104</v>
      </c>
      <c r="AS107">
        <f>RANK(TAcum[[#This Row],[j43]],TAcum[[#All],[j43]],0)</f>
        <v>104</v>
      </c>
      <c r="AT107">
        <f>RANK(TAcum[[#This Row],[j44]],TAcum[[#All],[j44]],0)</f>
        <v>104</v>
      </c>
      <c r="AU107">
        <f>RANK(TAcum[[#This Row],[j45]],TAcum[[#All],[j45]],0)</f>
        <v>104</v>
      </c>
      <c r="AV107">
        <f>RANK(TAcum[[#This Row],[j46]],TAcum[[#All],[j46]],0)</f>
        <v>104</v>
      </c>
      <c r="AW107">
        <f>RANK(TAcum[[#This Row],[j47]],TAcum[[#All],[j47]],0)</f>
        <v>104</v>
      </c>
      <c r="AX107">
        <f>RANK(TAcum[[#This Row],[j48]],TAcum[[#All],[j48]],0)</f>
        <v>104</v>
      </c>
      <c r="AY107">
        <f>RANK(TAcum[[#This Row],[j49]],TAcum[[#All],[j49]],0)</f>
        <v>104</v>
      </c>
      <c r="AZ107">
        <f>RANK(TAcum[[#This Row],[j50]],TAcum[[#All],[j50]],0)</f>
        <v>104</v>
      </c>
      <c r="BA107">
        <f>RANK(TAcum[[#This Row],[j51]],TAcum[[#All],[j51]],0)</f>
        <v>104</v>
      </c>
      <c r="BB107">
        <f>RANK(TAcum[[#This Row],[j52]],TAcum[[#All],[j52]],0)</f>
        <v>104</v>
      </c>
      <c r="BC107">
        <f>RANK(TAcum[[#This Row],[j53]],TAcum[[#All],[j53]],0)</f>
        <v>104</v>
      </c>
      <c r="BD107">
        <f>RANK(TAcum[[#This Row],[j54]],TAcum[[#All],[j54]],0)</f>
        <v>104</v>
      </c>
      <c r="BE107">
        <f>RANK(TAcum[[#This Row],[j55]],TAcum[[#All],[j55]],0)</f>
        <v>104</v>
      </c>
      <c r="BF107">
        <f>RANK(TAcum[[#This Row],[j56]],TAcum[[#All],[j56]],0)</f>
        <v>104</v>
      </c>
      <c r="BG107">
        <f>RANK(TAcum[[#This Row],[j57]],TAcum[[#All],[j57]],0)</f>
        <v>104</v>
      </c>
      <c r="BH107">
        <f>RANK(TAcum[[#This Row],[j58]],TAcum[[#All],[j58]],0)</f>
        <v>104</v>
      </c>
      <c r="BI107">
        <f>RANK(TAcum[[#This Row],[j59]],TAcum[[#All],[j59]],0)</f>
        <v>104</v>
      </c>
      <c r="BJ107">
        <f>RANK(TAcum[[#This Row],[j60]],TAcum[[#All],[j60]],0)</f>
        <v>104</v>
      </c>
      <c r="BK107">
        <f>RANK(TAcum[[#This Row],[j61]],TAcum[[#All],[j61]],0)</f>
        <v>104</v>
      </c>
      <c r="BL107">
        <f>RANK(TAcum[[#This Row],[j62]],TAcum[[#All],[j62]],0)</f>
        <v>104</v>
      </c>
      <c r="BM107">
        <f>RANK(TAcum[[#This Row],[j63]],TAcum[[#All],[j63]],0)</f>
        <v>104</v>
      </c>
      <c r="BN107">
        <f>RANK(TAcum[[#This Row],[j64]],TAcum[[#All],[j64]],0)</f>
        <v>104</v>
      </c>
      <c r="BO107">
        <f>RANK(TAcum[[#This Row],[j65]],TAcum[[#All],[j65]],0)</f>
        <v>104</v>
      </c>
      <c r="BP107">
        <f>RANK(TAcum[[#This Row],[j66]],TAcum[[#All],[j66]],0)</f>
        <v>104</v>
      </c>
      <c r="BQ107">
        <f>RANK(TAcum[[#This Row],[j67]],TAcum[[#All],[j67]],0)</f>
        <v>104</v>
      </c>
      <c r="BR107">
        <f>RANK(TAcum[[#This Row],[j68]],TAcum[[#All],[j68]],0)</f>
        <v>104</v>
      </c>
      <c r="BS107">
        <f>RANK(TAcum[[#This Row],[j69]],TAcum[[#All],[j69]],0)</f>
        <v>104</v>
      </c>
      <c r="BT107">
        <f>RANK(TAcum[[#This Row],[j70]],TAcum[[#All],[j70]],0)</f>
        <v>104</v>
      </c>
      <c r="BU107">
        <f>RANK(TAcum[[#This Row],[j71]],TAcum[[#All],[j71]],0)</f>
        <v>104</v>
      </c>
      <c r="BV107">
        <f>RANK(TAcum[[#This Row],[j72]],TAcum[[#All],[j72]],0)</f>
        <v>104</v>
      </c>
      <c r="BW107">
        <f>RANK(TAcum[[#This Row],[j73]],TAcum[[#All],[j73]],0)</f>
        <v>104</v>
      </c>
    </row>
    <row r="108" spans="1:75" x14ac:dyDescent="0.25">
      <c r="A108" t="str">
        <f>TAcum[[#This Row],[Jogador]]</f>
        <v>Murilo Amorim</v>
      </c>
      <c r="B108">
        <f>RANK(TAcum[[#This Row],[total]],TAcum[[#All],[total]],0)</f>
        <v>107</v>
      </c>
      <c r="C108">
        <f>RANK(TAcum[[#This Row],[j01]],TAcum[[#All],[j01]],0)</f>
        <v>78</v>
      </c>
      <c r="D108">
        <f>RANK(TAcum[[#This Row],[j02]],TAcum[[#All],[j02]],0)</f>
        <v>77</v>
      </c>
      <c r="E108">
        <f>RANK(TAcum[[#This Row],[j03]],TAcum[[#All],[j03]],0)</f>
        <v>106</v>
      </c>
      <c r="F108">
        <f>RANK(TAcum[[#This Row],[j04]],TAcum[[#All],[j04]],0)</f>
        <v>109</v>
      </c>
      <c r="G108">
        <f>RANK(TAcum[[#This Row],[j05]],TAcum[[#All],[j05]],0)</f>
        <v>109</v>
      </c>
      <c r="H108">
        <f>RANK(TAcum[[#This Row],[j06]],TAcum[[#All],[j06]],0)</f>
        <v>111</v>
      </c>
      <c r="I108">
        <f>RANK(TAcum[[#This Row],[j07]],TAcum[[#All],[j07]],0)</f>
        <v>113</v>
      </c>
      <c r="J108">
        <f>RANK(TAcum[[#This Row],[j08]],TAcum[[#All],[j08]],0)</f>
        <v>112</v>
      </c>
      <c r="K108">
        <f>RANK(TAcum[[#This Row],[j09]],TAcum[[#All],[j09]],0)</f>
        <v>112</v>
      </c>
      <c r="L108">
        <f>RANK(TAcum[[#This Row],[j10]],TAcum[[#All],[j10]],0)</f>
        <v>112</v>
      </c>
      <c r="M108">
        <f>RANK(TAcum[[#This Row],[j11]],TAcum[[#All],[j11]],0)</f>
        <v>112</v>
      </c>
      <c r="N108">
        <f>RANK(TAcum[[#This Row],[j12]],TAcum[[#All],[j12]],0)</f>
        <v>113</v>
      </c>
      <c r="O108">
        <f>RANK(TAcum[[#This Row],[j13]],TAcum[[#All],[j13]],0)</f>
        <v>113</v>
      </c>
      <c r="P108">
        <f>RANK(TAcum[[#This Row],[j14]],TAcum[[#All],[j14]],0)</f>
        <v>110</v>
      </c>
      <c r="Q108">
        <f>RANK(TAcum[[#This Row],[j15]],TAcum[[#All],[j15]],0)</f>
        <v>105</v>
      </c>
      <c r="R108">
        <f>RANK(TAcum[[#This Row],[j16]],TAcum[[#All],[j16]],0)</f>
        <v>101</v>
      </c>
      <c r="S108">
        <f>RANK(TAcum[[#This Row],[j17]],TAcum[[#All],[j17]],0)</f>
        <v>105</v>
      </c>
      <c r="T108">
        <f>RANK(TAcum[[#This Row],[j18]],TAcum[[#All],[j18]],0)</f>
        <v>105</v>
      </c>
      <c r="U108">
        <f>RANK(TAcum[[#This Row],[j19]],TAcum[[#All],[j19]],0)</f>
        <v>109</v>
      </c>
      <c r="V108">
        <f>RANK(TAcum[[#This Row],[j20]],TAcum[[#All],[j20]],0)</f>
        <v>108</v>
      </c>
      <c r="W108">
        <f>RANK(TAcum[[#This Row],[j21]],TAcum[[#All],[j21]],0)</f>
        <v>109</v>
      </c>
      <c r="X108">
        <f>RANK(TAcum[[#This Row],[j22]],TAcum[[#All],[j22]],0)</f>
        <v>109</v>
      </c>
      <c r="Y108">
        <f>RANK(TAcum[[#This Row],[j23]],TAcum[[#All],[j23]],0)</f>
        <v>111</v>
      </c>
      <c r="Z108">
        <f>RANK(TAcum[[#This Row],[j24]],TAcum[[#All],[j24]],0)</f>
        <v>108</v>
      </c>
      <c r="AA108">
        <f>RANK(TAcum[[#This Row],[j25]],TAcum[[#All],[j25]],0)</f>
        <v>107</v>
      </c>
      <c r="AB108">
        <f>RANK(TAcum[[#This Row],[j26]],TAcum[[#All],[j26]],0)</f>
        <v>109</v>
      </c>
      <c r="AC108">
        <f>RANK(TAcum[[#This Row],[j27]],TAcum[[#All],[j27]],0)</f>
        <v>109</v>
      </c>
      <c r="AD108">
        <f>RANK(TAcum[[#This Row],[j28]],TAcum[[#All],[j28]],0)</f>
        <v>107</v>
      </c>
      <c r="AE108">
        <f>RANK(TAcum[[#This Row],[j29]],TAcum[[#All],[j29]],0)</f>
        <v>107</v>
      </c>
      <c r="AF108">
        <f>RANK(TAcum[[#This Row],[j30]],TAcum[[#All],[j30]],0)</f>
        <v>107</v>
      </c>
      <c r="AG108">
        <f>RANK(TAcum[[#This Row],[j31]],TAcum[[#All],[j31]],0)</f>
        <v>107</v>
      </c>
      <c r="AH108">
        <f>RANK(TAcum[[#This Row],[j32]],TAcum[[#All],[j32]],0)</f>
        <v>107</v>
      </c>
      <c r="AI108">
        <f>RANK(TAcum[[#This Row],[j33]],TAcum[[#All],[j33]],0)</f>
        <v>107</v>
      </c>
      <c r="AJ108">
        <f>RANK(TAcum[[#This Row],[j34]],TAcum[[#All],[j34]],0)</f>
        <v>107</v>
      </c>
      <c r="AK108">
        <f>RANK(TAcum[[#This Row],[j35]],TAcum[[#All],[j35]],0)</f>
        <v>107</v>
      </c>
      <c r="AL108">
        <f>RANK(TAcum[[#This Row],[j36]],TAcum[[#All],[j36]],0)</f>
        <v>107</v>
      </c>
      <c r="AM108">
        <f>RANK(TAcum[[#This Row],[j37]],TAcum[[#All],[j37]],0)</f>
        <v>107</v>
      </c>
      <c r="AN108">
        <f>RANK(TAcum[[#This Row],[j38]],TAcum[[#All],[j38]],0)</f>
        <v>107</v>
      </c>
      <c r="AO108">
        <f>RANK(TAcum[[#This Row],[j39]],TAcum[[#All],[j39]],0)</f>
        <v>107</v>
      </c>
      <c r="AP108">
        <f>RANK(TAcum[[#This Row],[j40]],TAcum[[#All],[j40]],0)</f>
        <v>107</v>
      </c>
      <c r="AQ108">
        <f>RANK(TAcum[[#This Row],[j41]],TAcum[[#All],[j41]],0)</f>
        <v>107</v>
      </c>
      <c r="AR108">
        <f>RANK(TAcum[[#This Row],[j42]],TAcum[[#All],[j42]],0)</f>
        <v>107</v>
      </c>
      <c r="AS108">
        <f>RANK(TAcum[[#This Row],[j43]],TAcum[[#All],[j43]],0)</f>
        <v>107</v>
      </c>
      <c r="AT108">
        <f>RANK(TAcum[[#This Row],[j44]],TAcum[[#All],[j44]],0)</f>
        <v>107</v>
      </c>
      <c r="AU108">
        <f>RANK(TAcum[[#This Row],[j45]],TAcum[[#All],[j45]],0)</f>
        <v>107</v>
      </c>
      <c r="AV108">
        <f>RANK(TAcum[[#This Row],[j46]],TAcum[[#All],[j46]],0)</f>
        <v>107</v>
      </c>
      <c r="AW108">
        <f>RANK(TAcum[[#This Row],[j47]],TAcum[[#All],[j47]],0)</f>
        <v>107</v>
      </c>
      <c r="AX108">
        <f>RANK(TAcum[[#This Row],[j48]],TAcum[[#All],[j48]],0)</f>
        <v>107</v>
      </c>
      <c r="AY108">
        <f>RANK(TAcum[[#This Row],[j49]],TAcum[[#All],[j49]],0)</f>
        <v>107</v>
      </c>
      <c r="AZ108">
        <f>RANK(TAcum[[#This Row],[j50]],TAcum[[#All],[j50]],0)</f>
        <v>107</v>
      </c>
      <c r="BA108">
        <f>RANK(TAcum[[#This Row],[j51]],TAcum[[#All],[j51]],0)</f>
        <v>107</v>
      </c>
      <c r="BB108">
        <f>RANK(TAcum[[#This Row],[j52]],TAcum[[#All],[j52]],0)</f>
        <v>107</v>
      </c>
      <c r="BC108">
        <f>RANK(TAcum[[#This Row],[j53]],TAcum[[#All],[j53]],0)</f>
        <v>107</v>
      </c>
      <c r="BD108">
        <f>RANK(TAcum[[#This Row],[j54]],TAcum[[#All],[j54]],0)</f>
        <v>107</v>
      </c>
      <c r="BE108">
        <f>RANK(TAcum[[#This Row],[j55]],TAcum[[#All],[j55]],0)</f>
        <v>107</v>
      </c>
      <c r="BF108">
        <f>RANK(TAcum[[#This Row],[j56]],TAcum[[#All],[j56]],0)</f>
        <v>107</v>
      </c>
      <c r="BG108">
        <f>RANK(TAcum[[#This Row],[j57]],TAcum[[#All],[j57]],0)</f>
        <v>107</v>
      </c>
      <c r="BH108">
        <f>RANK(TAcum[[#This Row],[j58]],TAcum[[#All],[j58]],0)</f>
        <v>107</v>
      </c>
      <c r="BI108">
        <f>RANK(TAcum[[#This Row],[j59]],TAcum[[#All],[j59]],0)</f>
        <v>107</v>
      </c>
      <c r="BJ108">
        <f>RANK(TAcum[[#This Row],[j60]],TAcum[[#All],[j60]],0)</f>
        <v>107</v>
      </c>
      <c r="BK108">
        <f>RANK(TAcum[[#This Row],[j61]],TAcum[[#All],[j61]],0)</f>
        <v>107</v>
      </c>
      <c r="BL108">
        <f>RANK(TAcum[[#This Row],[j62]],TAcum[[#All],[j62]],0)</f>
        <v>107</v>
      </c>
      <c r="BM108">
        <f>RANK(TAcum[[#This Row],[j63]],TAcum[[#All],[j63]],0)</f>
        <v>107</v>
      </c>
      <c r="BN108">
        <f>RANK(TAcum[[#This Row],[j64]],TAcum[[#All],[j64]],0)</f>
        <v>107</v>
      </c>
      <c r="BO108">
        <f>RANK(TAcum[[#This Row],[j65]],TAcum[[#All],[j65]],0)</f>
        <v>107</v>
      </c>
      <c r="BP108">
        <f>RANK(TAcum[[#This Row],[j66]],TAcum[[#All],[j66]],0)</f>
        <v>107</v>
      </c>
      <c r="BQ108">
        <f>RANK(TAcum[[#This Row],[j67]],TAcum[[#All],[j67]],0)</f>
        <v>107</v>
      </c>
      <c r="BR108">
        <f>RANK(TAcum[[#This Row],[j68]],TAcum[[#All],[j68]],0)</f>
        <v>107</v>
      </c>
      <c r="BS108">
        <f>RANK(TAcum[[#This Row],[j69]],TAcum[[#All],[j69]],0)</f>
        <v>107</v>
      </c>
      <c r="BT108">
        <f>RANK(TAcum[[#This Row],[j70]],TAcum[[#All],[j70]],0)</f>
        <v>107</v>
      </c>
      <c r="BU108">
        <f>RANK(TAcum[[#This Row],[j71]],TAcum[[#All],[j71]],0)</f>
        <v>107</v>
      </c>
      <c r="BV108">
        <f>RANK(TAcum[[#This Row],[j72]],TAcum[[#All],[j72]],0)</f>
        <v>107</v>
      </c>
      <c r="BW108">
        <f>RANK(TAcum[[#This Row],[j73]],TAcum[[#All],[j73]],0)</f>
        <v>107</v>
      </c>
    </row>
    <row r="109" spans="1:75" x14ac:dyDescent="0.25">
      <c r="A109" t="str">
        <f>TAcum[[#This Row],[Jogador]]</f>
        <v>Thaís Coni</v>
      </c>
      <c r="B109">
        <f>RANK(TAcum[[#This Row],[total]],TAcum[[#All],[total]],0)</f>
        <v>108</v>
      </c>
      <c r="C109">
        <f>RANK(TAcum[[#This Row],[j01]],TAcum[[#All],[j01]],0)</f>
        <v>1</v>
      </c>
      <c r="D109">
        <f>RANK(TAcum[[#This Row],[j02]],TAcum[[#All],[j02]],0)</f>
        <v>1</v>
      </c>
      <c r="E109">
        <f>RANK(TAcum[[#This Row],[j03]],TAcum[[#All],[j03]],0)</f>
        <v>3</v>
      </c>
      <c r="F109">
        <f>RANK(TAcum[[#This Row],[j04]],TAcum[[#All],[j04]],0)</f>
        <v>38</v>
      </c>
      <c r="G109">
        <f>RANK(TAcum[[#This Row],[j05]],TAcum[[#All],[j05]],0)</f>
        <v>39</v>
      </c>
      <c r="H109">
        <f>RANK(TAcum[[#This Row],[j06]],TAcum[[#All],[j06]],0)</f>
        <v>41</v>
      </c>
      <c r="I109">
        <f>RANK(TAcum[[#This Row],[j07]],TAcum[[#All],[j07]],0)</f>
        <v>49</v>
      </c>
      <c r="J109">
        <f>RANK(TAcum[[#This Row],[j08]],TAcum[[#All],[j08]],0)</f>
        <v>49</v>
      </c>
      <c r="K109">
        <f>RANK(TAcum[[#This Row],[j09]],TAcum[[#All],[j09]],0)</f>
        <v>64</v>
      </c>
      <c r="L109">
        <f>RANK(TAcum[[#This Row],[j10]],TAcum[[#All],[j10]],0)</f>
        <v>65</v>
      </c>
      <c r="M109">
        <f>RANK(TAcum[[#This Row],[j11]],TAcum[[#All],[j11]],0)</f>
        <v>61</v>
      </c>
      <c r="N109">
        <f>RANK(TAcum[[#This Row],[j12]],TAcum[[#All],[j12]],0)</f>
        <v>54</v>
      </c>
      <c r="O109">
        <f>RANK(TAcum[[#This Row],[j13]],TAcum[[#All],[j13]],0)</f>
        <v>59</v>
      </c>
      <c r="P109">
        <f>RANK(TAcum[[#This Row],[j14]],TAcum[[#All],[j14]],0)</f>
        <v>59</v>
      </c>
      <c r="Q109">
        <f>RANK(TAcum[[#This Row],[j15]],TAcum[[#All],[j15]],0)</f>
        <v>61</v>
      </c>
      <c r="R109">
        <f>RANK(TAcum[[#This Row],[j16]],TAcum[[#All],[j16]],0)</f>
        <v>49</v>
      </c>
      <c r="S109">
        <f>RANK(TAcum[[#This Row],[j17]],TAcum[[#All],[j17]],0)</f>
        <v>57</v>
      </c>
      <c r="T109">
        <f>RANK(TAcum[[#This Row],[j18]],TAcum[[#All],[j18]],0)</f>
        <v>54</v>
      </c>
      <c r="U109">
        <f>RANK(TAcum[[#This Row],[j19]],TAcum[[#All],[j19]],0)</f>
        <v>64</v>
      </c>
      <c r="V109">
        <f>RANK(TAcum[[#This Row],[j20]],TAcum[[#All],[j20]],0)</f>
        <v>64</v>
      </c>
      <c r="W109">
        <f>RANK(TAcum[[#This Row],[j21]],TAcum[[#All],[j21]],0)</f>
        <v>67</v>
      </c>
      <c r="X109">
        <f>RANK(TAcum[[#This Row],[j22]],TAcum[[#All],[j22]],0)</f>
        <v>72</v>
      </c>
      <c r="Y109">
        <f>RANK(TAcum[[#This Row],[j23]],TAcum[[#All],[j23]],0)</f>
        <v>89</v>
      </c>
      <c r="Z109">
        <f>RANK(TAcum[[#This Row],[j24]],TAcum[[#All],[j24]],0)</f>
        <v>88</v>
      </c>
      <c r="AA109">
        <f>RANK(TAcum[[#This Row],[j25]],TAcum[[#All],[j25]],0)</f>
        <v>90</v>
      </c>
      <c r="AB109">
        <f>RANK(TAcum[[#This Row],[j26]],TAcum[[#All],[j26]],0)</f>
        <v>91</v>
      </c>
      <c r="AC109">
        <f>RANK(TAcum[[#This Row],[j27]],TAcum[[#All],[j27]],0)</f>
        <v>91</v>
      </c>
      <c r="AD109">
        <f>RANK(TAcum[[#This Row],[j28]],TAcum[[#All],[j28]],0)</f>
        <v>105</v>
      </c>
      <c r="AE109">
        <f>RANK(TAcum[[#This Row],[j29]],TAcum[[#All],[j29]],0)</f>
        <v>108</v>
      </c>
      <c r="AF109">
        <f>RANK(TAcum[[#This Row],[j30]],TAcum[[#All],[j30]],0)</f>
        <v>108</v>
      </c>
      <c r="AG109">
        <f>RANK(TAcum[[#This Row],[j31]],TAcum[[#All],[j31]],0)</f>
        <v>108</v>
      </c>
      <c r="AH109">
        <f>RANK(TAcum[[#This Row],[j32]],TAcum[[#All],[j32]],0)</f>
        <v>108</v>
      </c>
      <c r="AI109">
        <f>RANK(TAcum[[#This Row],[j33]],TAcum[[#All],[j33]],0)</f>
        <v>108</v>
      </c>
      <c r="AJ109">
        <f>RANK(TAcum[[#This Row],[j34]],TAcum[[#All],[j34]],0)</f>
        <v>108</v>
      </c>
      <c r="AK109">
        <f>RANK(TAcum[[#This Row],[j35]],TAcum[[#All],[j35]],0)</f>
        <v>108</v>
      </c>
      <c r="AL109">
        <f>RANK(TAcum[[#This Row],[j36]],TAcum[[#All],[j36]],0)</f>
        <v>108</v>
      </c>
      <c r="AM109">
        <f>RANK(TAcum[[#This Row],[j37]],TAcum[[#All],[j37]],0)</f>
        <v>108</v>
      </c>
      <c r="AN109">
        <f>RANK(TAcum[[#This Row],[j38]],TAcum[[#All],[j38]],0)</f>
        <v>108</v>
      </c>
      <c r="AO109">
        <f>RANK(TAcum[[#This Row],[j39]],TAcum[[#All],[j39]],0)</f>
        <v>108</v>
      </c>
      <c r="AP109">
        <f>RANK(TAcum[[#This Row],[j40]],TAcum[[#All],[j40]],0)</f>
        <v>108</v>
      </c>
      <c r="AQ109">
        <f>RANK(TAcum[[#This Row],[j41]],TAcum[[#All],[j41]],0)</f>
        <v>108</v>
      </c>
      <c r="AR109">
        <f>RANK(TAcum[[#This Row],[j42]],TAcum[[#All],[j42]],0)</f>
        <v>108</v>
      </c>
      <c r="AS109">
        <f>RANK(TAcum[[#This Row],[j43]],TAcum[[#All],[j43]],0)</f>
        <v>108</v>
      </c>
      <c r="AT109">
        <f>RANK(TAcum[[#This Row],[j44]],TAcum[[#All],[j44]],0)</f>
        <v>108</v>
      </c>
      <c r="AU109">
        <f>RANK(TAcum[[#This Row],[j45]],TAcum[[#All],[j45]],0)</f>
        <v>108</v>
      </c>
      <c r="AV109">
        <f>RANK(TAcum[[#This Row],[j46]],TAcum[[#All],[j46]],0)</f>
        <v>108</v>
      </c>
      <c r="AW109">
        <f>RANK(TAcum[[#This Row],[j47]],TAcum[[#All],[j47]],0)</f>
        <v>108</v>
      </c>
      <c r="AX109">
        <f>RANK(TAcum[[#This Row],[j48]],TAcum[[#All],[j48]],0)</f>
        <v>108</v>
      </c>
      <c r="AY109">
        <f>RANK(TAcum[[#This Row],[j49]],TAcum[[#All],[j49]],0)</f>
        <v>108</v>
      </c>
      <c r="AZ109">
        <f>RANK(TAcum[[#This Row],[j50]],TAcum[[#All],[j50]],0)</f>
        <v>108</v>
      </c>
      <c r="BA109">
        <f>RANK(TAcum[[#This Row],[j51]],TAcum[[#All],[j51]],0)</f>
        <v>108</v>
      </c>
      <c r="BB109">
        <f>RANK(TAcum[[#This Row],[j52]],TAcum[[#All],[j52]],0)</f>
        <v>108</v>
      </c>
      <c r="BC109">
        <f>RANK(TAcum[[#This Row],[j53]],TAcum[[#All],[j53]],0)</f>
        <v>108</v>
      </c>
      <c r="BD109">
        <f>RANK(TAcum[[#This Row],[j54]],TAcum[[#All],[j54]],0)</f>
        <v>108</v>
      </c>
      <c r="BE109">
        <f>RANK(TAcum[[#This Row],[j55]],TAcum[[#All],[j55]],0)</f>
        <v>108</v>
      </c>
      <c r="BF109">
        <f>RANK(TAcum[[#This Row],[j56]],TAcum[[#All],[j56]],0)</f>
        <v>108</v>
      </c>
      <c r="BG109">
        <f>RANK(TAcum[[#This Row],[j57]],TAcum[[#All],[j57]],0)</f>
        <v>108</v>
      </c>
      <c r="BH109">
        <f>RANK(TAcum[[#This Row],[j58]],TAcum[[#All],[j58]],0)</f>
        <v>108</v>
      </c>
      <c r="BI109">
        <f>RANK(TAcum[[#This Row],[j59]],TAcum[[#All],[j59]],0)</f>
        <v>108</v>
      </c>
      <c r="BJ109">
        <f>RANK(TAcum[[#This Row],[j60]],TAcum[[#All],[j60]],0)</f>
        <v>108</v>
      </c>
      <c r="BK109">
        <f>RANK(TAcum[[#This Row],[j61]],TAcum[[#All],[j61]],0)</f>
        <v>108</v>
      </c>
      <c r="BL109">
        <f>RANK(TAcum[[#This Row],[j62]],TAcum[[#All],[j62]],0)</f>
        <v>108</v>
      </c>
      <c r="BM109">
        <f>RANK(TAcum[[#This Row],[j63]],TAcum[[#All],[j63]],0)</f>
        <v>108</v>
      </c>
      <c r="BN109">
        <f>RANK(TAcum[[#This Row],[j64]],TAcum[[#All],[j64]],0)</f>
        <v>108</v>
      </c>
      <c r="BO109">
        <f>RANK(TAcum[[#This Row],[j65]],TAcum[[#All],[j65]],0)</f>
        <v>108</v>
      </c>
      <c r="BP109">
        <f>RANK(TAcum[[#This Row],[j66]],TAcum[[#All],[j66]],0)</f>
        <v>108</v>
      </c>
      <c r="BQ109">
        <f>RANK(TAcum[[#This Row],[j67]],TAcum[[#All],[j67]],0)</f>
        <v>108</v>
      </c>
      <c r="BR109">
        <f>RANK(TAcum[[#This Row],[j68]],TAcum[[#All],[j68]],0)</f>
        <v>108</v>
      </c>
      <c r="BS109">
        <f>RANK(TAcum[[#This Row],[j69]],TAcum[[#All],[j69]],0)</f>
        <v>108</v>
      </c>
      <c r="BT109">
        <f>RANK(TAcum[[#This Row],[j70]],TAcum[[#All],[j70]],0)</f>
        <v>108</v>
      </c>
      <c r="BU109">
        <f>RANK(TAcum[[#This Row],[j71]],TAcum[[#All],[j71]],0)</f>
        <v>108</v>
      </c>
      <c r="BV109">
        <f>RANK(TAcum[[#This Row],[j72]],TAcum[[#All],[j72]],0)</f>
        <v>108</v>
      </c>
      <c r="BW109">
        <f>RANK(TAcum[[#This Row],[j73]],TAcum[[#All],[j73]],0)</f>
        <v>108</v>
      </c>
    </row>
    <row r="110" spans="1:75" x14ac:dyDescent="0.25">
      <c r="A110" t="str">
        <f>TAcum[[#This Row],[Jogador]]</f>
        <v>Kleber Marcos Meyer</v>
      </c>
      <c r="B110">
        <f>RANK(TAcum[[#This Row],[total]],TAcum[[#All],[total]],0)</f>
        <v>109</v>
      </c>
      <c r="C110">
        <f>RANK(TAcum[[#This Row],[j01]],TAcum[[#All],[j01]],0)</f>
        <v>13</v>
      </c>
      <c r="D110">
        <f>RANK(TAcum[[#This Row],[j02]],TAcum[[#All],[j02]],0)</f>
        <v>14</v>
      </c>
      <c r="E110">
        <f>RANK(TAcum[[#This Row],[j03]],TAcum[[#All],[j03]],0)</f>
        <v>24</v>
      </c>
      <c r="F110">
        <f>RANK(TAcum[[#This Row],[j04]],TAcum[[#All],[j04]],0)</f>
        <v>71</v>
      </c>
      <c r="G110">
        <f>RANK(TAcum[[#This Row],[j05]],TAcum[[#All],[j05]],0)</f>
        <v>71</v>
      </c>
      <c r="H110">
        <f>RANK(TAcum[[#This Row],[j06]],TAcum[[#All],[j06]],0)</f>
        <v>77</v>
      </c>
      <c r="I110">
        <f>RANK(TAcum[[#This Row],[j07]],TAcum[[#All],[j07]],0)</f>
        <v>67</v>
      </c>
      <c r="J110">
        <f>RANK(TAcum[[#This Row],[j08]],TAcum[[#All],[j08]],0)</f>
        <v>73</v>
      </c>
      <c r="K110">
        <f>RANK(TAcum[[#This Row],[j09]],TAcum[[#All],[j09]],0)</f>
        <v>72</v>
      </c>
      <c r="L110">
        <f>RANK(TAcum[[#This Row],[j10]],TAcum[[#All],[j10]],0)</f>
        <v>74</v>
      </c>
      <c r="M110">
        <f>RANK(TAcum[[#This Row],[j11]],TAcum[[#All],[j11]],0)</f>
        <v>95</v>
      </c>
      <c r="N110">
        <f>RANK(TAcum[[#This Row],[j12]],TAcum[[#All],[j12]],0)</f>
        <v>92</v>
      </c>
      <c r="O110">
        <f>RANK(TAcum[[#This Row],[j13]],TAcum[[#All],[j13]],0)</f>
        <v>103</v>
      </c>
      <c r="P110">
        <f>RANK(TAcum[[#This Row],[j14]],TAcum[[#All],[j14]],0)</f>
        <v>93</v>
      </c>
      <c r="Q110">
        <f>RANK(TAcum[[#This Row],[j15]],TAcum[[#All],[j15]],0)</f>
        <v>104</v>
      </c>
      <c r="R110">
        <f>RANK(TAcum[[#This Row],[j16]],TAcum[[#All],[j16]],0)</f>
        <v>106</v>
      </c>
      <c r="S110">
        <f>RANK(TAcum[[#This Row],[j17]],TAcum[[#All],[j17]],0)</f>
        <v>109</v>
      </c>
      <c r="T110">
        <f>RANK(TAcum[[#This Row],[j18]],TAcum[[#All],[j18]],0)</f>
        <v>107</v>
      </c>
      <c r="U110">
        <f>RANK(TAcum[[#This Row],[j19]],TAcum[[#All],[j19]],0)</f>
        <v>111</v>
      </c>
      <c r="V110">
        <f>RANK(TAcum[[#This Row],[j20]],TAcum[[#All],[j20]],0)</f>
        <v>111</v>
      </c>
      <c r="W110">
        <f>RANK(TAcum[[#This Row],[j21]],TAcum[[#All],[j21]],0)</f>
        <v>112</v>
      </c>
      <c r="X110">
        <f>RANK(TAcum[[#This Row],[j22]],TAcum[[#All],[j22]],0)</f>
        <v>112</v>
      </c>
      <c r="Y110">
        <f>RANK(TAcum[[#This Row],[j23]],TAcum[[#All],[j23]],0)</f>
        <v>112</v>
      </c>
      <c r="Z110">
        <f>RANK(TAcum[[#This Row],[j24]],TAcum[[#All],[j24]],0)</f>
        <v>112</v>
      </c>
      <c r="AA110">
        <f>RANK(TAcum[[#This Row],[j25]],TAcum[[#All],[j25]],0)</f>
        <v>110</v>
      </c>
      <c r="AB110">
        <f>RANK(TAcum[[#This Row],[j26]],TAcum[[#All],[j26]],0)</f>
        <v>110</v>
      </c>
      <c r="AC110">
        <f>RANK(TAcum[[#This Row],[j27]],TAcum[[#All],[j27]],0)</f>
        <v>110</v>
      </c>
      <c r="AD110">
        <f>RANK(TAcum[[#This Row],[j28]],TAcum[[#All],[j28]],0)</f>
        <v>109</v>
      </c>
      <c r="AE110">
        <f>RANK(TAcum[[#This Row],[j29]],TAcum[[#All],[j29]],0)</f>
        <v>109</v>
      </c>
      <c r="AF110">
        <f>RANK(TAcum[[#This Row],[j30]],TAcum[[#All],[j30]],0)</f>
        <v>109</v>
      </c>
      <c r="AG110">
        <f>RANK(TAcum[[#This Row],[j31]],TAcum[[#All],[j31]],0)</f>
        <v>109</v>
      </c>
      <c r="AH110">
        <f>RANK(TAcum[[#This Row],[j32]],TAcum[[#All],[j32]],0)</f>
        <v>109</v>
      </c>
      <c r="AI110">
        <f>RANK(TAcum[[#This Row],[j33]],TAcum[[#All],[j33]],0)</f>
        <v>109</v>
      </c>
      <c r="AJ110">
        <f>RANK(TAcum[[#This Row],[j34]],TAcum[[#All],[j34]],0)</f>
        <v>109</v>
      </c>
      <c r="AK110">
        <f>RANK(TAcum[[#This Row],[j35]],TAcum[[#All],[j35]],0)</f>
        <v>109</v>
      </c>
      <c r="AL110">
        <f>RANK(TAcum[[#This Row],[j36]],TAcum[[#All],[j36]],0)</f>
        <v>109</v>
      </c>
      <c r="AM110">
        <f>RANK(TAcum[[#This Row],[j37]],TAcum[[#All],[j37]],0)</f>
        <v>109</v>
      </c>
      <c r="AN110">
        <f>RANK(TAcum[[#This Row],[j38]],TAcum[[#All],[j38]],0)</f>
        <v>109</v>
      </c>
      <c r="AO110">
        <f>RANK(TAcum[[#This Row],[j39]],TAcum[[#All],[j39]],0)</f>
        <v>109</v>
      </c>
      <c r="AP110">
        <f>RANK(TAcum[[#This Row],[j40]],TAcum[[#All],[j40]],0)</f>
        <v>109</v>
      </c>
      <c r="AQ110">
        <f>RANK(TAcum[[#This Row],[j41]],TAcum[[#All],[j41]],0)</f>
        <v>109</v>
      </c>
      <c r="AR110">
        <f>RANK(TAcum[[#This Row],[j42]],TAcum[[#All],[j42]],0)</f>
        <v>109</v>
      </c>
      <c r="AS110">
        <f>RANK(TAcum[[#This Row],[j43]],TAcum[[#All],[j43]],0)</f>
        <v>109</v>
      </c>
      <c r="AT110">
        <f>RANK(TAcum[[#This Row],[j44]],TAcum[[#All],[j44]],0)</f>
        <v>109</v>
      </c>
      <c r="AU110">
        <f>RANK(TAcum[[#This Row],[j45]],TAcum[[#All],[j45]],0)</f>
        <v>109</v>
      </c>
      <c r="AV110">
        <f>RANK(TAcum[[#This Row],[j46]],TAcum[[#All],[j46]],0)</f>
        <v>109</v>
      </c>
      <c r="AW110">
        <f>RANK(TAcum[[#This Row],[j47]],TAcum[[#All],[j47]],0)</f>
        <v>109</v>
      </c>
      <c r="AX110">
        <f>RANK(TAcum[[#This Row],[j48]],TAcum[[#All],[j48]],0)</f>
        <v>109</v>
      </c>
      <c r="AY110">
        <f>RANK(TAcum[[#This Row],[j49]],TAcum[[#All],[j49]],0)</f>
        <v>109</v>
      </c>
      <c r="AZ110">
        <f>RANK(TAcum[[#This Row],[j50]],TAcum[[#All],[j50]],0)</f>
        <v>109</v>
      </c>
      <c r="BA110">
        <f>RANK(TAcum[[#This Row],[j51]],TAcum[[#All],[j51]],0)</f>
        <v>109</v>
      </c>
      <c r="BB110">
        <f>RANK(TAcum[[#This Row],[j52]],TAcum[[#All],[j52]],0)</f>
        <v>109</v>
      </c>
      <c r="BC110">
        <f>RANK(TAcum[[#This Row],[j53]],TAcum[[#All],[j53]],0)</f>
        <v>109</v>
      </c>
      <c r="BD110">
        <f>RANK(TAcum[[#This Row],[j54]],TAcum[[#All],[j54]],0)</f>
        <v>109</v>
      </c>
      <c r="BE110">
        <f>RANK(TAcum[[#This Row],[j55]],TAcum[[#All],[j55]],0)</f>
        <v>109</v>
      </c>
      <c r="BF110">
        <f>RANK(TAcum[[#This Row],[j56]],TAcum[[#All],[j56]],0)</f>
        <v>109</v>
      </c>
      <c r="BG110">
        <f>RANK(TAcum[[#This Row],[j57]],TAcum[[#All],[j57]],0)</f>
        <v>109</v>
      </c>
      <c r="BH110">
        <f>RANK(TAcum[[#This Row],[j58]],TAcum[[#All],[j58]],0)</f>
        <v>109</v>
      </c>
      <c r="BI110">
        <f>RANK(TAcum[[#This Row],[j59]],TAcum[[#All],[j59]],0)</f>
        <v>109</v>
      </c>
      <c r="BJ110">
        <f>RANK(TAcum[[#This Row],[j60]],TAcum[[#All],[j60]],0)</f>
        <v>109</v>
      </c>
      <c r="BK110">
        <f>RANK(TAcum[[#This Row],[j61]],TAcum[[#All],[j61]],0)</f>
        <v>109</v>
      </c>
      <c r="BL110">
        <f>RANK(TAcum[[#This Row],[j62]],TAcum[[#All],[j62]],0)</f>
        <v>109</v>
      </c>
      <c r="BM110">
        <f>RANK(TAcum[[#This Row],[j63]],TAcum[[#All],[j63]],0)</f>
        <v>109</v>
      </c>
      <c r="BN110">
        <f>RANK(TAcum[[#This Row],[j64]],TAcum[[#All],[j64]],0)</f>
        <v>109</v>
      </c>
      <c r="BO110">
        <f>RANK(TAcum[[#This Row],[j65]],TAcum[[#All],[j65]],0)</f>
        <v>109</v>
      </c>
      <c r="BP110">
        <f>RANK(TAcum[[#This Row],[j66]],TAcum[[#All],[j66]],0)</f>
        <v>109</v>
      </c>
      <c r="BQ110">
        <f>RANK(TAcum[[#This Row],[j67]],TAcum[[#All],[j67]],0)</f>
        <v>109</v>
      </c>
      <c r="BR110">
        <f>RANK(TAcum[[#This Row],[j68]],TAcum[[#All],[j68]],0)</f>
        <v>109</v>
      </c>
      <c r="BS110">
        <f>RANK(TAcum[[#This Row],[j69]],TAcum[[#All],[j69]],0)</f>
        <v>109</v>
      </c>
      <c r="BT110">
        <f>RANK(TAcum[[#This Row],[j70]],TAcum[[#All],[j70]],0)</f>
        <v>109</v>
      </c>
      <c r="BU110">
        <f>RANK(TAcum[[#This Row],[j71]],TAcum[[#All],[j71]],0)</f>
        <v>109</v>
      </c>
      <c r="BV110">
        <f>RANK(TAcum[[#This Row],[j72]],TAcum[[#All],[j72]],0)</f>
        <v>109</v>
      </c>
      <c r="BW110">
        <f>RANK(TAcum[[#This Row],[j73]],TAcum[[#All],[j73]],0)</f>
        <v>109</v>
      </c>
    </row>
    <row r="111" spans="1:75" x14ac:dyDescent="0.25">
      <c r="A111" t="str">
        <f>TAcum[[#This Row],[Jogador]]</f>
        <v>Cris Pinto 1</v>
      </c>
      <c r="B111">
        <f>RANK(TAcum[[#This Row],[total]],TAcum[[#All],[total]],0)</f>
        <v>110</v>
      </c>
      <c r="C111">
        <f>RANK(TAcum[[#This Row],[j01]],TAcum[[#All],[j01]],0)</f>
        <v>78</v>
      </c>
      <c r="D111">
        <f>RANK(TAcum[[#This Row],[j02]],TAcum[[#All],[j02]],0)</f>
        <v>77</v>
      </c>
      <c r="E111">
        <f>RANK(TAcum[[#This Row],[j03]],TAcum[[#All],[j03]],0)</f>
        <v>82</v>
      </c>
      <c r="F111">
        <f>RANK(TAcum[[#This Row],[j04]],TAcum[[#All],[j04]],0)</f>
        <v>54</v>
      </c>
      <c r="G111">
        <f>RANK(TAcum[[#This Row],[j05]],TAcum[[#All],[j05]],0)</f>
        <v>55</v>
      </c>
      <c r="H111">
        <f>RANK(TAcum[[#This Row],[j06]],TAcum[[#All],[j06]],0)</f>
        <v>53</v>
      </c>
      <c r="I111">
        <f>RANK(TAcum[[#This Row],[j07]],TAcum[[#All],[j07]],0)</f>
        <v>61</v>
      </c>
      <c r="J111">
        <f>RANK(TAcum[[#This Row],[j08]],TAcum[[#All],[j08]],0)</f>
        <v>49</v>
      </c>
      <c r="K111">
        <f>RANK(TAcum[[#This Row],[j09]],TAcum[[#All],[j09]],0)</f>
        <v>52</v>
      </c>
      <c r="L111">
        <f>RANK(TAcum[[#This Row],[j10]],TAcum[[#All],[j10]],0)</f>
        <v>56</v>
      </c>
      <c r="M111">
        <f>RANK(TAcum[[#This Row],[j11]],TAcum[[#All],[j11]],0)</f>
        <v>51</v>
      </c>
      <c r="N111">
        <f>RANK(TAcum[[#This Row],[j12]],TAcum[[#All],[j12]],0)</f>
        <v>54</v>
      </c>
      <c r="O111">
        <f>RANK(TAcum[[#This Row],[j13]],TAcum[[#All],[j13]],0)</f>
        <v>80</v>
      </c>
      <c r="P111">
        <f>RANK(TAcum[[#This Row],[j14]],TAcum[[#All],[j14]],0)</f>
        <v>77</v>
      </c>
      <c r="Q111">
        <f>RANK(TAcum[[#This Row],[j15]],TAcum[[#All],[j15]],0)</f>
        <v>92</v>
      </c>
      <c r="R111">
        <f>RANK(TAcum[[#This Row],[j16]],TAcum[[#All],[j16]],0)</f>
        <v>90</v>
      </c>
      <c r="S111">
        <f>RANK(TAcum[[#This Row],[j17]],TAcum[[#All],[j17]],0)</f>
        <v>94</v>
      </c>
      <c r="T111">
        <f>RANK(TAcum[[#This Row],[j18]],TAcum[[#All],[j18]],0)</f>
        <v>95</v>
      </c>
      <c r="U111">
        <f>RANK(TAcum[[#This Row],[j19]],TAcum[[#All],[j19]],0)</f>
        <v>101</v>
      </c>
      <c r="V111">
        <f>RANK(TAcum[[#This Row],[j20]],TAcum[[#All],[j20]],0)</f>
        <v>104</v>
      </c>
      <c r="W111">
        <f>RANK(TAcum[[#This Row],[j21]],TAcum[[#All],[j21]],0)</f>
        <v>95</v>
      </c>
      <c r="X111">
        <f>RANK(TAcum[[#This Row],[j22]],TAcum[[#All],[j22]],0)</f>
        <v>98</v>
      </c>
      <c r="Y111">
        <f>RANK(TAcum[[#This Row],[j23]],TAcum[[#All],[j23]],0)</f>
        <v>109</v>
      </c>
      <c r="Z111">
        <f>RANK(TAcum[[#This Row],[j24]],TAcum[[#All],[j24]],0)</f>
        <v>106</v>
      </c>
      <c r="AA111">
        <f>RANK(TAcum[[#This Row],[j25]],TAcum[[#All],[j25]],0)</f>
        <v>111</v>
      </c>
      <c r="AB111">
        <f>RANK(TAcum[[#This Row],[j26]],TAcum[[#All],[j26]],0)</f>
        <v>110</v>
      </c>
      <c r="AC111">
        <f>RANK(TAcum[[#This Row],[j27]],TAcum[[#All],[j27]],0)</f>
        <v>110</v>
      </c>
      <c r="AD111">
        <f>RANK(TAcum[[#This Row],[j28]],TAcum[[#All],[j28]],0)</f>
        <v>112</v>
      </c>
      <c r="AE111">
        <f>RANK(TAcum[[#This Row],[j29]],TAcum[[#All],[j29]],0)</f>
        <v>110</v>
      </c>
      <c r="AF111">
        <f>RANK(TAcum[[#This Row],[j30]],TAcum[[#All],[j30]],0)</f>
        <v>110</v>
      </c>
      <c r="AG111">
        <f>RANK(TAcum[[#This Row],[j31]],TAcum[[#All],[j31]],0)</f>
        <v>110</v>
      </c>
      <c r="AH111">
        <f>RANK(TAcum[[#This Row],[j32]],TAcum[[#All],[j32]],0)</f>
        <v>110</v>
      </c>
      <c r="AI111">
        <f>RANK(TAcum[[#This Row],[j33]],TAcum[[#All],[j33]],0)</f>
        <v>110</v>
      </c>
      <c r="AJ111">
        <f>RANK(TAcum[[#This Row],[j34]],TAcum[[#All],[j34]],0)</f>
        <v>110</v>
      </c>
      <c r="AK111">
        <f>RANK(TAcum[[#This Row],[j35]],TAcum[[#All],[j35]],0)</f>
        <v>110</v>
      </c>
      <c r="AL111">
        <f>RANK(TAcum[[#This Row],[j36]],TAcum[[#All],[j36]],0)</f>
        <v>110</v>
      </c>
      <c r="AM111">
        <f>RANK(TAcum[[#This Row],[j37]],TAcum[[#All],[j37]],0)</f>
        <v>110</v>
      </c>
      <c r="AN111">
        <f>RANK(TAcum[[#This Row],[j38]],TAcum[[#All],[j38]],0)</f>
        <v>110</v>
      </c>
      <c r="AO111">
        <f>RANK(TAcum[[#This Row],[j39]],TAcum[[#All],[j39]],0)</f>
        <v>110</v>
      </c>
      <c r="AP111">
        <f>RANK(TAcum[[#This Row],[j40]],TAcum[[#All],[j40]],0)</f>
        <v>110</v>
      </c>
      <c r="AQ111">
        <f>RANK(TAcum[[#This Row],[j41]],TAcum[[#All],[j41]],0)</f>
        <v>110</v>
      </c>
      <c r="AR111">
        <f>RANK(TAcum[[#This Row],[j42]],TAcum[[#All],[j42]],0)</f>
        <v>110</v>
      </c>
      <c r="AS111">
        <f>RANK(TAcum[[#This Row],[j43]],TAcum[[#All],[j43]],0)</f>
        <v>110</v>
      </c>
      <c r="AT111">
        <f>RANK(TAcum[[#This Row],[j44]],TAcum[[#All],[j44]],0)</f>
        <v>110</v>
      </c>
      <c r="AU111">
        <f>RANK(TAcum[[#This Row],[j45]],TAcum[[#All],[j45]],0)</f>
        <v>110</v>
      </c>
      <c r="AV111">
        <f>RANK(TAcum[[#This Row],[j46]],TAcum[[#All],[j46]],0)</f>
        <v>110</v>
      </c>
      <c r="AW111">
        <f>RANK(TAcum[[#This Row],[j47]],TAcum[[#All],[j47]],0)</f>
        <v>110</v>
      </c>
      <c r="AX111">
        <f>RANK(TAcum[[#This Row],[j48]],TAcum[[#All],[j48]],0)</f>
        <v>110</v>
      </c>
      <c r="AY111">
        <f>RANK(TAcum[[#This Row],[j49]],TAcum[[#All],[j49]],0)</f>
        <v>110</v>
      </c>
      <c r="AZ111">
        <f>RANK(TAcum[[#This Row],[j50]],TAcum[[#All],[j50]],0)</f>
        <v>110</v>
      </c>
      <c r="BA111">
        <f>RANK(TAcum[[#This Row],[j51]],TAcum[[#All],[j51]],0)</f>
        <v>110</v>
      </c>
      <c r="BB111">
        <f>RANK(TAcum[[#This Row],[j52]],TAcum[[#All],[j52]],0)</f>
        <v>110</v>
      </c>
      <c r="BC111">
        <f>RANK(TAcum[[#This Row],[j53]],TAcum[[#All],[j53]],0)</f>
        <v>110</v>
      </c>
      <c r="BD111">
        <f>RANK(TAcum[[#This Row],[j54]],TAcum[[#All],[j54]],0)</f>
        <v>110</v>
      </c>
      <c r="BE111">
        <f>RANK(TAcum[[#This Row],[j55]],TAcum[[#All],[j55]],0)</f>
        <v>110</v>
      </c>
      <c r="BF111">
        <f>RANK(TAcum[[#This Row],[j56]],TAcum[[#All],[j56]],0)</f>
        <v>110</v>
      </c>
      <c r="BG111">
        <f>RANK(TAcum[[#This Row],[j57]],TAcum[[#All],[j57]],0)</f>
        <v>110</v>
      </c>
      <c r="BH111">
        <f>RANK(TAcum[[#This Row],[j58]],TAcum[[#All],[j58]],0)</f>
        <v>110</v>
      </c>
      <c r="BI111">
        <f>RANK(TAcum[[#This Row],[j59]],TAcum[[#All],[j59]],0)</f>
        <v>110</v>
      </c>
      <c r="BJ111">
        <f>RANK(TAcum[[#This Row],[j60]],TAcum[[#All],[j60]],0)</f>
        <v>110</v>
      </c>
      <c r="BK111">
        <f>RANK(TAcum[[#This Row],[j61]],TAcum[[#All],[j61]],0)</f>
        <v>110</v>
      </c>
      <c r="BL111">
        <f>RANK(TAcum[[#This Row],[j62]],TAcum[[#All],[j62]],0)</f>
        <v>110</v>
      </c>
      <c r="BM111">
        <f>RANK(TAcum[[#This Row],[j63]],TAcum[[#All],[j63]],0)</f>
        <v>110</v>
      </c>
      <c r="BN111">
        <f>RANK(TAcum[[#This Row],[j64]],TAcum[[#All],[j64]],0)</f>
        <v>110</v>
      </c>
      <c r="BO111">
        <f>RANK(TAcum[[#This Row],[j65]],TAcum[[#All],[j65]],0)</f>
        <v>110</v>
      </c>
      <c r="BP111">
        <f>RANK(TAcum[[#This Row],[j66]],TAcum[[#All],[j66]],0)</f>
        <v>110</v>
      </c>
      <c r="BQ111">
        <f>RANK(TAcum[[#This Row],[j67]],TAcum[[#All],[j67]],0)</f>
        <v>110</v>
      </c>
      <c r="BR111">
        <f>RANK(TAcum[[#This Row],[j68]],TAcum[[#All],[j68]],0)</f>
        <v>110</v>
      </c>
      <c r="BS111">
        <f>RANK(TAcum[[#This Row],[j69]],TAcum[[#All],[j69]],0)</f>
        <v>110</v>
      </c>
      <c r="BT111">
        <f>RANK(TAcum[[#This Row],[j70]],TAcum[[#All],[j70]],0)</f>
        <v>110</v>
      </c>
      <c r="BU111">
        <f>RANK(TAcum[[#This Row],[j71]],TAcum[[#All],[j71]],0)</f>
        <v>110</v>
      </c>
      <c r="BV111">
        <f>RANK(TAcum[[#This Row],[j72]],TAcum[[#All],[j72]],0)</f>
        <v>110</v>
      </c>
      <c r="BW111">
        <f>RANK(TAcum[[#This Row],[j73]],TAcum[[#All],[j73]],0)</f>
        <v>110</v>
      </c>
    </row>
    <row r="112" spans="1:75" x14ac:dyDescent="0.25">
      <c r="A112" t="str">
        <f>TAcum[[#This Row],[Jogador]]</f>
        <v>Mateus Amorim</v>
      </c>
      <c r="B112">
        <f>RANK(TAcum[[#This Row],[total]],TAcum[[#All],[total]],0)</f>
        <v>111</v>
      </c>
      <c r="C112">
        <f>RANK(TAcum[[#This Row],[j01]],TAcum[[#All],[j01]],0)</f>
        <v>65</v>
      </c>
      <c r="D112">
        <f>RANK(TAcum[[#This Row],[j02]],TAcum[[#All],[j02]],0)</f>
        <v>62</v>
      </c>
      <c r="E112">
        <f>RANK(TAcum[[#This Row],[j03]],TAcum[[#All],[j03]],0)</f>
        <v>82</v>
      </c>
      <c r="F112">
        <f>RANK(TAcum[[#This Row],[j04]],TAcum[[#All],[j04]],0)</f>
        <v>98</v>
      </c>
      <c r="G112">
        <f>RANK(TAcum[[#This Row],[j05]],TAcum[[#All],[j05]],0)</f>
        <v>98</v>
      </c>
      <c r="H112">
        <f>RANK(TAcum[[#This Row],[j06]],TAcum[[#All],[j06]],0)</f>
        <v>105</v>
      </c>
      <c r="I112">
        <f>RANK(TAcum[[#This Row],[j07]],TAcum[[#All],[j07]],0)</f>
        <v>108</v>
      </c>
      <c r="J112">
        <f>RANK(TAcum[[#This Row],[j08]],TAcum[[#All],[j08]],0)</f>
        <v>108</v>
      </c>
      <c r="K112">
        <f>RANK(TAcum[[#This Row],[j09]],TAcum[[#All],[j09]],0)</f>
        <v>108</v>
      </c>
      <c r="L112">
        <f>RANK(TAcum[[#This Row],[j10]],TAcum[[#All],[j10]],0)</f>
        <v>109</v>
      </c>
      <c r="M112">
        <f>RANK(TAcum[[#This Row],[j11]],TAcum[[#All],[j11]],0)</f>
        <v>109</v>
      </c>
      <c r="N112">
        <f>RANK(TAcum[[#This Row],[j12]],TAcum[[#All],[j12]],0)</f>
        <v>112</v>
      </c>
      <c r="O112">
        <f>RANK(TAcum[[#This Row],[j13]],TAcum[[#All],[j13]],0)</f>
        <v>111</v>
      </c>
      <c r="P112">
        <f>RANK(TAcum[[#This Row],[j14]],TAcum[[#All],[j14]],0)</f>
        <v>113</v>
      </c>
      <c r="Q112">
        <f>RANK(TAcum[[#This Row],[j15]],TAcum[[#All],[j15]],0)</f>
        <v>113</v>
      </c>
      <c r="R112">
        <f>RANK(TAcum[[#This Row],[j16]],TAcum[[#All],[j16]],0)</f>
        <v>112</v>
      </c>
      <c r="S112">
        <f>RANK(TAcum[[#This Row],[j17]],TAcum[[#All],[j17]],0)</f>
        <v>114</v>
      </c>
      <c r="T112">
        <f>RANK(TAcum[[#This Row],[j18]],TAcum[[#All],[j18]],0)</f>
        <v>114</v>
      </c>
      <c r="U112">
        <f>RANK(TAcum[[#This Row],[j19]],TAcum[[#All],[j19]],0)</f>
        <v>114</v>
      </c>
      <c r="V112">
        <f>RANK(TAcum[[#This Row],[j20]],TAcum[[#All],[j20]],0)</f>
        <v>114</v>
      </c>
      <c r="W112">
        <f>RANK(TAcum[[#This Row],[j21]],TAcum[[#All],[j21]],0)</f>
        <v>114</v>
      </c>
      <c r="X112">
        <f>RANK(TAcum[[#This Row],[j22]],TAcum[[#All],[j22]],0)</f>
        <v>114</v>
      </c>
      <c r="Y112">
        <f>RANK(TAcum[[#This Row],[j23]],TAcum[[#All],[j23]],0)</f>
        <v>114</v>
      </c>
      <c r="Z112">
        <f>RANK(TAcum[[#This Row],[j24]],TAcum[[#All],[j24]],0)</f>
        <v>113</v>
      </c>
      <c r="AA112">
        <f>RANK(TAcum[[#This Row],[j25]],TAcum[[#All],[j25]],0)</f>
        <v>113</v>
      </c>
      <c r="AB112">
        <f>RANK(TAcum[[#This Row],[j26]],TAcum[[#All],[j26]],0)</f>
        <v>113</v>
      </c>
      <c r="AC112">
        <f>RANK(TAcum[[#This Row],[j27]],TAcum[[#All],[j27]],0)</f>
        <v>113</v>
      </c>
      <c r="AD112">
        <f>RANK(TAcum[[#This Row],[j28]],TAcum[[#All],[j28]],0)</f>
        <v>113</v>
      </c>
      <c r="AE112">
        <f>RANK(TAcum[[#This Row],[j29]],TAcum[[#All],[j29]],0)</f>
        <v>111</v>
      </c>
      <c r="AF112">
        <f>RANK(TAcum[[#This Row],[j30]],TAcum[[#All],[j30]],0)</f>
        <v>111</v>
      </c>
      <c r="AG112">
        <f>RANK(TAcum[[#This Row],[j31]],TAcum[[#All],[j31]],0)</f>
        <v>111</v>
      </c>
      <c r="AH112">
        <f>RANK(TAcum[[#This Row],[j32]],TAcum[[#All],[j32]],0)</f>
        <v>111</v>
      </c>
      <c r="AI112">
        <f>RANK(TAcum[[#This Row],[j33]],TAcum[[#All],[j33]],0)</f>
        <v>111</v>
      </c>
      <c r="AJ112">
        <f>RANK(TAcum[[#This Row],[j34]],TAcum[[#All],[j34]],0)</f>
        <v>111</v>
      </c>
      <c r="AK112">
        <f>RANK(TAcum[[#This Row],[j35]],TAcum[[#All],[j35]],0)</f>
        <v>111</v>
      </c>
      <c r="AL112">
        <f>RANK(TAcum[[#This Row],[j36]],TAcum[[#All],[j36]],0)</f>
        <v>111</v>
      </c>
      <c r="AM112">
        <f>RANK(TAcum[[#This Row],[j37]],TAcum[[#All],[j37]],0)</f>
        <v>111</v>
      </c>
      <c r="AN112">
        <f>RANK(TAcum[[#This Row],[j38]],TAcum[[#All],[j38]],0)</f>
        <v>111</v>
      </c>
      <c r="AO112">
        <f>RANK(TAcum[[#This Row],[j39]],TAcum[[#All],[j39]],0)</f>
        <v>111</v>
      </c>
      <c r="AP112">
        <f>RANK(TAcum[[#This Row],[j40]],TAcum[[#All],[j40]],0)</f>
        <v>111</v>
      </c>
      <c r="AQ112">
        <f>RANK(TAcum[[#This Row],[j41]],TAcum[[#All],[j41]],0)</f>
        <v>111</v>
      </c>
      <c r="AR112">
        <f>RANK(TAcum[[#This Row],[j42]],TAcum[[#All],[j42]],0)</f>
        <v>111</v>
      </c>
      <c r="AS112">
        <f>RANK(TAcum[[#This Row],[j43]],TAcum[[#All],[j43]],0)</f>
        <v>111</v>
      </c>
      <c r="AT112">
        <f>RANK(TAcum[[#This Row],[j44]],TAcum[[#All],[j44]],0)</f>
        <v>111</v>
      </c>
      <c r="AU112">
        <f>RANK(TAcum[[#This Row],[j45]],TAcum[[#All],[j45]],0)</f>
        <v>111</v>
      </c>
      <c r="AV112">
        <f>RANK(TAcum[[#This Row],[j46]],TAcum[[#All],[j46]],0)</f>
        <v>111</v>
      </c>
      <c r="AW112">
        <f>RANK(TAcum[[#This Row],[j47]],TAcum[[#All],[j47]],0)</f>
        <v>111</v>
      </c>
      <c r="AX112">
        <f>RANK(TAcum[[#This Row],[j48]],TAcum[[#All],[j48]],0)</f>
        <v>111</v>
      </c>
      <c r="AY112">
        <f>RANK(TAcum[[#This Row],[j49]],TAcum[[#All],[j49]],0)</f>
        <v>111</v>
      </c>
      <c r="AZ112">
        <f>RANK(TAcum[[#This Row],[j50]],TAcum[[#All],[j50]],0)</f>
        <v>111</v>
      </c>
      <c r="BA112">
        <f>RANK(TAcum[[#This Row],[j51]],TAcum[[#All],[j51]],0)</f>
        <v>111</v>
      </c>
      <c r="BB112">
        <f>RANK(TAcum[[#This Row],[j52]],TAcum[[#All],[j52]],0)</f>
        <v>111</v>
      </c>
      <c r="BC112">
        <f>RANK(TAcum[[#This Row],[j53]],TAcum[[#All],[j53]],0)</f>
        <v>111</v>
      </c>
      <c r="BD112">
        <f>RANK(TAcum[[#This Row],[j54]],TAcum[[#All],[j54]],0)</f>
        <v>111</v>
      </c>
      <c r="BE112">
        <f>RANK(TAcum[[#This Row],[j55]],TAcum[[#All],[j55]],0)</f>
        <v>111</v>
      </c>
      <c r="BF112">
        <f>RANK(TAcum[[#This Row],[j56]],TAcum[[#All],[j56]],0)</f>
        <v>111</v>
      </c>
      <c r="BG112">
        <f>RANK(TAcum[[#This Row],[j57]],TAcum[[#All],[j57]],0)</f>
        <v>111</v>
      </c>
      <c r="BH112">
        <f>RANK(TAcum[[#This Row],[j58]],TAcum[[#All],[j58]],0)</f>
        <v>111</v>
      </c>
      <c r="BI112">
        <f>RANK(TAcum[[#This Row],[j59]],TAcum[[#All],[j59]],0)</f>
        <v>111</v>
      </c>
      <c r="BJ112">
        <f>RANK(TAcum[[#This Row],[j60]],TAcum[[#All],[j60]],0)</f>
        <v>111</v>
      </c>
      <c r="BK112">
        <f>RANK(TAcum[[#This Row],[j61]],TAcum[[#All],[j61]],0)</f>
        <v>111</v>
      </c>
      <c r="BL112">
        <f>RANK(TAcum[[#This Row],[j62]],TAcum[[#All],[j62]],0)</f>
        <v>111</v>
      </c>
      <c r="BM112">
        <f>RANK(TAcum[[#This Row],[j63]],TAcum[[#All],[j63]],0)</f>
        <v>111</v>
      </c>
      <c r="BN112">
        <f>RANK(TAcum[[#This Row],[j64]],TAcum[[#All],[j64]],0)</f>
        <v>111</v>
      </c>
      <c r="BO112">
        <f>RANK(TAcum[[#This Row],[j65]],TAcum[[#All],[j65]],0)</f>
        <v>111</v>
      </c>
      <c r="BP112">
        <f>RANK(TAcum[[#This Row],[j66]],TAcum[[#All],[j66]],0)</f>
        <v>111</v>
      </c>
      <c r="BQ112">
        <f>RANK(TAcum[[#This Row],[j67]],TAcum[[#All],[j67]],0)</f>
        <v>111</v>
      </c>
      <c r="BR112">
        <f>RANK(TAcum[[#This Row],[j68]],TAcum[[#All],[j68]],0)</f>
        <v>111</v>
      </c>
      <c r="BS112">
        <f>RANK(TAcum[[#This Row],[j69]],TAcum[[#All],[j69]],0)</f>
        <v>111</v>
      </c>
      <c r="BT112">
        <f>RANK(TAcum[[#This Row],[j70]],TAcum[[#All],[j70]],0)</f>
        <v>111</v>
      </c>
      <c r="BU112">
        <f>RANK(TAcum[[#This Row],[j71]],TAcum[[#All],[j71]],0)</f>
        <v>111</v>
      </c>
      <c r="BV112">
        <f>RANK(TAcum[[#This Row],[j72]],TAcum[[#All],[j72]],0)</f>
        <v>111</v>
      </c>
      <c r="BW112">
        <f>RANK(TAcum[[#This Row],[j73]],TAcum[[#All],[j73]],0)</f>
        <v>111</v>
      </c>
    </row>
    <row r="113" spans="1:75" x14ac:dyDescent="0.25">
      <c r="A113" t="str">
        <f>TAcum[[#This Row],[Jogador]]</f>
        <v>Rodrigo Moreira</v>
      </c>
      <c r="B113">
        <f>RANK(TAcum[[#This Row],[total]],TAcum[[#All],[total]],0)</f>
        <v>111</v>
      </c>
      <c r="C113">
        <f>RANK(TAcum[[#This Row],[j01]],TAcum[[#All],[j01]],0)</f>
        <v>78</v>
      </c>
      <c r="D113">
        <f>RANK(TAcum[[#This Row],[j02]],TAcum[[#All],[j02]],0)</f>
        <v>77</v>
      </c>
      <c r="E113">
        <f>RANK(TAcum[[#This Row],[j03]],TAcum[[#All],[j03]],0)</f>
        <v>82</v>
      </c>
      <c r="F113">
        <f>RANK(TAcum[[#This Row],[j04]],TAcum[[#All],[j04]],0)</f>
        <v>98</v>
      </c>
      <c r="G113">
        <f>RANK(TAcum[[#This Row],[j05]],TAcum[[#All],[j05]],0)</f>
        <v>98</v>
      </c>
      <c r="H113">
        <f>RANK(TAcum[[#This Row],[j06]],TAcum[[#All],[j06]],0)</f>
        <v>105</v>
      </c>
      <c r="I113">
        <f>RANK(TAcum[[#This Row],[j07]],TAcum[[#All],[j07]],0)</f>
        <v>108</v>
      </c>
      <c r="J113">
        <f>RANK(TAcum[[#This Row],[j08]],TAcum[[#All],[j08]],0)</f>
        <v>108</v>
      </c>
      <c r="K113">
        <f>RANK(TAcum[[#This Row],[j09]],TAcum[[#All],[j09]],0)</f>
        <v>108</v>
      </c>
      <c r="L113">
        <f>RANK(TAcum[[#This Row],[j10]],TAcum[[#All],[j10]],0)</f>
        <v>109</v>
      </c>
      <c r="M113">
        <f>RANK(TAcum[[#This Row],[j11]],TAcum[[#All],[j11]],0)</f>
        <v>109</v>
      </c>
      <c r="N113">
        <f>RANK(TAcum[[#This Row],[j12]],TAcum[[#All],[j12]],0)</f>
        <v>106</v>
      </c>
      <c r="O113">
        <f>RANK(TAcum[[#This Row],[j13]],TAcum[[#All],[j13]],0)</f>
        <v>104</v>
      </c>
      <c r="P113">
        <f>RANK(TAcum[[#This Row],[j14]],TAcum[[#All],[j14]],0)</f>
        <v>106</v>
      </c>
      <c r="Q113">
        <f>RANK(TAcum[[#This Row],[j15]],TAcum[[#All],[j15]],0)</f>
        <v>112</v>
      </c>
      <c r="R113">
        <f>RANK(TAcum[[#This Row],[j16]],TAcum[[#All],[j16]],0)</f>
        <v>111</v>
      </c>
      <c r="S113">
        <f>RANK(TAcum[[#This Row],[j17]],TAcum[[#All],[j17]],0)</f>
        <v>112</v>
      </c>
      <c r="T113">
        <f>RANK(TAcum[[#This Row],[j18]],TAcum[[#All],[j18]],0)</f>
        <v>112</v>
      </c>
      <c r="U113">
        <f>RANK(TAcum[[#This Row],[j19]],TAcum[[#All],[j19]],0)</f>
        <v>112</v>
      </c>
      <c r="V113">
        <f>RANK(TAcum[[#This Row],[j20]],TAcum[[#All],[j20]],0)</f>
        <v>112</v>
      </c>
      <c r="W113">
        <f>RANK(TAcum[[#This Row],[j21]],TAcum[[#All],[j21]],0)</f>
        <v>109</v>
      </c>
      <c r="X113">
        <f>RANK(TAcum[[#This Row],[j22]],TAcum[[#All],[j22]],0)</f>
        <v>109</v>
      </c>
      <c r="Y113">
        <f>RANK(TAcum[[#This Row],[j23]],TAcum[[#All],[j23]],0)</f>
        <v>109</v>
      </c>
      <c r="Z113">
        <f>RANK(TAcum[[#This Row],[j24]],TAcum[[#All],[j24]],0)</f>
        <v>111</v>
      </c>
      <c r="AA113">
        <f>RANK(TAcum[[#This Row],[j25]],TAcum[[#All],[j25]],0)</f>
        <v>111</v>
      </c>
      <c r="AB113">
        <f>RANK(TAcum[[#This Row],[j26]],TAcum[[#All],[j26]],0)</f>
        <v>110</v>
      </c>
      <c r="AC113">
        <f>RANK(TAcum[[#This Row],[j27]],TAcum[[#All],[j27]],0)</f>
        <v>110</v>
      </c>
      <c r="AD113">
        <f>RANK(TAcum[[#This Row],[j28]],TAcum[[#All],[j28]],0)</f>
        <v>109</v>
      </c>
      <c r="AE113">
        <f>RANK(TAcum[[#This Row],[j29]],TAcum[[#All],[j29]],0)</f>
        <v>111</v>
      </c>
      <c r="AF113">
        <f>RANK(TAcum[[#This Row],[j30]],TAcum[[#All],[j30]],0)</f>
        <v>111</v>
      </c>
      <c r="AG113">
        <f>RANK(TAcum[[#This Row],[j31]],TAcum[[#All],[j31]],0)</f>
        <v>111</v>
      </c>
      <c r="AH113">
        <f>RANK(TAcum[[#This Row],[j32]],TAcum[[#All],[j32]],0)</f>
        <v>111</v>
      </c>
      <c r="AI113">
        <f>RANK(TAcum[[#This Row],[j33]],TAcum[[#All],[j33]],0)</f>
        <v>111</v>
      </c>
      <c r="AJ113">
        <f>RANK(TAcum[[#This Row],[j34]],TAcum[[#All],[j34]],0)</f>
        <v>111</v>
      </c>
      <c r="AK113">
        <f>RANK(TAcum[[#This Row],[j35]],TAcum[[#All],[j35]],0)</f>
        <v>111</v>
      </c>
      <c r="AL113">
        <f>RANK(TAcum[[#This Row],[j36]],TAcum[[#All],[j36]],0)</f>
        <v>111</v>
      </c>
      <c r="AM113">
        <f>RANK(TAcum[[#This Row],[j37]],TAcum[[#All],[j37]],0)</f>
        <v>111</v>
      </c>
      <c r="AN113">
        <f>RANK(TAcum[[#This Row],[j38]],TAcum[[#All],[j38]],0)</f>
        <v>111</v>
      </c>
      <c r="AO113">
        <f>RANK(TAcum[[#This Row],[j39]],TAcum[[#All],[j39]],0)</f>
        <v>111</v>
      </c>
      <c r="AP113">
        <f>RANK(TAcum[[#This Row],[j40]],TAcum[[#All],[j40]],0)</f>
        <v>111</v>
      </c>
      <c r="AQ113">
        <f>RANK(TAcum[[#This Row],[j41]],TAcum[[#All],[j41]],0)</f>
        <v>111</v>
      </c>
      <c r="AR113">
        <f>RANK(TAcum[[#This Row],[j42]],TAcum[[#All],[j42]],0)</f>
        <v>111</v>
      </c>
      <c r="AS113">
        <f>RANK(TAcum[[#This Row],[j43]],TAcum[[#All],[j43]],0)</f>
        <v>111</v>
      </c>
      <c r="AT113">
        <f>RANK(TAcum[[#This Row],[j44]],TAcum[[#All],[j44]],0)</f>
        <v>111</v>
      </c>
      <c r="AU113">
        <f>RANK(TAcum[[#This Row],[j45]],TAcum[[#All],[j45]],0)</f>
        <v>111</v>
      </c>
      <c r="AV113">
        <f>RANK(TAcum[[#This Row],[j46]],TAcum[[#All],[j46]],0)</f>
        <v>111</v>
      </c>
      <c r="AW113">
        <f>RANK(TAcum[[#This Row],[j47]],TAcum[[#All],[j47]],0)</f>
        <v>111</v>
      </c>
      <c r="AX113">
        <f>RANK(TAcum[[#This Row],[j48]],TAcum[[#All],[j48]],0)</f>
        <v>111</v>
      </c>
      <c r="AY113">
        <f>RANK(TAcum[[#This Row],[j49]],TAcum[[#All],[j49]],0)</f>
        <v>111</v>
      </c>
      <c r="AZ113">
        <f>RANK(TAcum[[#This Row],[j50]],TAcum[[#All],[j50]],0)</f>
        <v>111</v>
      </c>
      <c r="BA113">
        <f>RANK(TAcum[[#This Row],[j51]],TAcum[[#All],[j51]],0)</f>
        <v>111</v>
      </c>
      <c r="BB113">
        <f>RANK(TAcum[[#This Row],[j52]],TAcum[[#All],[j52]],0)</f>
        <v>111</v>
      </c>
      <c r="BC113">
        <f>RANK(TAcum[[#This Row],[j53]],TAcum[[#All],[j53]],0)</f>
        <v>111</v>
      </c>
      <c r="BD113">
        <f>RANK(TAcum[[#This Row],[j54]],TAcum[[#All],[j54]],0)</f>
        <v>111</v>
      </c>
      <c r="BE113">
        <f>RANK(TAcum[[#This Row],[j55]],TAcum[[#All],[j55]],0)</f>
        <v>111</v>
      </c>
      <c r="BF113">
        <f>RANK(TAcum[[#This Row],[j56]],TAcum[[#All],[j56]],0)</f>
        <v>111</v>
      </c>
      <c r="BG113">
        <f>RANK(TAcum[[#This Row],[j57]],TAcum[[#All],[j57]],0)</f>
        <v>111</v>
      </c>
      <c r="BH113">
        <f>RANK(TAcum[[#This Row],[j58]],TAcum[[#All],[j58]],0)</f>
        <v>111</v>
      </c>
      <c r="BI113">
        <f>RANK(TAcum[[#This Row],[j59]],TAcum[[#All],[j59]],0)</f>
        <v>111</v>
      </c>
      <c r="BJ113">
        <f>RANK(TAcum[[#This Row],[j60]],TAcum[[#All],[j60]],0)</f>
        <v>111</v>
      </c>
      <c r="BK113">
        <f>RANK(TAcum[[#This Row],[j61]],TAcum[[#All],[j61]],0)</f>
        <v>111</v>
      </c>
      <c r="BL113">
        <f>RANK(TAcum[[#This Row],[j62]],TAcum[[#All],[j62]],0)</f>
        <v>111</v>
      </c>
      <c r="BM113">
        <f>RANK(TAcum[[#This Row],[j63]],TAcum[[#All],[j63]],0)</f>
        <v>111</v>
      </c>
      <c r="BN113">
        <f>RANK(TAcum[[#This Row],[j64]],TAcum[[#All],[j64]],0)</f>
        <v>111</v>
      </c>
      <c r="BO113">
        <f>RANK(TAcum[[#This Row],[j65]],TAcum[[#All],[j65]],0)</f>
        <v>111</v>
      </c>
      <c r="BP113">
        <f>RANK(TAcum[[#This Row],[j66]],TAcum[[#All],[j66]],0)</f>
        <v>111</v>
      </c>
      <c r="BQ113">
        <f>RANK(TAcum[[#This Row],[j67]],TAcum[[#All],[j67]],0)</f>
        <v>111</v>
      </c>
      <c r="BR113">
        <f>RANK(TAcum[[#This Row],[j68]],TAcum[[#All],[j68]],0)</f>
        <v>111</v>
      </c>
      <c r="BS113">
        <f>RANK(TAcum[[#This Row],[j69]],TAcum[[#All],[j69]],0)</f>
        <v>111</v>
      </c>
      <c r="BT113">
        <f>RANK(TAcum[[#This Row],[j70]],TAcum[[#All],[j70]],0)</f>
        <v>111</v>
      </c>
      <c r="BU113">
        <f>RANK(TAcum[[#This Row],[j71]],TAcum[[#All],[j71]],0)</f>
        <v>111</v>
      </c>
      <c r="BV113">
        <f>RANK(TAcum[[#This Row],[j72]],TAcum[[#All],[j72]],0)</f>
        <v>111</v>
      </c>
      <c r="BW113">
        <f>RANK(TAcum[[#This Row],[j73]],TAcum[[#All],[j73]],0)</f>
        <v>111</v>
      </c>
    </row>
    <row r="114" spans="1:75" x14ac:dyDescent="0.25">
      <c r="A114" t="str">
        <f>TAcum[[#This Row],[Jogador]]</f>
        <v>David Silva</v>
      </c>
      <c r="B114">
        <f>RANK(TAcum[[#This Row],[total]],TAcum[[#All],[total]],0)</f>
        <v>113</v>
      </c>
      <c r="C114">
        <f>RANK(TAcum[[#This Row],[j01]],TAcum[[#All],[j01]],0)</f>
        <v>65</v>
      </c>
      <c r="D114">
        <f>RANK(TAcum[[#This Row],[j02]],TAcum[[#All],[j02]],0)</f>
        <v>114</v>
      </c>
      <c r="E114">
        <f>RANK(TAcum[[#This Row],[j03]],TAcum[[#All],[j03]],0)</f>
        <v>109</v>
      </c>
      <c r="F114">
        <f>RANK(TAcum[[#This Row],[j04]],TAcum[[#All],[j04]],0)</f>
        <v>110</v>
      </c>
      <c r="G114">
        <f>RANK(TAcum[[#This Row],[j05]],TAcum[[#All],[j05]],0)</f>
        <v>110</v>
      </c>
      <c r="H114">
        <f>RANK(TAcum[[#This Row],[j06]],TAcum[[#All],[j06]],0)</f>
        <v>84</v>
      </c>
      <c r="I114">
        <f>RANK(TAcum[[#This Row],[j07]],TAcum[[#All],[j07]],0)</f>
        <v>95</v>
      </c>
      <c r="J114">
        <f>RANK(TAcum[[#This Row],[j08]],TAcum[[#All],[j08]],0)</f>
        <v>94</v>
      </c>
      <c r="K114">
        <f>RANK(TAcum[[#This Row],[j09]],TAcum[[#All],[j09]],0)</f>
        <v>93</v>
      </c>
      <c r="L114">
        <f>RANK(TAcum[[#This Row],[j10]],TAcum[[#All],[j10]],0)</f>
        <v>94</v>
      </c>
      <c r="M114">
        <f>RANK(TAcum[[#This Row],[j11]],TAcum[[#All],[j11]],0)</f>
        <v>87</v>
      </c>
      <c r="N114">
        <f>RANK(TAcum[[#This Row],[j12]],TAcum[[#All],[j12]],0)</f>
        <v>84</v>
      </c>
      <c r="O114">
        <f>RANK(TAcum[[#This Row],[j13]],TAcum[[#All],[j13]],0)</f>
        <v>94</v>
      </c>
      <c r="P114">
        <f>RANK(TAcum[[#This Row],[j14]],TAcum[[#All],[j14]],0)</f>
        <v>96</v>
      </c>
      <c r="Q114">
        <f>RANK(TAcum[[#This Row],[j15]],TAcum[[#All],[j15]],0)</f>
        <v>73</v>
      </c>
      <c r="R114">
        <f>RANK(TAcum[[#This Row],[j16]],TAcum[[#All],[j16]],0)</f>
        <v>74</v>
      </c>
      <c r="S114">
        <f>RANK(TAcum[[#This Row],[j17]],TAcum[[#All],[j17]],0)</f>
        <v>78</v>
      </c>
      <c r="T114">
        <f>RANK(TAcum[[#This Row],[j18]],TAcum[[#All],[j18]],0)</f>
        <v>81</v>
      </c>
      <c r="U114">
        <f>RANK(TAcum[[#This Row],[j19]],TAcum[[#All],[j19]],0)</f>
        <v>95</v>
      </c>
      <c r="V114">
        <f>RANK(TAcum[[#This Row],[j20]],TAcum[[#All],[j20]],0)</f>
        <v>95</v>
      </c>
      <c r="W114">
        <f>RANK(TAcum[[#This Row],[j21]],TAcum[[#All],[j21]],0)</f>
        <v>98</v>
      </c>
      <c r="X114">
        <f>RANK(TAcum[[#This Row],[j22]],TAcum[[#All],[j22]],0)</f>
        <v>101</v>
      </c>
      <c r="Y114">
        <f>RANK(TAcum[[#This Row],[j23]],TAcum[[#All],[j23]],0)</f>
        <v>102</v>
      </c>
      <c r="Z114">
        <f>RANK(TAcum[[#This Row],[j24]],TAcum[[#All],[j24]],0)</f>
        <v>100</v>
      </c>
      <c r="AA114">
        <f>RANK(TAcum[[#This Row],[j25]],TAcum[[#All],[j25]],0)</f>
        <v>104</v>
      </c>
      <c r="AB114">
        <f>RANK(TAcum[[#This Row],[j26]],TAcum[[#All],[j26]],0)</f>
        <v>107</v>
      </c>
      <c r="AC114">
        <f>RANK(TAcum[[#This Row],[j27]],TAcum[[#All],[j27]],0)</f>
        <v>107</v>
      </c>
      <c r="AD114">
        <f>RANK(TAcum[[#This Row],[j28]],TAcum[[#All],[j28]],0)</f>
        <v>111</v>
      </c>
      <c r="AE114">
        <f>RANK(TAcum[[#This Row],[j29]],TAcum[[#All],[j29]],0)</f>
        <v>113</v>
      </c>
      <c r="AF114">
        <f>RANK(TAcum[[#This Row],[j30]],TAcum[[#All],[j30]],0)</f>
        <v>113</v>
      </c>
      <c r="AG114">
        <f>RANK(TAcum[[#This Row],[j31]],TAcum[[#All],[j31]],0)</f>
        <v>113</v>
      </c>
      <c r="AH114">
        <f>RANK(TAcum[[#This Row],[j32]],TAcum[[#All],[j32]],0)</f>
        <v>113</v>
      </c>
      <c r="AI114">
        <f>RANK(TAcum[[#This Row],[j33]],TAcum[[#All],[j33]],0)</f>
        <v>113</v>
      </c>
      <c r="AJ114">
        <f>RANK(TAcum[[#This Row],[j34]],TAcum[[#All],[j34]],0)</f>
        <v>113</v>
      </c>
      <c r="AK114">
        <f>RANK(TAcum[[#This Row],[j35]],TAcum[[#All],[j35]],0)</f>
        <v>113</v>
      </c>
      <c r="AL114">
        <f>RANK(TAcum[[#This Row],[j36]],TAcum[[#All],[j36]],0)</f>
        <v>113</v>
      </c>
      <c r="AM114">
        <f>RANK(TAcum[[#This Row],[j37]],TAcum[[#All],[j37]],0)</f>
        <v>113</v>
      </c>
      <c r="AN114">
        <f>RANK(TAcum[[#This Row],[j38]],TAcum[[#All],[j38]],0)</f>
        <v>113</v>
      </c>
      <c r="AO114">
        <f>RANK(TAcum[[#This Row],[j39]],TAcum[[#All],[j39]],0)</f>
        <v>113</v>
      </c>
      <c r="AP114">
        <f>RANK(TAcum[[#This Row],[j40]],TAcum[[#All],[j40]],0)</f>
        <v>113</v>
      </c>
      <c r="AQ114">
        <f>RANK(TAcum[[#This Row],[j41]],TAcum[[#All],[j41]],0)</f>
        <v>113</v>
      </c>
      <c r="AR114">
        <f>RANK(TAcum[[#This Row],[j42]],TAcum[[#All],[j42]],0)</f>
        <v>113</v>
      </c>
      <c r="AS114">
        <f>RANK(TAcum[[#This Row],[j43]],TAcum[[#All],[j43]],0)</f>
        <v>113</v>
      </c>
      <c r="AT114">
        <f>RANK(TAcum[[#This Row],[j44]],TAcum[[#All],[j44]],0)</f>
        <v>113</v>
      </c>
      <c r="AU114">
        <f>RANK(TAcum[[#This Row],[j45]],TAcum[[#All],[j45]],0)</f>
        <v>113</v>
      </c>
      <c r="AV114">
        <f>RANK(TAcum[[#This Row],[j46]],TAcum[[#All],[j46]],0)</f>
        <v>113</v>
      </c>
      <c r="AW114">
        <f>RANK(TAcum[[#This Row],[j47]],TAcum[[#All],[j47]],0)</f>
        <v>113</v>
      </c>
      <c r="AX114">
        <f>RANK(TAcum[[#This Row],[j48]],TAcum[[#All],[j48]],0)</f>
        <v>113</v>
      </c>
      <c r="AY114">
        <f>RANK(TAcum[[#This Row],[j49]],TAcum[[#All],[j49]],0)</f>
        <v>113</v>
      </c>
      <c r="AZ114">
        <f>RANK(TAcum[[#This Row],[j50]],TAcum[[#All],[j50]],0)</f>
        <v>113</v>
      </c>
      <c r="BA114">
        <f>RANK(TAcum[[#This Row],[j51]],TAcum[[#All],[j51]],0)</f>
        <v>113</v>
      </c>
      <c r="BB114">
        <f>RANK(TAcum[[#This Row],[j52]],TAcum[[#All],[j52]],0)</f>
        <v>113</v>
      </c>
      <c r="BC114">
        <f>RANK(TAcum[[#This Row],[j53]],TAcum[[#All],[j53]],0)</f>
        <v>113</v>
      </c>
      <c r="BD114">
        <f>RANK(TAcum[[#This Row],[j54]],TAcum[[#All],[j54]],0)</f>
        <v>113</v>
      </c>
      <c r="BE114">
        <f>RANK(TAcum[[#This Row],[j55]],TAcum[[#All],[j55]],0)</f>
        <v>113</v>
      </c>
      <c r="BF114">
        <f>RANK(TAcum[[#This Row],[j56]],TAcum[[#All],[j56]],0)</f>
        <v>113</v>
      </c>
      <c r="BG114">
        <f>RANK(TAcum[[#This Row],[j57]],TAcum[[#All],[j57]],0)</f>
        <v>113</v>
      </c>
      <c r="BH114">
        <f>RANK(TAcum[[#This Row],[j58]],TAcum[[#All],[j58]],0)</f>
        <v>113</v>
      </c>
      <c r="BI114">
        <f>RANK(TAcum[[#This Row],[j59]],TAcum[[#All],[j59]],0)</f>
        <v>113</v>
      </c>
      <c r="BJ114">
        <f>RANK(TAcum[[#This Row],[j60]],TAcum[[#All],[j60]],0)</f>
        <v>113</v>
      </c>
      <c r="BK114">
        <f>RANK(TAcum[[#This Row],[j61]],TAcum[[#All],[j61]],0)</f>
        <v>113</v>
      </c>
      <c r="BL114">
        <f>RANK(TAcum[[#This Row],[j62]],TAcum[[#All],[j62]],0)</f>
        <v>113</v>
      </c>
      <c r="BM114">
        <f>RANK(TAcum[[#This Row],[j63]],TAcum[[#All],[j63]],0)</f>
        <v>113</v>
      </c>
      <c r="BN114">
        <f>RANK(TAcum[[#This Row],[j64]],TAcum[[#All],[j64]],0)</f>
        <v>113</v>
      </c>
      <c r="BO114">
        <f>RANK(TAcum[[#This Row],[j65]],TAcum[[#All],[j65]],0)</f>
        <v>113</v>
      </c>
      <c r="BP114">
        <f>RANK(TAcum[[#This Row],[j66]],TAcum[[#All],[j66]],0)</f>
        <v>113</v>
      </c>
      <c r="BQ114">
        <f>RANK(TAcum[[#This Row],[j67]],TAcum[[#All],[j67]],0)</f>
        <v>113</v>
      </c>
      <c r="BR114">
        <f>RANK(TAcum[[#This Row],[j68]],TAcum[[#All],[j68]],0)</f>
        <v>113</v>
      </c>
      <c r="BS114">
        <f>RANK(TAcum[[#This Row],[j69]],TAcum[[#All],[j69]],0)</f>
        <v>113</v>
      </c>
      <c r="BT114">
        <f>RANK(TAcum[[#This Row],[j70]],TAcum[[#All],[j70]],0)</f>
        <v>113</v>
      </c>
      <c r="BU114">
        <f>RANK(TAcum[[#This Row],[j71]],TAcum[[#All],[j71]],0)</f>
        <v>113</v>
      </c>
      <c r="BV114">
        <f>RANK(TAcum[[#This Row],[j72]],TAcum[[#All],[j72]],0)</f>
        <v>113</v>
      </c>
      <c r="BW114">
        <f>RANK(TAcum[[#This Row],[j73]],TAcum[[#All],[j73]],0)</f>
        <v>113</v>
      </c>
    </row>
    <row r="115" spans="1:75" x14ac:dyDescent="0.25">
      <c r="A115" t="str">
        <f>TAcum[[#This Row],[Jogador]]</f>
        <v>Tatsuhiko Kawaoka</v>
      </c>
      <c r="B115">
        <f>RANK(TAcum[[#This Row],[total]],TAcum[[#All],[total]],0)</f>
        <v>114</v>
      </c>
      <c r="C115">
        <f>RANK(TAcum[[#This Row],[j01]],TAcum[[#All],[j01]],0)</f>
        <v>78</v>
      </c>
      <c r="D115">
        <f>RANK(TAcum[[#This Row],[j02]],TAcum[[#All],[j02]],0)</f>
        <v>77</v>
      </c>
      <c r="E115">
        <f>RANK(TAcum[[#This Row],[j03]],TAcum[[#All],[j03]],0)</f>
        <v>113</v>
      </c>
      <c r="F115">
        <f>RANK(TAcum[[#This Row],[j04]],TAcum[[#All],[j04]],0)</f>
        <v>113</v>
      </c>
      <c r="G115">
        <f>RANK(TAcum[[#This Row],[j05]],TAcum[[#All],[j05]],0)</f>
        <v>113</v>
      </c>
      <c r="H115">
        <f>RANK(TAcum[[#This Row],[j06]],TAcum[[#All],[j06]],0)</f>
        <v>109</v>
      </c>
      <c r="I115">
        <f>RANK(TAcum[[#This Row],[j07]],TAcum[[#All],[j07]],0)</f>
        <v>111</v>
      </c>
      <c r="J115">
        <f>RANK(TAcum[[#This Row],[j08]],TAcum[[#All],[j08]],0)</f>
        <v>111</v>
      </c>
      <c r="K115">
        <f>RANK(TAcum[[#This Row],[j09]],TAcum[[#All],[j09]],0)</f>
        <v>108</v>
      </c>
      <c r="L115">
        <f>RANK(TAcum[[#This Row],[j10]],TAcum[[#All],[j10]],0)</f>
        <v>108</v>
      </c>
      <c r="M115">
        <f>RANK(TAcum[[#This Row],[j11]],TAcum[[#All],[j11]],0)</f>
        <v>106</v>
      </c>
      <c r="N115">
        <f>RANK(TAcum[[#This Row],[j12]],TAcum[[#All],[j12]],0)</f>
        <v>107</v>
      </c>
      <c r="O115">
        <f>RANK(TAcum[[#This Row],[j13]],TAcum[[#All],[j13]],0)</f>
        <v>105</v>
      </c>
      <c r="P115">
        <f>RANK(TAcum[[#This Row],[j14]],TAcum[[#All],[j14]],0)</f>
        <v>105</v>
      </c>
      <c r="Q115">
        <f>RANK(TAcum[[#This Row],[j15]],TAcum[[#All],[j15]],0)</f>
        <v>110</v>
      </c>
      <c r="R115">
        <f>RANK(TAcum[[#This Row],[j16]],TAcum[[#All],[j16]],0)</f>
        <v>114</v>
      </c>
      <c r="S115">
        <f>RANK(TAcum[[#This Row],[j17]],TAcum[[#All],[j17]],0)</f>
        <v>112</v>
      </c>
      <c r="T115">
        <f>RANK(TAcum[[#This Row],[j18]],TAcum[[#All],[j18]],0)</f>
        <v>112</v>
      </c>
      <c r="U115">
        <f>RANK(TAcum[[#This Row],[j19]],TAcum[[#All],[j19]],0)</f>
        <v>112</v>
      </c>
      <c r="V115">
        <f>RANK(TAcum[[#This Row],[j20]],TAcum[[#All],[j20]],0)</f>
        <v>113</v>
      </c>
      <c r="W115">
        <f>RANK(TAcum[[#This Row],[j21]],TAcum[[#All],[j21]],0)</f>
        <v>113</v>
      </c>
      <c r="X115">
        <f>RANK(TAcum[[#This Row],[j22]],TAcum[[#All],[j22]],0)</f>
        <v>113</v>
      </c>
      <c r="Y115">
        <f>RANK(TAcum[[#This Row],[j23]],TAcum[[#All],[j23]],0)</f>
        <v>113</v>
      </c>
      <c r="Z115">
        <f>RANK(TAcum[[#This Row],[j24]],TAcum[[#All],[j24]],0)</f>
        <v>114</v>
      </c>
      <c r="AA115">
        <f>RANK(TAcum[[#This Row],[j25]],TAcum[[#All],[j25]],0)</f>
        <v>114</v>
      </c>
      <c r="AB115">
        <f>RANK(TAcum[[#This Row],[j26]],TAcum[[#All],[j26]],0)</f>
        <v>114</v>
      </c>
      <c r="AC115">
        <f>RANK(TAcum[[#This Row],[j27]],TAcum[[#All],[j27]],0)</f>
        <v>114</v>
      </c>
      <c r="AD115">
        <f>RANK(TAcum[[#This Row],[j28]],TAcum[[#All],[j28]],0)</f>
        <v>114</v>
      </c>
      <c r="AE115">
        <f>RANK(TAcum[[#This Row],[j29]],TAcum[[#All],[j29]],0)</f>
        <v>114</v>
      </c>
      <c r="AF115">
        <f>RANK(TAcum[[#This Row],[j30]],TAcum[[#All],[j30]],0)</f>
        <v>114</v>
      </c>
      <c r="AG115">
        <f>RANK(TAcum[[#This Row],[j31]],TAcum[[#All],[j31]],0)</f>
        <v>114</v>
      </c>
      <c r="AH115">
        <f>RANK(TAcum[[#This Row],[j32]],TAcum[[#All],[j32]],0)</f>
        <v>114</v>
      </c>
      <c r="AI115">
        <f>RANK(TAcum[[#This Row],[j33]],TAcum[[#All],[j33]],0)</f>
        <v>114</v>
      </c>
      <c r="AJ115">
        <f>RANK(TAcum[[#This Row],[j34]],TAcum[[#All],[j34]],0)</f>
        <v>114</v>
      </c>
      <c r="AK115">
        <f>RANK(TAcum[[#This Row],[j35]],TAcum[[#All],[j35]],0)</f>
        <v>114</v>
      </c>
      <c r="AL115">
        <f>RANK(TAcum[[#This Row],[j36]],TAcum[[#All],[j36]],0)</f>
        <v>114</v>
      </c>
      <c r="AM115">
        <f>RANK(TAcum[[#This Row],[j37]],TAcum[[#All],[j37]],0)</f>
        <v>114</v>
      </c>
      <c r="AN115">
        <f>RANK(TAcum[[#This Row],[j38]],TAcum[[#All],[j38]],0)</f>
        <v>114</v>
      </c>
      <c r="AO115">
        <f>RANK(TAcum[[#This Row],[j39]],TAcum[[#All],[j39]],0)</f>
        <v>114</v>
      </c>
      <c r="AP115">
        <f>RANK(TAcum[[#This Row],[j40]],TAcum[[#All],[j40]],0)</f>
        <v>114</v>
      </c>
      <c r="AQ115">
        <f>RANK(TAcum[[#This Row],[j41]],TAcum[[#All],[j41]],0)</f>
        <v>114</v>
      </c>
      <c r="AR115">
        <f>RANK(TAcum[[#This Row],[j42]],TAcum[[#All],[j42]],0)</f>
        <v>114</v>
      </c>
      <c r="AS115">
        <f>RANK(TAcum[[#This Row],[j43]],TAcum[[#All],[j43]],0)</f>
        <v>114</v>
      </c>
      <c r="AT115">
        <f>RANK(TAcum[[#This Row],[j44]],TAcum[[#All],[j44]],0)</f>
        <v>114</v>
      </c>
      <c r="AU115">
        <f>RANK(TAcum[[#This Row],[j45]],TAcum[[#All],[j45]],0)</f>
        <v>114</v>
      </c>
      <c r="AV115">
        <f>RANK(TAcum[[#This Row],[j46]],TAcum[[#All],[j46]],0)</f>
        <v>114</v>
      </c>
      <c r="AW115">
        <f>RANK(TAcum[[#This Row],[j47]],TAcum[[#All],[j47]],0)</f>
        <v>114</v>
      </c>
      <c r="AX115">
        <f>RANK(TAcum[[#This Row],[j48]],TAcum[[#All],[j48]],0)</f>
        <v>114</v>
      </c>
      <c r="AY115">
        <f>RANK(TAcum[[#This Row],[j49]],TAcum[[#All],[j49]],0)</f>
        <v>114</v>
      </c>
      <c r="AZ115">
        <f>RANK(TAcum[[#This Row],[j50]],TAcum[[#All],[j50]],0)</f>
        <v>114</v>
      </c>
      <c r="BA115">
        <f>RANK(TAcum[[#This Row],[j51]],TAcum[[#All],[j51]],0)</f>
        <v>114</v>
      </c>
      <c r="BB115">
        <f>RANK(TAcum[[#This Row],[j52]],TAcum[[#All],[j52]],0)</f>
        <v>114</v>
      </c>
      <c r="BC115">
        <f>RANK(TAcum[[#This Row],[j53]],TAcum[[#All],[j53]],0)</f>
        <v>114</v>
      </c>
      <c r="BD115">
        <f>RANK(TAcum[[#This Row],[j54]],TAcum[[#All],[j54]],0)</f>
        <v>114</v>
      </c>
      <c r="BE115">
        <f>RANK(TAcum[[#This Row],[j55]],TAcum[[#All],[j55]],0)</f>
        <v>114</v>
      </c>
      <c r="BF115">
        <f>RANK(TAcum[[#This Row],[j56]],TAcum[[#All],[j56]],0)</f>
        <v>114</v>
      </c>
      <c r="BG115">
        <f>RANK(TAcum[[#This Row],[j57]],TAcum[[#All],[j57]],0)</f>
        <v>114</v>
      </c>
      <c r="BH115">
        <f>RANK(TAcum[[#This Row],[j58]],TAcum[[#All],[j58]],0)</f>
        <v>114</v>
      </c>
      <c r="BI115">
        <f>RANK(TAcum[[#This Row],[j59]],TAcum[[#All],[j59]],0)</f>
        <v>114</v>
      </c>
      <c r="BJ115">
        <f>RANK(TAcum[[#This Row],[j60]],TAcum[[#All],[j60]],0)</f>
        <v>114</v>
      </c>
      <c r="BK115">
        <f>RANK(TAcum[[#This Row],[j61]],TAcum[[#All],[j61]],0)</f>
        <v>114</v>
      </c>
      <c r="BL115">
        <f>RANK(TAcum[[#This Row],[j62]],TAcum[[#All],[j62]],0)</f>
        <v>114</v>
      </c>
      <c r="BM115">
        <f>RANK(TAcum[[#This Row],[j63]],TAcum[[#All],[j63]],0)</f>
        <v>114</v>
      </c>
      <c r="BN115">
        <f>RANK(TAcum[[#This Row],[j64]],TAcum[[#All],[j64]],0)</f>
        <v>114</v>
      </c>
      <c r="BO115">
        <f>RANK(TAcum[[#This Row],[j65]],TAcum[[#All],[j65]],0)</f>
        <v>114</v>
      </c>
      <c r="BP115">
        <f>RANK(TAcum[[#This Row],[j66]],TAcum[[#All],[j66]],0)</f>
        <v>114</v>
      </c>
      <c r="BQ115">
        <f>RANK(TAcum[[#This Row],[j67]],TAcum[[#All],[j67]],0)</f>
        <v>114</v>
      </c>
      <c r="BR115">
        <f>RANK(TAcum[[#This Row],[j68]],TAcum[[#All],[j68]],0)</f>
        <v>114</v>
      </c>
      <c r="BS115">
        <f>RANK(TAcum[[#This Row],[j69]],TAcum[[#All],[j69]],0)</f>
        <v>114</v>
      </c>
      <c r="BT115">
        <f>RANK(TAcum[[#This Row],[j70]],TAcum[[#All],[j70]],0)</f>
        <v>114</v>
      </c>
      <c r="BU115">
        <f>RANK(TAcum[[#This Row],[j71]],TAcum[[#All],[j71]],0)</f>
        <v>114</v>
      </c>
      <c r="BV115">
        <f>RANK(TAcum[[#This Row],[j72]],TAcum[[#All],[j72]],0)</f>
        <v>114</v>
      </c>
      <c r="BW115">
        <f>RANK(TAcum[[#This Row],[j73]],TAcum[[#All],[j73]],0)</f>
        <v>114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B516-C69F-404F-9AB5-D50BB439B9AE}">
  <dimension ref="A1:D8323"/>
  <sheetViews>
    <sheetView topLeftCell="A569" workbookViewId="0">
      <selection sqref="A1:D1048576"/>
    </sheetView>
  </sheetViews>
  <sheetFormatPr defaultRowHeight="15.75" x14ac:dyDescent="0.25"/>
  <cols>
    <col min="1" max="1" width="26.25" bestFit="1" customWidth="1"/>
    <col min="2" max="2" width="7" bestFit="1" customWidth="1"/>
    <col min="3" max="3" width="8.875" bestFit="1" customWidth="1"/>
    <col min="4" max="4" width="9.75" bestFit="1" customWidth="1"/>
  </cols>
  <sheetData>
    <row r="1" spans="1:4" x14ac:dyDescent="0.25">
      <c r="A1" t="s">
        <v>115</v>
      </c>
      <c r="B1" t="s">
        <v>114</v>
      </c>
      <c r="C1" t="s">
        <v>193</v>
      </c>
      <c r="D1" t="s">
        <v>194</v>
      </c>
    </row>
    <row r="2" spans="1:4" hidden="1" x14ac:dyDescent="0.25">
      <c r="A2" s="2" t="s">
        <v>67</v>
      </c>
      <c r="B2">
        <v>1</v>
      </c>
      <c r="C2" s="2" t="s">
        <v>183</v>
      </c>
      <c r="D2">
        <v>13</v>
      </c>
    </row>
    <row r="3" spans="1:4" hidden="1" x14ac:dyDescent="0.25">
      <c r="A3" s="2" t="s">
        <v>67</v>
      </c>
      <c r="B3">
        <v>1</v>
      </c>
      <c r="C3" s="2" t="s">
        <v>184</v>
      </c>
      <c r="D3">
        <v>14</v>
      </c>
    </row>
    <row r="4" spans="1:4" hidden="1" x14ac:dyDescent="0.25">
      <c r="A4" s="2" t="s">
        <v>67</v>
      </c>
      <c r="B4">
        <v>1</v>
      </c>
      <c r="C4" s="2" t="s">
        <v>185</v>
      </c>
      <c r="D4">
        <v>52</v>
      </c>
    </row>
    <row r="5" spans="1:4" hidden="1" x14ac:dyDescent="0.25">
      <c r="A5" s="2" t="s">
        <v>67</v>
      </c>
      <c r="B5">
        <v>1</v>
      </c>
      <c r="C5" s="2" t="s">
        <v>186</v>
      </c>
      <c r="D5">
        <v>27</v>
      </c>
    </row>
    <row r="6" spans="1:4" hidden="1" x14ac:dyDescent="0.25">
      <c r="A6" s="2" t="s">
        <v>67</v>
      </c>
      <c r="B6">
        <v>1</v>
      </c>
      <c r="C6" s="2" t="s">
        <v>187</v>
      </c>
      <c r="D6">
        <v>27</v>
      </c>
    </row>
    <row r="7" spans="1:4" hidden="1" x14ac:dyDescent="0.25">
      <c r="A7" s="2" t="s">
        <v>67</v>
      </c>
      <c r="B7">
        <v>1</v>
      </c>
      <c r="C7" s="2" t="s">
        <v>188</v>
      </c>
      <c r="D7">
        <v>23</v>
      </c>
    </row>
    <row r="8" spans="1:4" hidden="1" x14ac:dyDescent="0.25">
      <c r="A8" s="2" t="s">
        <v>67</v>
      </c>
      <c r="B8">
        <v>1</v>
      </c>
      <c r="C8" s="2" t="s">
        <v>189</v>
      </c>
      <c r="D8">
        <v>16</v>
      </c>
    </row>
    <row r="9" spans="1:4" hidden="1" x14ac:dyDescent="0.25">
      <c r="A9" s="2" t="s">
        <v>67</v>
      </c>
      <c r="B9">
        <v>1</v>
      </c>
      <c r="C9" s="2" t="s">
        <v>190</v>
      </c>
      <c r="D9">
        <v>8</v>
      </c>
    </row>
    <row r="10" spans="1:4" hidden="1" x14ac:dyDescent="0.25">
      <c r="A10" s="2" t="s">
        <v>67</v>
      </c>
      <c r="B10">
        <v>1</v>
      </c>
      <c r="C10" s="2" t="s">
        <v>191</v>
      </c>
      <c r="D10">
        <v>11</v>
      </c>
    </row>
    <row r="11" spans="1:4" hidden="1" x14ac:dyDescent="0.25">
      <c r="A11" s="2" t="s">
        <v>67</v>
      </c>
      <c r="B11">
        <v>1</v>
      </c>
      <c r="C11" s="2" t="s">
        <v>116</v>
      </c>
      <c r="D11">
        <v>15</v>
      </c>
    </row>
    <row r="12" spans="1:4" hidden="1" x14ac:dyDescent="0.25">
      <c r="A12" s="2" t="s">
        <v>67</v>
      </c>
      <c r="B12">
        <v>1</v>
      </c>
      <c r="C12" s="2" t="s">
        <v>117</v>
      </c>
      <c r="D12">
        <v>17</v>
      </c>
    </row>
    <row r="13" spans="1:4" hidden="1" x14ac:dyDescent="0.25">
      <c r="A13" s="2" t="s">
        <v>67</v>
      </c>
      <c r="B13">
        <v>1</v>
      </c>
      <c r="C13" s="2" t="s">
        <v>118</v>
      </c>
      <c r="D13">
        <v>22</v>
      </c>
    </row>
    <row r="14" spans="1:4" hidden="1" x14ac:dyDescent="0.25">
      <c r="A14" s="2" t="s">
        <v>67</v>
      </c>
      <c r="B14">
        <v>1</v>
      </c>
      <c r="C14" s="2" t="s">
        <v>119</v>
      </c>
      <c r="D14">
        <v>30</v>
      </c>
    </row>
    <row r="15" spans="1:4" hidden="1" x14ac:dyDescent="0.25">
      <c r="A15" s="2" t="s">
        <v>67</v>
      </c>
      <c r="B15">
        <v>1</v>
      </c>
      <c r="C15" s="2" t="s">
        <v>120</v>
      </c>
      <c r="D15">
        <v>32</v>
      </c>
    </row>
    <row r="16" spans="1:4" hidden="1" x14ac:dyDescent="0.25">
      <c r="A16" s="2" t="s">
        <v>67</v>
      </c>
      <c r="B16">
        <v>1</v>
      </c>
      <c r="C16" s="2" t="s">
        <v>121</v>
      </c>
      <c r="D16">
        <v>29</v>
      </c>
    </row>
    <row r="17" spans="1:4" hidden="1" x14ac:dyDescent="0.25">
      <c r="A17" s="2" t="s">
        <v>67</v>
      </c>
      <c r="B17">
        <v>1</v>
      </c>
      <c r="C17" s="2" t="s">
        <v>122</v>
      </c>
      <c r="D17">
        <v>19</v>
      </c>
    </row>
    <row r="18" spans="1:4" hidden="1" x14ac:dyDescent="0.25">
      <c r="A18" s="2" t="s">
        <v>67</v>
      </c>
      <c r="B18">
        <v>1</v>
      </c>
      <c r="C18" s="2" t="s">
        <v>123</v>
      </c>
      <c r="D18">
        <v>23</v>
      </c>
    </row>
    <row r="19" spans="1:4" hidden="1" x14ac:dyDescent="0.25">
      <c r="A19" s="2" t="s">
        <v>67</v>
      </c>
      <c r="B19">
        <v>1</v>
      </c>
      <c r="C19" s="2" t="s">
        <v>124</v>
      </c>
      <c r="D19">
        <v>29</v>
      </c>
    </row>
    <row r="20" spans="1:4" hidden="1" x14ac:dyDescent="0.25">
      <c r="A20" s="2" t="s">
        <v>67</v>
      </c>
      <c r="B20">
        <v>1</v>
      </c>
      <c r="C20" s="2" t="s">
        <v>125</v>
      </c>
      <c r="D20">
        <v>31</v>
      </c>
    </row>
    <row r="21" spans="1:4" hidden="1" x14ac:dyDescent="0.25">
      <c r="A21" s="2" t="s">
        <v>67</v>
      </c>
      <c r="B21">
        <v>1</v>
      </c>
      <c r="C21" s="2" t="s">
        <v>126</v>
      </c>
      <c r="D21">
        <v>7</v>
      </c>
    </row>
    <row r="22" spans="1:4" hidden="1" x14ac:dyDescent="0.25">
      <c r="A22" s="2" t="s">
        <v>67</v>
      </c>
      <c r="B22">
        <v>1</v>
      </c>
      <c r="C22" s="2" t="s">
        <v>127</v>
      </c>
      <c r="D22">
        <v>10</v>
      </c>
    </row>
    <row r="23" spans="1:4" hidden="1" x14ac:dyDescent="0.25">
      <c r="A23" s="2" t="s">
        <v>67</v>
      </c>
      <c r="B23">
        <v>1</v>
      </c>
      <c r="C23" s="2" t="s">
        <v>128</v>
      </c>
      <c r="D23">
        <v>3</v>
      </c>
    </row>
    <row r="24" spans="1:4" hidden="1" x14ac:dyDescent="0.25">
      <c r="A24" s="2" t="s">
        <v>67</v>
      </c>
      <c r="B24">
        <v>1</v>
      </c>
      <c r="C24" s="2" t="s">
        <v>129</v>
      </c>
      <c r="D24">
        <v>3</v>
      </c>
    </row>
    <row r="25" spans="1:4" hidden="1" x14ac:dyDescent="0.25">
      <c r="A25" s="2" t="s">
        <v>67</v>
      </c>
      <c r="B25">
        <v>1</v>
      </c>
      <c r="C25" s="2" t="s">
        <v>130</v>
      </c>
      <c r="D25">
        <v>2</v>
      </c>
    </row>
    <row r="26" spans="1:4" hidden="1" x14ac:dyDescent="0.25">
      <c r="A26" s="2" t="s">
        <v>67</v>
      </c>
      <c r="B26">
        <v>1</v>
      </c>
      <c r="C26" s="2" t="s">
        <v>131</v>
      </c>
      <c r="D26">
        <v>2</v>
      </c>
    </row>
    <row r="27" spans="1:4" hidden="1" x14ac:dyDescent="0.25">
      <c r="A27" s="2" t="s">
        <v>67</v>
      </c>
      <c r="B27">
        <v>1</v>
      </c>
      <c r="C27" s="2" t="s">
        <v>132</v>
      </c>
      <c r="D27">
        <v>1</v>
      </c>
    </row>
    <row r="28" spans="1:4" hidden="1" x14ac:dyDescent="0.25">
      <c r="A28" s="2" t="s">
        <v>67</v>
      </c>
      <c r="B28">
        <v>1</v>
      </c>
      <c r="C28" s="2" t="s">
        <v>133</v>
      </c>
      <c r="D28">
        <v>1</v>
      </c>
    </row>
    <row r="29" spans="1:4" hidden="1" x14ac:dyDescent="0.25">
      <c r="A29" s="2" t="s">
        <v>67</v>
      </c>
      <c r="B29">
        <v>1</v>
      </c>
      <c r="C29" s="2" t="s">
        <v>134</v>
      </c>
      <c r="D29">
        <v>1</v>
      </c>
    </row>
    <row r="30" spans="1:4" hidden="1" x14ac:dyDescent="0.25">
      <c r="A30" s="2" t="s">
        <v>67</v>
      </c>
      <c r="B30">
        <v>1</v>
      </c>
      <c r="C30" s="2" t="s">
        <v>135</v>
      </c>
      <c r="D30">
        <v>1</v>
      </c>
    </row>
    <row r="31" spans="1:4" hidden="1" x14ac:dyDescent="0.25">
      <c r="A31" s="2" t="s">
        <v>67</v>
      </c>
      <c r="B31">
        <v>1</v>
      </c>
      <c r="C31" s="2" t="s">
        <v>136</v>
      </c>
      <c r="D31">
        <v>1</v>
      </c>
    </row>
    <row r="32" spans="1:4" hidden="1" x14ac:dyDescent="0.25">
      <c r="A32" s="2" t="s">
        <v>67</v>
      </c>
      <c r="B32">
        <v>1</v>
      </c>
      <c r="C32" s="2" t="s">
        <v>137</v>
      </c>
      <c r="D32">
        <v>1</v>
      </c>
    </row>
    <row r="33" spans="1:4" hidden="1" x14ac:dyDescent="0.25">
      <c r="A33" s="2" t="s">
        <v>67</v>
      </c>
      <c r="B33">
        <v>1</v>
      </c>
      <c r="C33" s="2" t="s">
        <v>138</v>
      </c>
      <c r="D33">
        <v>1</v>
      </c>
    </row>
    <row r="34" spans="1:4" hidden="1" x14ac:dyDescent="0.25">
      <c r="A34" s="2" t="s">
        <v>67</v>
      </c>
      <c r="B34">
        <v>1</v>
      </c>
      <c r="C34" s="2" t="s">
        <v>139</v>
      </c>
      <c r="D34">
        <v>1</v>
      </c>
    </row>
    <row r="35" spans="1:4" hidden="1" x14ac:dyDescent="0.25">
      <c r="A35" s="2" t="s">
        <v>67</v>
      </c>
      <c r="B35">
        <v>1</v>
      </c>
      <c r="C35" s="2" t="s">
        <v>140</v>
      </c>
      <c r="D35">
        <v>1</v>
      </c>
    </row>
    <row r="36" spans="1:4" hidden="1" x14ac:dyDescent="0.25">
      <c r="A36" s="2" t="s">
        <v>67</v>
      </c>
      <c r="B36">
        <v>1</v>
      </c>
      <c r="C36" s="2" t="s">
        <v>141</v>
      </c>
      <c r="D36">
        <v>1</v>
      </c>
    </row>
    <row r="37" spans="1:4" hidden="1" x14ac:dyDescent="0.25">
      <c r="A37" s="2" t="s">
        <v>67</v>
      </c>
      <c r="B37">
        <v>1</v>
      </c>
      <c r="C37" s="2" t="s">
        <v>142</v>
      </c>
      <c r="D37">
        <v>1</v>
      </c>
    </row>
    <row r="38" spans="1:4" hidden="1" x14ac:dyDescent="0.25">
      <c r="A38" s="2" t="s">
        <v>67</v>
      </c>
      <c r="B38">
        <v>1</v>
      </c>
      <c r="C38" s="2" t="s">
        <v>143</v>
      </c>
      <c r="D38">
        <v>1</v>
      </c>
    </row>
    <row r="39" spans="1:4" hidden="1" x14ac:dyDescent="0.25">
      <c r="A39" s="2" t="s">
        <v>67</v>
      </c>
      <c r="B39">
        <v>1</v>
      </c>
      <c r="C39" s="2" t="s">
        <v>144</v>
      </c>
      <c r="D39">
        <v>1</v>
      </c>
    </row>
    <row r="40" spans="1:4" hidden="1" x14ac:dyDescent="0.25">
      <c r="A40" s="2" t="s">
        <v>67</v>
      </c>
      <c r="B40">
        <v>1</v>
      </c>
      <c r="C40" s="2" t="s">
        <v>145</v>
      </c>
      <c r="D40">
        <v>1</v>
      </c>
    </row>
    <row r="41" spans="1:4" hidden="1" x14ac:dyDescent="0.25">
      <c r="A41" s="2" t="s">
        <v>67</v>
      </c>
      <c r="B41">
        <v>1</v>
      </c>
      <c r="C41" s="2" t="s">
        <v>146</v>
      </c>
      <c r="D41">
        <v>1</v>
      </c>
    </row>
    <row r="42" spans="1:4" hidden="1" x14ac:dyDescent="0.25">
      <c r="A42" s="2" t="s">
        <v>67</v>
      </c>
      <c r="B42">
        <v>1</v>
      </c>
      <c r="C42" s="2" t="s">
        <v>147</v>
      </c>
      <c r="D42">
        <v>1</v>
      </c>
    </row>
    <row r="43" spans="1:4" hidden="1" x14ac:dyDescent="0.25">
      <c r="A43" s="2" t="s">
        <v>67</v>
      </c>
      <c r="B43">
        <v>1</v>
      </c>
      <c r="C43" s="2" t="s">
        <v>148</v>
      </c>
      <c r="D43">
        <v>1</v>
      </c>
    </row>
    <row r="44" spans="1:4" hidden="1" x14ac:dyDescent="0.25">
      <c r="A44" s="2" t="s">
        <v>67</v>
      </c>
      <c r="B44">
        <v>1</v>
      </c>
      <c r="C44" s="2" t="s">
        <v>149</v>
      </c>
      <c r="D44">
        <v>1</v>
      </c>
    </row>
    <row r="45" spans="1:4" hidden="1" x14ac:dyDescent="0.25">
      <c r="A45" s="2" t="s">
        <v>67</v>
      </c>
      <c r="B45">
        <v>1</v>
      </c>
      <c r="C45" s="2" t="s">
        <v>150</v>
      </c>
      <c r="D45">
        <v>1</v>
      </c>
    </row>
    <row r="46" spans="1:4" hidden="1" x14ac:dyDescent="0.25">
      <c r="A46" s="2" t="s">
        <v>67</v>
      </c>
      <c r="B46">
        <v>1</v>
      </c>
      <c r="C46" s="2" t="s">
        <v>151</v>
      </c>
      <c r="D46">
        <v>1</v>
      </c>
    </row>
    <row r="47" spans="1:4" hidden="1" x14ac:dyDescent="0.25">
      <c r="A47" s="2" t="s">
        <v>67</v>
      </c>
      <c r="B47">
        <v>1</v>
      </c>
      <c r="C47" s="2" t="s">
        <v>152</v>
      </c>
      <c r="D47">
        <v>1</v>
      </c>
    </row>
    <row r="48" spans="1:4" hidden="1" x14ac:dyDescent="0.25">
      <c r="A48" s="2" t="s">
        <v>67</v>
      </c>
      <c r="B48">
        <v>1</v>
      </c>
      <c r="C48" s="2" t="s">
        <v>153</v>
      </c>
      <c r="D48">
        <v>1</v>
      </c>
    </row>
    <row r="49" spans="1:4" hidden="1" x14ac:dyDescent="0.25">
      <c r="A49" s="2" t="s">
        <v>67</v>
      </c>
      <c r="B49">
        <v>1</v>
      </c>
      <c r="C49" s="2" t="s">
        <v>154</v>
      </c>
      <c r="D49">
        <v>1</v>
      </c>
    </row>
    <row r="50" spans="1:4" hidden="1" x14ac:dyDescent="0.25">
      <c r="A50" s="2" t="s">
        <v>67</v>
      </c>
      <c r="B50">
        <v>1</v>
      </c>
      <c r="C50" s="2" t="s">
        <v>155</v>
      </c>
      <c r="D50">
        <v>1</v>
      </c>
    </row>
    <row r="51" spans="1:4" hidden="1" x14ac:dyDescent="0.25">
      <c r="A51" s="2" t="s">
        <v>67</v>
      </c>
      <c r="B51">
        <v>1</v>
      </c>
      <c r="C51" s="2" t="s">
        <v>156</v>
      </c>
      <c r="D51">
        <v>1</v>
      </c>
    </row>
    <row r="52" spans="1:4" hidden="1" x14ac:dyDescent="0.25">
      <c r="A52" s="2" t="s">
        <v>67</v>
      </c>
      <c r="B52">
        <v>1</v>
      </c>
      <c r="C52" s="2" t="s">
        <v>157</v>
      </c>
      <c r="D52">
        <v>1</v>
      </c>
    </row>
    <row r="53" spans="1:4" hidden="1" x14ac:dyDescent="0.25">
      <c r="A53" s="2" t="s">
        <v>67</v>
      </c>
      <c r="B53">
        <v>1</v>
      </c>
      <c r="C53" s="2" t="s">
        <v>158</v>
      </c>
      <c r="D53">
        <v>1</v>
      </c>
    </row>
    <row r="54" spans="1:4" hidden="1" x14ac:dyDescent="0.25">
      <c r="A54" s="2" t="s">
        <v>67</v>
      </c>
      <c r="B54">
        <v>1</v>
      </c>
      <c r="C54" s="2" t="s">
        <v>159</v>
      </c>
      <c r="D54">
        <v>1</v>
      </c>
    </row>
    <row r="55" spans="1:4" hidden="1" x14ac:dyDescent="0.25">
      <c r="A55" s="2" t="s">
        <v>67</v>
      </c>
      <c r="B55">
        <v>1</v>
      </c>
      <c r="C55" s="2" t="s">
        <v>160</v>
      </c>
      <c r="D55">
        <v>1</v>
      </c>
    </row>
    <row r="56" spans="1:4" hidden="1" x14ac:dyDescent="0.25">
      <c r="A56" s="2" t="s">
        <v>67</v>
      </c>
      <c r="B56">
        <v>1</v>
      </c>
      <c r="C56" s="2" t="s">
        <v>161</v>
      </c>
      <c r="D56">
        <v>1</v>
      </c>
    </row>
    <row r="57" spans="1:4" hidden="1" x14ac:dyDescent="0.25">
      <c r="A57" s="2" t="s">
        <v>67</v>
      </c>
      <c r="B57">
        <v>1</v>
      </c>
      <c r="C57" s="2" t="s">
        <v>162</v>
      </c>
      <c r="D57">
        <v>1</v>
      </c>
    </row>
    <row r="58" spans="1:4" hidden="1" x14ac:dyDescent="0.25">
      <c r="A58" s="2" t="s">
        <v>67</v>
      </c>
      <c r="B58">
        <v>1</v>
      </c>
      <c r="C58" s="2" t="s">
        <v>163</v>
      </c>
      <c r="D58">
        <v>1</v>
      </c>
    </row>
    <row r="59" spans="1:4" hidden="1" x14ac:dyDescent="0.25">
      <c r="A59" s="2" t="s">
        <v>67</v>
      </c>
      <c r="B59">
        <v>1</v>
      </c>
      <c r="C59" s="2" t="s">
        <v>164</v>
      </c>
      <c r="D59">
        <v>1</v>
      </c>
    </row>
    <row r="60" spans="1:4" hidden="1" x14ac:dyDescent="0.25">
      <c r="A60" s="2" t="s">
        <v>67</v>
      </c>
      <c r="B60">
        <v>1</v>
      </c>
      <c r="C60" s="2" t="s">
        <v>165</v>
      </c>
      <c r="D60">
        <v>1</v>
      </c>
    </row>
    <row r="61" spans="1:4" hidden="1" x14ac:dyDescent="0.25">
      <c r="A61" s="2" t="s">
        <v>67</v>
      </c>
      <c r="B61">
        <v>1</v>
      </c>
      <c r="C61" s="2" t="s">
        <v>166</v>
      </c>
      <c r="D61">
        <v>1</v>
      </c>
    </row>
    <row r="62" spans="1:4" hidden="1" x14ac:dyDescent="0.25">
      <c r="A62" s="2" t="s">
        <v>67</v>
      </c>
      <c r="B62">
        <v>1</v>
      </c>
      <c r="C62" s="2" t="s">
        <v>167</v>
      </c>
      <c r="D62">
        <v>1</v>
      </c>
    </row>
    <row r="63" spans="1:4" hidden="1" x14ac:dyDescent="0.25">
      <c r="A63" s="2" t="s">
        <v>67</v>
      </c>
      <c r="B63">
        <v>1</v>
      </c>
      <c r="C63" s="2" t="s">
        <v>168</v>
      </c>
      <c r="D63">
        <v>1</v>
      </c>
    </row>
    <row r="64" spans="1:4" hidden="1" x14ac:dyDescent="0.25">
      <c r="A64" s="2" t="s">
        <v>67</v>
      </c>
      <c r="B64">
        <v>1</v>
      </c>
      <c r="C64" s="2" t="s">
        <v>169</v>
      </c>
      <c r="D64">
        <v>1</v>
      </c>
    </row>
    <row r="65" spans="1:4" hidden="1" x14ac:dyDescent="0.25">
      <c r="A65" s="2" t="s">
        <v>67</v>
      </c>
      <c r="B65">
        <v>1</v>
      </c>
      <c r="C65" s="2" t="s">
        <v>170</v>
      </c>
      <c r="D65">
        <v>1</v>
      </c>
    </row>
    <row r="66" spans="1:4" hidden="1" x14ac:dyDescent="0.25">
      <c r="A66" s="2" t="s">
        <v>67</v>
      </c>
      <c r="B66">
        <v>1</v>
      </c>
      <c r="C66" s="2" t="s">
        <v>171</v>
      </c>
      <c r="D66">
        <v>1</v>
      </c>
    </row>
    <row r="67" spans="1:4" hidden="1" x14ac:dyDescent="0.25">
      <c r="A67" s="2" t="s">
        <v>67</v>
      </c>
      <c r="B67">
        <v>1</v>
      </c>
      <c r="C67" s="2" t="s">
        <v>172</v>
      </c>
      <c r="D67">
        <v>1</v>
      </c>
    </row>
    <row r="68" spans="1:4" hidden="1" x14ac:dyDescent="0.25">
      <c r="A68" s="2" t="s">
        <v>67</v>
      </c>
      <c r="B68">
        <v>1</v>
      </c>
      <c r="C68" s="2" t="s">
        <v>173</v>
      </c>
      <c r="D68">
        <v>1</v>
      </c>
    </row>
    <row r="69" spans="1:4" hidden="1" x14ac:dyDescent="0.25">
      <c r="A69" s="2" t="s">
        <v>67</v>
      </c>
      <c r="B69">
        <v>1</v>
      </c>
      <c r="C69" s="2" t="s">
        <v>174</v>
      </c>
      <c r="D69">
        <v>1</v>
      </c>
    </row>
    <row r="70" spans="1:4" hidden="1" x14ac:dyDescent="0.25">
      <c r="A70" s="2" t="s">
        <v>67</v>
      </c>
      <c r="B70">
        <v>1</v>
      </c>
      <c r="C70" s="2" t="s">
        <v>175</v>
      </c>
      <c r="D70">
        <v>1</v>
      </c>
    </row>
    <row r="71" spans="1:4" hidden="1" x14ac:dyDescent="0.25">
      <c r="A71" s="2" t="s">
        <v>67</v>
      </c>
      <c r="B71">
        <v>1</v>
      </c>
      <c r="C71" s="2" t="s">
        <v>176</v>
      </c>
      <c r="D71">
        <v>1</v>
      </c>
    </row>
    <row r="72" spans="1:4" hidden="1" x14ac:dyDescent="0.25">
      <c r="A72" s="2" t="s">
        <v>67</v>
      </c>
      <c r="B72">
        <v>1</v>
      </c>
      <c r="C72" s="2" t="s">
        <v>177</v>
      </c>
      <c r="D72">
        <v>1</v>
      </c>
    </row>
    <row r="73" spans="1:4" hidden="1" x14ac:dyDescent="0.25">
      <c r="A73" s="2" t="s">
        <v>67</v>
      </c>
      <c r="B73">
        <v>1</v>
      </c>
      <c r="C73" s="2" t="s">
        <v>178</v>
      </c>
      <c r="D73">
        <v>1</v>
      </c>
    </row>
    <row r="74" spans="1:4" hidden="1" x14ac:dyDescent="0.25">
      <c r="A74" s="2" t="s">
        <v>67</v>
      </c>
      <c r="B74">
        <v>1</v>
      </c>
      <c r="C74" s="2" t="s">
        <v>179</v>
      </c>
      <c r="D74">
        <v>1</v>
      </c>
    </row>
    <row r="75" spans="1:4" hidden="1" x14ac:dyDescent="0.25">
      <c r="A75" s="2" t="s">
        <v>62</v>
      </c>
      <c r="B75">
        <v>2</v>
      </c>
      <c r="C75" s="2" t="s">
        <v>183</v>
      </c>
      <c r="D75">
        <v>13</v>
      </c>
    </row>
    <row r="76" spans="1:4" hidden="1" x14ac:dyDescent="0.25">
      <c r="A76" s="2" t="s">
        <v>62</v>
      </c>
      <c r="B76">
        <v>2</v>
      </c>
      <c r="C76" s="2" t="s">
        <v>184</v>
      </c>
      <c r="D76">
        <v>14</v>
      </c>
    </row>
    <row r="77" spans="1:4" hidden="1" x14ac:dyDescent="0.25">
      <c r="A77" s="2" t="s">
        <v>62</v>
      </c>
      <c r="B77">
        <v>2</v>
      </c>
      <c r="C77" s="2" t="s">
        <v>185</v>
      </c>
      <c r="D77">
        <v>24</v>
      </c>
    </row>
    <row r="78" spans="1:4" hidden="1" x14ac:dyDescent="0.25">
      <c r="A78" s="2" t="s">
        <v>62</v>
      </c>
      <c r="B78">
        <v>2</v>
      </c>
      <c r="C78" s="2" t="s">
        <v>186</v>
      </c>
      <c r="D78">
        <v>9</v>
      </c>
    </row>
    <row r="79" spans="1:4" hidden="1" x14ac:dyDescent="0.25">
      <c r="A79" s="2" t="s">
        <v>62</v>
      </c>
      <c r="B79">
        <v>2</v>
      </c>
      <c r="C79" s="2" t="s">
        <v>187</v>
      </c>
      <c r="D79">
        <v>9</v>
      </c>
    </row>
    <row r="80" spans="1:4" hidden="1" x14ac:dyDescent="0.25">
      <c r="A80" s="2" t="s">
        <v>62</v>
      </c>
      <c r="B80">
        <v>2</v>
      </c>
      <c r="C80" s="2" t="s">
        <v>188</v>
      </c>
      <c r="D80">
        <v>9</v>
      </c>
    </row>
    <row r="81" spans="1:4" hidden="1" x14ac:dyDescent="0.25">
      <c r="A81" s="2" t="s">
        <v>62</v>
      </c>
      <c r="B81">
        <v>2</v>
      </c>
      <c r="C81" s="2" t="s">
        <v>189</v>
      </c>
      <c r="D81">
        <v>5</v>
      </c>
    </row>
    <row r="82" spans="1:4" hidden="1" x14ac:dyDescent="0.25">
      <c r="A82" s="2" t="s">
        <v>62</v>
      </c>
      <c r="B82">
        <v>2</v>
      </c>
      <c r="C82" s="2" t="s">
        <v>190</v>
      </c>
      <c r="D82">
        <v>8</v>
      </c>
    </row>
    <row r="83" spans="1:4" hidden="1" x14ac:dyDescent="0.25">
      <c r="A83" s="2" t="s">
        <v>62</v>
      </c>
      <c r="B83">
        <v>2</v>
      </c>
      <c r="C83" s="2" t="s">
        <v>191</v>
      </c>
      <c r="D83">
        <v>11</v>
      </c>
    </row>
    <row r="84" spans="1:4" hidden="1" x14ac:dyDescent="0.25">
      <c r="A84" s="2" t="s">
        <v>62</v>
      </c>
      <c r="B84">
        <v>2</v>
      </c>
      <c r="C84" s="2" t="s">
        <v>116</v>
      </c>
      <c r="D84">
        <v>7</v>
      </c>
    </row>
    <row r="85" spans="1:4" hidden="1" x14ac:dyDescent="0.25">
      <c r="A85" s="2" t="s">
        <v>62</v>
      </c>
      <c r="B85">
        <v>2</v>
      </c>
      <c r="C85" s="2" t="s">
        <v>117</v>
      </c>
      <c r="D85">
        <v>6</v>
      </c>
    </row>
    <row r="86" spans="1:4" hidden="1" x14ac:dyDescent="0.25">
      <c r="A86" s="2" t="s">
        <v>62</v>
      </c>
      <c r="B86">
        <v>2</v>
      </c>
      <c r="C86" s="2" t="s">
        <v>118</v>
      </c>
      <c r="D86">
        <v>9</v>
      </c>
    </row>
    <row r="87" spans="1:4" hidden="1" x14ac:dyDescent="0.25">
      <c r="A87" s="2" t="s">
        <v>62</v>
      </c>
      <c r="B87">
        <v>2</v>
      </c>
      <c r="C87" s="2" t="s">
        <v>119</v>
      </c>
      <c r="D87">
        <v>5</v>
      </c>
    </row>
    <row r="88" spans="1:4" hidden="1" x14ac:dyDescent="0.25">
      <c r="A88" s="2" t="s">
        <v>62</v>
      </c>
      <c r="B88">
        <v>2</v>
      </c>
      <c r="C88" s="2" t="s">
        <v>120</v>
      </c>
      <c r="D88">
        <v>1</v>
      </c>
    </row>
    <row r="89" spans="1:4" hidden="1" x14ac:dyDescent="0.25">
      <c r="A89" s="2" t="s">
        <v>62</v>
      </c>
      <c r="B89">
        <v>2</v>
      </c>
      <c r="C89" s="2" t="s">
        <v>121</v>
      </c>
      <c r="D89">
        <v>1</v>
      </c>
    </row>
    <row r="90" spans="1:4" hidden="1" x14ac:dyDescent="0.25">
      <c r="A90" s="2" t="s">
        <v>62</v>
      </c>
      <c r="B90">
        <v>2</v>
      </c>
      <c r="C90" s="2" t="s">
        <v>122</v>
      </c>
      <c r="D90">
        <v>1</v>
      </c>
    </row>
    <row r="91" spans="1:4" hidden="1" x14ac:dyDescent="0.25">
      <c r="A91" s="2" t="s">
        <v>62</v>
      </c>
      <c r="B91">
        <v>2</v>
      </c>
      <c r="C91" s="2" t="s">
        <v>123</v>
      </c>
      <c r="D91">
        <v>1</v>
      </c>
    </row>
    <row r="92" spans="1:4" hidden="1" x14ac:dyDescent="0.25">
      <c r="A92" s="2" t="s">
        <v>62</v>
      </c>
      <c r="B92">
        <v>2</v>
      </c>
      <c r="C92" s="2" t="s">
        <v>124</v>
      </c>
      <c r="D92">
        <v>1</v>
      </c>
    </row>
    <row r="93" spans="1:4" hidden="1" x14ac:dyDescent="0.25">
      <c r="A93" s="2" t="s">
        <v>62</v>
      </c>
      <c r="B93">
        <v>2</v>
      </c>
      <c r="C93" s="2" t="s">
        <v>125</v>
      </c>
      <c r="D93">
        <v>1</v>
      </c>
    </row>
    <row r="94" spans="1:4" hidden="1" x14ac:dyDescent="0.25">
      <c r="A94" s="2" t="s">
        <v>62</v>
      </c>
      <c r="B94">
        <v>2</v>
      </c>
      <c r="C94" s="2" t="s">
        <v>126</v>
      </c>
      <c r="D94">
        <v>1</v>
      </c>
    </row>
    <row r="95" spans="1:4" hidden="1" x14ac:dyDescent="0.25">
      <c r="A95" s="2" t="s">
        <v>62</v>
      </c>
      <c r="B95">
        <v>2</v>
      </c>
      <c r="C95" s="2" t="s">
        <v>127</v>
      </c>
      <c r="D95">
        <v>1</v>
      </c>
    </row>
    <row r="96" spans="1:4" hidden="1" x14ac:dyDescent="0.25">
      <c r="A96" s="2" t="s">
        <v>62</v>
      </c>
      <c r="B96">
        <v>2</v>
      </c>
      <c r="C96" s="2" t="s">
        <v>128</v>
      </c>
      <c r="D96">
        <v>2</v>
      </c>
    </row>
    <row r="97" spans="1:4" hidden="1" x14ac:dyDescent="0.25">
      <c r="A97" s="2" t="s">
        <v>62</v>
      </c>
      <c r="B97">
        <v>2</v>
      </c>
      <c r="C97" s="2" t="s">
        <v>129</v>
      </c>
      <c r="D97">
        <v>2</v>
      </c>
    </row>
    <row r="98" spans="1:4" hidden="1" x14ac:dyDescent="0.25">
      <c r="A98" s="2" t="s">
        <v>62</v>
      </c>
      <c r="B98">
        <v>2</v>
      </c>
      <c r="C98" s="2" t="s">
        <v>130</v>
      </c>
      <c r="D98">
        <v>1</v>
      </c>
    </row>
    <row r="99" spans="1:4" hidden="1" x14ac:dyDescent="0.25">
      <c r="A99" s="2" t="s">
        <v>62</v>
      </c>
      <c r="B99">
        <v>2</v>
      </c>
      <c r="C99" s="2" t="s">
        <v>131</v>
      </c>
      <c r="D99">
        <v>1</v>
      </c>
    </row>
    <row r="100" spans="1:4" hidden="1" x14ac:dyDescent="0.25">
      <c r="A100" s="2" t="s">
        <v>62</v>
      </c>
      <c r="B100">
        <v>2</v>
      </c>
      <c r="C100" s="2" t="s">
        <v>132</v>
      </c>
      <c r="D100">
        <v>2</v>
      </c>
    </row>
    <row r="101" spans="1:4" hidden="1" x14ac:dyDescent="0.25">
      <c r="A101" s="2" t="s">
        <v>62</v>
      </c>
      <c r="B101">
        <v>2</v>
      </c>
      <c r="C101" s="2" t="s">
        <v>133</v>
      </c>
      <c r="D101">
        <v>2</v>
      </c>
    </row>
    <row r="102" spans="1:4" hidden="1" x14ac:dyDescent="0.25">
      <c r="A102" s="2" t="s">
        <v>62</v>
      </c>
      <c r="B102">
        <v>2</v>
      </c>
      <c r="C102" s="2" t="s">
        <v>134</v>
      </c>
      <c r="D102">
        <v>3</v>
      </c>
    </row>
    <row r="103" spans="1:4" hidden="1" x14ac:dyDescent="0.25">
      <c r="A103" s="2" t="s">
        <v>62</v>
      </c>
      <c r="B103">
        <v>2</v>
      </c>
      <c r="C103" s="2" t="s">
        <v>135</v>
      </c>
      <c r="D103">
        <v>2</v>
      </c>
    </row>
    <row r="104" spans="1:4" hidden="1" x14ac:dyDescent="0.25">
      <c r="A104" s="2" t="s">
        <v>62</v>
      </c>
      <c r="B104">
        <v>2</v>
      </c>
      <c r="C104" s="2" t="s">
        <v>136</v>
      </c>
      <c r="D104">
        <v>2</v>
      </c>
    </row>
    <row r="105" spans="1:4" hidden="1" x14ac:dyDescent="0.25">
      <c r="A105" s="2" t="s">
        <v>62</v>
      </c>
      <c r="B105">
        <v>2</v>
      </c>
      <c r="C105" s="2" t="s">
        <v>137</v>
      </c>
      <c r="D105">
        <v>2</v>
      </c>
    </row>
    <row r="106" spans="1:4" hidden="1" x14ac:dyDescent="0.25">
      <c r="A106" s="2" t="s">
        <v>62</v>
      </c>
      <c r="B106">
        <v>2</v>
      </c>
      <c r="C106" s="2" t="s">
        <v>138</v>
      </c>
      <c r="D106">
        <v>2</v>
      </c>
    </row>
    <row r="107" spans="1:4" hidden="1" x14ac:dyDescent="0.25">
      <c r="A107" s="2" t="s">
        <v>62</v>
      </c>
      <c r="B107">
        <v>2</v>
      </c>
      <c r="C107" s="2" t="s">
        <v>139</v>
      </c>
      <c r="D107">
        <v>2</v>
      </c>
    </row>
    <row r="108" spans="1:4" hidden="1" x14ac:dyDescent="0.25">
      <c r="A108" s="2" t="s">
        <v>62</v>
      </c>
      <c r="B108">
        <v>2</v>
      </c>
      <c r="C108" s="2" t="s">
        <v>140</v>
      </c>
      <c r="D108">
        <v>2</v>
      </c>
    </row>
    <row r="109" spans="1:4" hidden="1" x14ac:dyDescent="0.25">
      <c r="A109" s="2" t="s">
        <v>62</v>
      </c>
      <c r="B109">
        <v>2</v>
      </c>
      <c r="C109" s="2" t="s">
        <v>141</v>
      </c>
      <c r="D109">
        <v>2</v>
      </c>
    </row>
    <row r="110" spans="1:4" hidden="1" x14ac:dyDescent="0.25">
      <c r="A110" s="2" t="s">
        <v>62</v>
      </c>
      <c r="B110">
        <v>2</v>
      </c>
      <c r="C110" s="2" t="s">
        <v>142</v>
      </c>
      <c r="D110">
        <v>2</v>
      </c>
    </row>
    <row r="111" spans="1:4" hidden="1" x14ac:dyDescent="0.25">
      <c r="A111" s="2" t="s">
        <v>62</v>
      </c>
      <c r="B111">
        <v>2</v>
      </c>
      <c r="C111" s="2" t="s">
        <v>143</v>
      </c>
      <c r="D111">
        <v>2</v>
      </c>
    </row>
    <row r="112" spans="1:4" hidden="1" x14ac:dyDescent="0.25">
      <c r="A112" s="2" t="s">
        <v>62</v>
      </c>
      <c r="B112">
        <v>2</v>
      </c>
      <c r="C112" s="2" t="s">
        <v>144</v>
      </c>
      <c r="D112">
        <v>2</v>
      </c>
    </row>
    <row r="113" spans="1:4" hidden="1" x14ac:dyDescent="0.25">
      <c r="A113" s="2" t="s">
        <v>62</v>
      </c>
      <c r="B113">
        <v>2</v>
      </c>
      <c r="C113" s="2" t="s">
        <v>145</v>
      </c>
      <c r="D113">
        <v>2</v>
      </c>
    </row>
    <row r="114" spans="1:4" hidden="1" x14ac:dyDescent="0.25">
      <c r="A114" s="2" t="s">
        <v>62</v>
      </c>
      <c r="B114">
        <v>2</v>
      </c>
      <c r="C114" s="2" t="s">
        <v>146</v>
      </c>
      <c r="D114">
        <v>2</v>
      </c>
    </row>
    <row r="115" spans="1:4" hidden="1" x14ac:dyDescent="0.25">
      <c r="A115" s="2" t="s">
        <v>62</v>
      </c>
      <c r="B115">
        <v>2</v>
      </c>
      <c r="C115" s="2" t="s">
        <v>147</v>
      </c>
      <c r="D115">
        <v>2</v>
      </c>
    </row>
    <row r="116" spans="1:4" hidden="1" x14ac:dyDescent="0.25">
      <c r="A116" s="2" t="s">
        <v>62</v>
      </c>
      <c r="B116">
        <v>2</v>
      </c>
      <c r="C116" s="2" t="s">
        <v>148</v>
      </c>
      <c r="D116">
        <v>2</v>
      </c>
    </row>
    <row r="117" spans="1:4" hidden="1" x14ac:dyDescent="0.25">
      <c r="A117" s="2" t="s">
        <v>62</v>
      </c>
      <c r="B117">
        <v>2</v>
      </c>
      <c r="C117" s="2" t="s">
        <v>149</v>
      </c>
      <c r="D117">
        <v>2</v>
      </c>
    </row>
    <row r="118" spans="1:4" hidden="1" x14ac:dyDescent="0.25">
      <c r="A118" s="2" t="s">
        <v>62</v>
      </c>
      <c r="B118">
        <v>2</v>
      </c>
      <c r="C118" s="2" t="s">
        <v>150</v>
      </c>
      <c r="D118">
        <v>2</v>
      </c>
    </row>
    <row r="119" spans="1:4" hidden="1" x14ac:dyDescent="0.25">
      <c r="A119" s="2" t="s">
        <v>62</v>
      </c>
      <c r="B119">
        <v>2</v>
      </c>
      <c r="C119" s="2" t="s">
        <v>151</v>
      </c>
      <c r="D119">
        <v>2</v>
      </c>
    </row>
    <row r="120" spans="1:4" hidden="1" x14ac:dyDescent="0.25">
      <c r="A120" s="2" t="s">
        <v>62</v>
      </c>
      <c r="B120">
        <v>2</v>
      </c>
      <c r="C120" s="2" t="s">
        <v>152</v>
      </c>
      <c r="D120">
        <v>2</v>
      </c>
    </row>
    <row r="121" spans="1:4" hidden="1" x14ac:dyDescent="0.25">
      <c r="A121" s="2" t="s">
        <v>62</v>
      </c>
      <c r="B121">
        <v>2</v>
      </c>
      <c r="C121" s="2" t="s">
        <v>153</v>
      </c>
      <c r="D121">
        <v>2</v>
      </c>
    </row>
    <row r="122" spans="1:4" hidden="1" x14ac:dyDescent="0.25">
      <c r="A122" s="2" t="s">
        <v>62</v>
      </c>
      <c r="B122">
        <v>2</v>
      </c>
      <c r="C122" s="2" t="s">
        <v>154</v>
      </c>
      <c r="D122">
        <v>2</v>
      </c>
    </row>
    <row r="123" spans="1:4" hidden="1" x14ac:dyDescent="0.25">
      <c r="A123" s="2" t="s">
        <v>62</v>
      </c>
      <c r="B123">
        <v>2</v>
      </c>
      <c r="C123" s="2" t="s">
        <v>155</v>
      </c>
      <c r="D123">
        <v>2</v>
      </c>
    </row>
    <row r="124" spans="1:4" hidden="1" x14ac:dyDescent="0.25">
      <c r="A124" s="2" t="s">
        <v>62</v>
      </c>
      <c r="B124">
        <v>2</v>
      </c>
      <c r="C124" s="2" t="s">
        <v>156</v>
      </c>
      <c r="D124">
        <v>2</v>
      </c>
    </row>
    <row r="125" spans="1:4" hidden="1" x14ac:dyDescent="0.25">
      <c r="A125" s="2" t="s">
        <v>62</v>
      </c>
      <c r="B125">
        <v>2</v>
      </c>
      <c r="C125" s="2" t="s">
        <v>157</v>
      </c>
      <c r="D125">
        <v>2</v>
      </c>
    </row>
    <row r="126" spans="1:4" hidden="1" x14ac:dyDescent="0.25">
      <c r="A126" s="2" t="s">
        <v>62</v>
      </c>
      <c r="B126">
        <v>2</v>
      </c>
      <c r="C126" s="2" t="s">
        <v>158</v>
      </c>
      <c r="D126">
        <v>2</v>
      </c>
    </row>
    <row r="127" spans="1:4" hidden="1" x14ac:dyDescent="0.25">
      <c r="A127" s="2" t="s">
        <v>62</v>
      </c>
      <c r="B127">
        <v>2</v>
      </c>
      <c r="C127" s="2" t="s">
        <v>159</v>
      </c>
      <c r="D127">
        <v>2</v>
      </c>
    </row>
    <row r="128" spans="1:4" hidden="1" x14ac:dyDescent="0.25">
      <c r="A128" s="2" t="s">
        <v>62</v>
      </c>
      <c r="B128">
        <v>2</v>
      </c>
      <c r="C128" s="2" t="s">
        <v>160</v>
      </c>
      <c r="D128">
        <v>2</v>
      </c>
    </row>
    <row r="129" spans="1:4" hidden="1" x14ac:dyDescent="0.25">
      <c r="A129" s="2" t="s">
        <v>62</v>
      </c>
      <c r="B129">
        <v>2</v>
      </c>
      <c r="C129" s="2" t="s">
        <v>161</v>
      </c>
      <c r="D129">
        <v>2</v>
      </c>
    </row>
    <row r="130" spans="1:4" hidden="1" x14ac:dyDescent="0.25">
      <c r="A130" s="2" t="s">
        <v>62</v>
      </c>
      <c r="B130">
        <v>2</v>
      </c>
      <c r="C130" s="2" t="s">
        <v>162</v>
      </c>
      <c r="D130">
        <v>2</v>
      </c>
    </row>
    <row r="131" spans="1:4" hidden="1" x14ac:dyDescent="0.25">
      <c r="A131" s="2" t="s">
        <v>62</v>
      </c>
      <c r="B131">
        <v>2</v>
      </c>
      <c r="C131" s="2" t="s">
        <v>163</v>
      </c>
      <c r="D131">
        <v>2</v>
      </c>
    </row>
    <row r="132" spans="1:4" hidden="1" x14ac:dyDescent="0.25">
      <c r="A132" s="2" t="s">
        <v>62</v>
      </c>
      <c r="B132">
        <v>2</v>
      </c>
      <c r="C132" s="2" t="s">
        <v>164</v>
      </c>
      <c r="D132">
        <v>2</v>
      </c>
    </row>
    <row r="133" spans="1:4" hidden="1" x14ac:dyDescent="0.25">
      <c r="A133" s="2" t="s">
        <v>62</v>
      </c>
      <c r="B133">
        <v>2</v>
      </c>
      <c r="C133" s="2" t="s">
        <v>165</v>
      </c>
      <c r="D133">
        <v>2</v>
      </c>
    </row>
    <row r="134" spans="1:4" hidden="1" x14ac:dyDescent="0.25">
      <c r="A134" s="2" t="s">
        <v>62</v>
      </c>
      <c r="B134">
        <v>2</v>
      </c>
      <c r="C134" s="2" t="s">
        <v>166</v>
      </c>
      <c r="D134">
        <v>2</v>
      </c>
    </row>
    <row r="135" spans="1:4" hidden="1" x14ac:dyDescent="0.25">
      <c r="A135" s="2" t="s">
        <v>62</v>
      </c>
      <c r="B135">
        <v>2</v>
      </c>
      <c r="C135" s="2" t="s">
        <v>167</v>
      </c>
      <c r="D135">
        <v>2</v>
      </c>
    </row>
    <row r="136" spans="1:4" hidden="1" x14ac:dyDescent="0.25">
      <c r="A136" s="2" t="s">
        <v>62</v>
      </c>
      <c r="B136">
        <v>2</v>
      </c>
      <c r="C136" s="2" t="s">
        <v>168</v>
      </c>
      <c r="D136">
        <v>2</v>
      </c>
    </row>
    <row r="137" spans="1:4" hidden="1" x14ac:dyDescent="0.25">
      <c r="A137" s="2" t="s">
        <v>62</v>
      </c>
      <c r="B137">
        <v>2</v>
      </c>
      <c r="C137" s="2" t="s">
        <v>169</v>
      </c>
      <c r="D137">
        <v>2</v>
      </c>
    </row>
    <row r="138" spans="1:4" hidden="1" x14ac:dyDescent="0.25">
      <c r="A138" s="2" t="s">
        <v>62</v>
      </c>
      <c r="B138">
        <v>2</v>
      </c>
      <c r="C138" s="2" t="s">
        <v>170</v>
      </c>
      <c r="D138">
        <v>2</v>
      </c>
    </row>
    <row r="139" spans="1:4" hidden="1" x14ac:dyDescent="0.25">
      <c r="A139" s="2" t="s">
        <v>62</v>
      </c>
      <c r="B139">
        <v>2</v>
      </c>
      <c r="C139" s="2" t="s">
        <v>171</v>
      </c>
      <c r="D139">
        <v>2</v>
      </c>
    </row>
    <row r="140" spans="1:4" hidden="1" x14ac:dyDescent="0.25">
      <c r="A140" s="2" t="s">
        <v>62</v>
      </c>
      <c r="B140">
        <v>2</v>
      </c>
      <c r="C140" s="2" t="s">
        <v>172</v>
      </c>
      <c r="D140">
        <v>2</v>
      </c>
    </row>
    <row r="141" spans="1:4" hidden="1" x14ac:dyDescent="0.25">
      <c r="A141" s="2" t="s">
        <v>62</v>
      </c>
      <c r="B141">
        <v>2</v>
      </c>
      <c r="C141" s="2" t="s">
        <v>173</v>
      </c>
      <c r="D141">
        <v>2</v>
      </c>
    </row>
    <row r="142" spans="1:4" hidden="1" x14ac:dyDescent="0.25">
      <c r="A142" s="2" t="s">
        <v>62</v>
      </c>
      <c r="B142">
        <v>2</v>
      </c>
      <c r="C142" s="2" t="s">
        <v>174</v>
      </c>
      <c r="D142">
        <v>2</v>
      </c>
    </row>
    <row r="143" spans="1:4" hidden="1" x14ac:dyDescent="0.25">
      <c r="A143" s="2" t="s">
        <v>62</v>
      </c>
      <c r="B143">
        <v>2</v>
      </c>
      <c r="C143" s="2" t="s">
        <v>175</v>
      </c>
      <c r="D143">
        <v>2</v>
      </c>
    </row>
    <row r="144" spans="1:4" hidden="1" x14ac:dyDescent="0.25">
      <c r="A144" s="2" t="s">
        <v>62</v>
      </c>
      <c r="B144">
        <v>2</v>
      </c>
      <c r="C144" s="2" t="s">
        <v>176</v>
      </c>
      <c r="D144">
        <v>2</v>
      </c>
    </row>
    <row r="145" spans="1:4" hidden="1" x14ac:dyDescent="0.25">
      <c r="A145" s="2" t="s">
        <v>62</v>
      </c>
      <c r="B145">
        <v>2</v>
      </c>
      <c r="C145" s="2" t="s">
        <v>177</v>
      </c>
      <c r="D145">
        <v>2</v>
      </c>
    </row>
    <row r="146" spans="1:4" hidden="1" x14ac:dyDescent="0.25">
      <c r="A146" s="2" t="s">
        <v>62</v>
      </c>
      <c r="B146">
        <v>2</v>
      </c>
      <c r="C146" s="2" t="s">
        <v>178</v>
      </c>
      <c r="D146">
        <v>2</v>
      </c>
    </row>
    <row r="147" spans="1:4" hidden="1" x14ac:dyDescent="0.25">
      <c r="A147" s="2" t="s">
        <v>62</v>
      </c>
      <c r="B147">
        <v>2</v>
      </c>
      <c r="C147" s="2" t="s">
        <v>179</v>
      </c>
      <c r="D147">
        <v>2</v>
      </c>
    </row>
    <row r="148" spans="1:4" hidden="1" x14ac:dyDescent="0.25">
      <c r="A148" s="2" t="s">
        <v>26</v>
      </c>
      <c r="B148">
        <v>3</v>
      </c>
      <c r="C148" s="2" t="s">
        <v>183</v>
      </c>
      <c r="D148">
        <v>13</v>
      </c>
    </row>
    <row r="149" spans="1:4" hidden="1" x14ac:dyDescent="0.25">
      <c r="A149" s="2" t="s">
        <v>26</v>
      </c>
      <c r="B149">
        <v>3</v>
      </c>
      <c r="C149" s="2" t="s">
        <v>184</v>
      </c>
      <c r="D149">
        <v>14</v>
      </c>
    </row>
    <row r="150" spans="1:4" hidden="1" x14ac:dyDescent="0.25">
      <c r="A150" s="2" t="s">
        <v>26</v>
      </c>
      <c r="B150">
        <v>3</v>
      </c>
      <c r="C150" s="2" t="s">
        <v>185</v>
      </c>
      <c r="D150">
        <v>3</v>
      </c>
    </row>
    <row r="151" spans="1:4" hidden="1" x14ac:dyDescent="0.25">
      <c r="A151" s="2" t="s">
        <v>26</v>
      </c>
      <c r="B151">
        <v>3</v>
      </c>
      <c r="C151" s="2" t="s">
        <v>186</v>
      </c>
      <c r="D151">
        <v>1</v>
      </c>
    </row>
    <row r="152" spans="1:4" hidden="1" x14ac:dyDescent="0.25">
      <c r="A152" s="2" t="s">
        <v>26</v>
      </c>
      <c r="B152">
        <v>3</v>
      </c>
      <c r="C152" s="2" t="s">
        <v>187</v>
      </c>
      <c r="D152">
        <v>1</v>
      </c>
    </row>
    <row r="153" spans="1:4" hidden="1" x14ac:dyDescent="0.25">
      <c r="A153" s="2" t="s">
        <v>26</v>
      </c>
      <c r="B153">
        <v>3</v>
      </c>
      <c r="C153" s="2" t="s">
        <v>188</v>
      </c>
      <c r="D153">
        <v>1</v>
      </c>
    </row>
    <row r="154" spans="1:4" hidden="1" x14ac:dyDescent="0.25">
      <c r="A154" s="2" t="s">
        <v>26</v>
      </c>
      <c r="B154">
        <v>3</v>
      </c>
      <c r="C154" s="2" t="s">
        <v>189</v>
      </c>
      <c r="D154">
        <v>11</v>
      </c>
    </row>
    <row r="155" spans="1:4" hidden="1" x14ac:dyDescent="0.25">
      <c r="A155" s="2" t="s">
        <v>26</v>
      </c>
      <c r="B155">
        <v>3</v>
      </c>
      <c r="C155" s="2" t="s">
        <v>190</v>
      </c>
      <c r="D155">
        <v>15</v>
      </c>
    </row>
    <row r="156" spans="1:4" hidden="1" x14ac:dyDescent="0.25">
      <c r="A156" s="2" t="s">
        <v>26</v>
      </c>
      <c r="B156">
        <v>3</v>
      </c>
      <c r="C156" s="2" t="s">
        <v>191</v>
      </c>
      <c r="D156">
        <v>16</v>
      </c>
    </row>
    <row r="157" spans="1:4" hidden="1" x14ac:dyDescent="0.25">
      <c r="A157" s="2" t="s">
        <v>26</v>
      </c>
      <c r="B157">
        <v>3</v>
      </c>
      <c r="C157" s="2" t="s">
        <v>116</v>
      </c>
      <c r="D157">
        <v>19</v>
      </c>
    </row>
    <row r="158" spans="1:4" hidden="1" x14ac:dyDescent="0.25">
      <c r="A158" s="2" t="s">
        <v>26</v>
      </c>
      <c r="B158">
        <v>3</v>
      </c>
      <c r="C158" s="2" t="s">
        <v>117</v>
      </c>
      <c r="D158">
        <v>16</v>
      </c>
    </row>
    <row r="159" spans="1:4" hidden="1" x14ac:dyDescent="0.25">
      <c r="A159" s="2" t="s">
        <v>26</v>
      </c>
      <c r="B159">
        <v>3</v>
      </c>
      <c r="C159" s="2" t="s">
        <v>118</v>
      </c>
      <c r="D159">
        <v>15</v>
      </c>
    </row>
    <row r="160" spans="1:4" hidden="1" x14ac:dyDescent="0.25">
      <c r="A160" s="2" t="s">
        <v>26</v>
      </c>
      <c r="B160">
        <v>3</v>
      </c>
      <c r="C160" s="2" t="s">
        <v>119</v>
      </c>
      <c r="D160">
        <v>10</v>
      </c>
    </row>
    <row r="161" spans="1:4" hidden="1" x14ac:dyDescent="0.25">
      <c r="A161" s="2" t="s">
        <v>26</v>
      </c>
      <c r="B161">
        <v>3</v>
      </c>
      <c r="C161" s="2" t="s">
        <v>120</v>
      </c>
      <c r="D161">
        <v>10</v>
      </c>
    </row>
    <row r="162" spans="1:4" hidden="1" x14ac:dyDescent="0.25">
      <c r="A162" s="2" t="s">
        <v>26</v>
      </c>
      <c r="B162">
        <v>3</v>
      </c>
      <c r="C162" s="2" t="s">
        <v>121</v>
      </c>
      <c r="D162">
        <v>9</v>
      </c>
    </row>
    <row r="163" spans="1:4" hidden="1" x14ac:dyDescent="0.25">
      <c r="A163" s="2" t="s">
        <v>26</v>
      </c>
      <c r="B163">
        <v>3</v>
      </c>
      <c r="C163" s="2" t="s">
        <v>122</v>
      </c>
      <c r="D163">
        <v>10</v>
      </c>
    </row>
    <row r="164" spans="1:4" hidden="1" x14ac:dyDescent="0.25">
      <c r="A164" s="2" t="s">
        <v>26</v>
      </c>
      <c r="B164">
        <v>3</v>
      </c>
      <c r="C164" s="2" t="s">
        <v>123</v>
      </c>
      <c r="D164">
        <v>6</v>
      </c>
    </row>
    <row r="165" spans="1:4" hidden="1" x14ac:dyDescent="0.25">
      <c r="A165" s="2" t="s">
        <v>26</v>
      </c>
      <c r="B165">
        <v>3</v>
      </c>
      <c r="C165" s="2" t="s">
        <v>124</v>
      </c>
      <c r="D165">
        <v>7</v>
      </c>
    </row>
    <row r="166" spans="1:4" hidden="1" x14ac:dyDescent="0.25">
      <c r="A166" s="2" t="s">
        <v>26</v>
      </c>
      <c r="B166">
        <v>3</v>
      </c>
      <c r="C166" s="2" t="s">
        <v>125</v>
      </c>
      <c r="D166">
        <v>8</v>
      </c>
    </row>
    <row r="167" spans="1:4" hidden="1" x14ac:dyDescent="0.25">
      <c r="A167" s="2" t="s">
        <v>26</v>
      </c>
      <c r="B167">
        <v>3</v>
      </c>
      <c r="C167" s="2" t="s">
        <v>126</v>
      </c>
      <c r="D167">
        <v>10</v>
      </c>
    </row>
    <row r="168" spans="1:4" hidden="1" x14ac:dyDescent="0.25">
      <c r="A168" s="2" t="s">
        <v>26</v>
      </c>
      <c r="B168">
        <v>3</v>
      </c>
      <c r="C168" s="2" t="s">
        <v>127</v>
      </c>
      <c r="D168">
        <v>7</v>
      </c>
    </row>
    <row r="169" spans="1:4" hidden="1" x14ac:dyDescent="0.25">
      <c r="A169" s="2" t="s">
        <v>26</v>
      </c>
      <c r="B169">
        <v>3</v>
      </c>
      <c r="C169" s="2" t="s">
        <v>128</v>
      </c>
      <c r="D169">
        <v>9</v>
      </c>
    </row>
    <row r="170" spans="1:4" hidden="1" x14ac:dyDescent="0.25">
      <c r="A170" s="2" t="s">
        <v>26</v>
      </c>
      <c r="B170">
        <v>3</v>
      </c>
      <c r="C170" s="2" t="s">
        <v>129</v>
      </c>
      <c r="D170">
        <v>6</v>
      </c>
    </row>
    <row r="171" spans="1:4" hidden="1" x14ac:dyDescent="0.25">
      <c r="A171" s="2" t="s">
        <v>26</v>
      </c>
      <c r="B171">
        <v>3</v>
      </c>
      <c r="C171" s="2" t="s">
        <v>130</v>
      </c>
      <c r="D171">
        <v>4</v>
      </c>
    </row>
    <row r="172" spans="1:4" hidden="1" x14ac:dyDescent="0.25">
      <c r="A172" s="2" t="s">
        <v>26</v>
      </c>
      <c r="B172">
        <v>3</v>
      </c>
      <c r="C172" s="2" t="s">
        <v>131</v>
      </c>
      <c r="D172">
        <v>5</v>
      </c>
    </row>
    <row r="173" spans="1:4" hidden="1" x14ac:dyDescent="0.25">
      <c r="A173" s="2" t="s">
        <v>26</v>
      </c>
      <c r="B173">
        <v>3</v>
      </c>
      <c r="C173" s="2" t="s">
        <v>132</v>
      </c>
      <c r="D173">
        <v>5</v>
      </c>
    </row>
    <row r="174" spans="1:4" hidden="1" x14ac:dyDescent="0.25">
      <c r="A174" s="2" t="s">
        <v>26</v>
      </c>
      <c r="B174">
        <v>3</v>
      </c>
      <c r="C174" s="2" t="s">
        <v>133</v>
      </c>
      <c r="D174">
        <v>5</v>
      </c>
    </row>
    <row r="175" spans="1:4" hidden="1" x14ac:dyDescent="0.25">
      <c r="A175" s="2" t="s">
        <v>26</v>
      </c>
      <c r="B175">
        <v>3</v>
      </c>
      <c r="C175" s="2" t="s">
        <v>134</v>
      </c>
      <c r="D175">
        <v>4</v>
      </c>
    </row>
    <row r="176" spans="1:4" hidden="1" x14ac:dyDescent="0.25">
      <c r="A176" s="2" t="s">
        <v>26</v>
      </c>
      <c r="B176">
        <v>3</v>
      </c>
      <c r="C176" s="2" t="s">
        <v>135</v>
      </c>
      <c r="D176">
        <v>3</v>
      </c>
    </row>
    <row r="177" spans="1:4" hidden="1" x14ac:dyDescent="0.25">
      <c r="A177" s="2" t="s">
        <v>26</v>
      </c>
      <c r="B177">
        <v>3</v>
      </c>
      <c r="C177" s="2" t="s">
        <v>136</v>
      </c>
      <c r="D177">
        <v>3</v>
      </c>
    </row>
    <row r="178" spans="1:4" hidden="1" x14ac:dyDescent="0.25">
      <c r="A178" s="2" t="s">
        <v>26</v>
      </c>
      <c r="B178">
        <v>3</v>
      </c>
      <c r="C178" s="2" t="s">
        <v>137</v>
      </c>
      <c r="D178">
        <v>3</v>
      </c>
    </row>
    <row r="179" spans="1:4" hidden="1" x14ac:dyDescent="0.25">
      <c r="A179" s="2" t="s">
        <v>26</v>
      </c>
      <c r="B179">
        <v>3</v>
      </c>
      <c r="C179" s="2" t="s">
        <v>138</v>
      </c>
      <c r="D179">
        <v>3</v>
      </c>
    </row>
    <row r="180" spans="1:4" hidden="1" x14ac:dyDescent="0.25">
      <c r="A180" s="2" t="s">
        <v>26</v>
      </c>
      <c r="B180">
        <v>3</v>
      </c>
      <c r="C180" s="2" t="s">
        <v>139</v>
      </c>
      <c r="D180">
        <v>3</v>
      </c>
    </row>
    <row r="181" spans="1:4" hidden="1" x14ac:dyDescent="0.25">
      <c r="A181" s="2" t="s">
        <v>26</v>
      </c>
      <c r="B181">
        <v>3</v>
      </c>
      <c r="C181" s="2" t="s">
        <v>140</v>
      </c>
      <c r="D181">
        <v>3</v>
      </c>
    </row>
    <row r="182" spans="1:4" hidden="1" x14ac:dyDescent="0.25">
      <c r="A182" s="2" t="s">
        <v>26</v>
      </c>
      <c r="B182">
        <v>3</v>
      </c>
      <c r="C182" s="2" t="s">
        <v>141</v>
      </c>
      <c r="D182">
        <v>3</v>
      </c>
    </row>
    <row r="183" spans="1:4" hidden="1" x14ac:dyDescent="0.25">
      <c r="A183" s="2" t="s">
        <v>26</v>
      </c>
      <c r="B183">
        <v>3</v>
      </c>
      <c r="C183" s="2" t="s">
        <v>142</v>
      </c>
      <c r="D183">
        <v>3</v>
      </c>
    </row>
    <row r="184" spans="1:4" hidden="1" x14ac:dyDescent="0.25">
      <c r="A184" s="2" t="s">
        <v>26</v>
      </c>
      <c r="B184">
        <v>3</v>
      </c>
      <c r="C184" s="2" t="s">
        <v>143</v>
      </c>
      <c r="D184">
        <v>3</v>
      </c>
    </row>
    <row r="185" spans="1:4" hidden="1" x14ac:dyDescent="0.25">
      <c r="A185" s="2" t="s">
        <v>26</v>
      </c>
      <c r="B185">
        <v>3</v>
      </c>
      <c r="C185" s="2" t="s">
        <v>144</v>
      </c>
      <c r="D185">
        <v>3</v>
      </c>
    </row>
    <row r="186" spans="1:4" hidden="1" x14ac:dyDescent="0.25">
      <c r="A186" s="2" t="s">
        <v>26</v>
      </c>
      <c r="B186">
        <v>3</v>
      </c>
      <c r="C186" s="2" t="s">
        <v>145</v>
      </c>
      <c r="D186">
        <v>3</v>
      </c>
    </row>
    <row r="187" spans="1:4" hidden="1" x14ac:dyDescent="0.25">
      <c r="A187" s="2" t="s">
        <v>26</v>
      </c>
      <c r="B187">
        <v>3</v>
      </c>
      <c r="C187" s="2" t="s">
        <v>146</v>
      </c>
      <c r="D187">
        <v>3</v>
      </c>
    </row>
    <row r="188" spans="1:4" hidden="1" x14ac:dyDescent="0.25">
      <c r="A188" s="2" t="s">
        <v>26</v>
      </c>
      <c r="B188">
        <v>3</v>
      </c>
      <c r="C188" s="2" t="s">
        <v>147</v>
      </c>
      <c r="D188">
        <v>3</v>
      </c>
    </row>
    <row r="189" spans="1:4" hidden="1" x14ac:dyDescent="0.25">
      <c r="A189" s="2" t="s">
        <v>26</v>
      </c>
      <c r="B189">
        <v>3</v>
      </c>
      <c r="C189" s="2" t="s">
        <v>148</v>
      </c>
      <c r="D189">
        <v>3</v>
      </c>
    </row>
    <row r="190" spans="1:4" hidden="1" x14ac:dyDescent="0.25">
      <c r="A190" s="2" t="s">
        <v>26</v>
      </c>
      <c r="B190">
        <v>3</v>
      </c>
      <c r="C190" s="2" t="s">
        <v>149</v>
      </c>
      <c r="D190">
        <v>3</v>
      </c>
    </row>
    <row r="191" spans="1:4" hidden="1" x14ac:dyDescent="0.25">
      <c r="A191" s="2" t="s">
        <v>26</v>
      </c>
      <c r="B191">
        <v>3</v>
      </c>
      <c r="C191" s="2" t="s">
        <v>150</v>
      </c>
      <c r="D191">
        <v>3</v>
      </c>
    </row>
    <row r="192" spans="1:4" hidden="1" x14ac:dyDescent="0.25">
      <c r="A192" s="2" t="s">
        <v>26</v>
      </c>
      <c r="B192">
        <v>3</v>
      </c>
      <c r="C192" s="2" t="s">
        <v>151</v>
      </c>
      <c r="D192">
        <v>3</v>
      </c>
    </row>
    <row r="193" spans="1:4" hidden="1" x14ac:dyDescent="0.25">
      <c r="A193" s="2" t="s">
        <v>26</v>
      </c>
      <c r="B193">
        <v>3</v>
      </c>
      <c r="C193" s="2" t="s">
        <v>152</v>
      </c>
      <c r="D193">
        <v>3</v>
      </c>
    </row>
    <row r="194" spans="1:4" hidden="1" x14ac:dyDescent="0.25">
      <c r="A194" s="2" t="s">
        <v>26</v>
      </c>
      <c r="B194">
        <v>3</v>
      </c>
      <c r="C194" s="2" t="s">
        <v>153</v>
      </c>
      <c r="D194">
        <v>3</v>
      </c>
    </row>
    <row r="195" spans="1:4" hidden="1" x14ac:dyDescent="0.25">
      <c r="A195" s="2" t="s">
        <v>26</v>
      </c>
      <c r="B195">
        <v>3</v>
      </c>
      <c r="C195" s="2" t="s">
        <v>154</v>
      </c>
      <c r="D195">
        <v>3</v>
      </c>
    </row>
    <row r="196" spans="1:4" hidden="1" x14ac:dyDescent="0.25">
      <c r="A196" s="2" t="s">
        <v>26</v>
      </c>
      <c r="B196">
        <v>3</v>
      </c>
      <c r="C196" s="2" t="s">
        <v>155</v>
      </c>
      <c r="D196">
        <v>3</v>
      </c>
    </row>
    <row r="197" spans="1:4" hidden="1" x14ac:dyDescent="0.25">
      <c r="A197" s="2" t="s">
        <v>26</v>
      </c>
      <c r="B197">
        <v>3</v>
      </c>
      <c r="C197" s="2" t="s">
        <v>156</v>
      </c>
      <c r="D197">
        <v>3</v>
      </c>
    </row>
    <row r="198" spans="1:4" hidden="1" x14ac:dyDescent="0.25">
      <c r="A198" s="2" t="s">
        <v>26</v>
      </c>
      <c r="B198">
        <v>3</v>
      </c>
      <c r="C198" s="2" t="s">
        <v>157</v>
      </c>
      <c r="D198">
        <v>3</v>
      </c>
    </row>
    <row r="199" spans="1:4" hidden="1" x14ac:dyDescent="0.25">
      <c r="A199" s="2" t="s">
        <v>26</v>
      </c>
      <c r="B199">
        <v>3</v>
      </c>
      <c r="C199" s="2" t="s">
        <v>158</v>
      </c>
      <c r="D199">
        <v>3</v>
      </c>
    </row>
    <row r="200" spans="1:4" hidden="1" x14ac:dyDescent="0.25">
      <c r="A200" s="2" t="s">
        <v>26</v>
      </c>
      <c r="B200">
        <v>3</v>
      </c>
      <c r="C200" s="2" t="s">
        <v>159</v>
      </c>
      <c r="D200">
        <v>3</v>
      </c>
    </row>
    <row r="201" spans="1:4" hidden="1" x14ac:dyDescent="0.25">
      <c r="A201" s="2" t="s">
        <v>26</v>
      </c>
      <c r="B201">
        <v>3</v>
      </c>
      <c r="C201" s="2" t="s">
        <v>160</v>
      </c>
      <c r="D201">
        <v>3</v>
      </c>
    </row>
    <row r="202" spans="1:4" hidden="1" x14ac:dyDescent="0.25">
      <c r="A202" s="2" t="s">
        <v>26</v>
      </c>
      <c r="B202">
        <v>3</v>
      </c>
      <c r="C202" s="2" t="s">
        <v>161</v>
      </c>
      <c r="D202">
        <v>3</v>
      </c>
    </row>
    <row r="203" spans="1:4" hidden="1" x14ac:dyDescent="0.25">
      <c r="A203" s="2" t="s">
        <v>26</v>
      </c>
      <c r="B203">
        <v>3</v>
      </c>
      <c r="C203" s="2" t="s">
        <v>162</v>
      </c>
      <c r="D203">
        <v>3</v>
      </c>
    </row>
    <row r="204" spans="1:4" hidden="1" x14ac:dyDescent="0.25">
      <c r="A204" s="2" t="s">
        <v>26</v>
      </c>
      <c r="B204">
        <v>3</v>
      </c>
      <c r="C204" s="2" t="s">
        <v>163</v>
      </c>
      <c r="D204">
        <v>3</v>
      </c>
    </row>
    <row r="205" spans="1:4" hidden="1" x14ac:dyDescent="0.25">
      <c r="A205" s="2" t="s">
        <v>26</v>
      </c>
      <c r="B205">
        <v>3</v>
      </c>
      <c r="C205" s="2" t="s">
        <v>164</v>
      </c>
      <c r="D205">
        <v>3</v>
      </c>
    </row>
    <row r="206" spans="1:4" hidden="1" x14ac:dyDescent="0.25">
      <c r="A206" s="2" t="s">
        <v>26</v>
      </c>
      <c r="B206">
        <v>3</v>
      </c>
      <c r="C206" s="2" t="s">
        <v>165</v>
      </c>
      <c r="D206">
        <v>3</v>
      </c>
    </row>
    <row r="207" spans="1:4" hidden="1" x14ac:dyDescent="0.25">
      <c r="A207" s="2" t="s">
        <v>26</v>
      </c>
      <c r="B207">
        <v>3</v>
      </c>
      <c r="C207" s="2" t="s">
        <v>166</v>
      </c>
      <c r="D207">
        <v>3</v>
      </c>
    </row>
    <row r="208" spans="1:4" hidden="1" x14ac:dyDescent="0.25">
      <c r="A208" s="2" t="s">
        <v>26</v>
      </c>
      <c r="B208">
        <v>3</v>
      </c>
      <c r="C208" s="2" t="s">
        <v>167</v>
      </c>
      <c r="D208">
        <v>3</v>
      </c>
    </row>
    <row r="209" spans="1:4" hidden="1" x14ac:dyDescent="0.25">
      <c r="A209" s="2" t="s">
        <v>26</v>
      </c>
      <c r="B209">
        <v>3</v>
      </c>
      <c r="C209" s="2" t="s">
        <v>168</v>
      </c>
      <c r="D209">
        <v>3</v>
      </c>
    </row>
    <row r="210" spans="1:4" hidden="1" x14ac:dyDescent="0.25">
      <c r="A210" s="2" t="s">
        <v>26</v>
      </c>
      <c r="B210">
        <v>3</v>
      </c>
      <c r="C210" s="2" t="s">
        <v>169</v>
      </c>
      <c r="D210">
        <v>3</v>
      </c>
    </row>
    <row r="211" spans="1:4" hidden="1" x14ac:dyDescent="0.25">
      <c r="A211" s="2" t="s">
        <v>26</v>
      </c>
      <c r="B211">
        <v>3</v>
      </c>
      <c r="C211" s="2" t="s">
        <v>170</v>
      </c>
      <c r="D211">
        <v>3</v>
      </c>
    </row>
    <row r="212" spans="1:4" hidden="1" x14ac:dyDescent="0.25">
      <c r="A212" s="2" t="s">
        <v>26</v>
      </c>
      <c r="B212">
        <v>3</v>
      </c>
      <c r="C212" s="2" t="s">
        <v>171</v>
      </c>
      <c r="D212">
        <v>3</v>
      </c>
    </row>
    <row r="213" spans="1:4" hidden="1" x14ac:dyDescent="0.25">
      <c r="A213" s="2" t="s">
        <v>26</v>
      </c>
      <c r="B213">
        <v>3</v>
      </c>
      <c r="C213" s="2" t="s">
        <v>172</v>
      </c>
      <c r="D213">
        <v>3</v>
      </c>
    </row>
    <row r="214" spans="1:4" hidden="1" x14ac:dyDescent="0.25">
      <c r="A214" s="2" t="s">
        <v>26</v>
      </c>
      <c r="B214">
        <v>3</v>
      </c>
      <c r="C214" s="2" t="s">
        <v>173</v>
      </c>
      <c r="D214">
        <v>3</v>
      </c>
    </row>
    <row r="215" spans="1:4" hidden="1" x14ac:dyDescent="0.25">
      <c r="A215" s="2" t="s">
        <v>26</v>
      </c>
      <c r="B215">
        <v>3</v>
      </c>
      <c r="C215" s="2" t="s">
        <v>174</v>
      </c>
      <c r="D215">
        <v>3</v>
      </c>
    </row>
    <row r="216" spans="1:4" hidden="1" x14ac:dyDescent="0.25">
      <c r="A216" s="2" t="s">
        <v>26</v>
      </c>
      <c r="B216">
        <v>3</v>
      </c>
      <c r="C216" s="2" t="s">
        <v>175</v>
      </c>
      <c r="D216">
        <v>3</v>
      </c>
    </row>
    <row r="217" spans="1:4" hidden="1" x14ac:dyDescent="0.25">
      <c r="A217" s="2" t="s">
        <v>26</v>
      </c>
      <c r="B217">
        <v>3</v>
      </c>
      <c r="C217" s="2" t="s">
        <v>176</v>
      </c>
      <c r="D217">
        <v>3</v>
      </c>
    </row>
    <row r="218" spans="1:4" hidden="1" x14ac:dyDescent="0.25">
      <c r="A218" s="2" t="s">
        <v>26</v>
      </c>
      <c r="B218">
        <v>3</v>
      </c>
      <c r="C218" s="2" t="s">
        <v>177</v>
      </c>
      <c r="D218">
        <v>3</v>
      </c>
    </row>
    <row r="219" spans="1:4" hidden="1" x14ac:dyDescent="0.25">
      <c r="A219" s="2" t="s">
        <v>26</v>
      </c>
      <c r="B219">
        <v>3</v>
      </c>
      <c r="C219" s="2" t="s">
        <v>178</v>
      </c>
      <c r="D219">
        <v>3</v>
      </c>
    </row>
    <row r="220" spans="1:4" hidden="1" x14ac:dyDescent="0.25">
      <c r="A220" s="2" t="s">
        <v>26</v>
      </c>
      <c r="B220">
        <v>3</v>
      </c>
      <c r="C220" s="2" t="s">
        <v>179</v>
      </c>
      <c r="D220">
        <v>3</v>
      </c>
    </row>
    <row r="221" spans="1:4" hidden="1" x14ac:dyDescent="0.25">
      <c r="A221" s="2" t="s">
        <v>34</v>
      </c>
      <c r="B221">
        <v>3</v>
      </c>
      <c r="C221" s="2" t="s">
        <v>183</v>
      </c>
      <c r="D221">
        <v>1</v>
      </c>
    </row>
    <row r="222" spans="1:4" hidden="1" x14ac:dyDescent="0.25">
      <c r="A222" s="2" t="s">
        <v>34</v>
      </c>
      <c r="B222">
        <v>3</v>
      </c>
      <c r="C222" s="2" t="s">
        <v>184</v>
      </c>
      <c r="D222">
        <v>1</v>
      </c>
    </row>
    <row r="223" spans="1:4" hidden="1" x14ac:dyDescent="0.25">
      <c r="A223" s="2" t="s">
        <v>34</v>
      </c>
      <c r="B223">
        <v>3</v>
      </c>
      <c r="C223" s="2" t="s">
        <v>185</v>
      </c>
      <c r="D223">
        <v>3</v>
      </c>
    </row>
    <row r="224" spans="1:4" hidden="1" x14ac:dyDescent="0.25">
      <c r="A224" s="2" t="s">
        <v>34</v>
      </c>
      <c r="B224">
        <v>3</v>
      </c>
      <c r="C224" s="2" t="s">
        <v>186</v>
      </c>
      <c r="D224">
        <v>38</v>
      </c>
    </row>
    <row r="225" spans="1:4" hidden="1" x14ac:dyDescent="0.25">
      <c r="A225" s="2" t="s">
        <v>34</v>
      </c>
      <c r="B225">
        <v>3</v>
      </c>
      <c r="C225" s="2" t="s">
        <v>187</v>
      </c>
      <c r="D225">
        <v>39</v>
      </c>
    </row>
    <row r="226" spans="1:4" hidden="1" x14ac:dyDescent="0.25">
      <c r="A226" s="2" t="s">
        <v>34</v>
      </c>
      <c r="B226">
        <v>3</v>
      </c>
      <c r="C226" s="2" t="s">
        <v>188</v>
      </c>
      <c r="D226">
        <v>41</v>
      </c>
    </row>
    <row r="227" spans="1:4" hidden="1" x14ac:dyDescent="0.25">
      <c r="A227" s="2" t="s">
        <v>34</v>
      </c>
      <c r="B227">
        <v>3</v>
      </c>
      <c r="C227" s="2" t="s">
        <v>189</v>
      </c>
      <c r="D227">
        <v>49</v>
      </c>
    </row>
    <row r="228" spans="1:4" hidden="1" x14ac:dyDescent="0.25">
      <c r="A228" s="2" t="s">
        <v>34</v>
      </c>
      <c r="B228">
        <v>3</v>
      </c>
      <c r="C228" s="2" t="s">
        <v>190</v>
      </c>
      <c r="D228">
        <v>49</v>
      </c>
    </row>
    <row r="229" spans="1:4" hidden="1" x14ac:dyDescent="0.25">
      <c r="A229" s="2" t="s">
        <v>34</v>
      </c>
      <c r="B229">
        <v>3</v>
      </c>
      <c r="C229" s="2" t="s">
        <v>191</v>
      </c>
      <c r="D229">
        <v>52</v>
      </c>
    </row>
    <row r="230" spans="1:4" hidden="1" x14ac:dyDescent="0.25">
      <c r="A230" s="2" t="s">
        <v>34</v>
      </c>
      <c r="B230">
        <v>3</v>
      </c>
      <c r="C230" s="2" t="s">
        <v>116</v>
      </c>
      <c r="D230">
        <v>56</v>
      </c>
    </row>
    <row r="231" spans="1:4" hidden="1" x14ac:dyDescent="0.25">
      <c r="A231" s="2" t="s">
        <v>34</v>
      </c>
      <c r="B231">
        <v>3</v>
      </c>
      <c r="C231" s="2" t="s">
        <v>117</v>
      </c>
      <c r="D231">
        <v>51</v>
      </c>
    </row>
    <row r="232" spans="1:4" hidden="1" x14ac:dyDescent="0.25">
      <c r="A232" s="2" t="s">
        <v>34</v>
      </c>
      <c r="B232">
        <v>3</v>
      </c>
      <c r="C232" s="2" t="s">
        <v>118</v>
      </c>
      <c r="D232">
        <v>54</v>
      </c>
    </row>
    <row r="233" spans="1:4" hidden="1" x14ac:dyDescent="0.25">
      <c r="A233" s="2" t="s">
        <v>34</v>
      </c>
      <c r="B233">
        <v>3</v>
      </c>
      <c r="C233" s="2" t="s">
        <v>119</v>
      </c>
      <c r="D233">
        <v>33</v>
      </c>
    </row>
    <row r="234" spans="1:4" hidden="1" x14ac:dyDescent="0.25">
      <c r="A234" s="2" t="s">
        <v>34</v>
      </c>
      <c r="B234">
        <v>3</v>
      </c>
      <c r="C234" s="2" t="s">
        <v>120</v>
      </c>
      <c r="D234">
        <v>35</v>
      </c>
    </row>
    <row r="235" spans="1:4" hidden="1" x14ac:dyDescent="0.25">
      <c r="A235" s="2" t="s">
        <v>34</v>
      </c>
      <c r="B235">
        <v>3</v>
      </c>
      <c r="C235" s="2" t="s">
        <v>121</v>
      </c>
      <c r="D235">
        <v>36</v>
      </c>
    </row>
    <row r="236" spans="1:4" hidden="1" x14ac:dyDescent="0.25">
      <c r="A236" s="2" t="s">
        <v>34</v>
      </c>
      <c r="B236">
        <v>3</v>
      </c>
      <c r="C236" s="2" t="s">
        <v>122</v>
      </c>
      <c r="D236">
        <v>27</v>
      </c>
    </row>
    <row r="237" spans="1:4" hidden="1" x14ac:dyDescent="0.25">
      <c r="A237" s="2" t="s">
        <v>34</v>
      </c>
      <c r="B237">
        <v>3</v>
      </c>
      <c r="C237" s="2" t="s">
        <v>123</v>
      </c>
      <c r="D237">
        <v>32</v>
      </c>
    </row>
    <row r="238" spans="1:4" hidden="1" x14ac:dyDescent="0.25">
      <c r="A238" s="2" t="s">
        <v>34</v>
      </c>
      <c r="B238">
        <v>3</v>
      </c>
      <c r="C238" s="2" t="s">
        <v>124</v>
      </c>
      <c r="D238">
        <v>37</v>
      </c>
    </row>
    <row r="239" spans="1:4" hidden="1" x14ac:dyDescent="0.25">
      <c r="A239" s="2" t="s">
        <v>34</v>
      </c>
      <c r="B239">
        <v>3</v>
      </c>
      <c r="C239" s="2" t="s">
        <v>125</v>
      </c>
      <c r="D239">
        <v>16</v>
      </c>
    </row>
    <row r="240" spans="1:4" hidden="1" x14ac:dyDescent="0.25">
      <c r="A240" s="2" t="s">
        <v>34</v>
      </c>
      <c r="B240">
        <v>3</v>
      </c>
      <c r="C240" s="2" t="s">
        <v>126</v>
      </c>
      <c r="D240">
        <v>24</v>
      </c>
    </row>
    <row r="241" spans="1:4" hidden="1" x14ac:dyDescent="0.25">
      <c r="A241" s="2" t="s">
        <v>34</v>
      </c>
      <c r="B241">
        <v>3</v>
      </c>
      <c r="C241" s="2" t="s">
        <v>127</v>
      </c>
      <c r="D241">
        <v>5</v>
      </c>
    </row>
    <row r="242" spans="1:4" hidden="1" x14ac:dyDescent="0.25">
      <c r="A242" s="2" t="s">
        <v>34</v>
      </c>
      <c r="B242">
        <v>3</v>
      </c>
      <c r="C242" s="2" t="s">
        <v>128</v>
      </c>
      <c r="D242">
        <v>6</v>
      </c>
    </row>
    <row r="243" spans="1:4" hidden="1" x14ac:dyDescent="0.25">
      <c r="A243" s="2" t="s">
        <v>34</v>
      </c>
      <c r="B243">
        <v>3</v>
      </c>
      <c r="C243" s="2" t="s">
        <v>129</v>
      </c>
      <c r="D243">
        <v>6</v>
      </c>
    </row>
    <row r="244" spans="1:4" hidden="1" x14ac:dyDescent="0.25">
      <c r="A244" s="2" t="s">
        <v>34</v>
      </c>
      <c r="B244">
        <v>3</v>
      </c>
      <c r="C244" s="2" t="s">
        <v>130</v>
      </c>
      <c r="D244">
        <v>8</v>
      </c>
    </row>
    <row r="245" spans="1:4" hidden="1" x14ac:dyDescent="0.25">
      <c r="A245" s="2" t="s">
        <v>34</v>
      </c>
      <c r="B245">
        <v>3</v>
      </c>
      <c r="C245" s="2" t="s">
        <v>131</v>
      </c>
      <c r="D245">
        <v>8</v>
      </c>
    </row>
    <row r="246" spans="1:4" hidden="1" x14ac:dyDescent="0.25">
      <c r="A246" s="2" t="s">
        <v>34</v>
      </c>
      <c r="B246">
        <v>3</v>
      </c>
      <c r="C246" s="2" t="s">
        <v>132</v>
      </c>
      <c r="D246">
        <v>3</v>
      </c>
    </row>
    <row r="247" spans="1:4" hidden="1" x14ac:dyDescent="0.25">
      <c r="A247" s="2" t="s">
        <v>34</v>
      </c>
      <c r="B247">
        <v>3</v>
      </c>
      <c r="C247" s="2" t="s">
        <v>133</v>
      </c>
      <c r="D247">
        <v>3</v>
      </c>
    </row>
    <row r="248" spans="1:4" hidden="1" x14ac:dyDescent="0.25">
      <c r="A248" s="2" t="s">
        <v>34</v>
      </c>
      <c r="B248">
        <v>3</v>
      </c>
      <c r="C248" s="2" t="s">
        <v>134</v>
      </c>
      <c r="D248">
        <v>2</v>
      </c>
    </row>
    <row r="249" spans="1:4" hidden="1" x14ac:dyDescent="0.25">
      <c r="A249" s="2" t="s">
        <v>34</v>
      </c>
      <c r="B249">
        <v>3</v>
      </c>
      <c r="C249" s="2" t="s">
        <v>135</v>
      </c>
      <c r="D249">
        <v>3</v>
      </c>
    </row>
    <row r="250" spans="1:4" hidden="1" x14ac:dyDescent="0.25">
      <c r="A250" s="2" t="s">
        <v>34</v>
      </c>
      <c r="B250">
        <v>3</v>
      </c>
      <c r="C250" s="2" t="s">
        <v>136</v>
      </c>
      <c r="D250">
        <v>3</v>
      </c>
    </row>
    <row r="251" spans="1:4" hidden="1" x14ac:dyDescent="0.25">
      <c r="A251" s="2" t="s">
        <v>34</v>
      </c>
      <c r="B251">
        <v>3</v>
      </c>
      <c r="C251" s="2" t="s">
        <v>137</v>
      </c>
      <c r="D251">
        <v>3</v>
      </c>
    </row>
    <row r="252" spans="1:4" hidden="1" x14ac:dyDescent="0.25">
      <c r="A252" s="2" t="s">
        <v>34</v>
      </c>
      <c r="B252">
        <v>3</v>
      </c>
      <c r="C252" s="2" t="s">
        <v>138</v>
      </c>
      <c r="D252">
        <v>3</v>
      </c>
    </row>
    <row r="253" spans="1:4" hidden="1" x14ac:dyDescent="0.25">
      <c r="A253" s="2" t="s">
        <v>34</v>
      </c>
      <c r="B253">
        <v>3</v>
      </c>
      <c r="C253" s="2" t="s">
        <v>139</v>
      </c>
      <c r="D253">
        <v>3</v>
      </c>
    </row>
    <row r="254" spans="1:4" hidden="1" x14ac:dyDescent="0.25">
      <c r="A254" s="2" t="s">
        <v>34</v>
      </c>
      <c r="B254">
        <v>3</v>
      </c>
      <c r="C254" s="2" t="s">
        <v>140</v>
      </c>
      <c r="D254">
        <v>3</v>
      </c>
    </row>
    <row r="255" spans="1:4" hidden="1" x14ac:dyDescent="0.25">
      <c r="A255" s="2" t="s">
        <v>34</v>
      </c>
      <c r="B255">
        <v>3</v>
      </c>
      <c r="C255" s="2" t="s">
        <v>141</v>
      </c>
      <c r="D255">
        <v>3</v>
      </c>
    </row>
    <row r="256" spans="1:4" hidden="1" x14ac:dyDescent="0.25">
      <c r="A256" s="2" t="s">
        <v>34</v>
      </c>
      <c r="B256">
        <v>3</v>
      </c>
      <c r="C256" s="2" t="s">
        <v>142</v>
      </c>
      <c r="D256">
        <v>3</v>
      </c>
    </row>
    <row r="257" spans="1:4" hidden="1" x14ac:dyDescent="0.25">
      <c r="A257" s="2" t="s">
        <v>34</v>
      </c>
      <c r="B257">
        <v>3</v>
      </c>
      <c r="C257" s="2" t="s">
        <v>143</v>
      </c>
      <c r="D257">
        <v>3</v>
      </c>
    </row>
    <row r="258" spans="1:4" hidden="1" x14ac:dyDescent="0.25">
      <c r="A258" s="2" t="s">
        <v>34</v>
      </c>
      <c r="B258">
        <v>3</v>
      </c>
      <c r="C258" s="2" t="s">
        <v>144</v>
      </c>
      <c r="D258">
        <v>3</v>
      </c>
    </row>
    <row r="259" spans="1:4" hidden="1" x14ac:dyDescent="0.25">
      <c r="A259" s="2" t="s">
        <v>34</v>
      </c>
      <c r="B259">
        <v>3</v>
      </c>
      <c r="C259" s="2" t="s">
        <v>145</v>
      </c>
      <c r="D259">
        <v>3</v>
      </c>
    </row>
    <row r="260" spans="1:4" hidden="1" x14ac:dyDescent="0.25">
      <c r="A260" s="2" t="s">
        <v>34</v>
      </c>
      <c r="B260">
        <v>3</v>
      </c>
      <c r="C260" s="2" t="s">
        <v>146</v>
      </c>
      <c r="D260">
        <v>3</v>
      </c>
    </row>
    <row r="261" spans="1:4" hidden="1" x14ac:dyDescent="0.25">
      <c r="A261" s="2" t="s">
        <v>34</v>
      </c>
      <c r="B261">
        <v>3</v>
      </c>
      <c r="C261" s="2" t="s">
        <v>147</v>
      </c>
      <c r="D261">
        <v>3</v>
      </c>
    </row>
    <row r="262" spans="1:4" hidden="1" x14ac:dyDescent="0.25">
      <c r="A262" s="2" t="s">
        <v>34</v>
      </c>
      <c r="B262">
        <v>3</v>
      </c>
      <c r="C262" s="2" t="s">
        <v>148</v>
      </c>
      <c r="D262">
        <v>3</v>
      </c>
    </row>
    <row r="263" spans="1:4" hidden="1" x14ac:dyDescent="0.25">
      <c r="A263" s="2" t="s">
        <v>34</v>
      </c>
      <c r="B263">
        <v>3</v>
      </c>
      <c r="C263" s="2" t="s">
        <v>149</v>
      </c>
      <c r="D263">
        <v>3</v>
      </c>
    </row>
    <row r="264" spans="1:4" hidden="1" x14ac:dyDescent="0.25">
      <c r="A264" s="2" t="s">
        <v>34</v>
      </c>
      <c r="B264">
        <v>3</v>
      </c>
      <c r="C264" s="2" t="s">
        <v>150</v>
      </c>
      <c r="D264">
        <v>3</v>
      </c>
    </row>
    <row r="265" spans="1:4" hidden="1" x14ac:dyDescent="0.25">
      <c r="A265" s="2" t="s">
        <v>34</v>
      </c>
      <c r="B265">
        <v>3</v>
      </c>
      <c r="C265" s="2" t="s">
        <v>151</v>
      </c>
      <c r="D265">
        <v>3</v>
      </c>
    </row>
    <row r="266" spans="1:4" hidden="1" x14ac:dyDescent="0.25">
      <c r="A266" s="2" t="s">
        <v>34</v>
      </c>
      <c r="B266">
        <v>3</v>
      </c>
      <c r="C266" s="2" t="s">
        <v>152</v>
      </c>
      <c r="D266">
        <v>3</v>
      </c>
    </row>
    <row r="267" spans="1:4" hidden="1" x14ac:dyDescent="0.25">
      <c r="A267" s="2" t="s">
        <v>34</v>
      </c>
      <c r="B267">
        <v>3</v>
      </c>
      <c r="C267" s="2" t="s">
        <v>153</v>
      </c>
      <c r="D267">
        <v>3</v>
      </c>
    </row>
    <row r="268" spans="1:4" hidden="1" x14ac:dyDescent="0.25">
      <c r="A268" s="2" t="s">
        <v>34</v>
      </c>
      <c r="B268">
        <v>3</v>
      </c>
      <c r="C268" s="2" t="s">
        <v>154</v>
      </c>
      <c r="D268">
        <v>3</v>
      </c>
    </row>
    <row r="269" spans="1:4" hidden="1" x14ac:dyDescent="0.25">
      <c r="A269" s="2" t="s">
        <v>34</v>
      </c>
      <c r="B269">
        <v>3</v>
      </c>
      <c r="C269" s="2" t="s">
        <v>155</v>
      </c>
      <c r="D269">
        <v>3</v>
      </c>
    </row>
    <row r="270" spans="1:4" hidden="1" x14ac:dyDescent="0.25">
      <c r="A270" s="2" t="s">
        <v>34</v>
      </c>
      <c r="B270">
        <v>3</v>
      </c>
      <c r="C270" s="2" t="s">
        <v>156</v>
      </c>
      <c r="D270">
        <v>3</v>
      </c>
    </row>
    <row r="271" spans="1:4" hidden="1" x14ac:dyDescent="0.25">
      <c r="A271" s="2" t="s">
        <v>34</v>
      </c>
      <c r="B271">
        <v>3</v>
      </c>
      <c r="C271" s="2" t="s">
        <v>157</v>
      </c>
      <c r="D271">
        <v>3</v>
      </c>
    </row>
    <row r="272" spans="1:4" hidden="1" x14ac:dyDescent="0.25">
      <c r="A272" s="2" t="s">
        <v>34</v>
      </c>
      <c r="B272">
        <v>3</v>
      </c>
      <c r="C272" s="2" t="s">
        <v>158</v>
      </c>
      <c r="D272">
        <v>3</v>
      </c>
    </row>
    <row r="273" spans="1:4" hidden="1" x14ac:dyDescent="0.25">
      <c r="A273" s="2" t="s">
        <v>34</v>
      </c>
      <c r="B273">
        <v>3</v>
      </c>
      <c r="C273" s="2" t="s">
        <v>159</v>
      </c>
      <c r="D273">
        <v>3</v>
      </c>
    </row>
    <row r="274" spans="1:4" hidden="1" x14ac:dyDescent="0.25">
      <c r="A274" s="2" t="s">
        <v>34</v>
      </c>
      <c r="B274">
        <v>3</v>
      </c>
      <c r="C274" s="2" t="s">
        <v>160</v>
      </c>
      <c r="D274">
        <v>3</v>
      </c>
    </row>
    <row r="275" spans="1:4" hidden="1" x14ac:dyDescent="0.25">
      <c r="A275" s="2" t="s">
        <v>34</v>
      </c>
      <c r="B275">
        <v>3</v>
      </c>
      <c r="C275" s="2" t="s">
        <v>161</v>
      </c>
      <c r="D275">
        <v>3</v>
      </c>
    </row>
    <row r="276" spans="1:4" hidden="1" x14ac:dyDescent="0.25">
      <c r="A276" s="2" t="s">
        <v>34</v>
      </c>
      <c r="B276">
        <v>3</v>
      </c>
      <c r="C276" s="2" t="s">
        <v>162</v>
      </c>
      <c r="D276">
        <v>3</v>
      </c>
    </row>
    <row r="277" spans="1:4" hidden="1" x14ac:dyDescent="0.25">
      <c r="A277" s="2" t="s">
        <v>34</v>
      </c>
      <c r="B277">
        <v>3</v>
      </c>
      <c r="C277" s="2" t="s">
        <v>163</v>
      </c>
      <c r="D277">
        <v>3</v>
      </c>
    </row>
    <row r="278" spans="1:4" hidden="1" x14ac:dyDescent="0.25">
      <c r="A278" s="2" t="s">
        <v>34</v>
      </c>
      <c r="B278">
        <v>3</v>
      </c>
      <c r="C278" s="2" t="s">
        <v>164</v>
      </c>
      <c r="D278">
        <v>3</v>
      </c>
    </row>
    <row r="279" spans="1:4" hidden="1" x14ac:dyDescent="0.25">
      <c r="A279" s="2" t="s">
        <v>34</v>
      </c>
      <c r="B279">
        <v>3</v>
      </c>
      <c r="C279" s="2" t="s">
        <v>165</v>
      </c>
      <c r="D279">
        <v>3</v>
      </c>
    </row>
    <row r="280" spans="1:4" hidden="1" x14ac:dyDescent="0.25">
      <c r="A280" s="2" t="s">
        <v>34</v>
      </c>
      <c r="B280">
        <v>3</v>
      </c>
      <c r="C280" s="2" t="s">
        <v>166</v>
      </c>
      <c r="D280">
        <v>3</v>
      </c>
    </row>
    <row r="281" spans="1:4" hidden="1" x14ac:dyDescent="0.25">
      <c r="A281" s="2" t="s">
        <v>34</v>
      </c>
      <c r="B281">
        <v>3</v>
      </c>
      <c r="C281" s="2" t="s">
        <v>167</v>
      </c>
      <c r="D281">
        <v>3</v>
      </c>
    </row>
    <row r="282" spans="1:4" hidden="1" x14ac:dyDescent="0.25">
      <c r="A282" s="2" t="s">
        <v>34</v>
      </c>
      <c r="B282">
        <v>3</v>
      </c>
      <c r="C282" s="2" t="s">
        <v>168</v>
      </c>
      <c r="D282">
        <v>3</v>
      </c>
    </row>
    <row r="283" spans="1:4" hidden="1" x14ac:dyDescent="0.25">
      <c r="A283" s="2" t="s">
        <v>34</v>
      </c>
      <c r="B283">
        <v>3</v>
      </c>
      <c r="C283" s="2" t="s">
        <v>169</v>
      </c>
      <c r="D283">
        <v>3</v>
      </c>
    </row>
    <row r="284" spans="1:4" hidden="1" x14ac:dyDescent="0.25">
      <c r="A284" s="2" t="s">
        <v>34</v>
      </c>
      <c r="B284">
        <v>3</v>
      </c>
      <c r="C284" s="2" t="s">
        <v>170</v>
      </c>
      <c r="D284">
        <v>3</v>
      </c>
    </row>
    <row r="285" spans="1:4" hidden="1" x14ac:dyDescent="0.25">
      <c r="A285" s="2" t="s">
        <v>34</v>
      </c>
      <c r="B285">
        <v>3</v>
      </c>
      <c r="C285" s="2" t="s">
        <v>171</v>
      </c>
      <c r="D285">
        <v>3</v>
      </c>
    </row>
    <row r="286" spans="1:4" hidden="1" x14ac:dyDescent="0.25">
      <c r="A286" s="2" t="s">
        <v>34</v>
      </c>
      <c r="B286">
        <v>3</v>
      </c>
      <c r="C286" s="2" t="s">
        <v>172</v>
      </c>
      <c r="D286">
        <v>3</v>
      </c>
    </row>
    <row r="287" spans="1:4" hidden="1" x14ac:dyDescent="0.25">
      <c r="A287" s="2" t="s">
        <v>34</v>
      </c>
      <c r="B287">
        <v>3</v>
      </c>
      <c r="C287" s="2" t="s">
        <v>173</v>
      </c>
      <c r="D287">
        <v>3</v>
      </c>
    </row>
    <row r="288" spans="1:4" hidden="1" x14ac:dyDescent="0.25">
      <c r="A288" s="2" t="s">
        <v>34</v>
      </c>
      <c r="B288">
        <v>3</v>
      </c>
      <c r="C288" s="2" t="s">
        <v>174</v>
      </c>
      <c r="D288">
        <v>3</v>
      </c>
    </row>
    <row r="289" spans="1:4" hidden="1" x14ac:dyDescent="0.25">
      <c r="A289" s="2" t="s">
        <v>34</v>
      </c>
      <c r="B289">
        <v>3</v>
      </c>
      <c r="C289" s="2" t="s">
        <v>175</v>
      </c>
      <c r="D289">
        <v>3</v>
      </c>
    </row>
    <row r="290" spans="1:4" hidden="1" x14ac:dyDescent="0.25">
      <c r="A290" s="2" t="s">
        <v>34</v>
      </c>
      <c r="B290">
        <v>3</v>
      </c>
      <c r="C290" s="2" t="s">
        <v>176</v>
      </c>
      <c r="D290">
        <v>3</v>
      </c>
    </row>
    <row r="291" spans="1:4" hidden="1" x14ac:dyDescent="0.25">
      <c r="A291" s="2" t="s">
        <v>34</v>
      </c>
      <c r="B291">
        <v>3</v>
      </c>
      <c r="C291" s="2" t="s">
        <v>177</v>
      </c>
      <c r="D291">
        <v>3</v>
      </c>
    </row>
    <row r="292" spans="1:4" hidden="1" x14ac:dyDescent="0.25">
      <c r="A292" s="2" t="s">
        <v>34</v>
      </c>
      <c r="B292">
        <v>3</v>
      </c>
      <c r="C292" s="2" t="s">
        <v>178</v>
      </c>
      <c r="D292">
        <v>3</v>
      </c>
    </row>
    <row r="293" spans="1:4" hidden="1" x14ac:dyDescent="0.25">
      <c r="A293" s="2" t="s">
        <v>34</v>
      </c>
      <c r="B293">
        <v>3</v>
      </c>
      <c r="C293" s="2" t="s">
        <v>179</v>
      </c>
      <c r="D293">
        <v>3</v>
      </c>
    </row>
    <row r="294" spans="1:4" hidden="1" x14ac:dyDescent="0.25">
      <c r="A294" s="2" t="s">
        <v>40</v>
      </c>
      <c r="B294">
        <v>5</v>
      </c>
      <c r="C294" s="2" t="s">
        <v>183</v>
      </c>
      <c r="D294">
        <v>13</v>
      </c>
    </row>
    <row r="295" spans="1:4" hidden="1" x14ac:dyDescent="0.25">
      <c r="A295" s="2" t="s">
        <v>40</v>
      </c>
      <c r="B295">
        <v>5</v>
      </c>
      <c r="C295" s="2" t="s">
        <v>184</v>
      </c>
      <c r="D295">
        <v>14</v>
      </c>
    </row>
    <row r="296" spans="1:4" hidden="1" x14ac:dyDescent="0.25">
      <c r="A296" s="2" t="s">
        <v>40</v>
      </c>
      <c r="B296">
        <v>5</v>
      </c>
      <c r="C296" s="2" t="s">
        <v>185</v>
      </c>
      <c r="D296">
        <v>24</v>
      </c>
    </row>
    <row r="297" spans="1:4" hidden="1" x14ac:dyDescent="0.25">
      <c r="A297" s="2" t="s">
        <v>40</v>
      </c>
      <c r="B297">
        <v>5</v>
      </c>
      <c r="C297" s="2" t="s">
        <v>186</v>
      </c>
      <c r="D297">
        <v>9</v>
      </c>
    </row>
    <row r="298" spans="1:4" hidden="1" x14ac:dyDescent="0.25">
      <c r="A298" s="2" t="s">
        <v>40</v>
      </c>
      <c r="B298">
        <v>5</v>
      </c>
      <c r="C298" s="2" t="s">
        <v>187</v>
      </c>
      <c r="D298">
        <v>9</v>
      </c>
    </row>
    <row r="299" spans="1:4" hidden="1" x14ac:dyDescent="0.25">
      <c r="A299" s="2" t="s">
        <v>40</v>
      </c>
      <c r="B299">
        <v>5</v>
      </c>
      <c r="C299" s="2" t="s">
        <v>188</v>
      </c>
      <c r="D299">
        <v>9</v>
      </c>
    </row>
    <row r="300" spans="1:4" hidden="1" x14ac:dyDescent="0.25">
      <c r="A300" s="2" t="s">
        <v>40</v>
      </c>
      <c r="B300">
        <v>5</v>
      </c>
      <c r="C300" s="2" t="s">
        <v>189</v>
      </c>
      <c r="D300">
        <v>5</v>
      </c>
    </row>
    <row r="301" spans="1:4" hidden="1" x14ac:dyDescent="0.25">
      <c r="A301" s="2" t="s">
        <v>40</v>
      </c>
      <c r="B301">
        <v>5</v>
      </c>
      <c r="C301" s="2" t="s">
        <v>190</v>
      </c>
      <c r="D301">
        <v>4</v>
      </c>
    </row>
    <row r="302" spans="1:4" hidden="1" x14ac:dyDescent="0.25">
      <c r="A302" s="2" t="s">
        <v>40</v>
      </c>
      <c r="B302">
        <v>5</v>
      </c>
      <c r="C302" s="2" t="s">
        <v>191</v>
      </c>
      <c r="D302">
        <v>6</v>
      </c>
    </row>
    <row r="303" spans="1:4" hidden="1" x14ac:dyDescent="0.25">
      <c r="A303" s="2" t="s">
        <v>40</v>
      </c>
      <c r="B303">
        <v>5</v>
      </c>
      <c r="C303" s="2" t="s">
        <v>116</v>
      </c>
      <c r="D303">
        <v>7</v>
      </c>
    </row>
    <row r="304" spans="1:4" hidden="1" x14ac:dyDescent="0.25">
      <c r="A304" s="2" t="s">
        <v>40</v>
      </c>
      <c r="B304">
        <v>5</v>
      </c>
      <c r="C304" s="2" t="s">
        <v>117</v>
      </c>
      <c r="D304">
        <v>6</v>
      </c>
    </row>
    <row r="305" spans="1:4" hidden="1" x14ac:dyDescent="0.25">
      <c r="A305" s="2" t="s">
        <v>40</v>
      </c>
      <c r="B305">
        <v>5</v>
      </c>
      <c r="C305" s="2" t="s">
        <v>118</v>
      </c>
      <c r="D305">
        <v>9</v>
      </c>
    </row>
    <row r="306" spans="1:4" hidden="1" x14ac:dyDescent="0.25">
      <c r="A306" s="2" t="s">
        <v>40</v>
      </c>
      <c r="B306">
        <v>5</v>
      </c>
      <c r="C306" s="2" t="s">
        <v>119</v>
      </c>
      <c r="D306">
        <v>5</v>
      </c>
    </row>
    <row r="307" spans="1:4" hidden="1" x14ac:dyDescent="0.25">
      <c r="A307" s="2" t="s">
        <v>40</v>
      </c>
      <c r="B307">
        <v>5</v>
      </c>
      <c r="C307" s="2" t="s">
        <v>120</v>
      </c>
      <c r="D307">
        <v>1</v>
      </c>
    </row>
    <row r="308" spans="1:4" hidden="1" x14ac:dyDescent="0.25">
      <c r="A308" s="2" t="s">
        <v>40</v>
      </c>
      <c r="B308">
        <v>5</v>
      </c>
      <c r="C308" s="2" t="s">
        <v>121</v>
      </c>
      <c r="D308">
        <v>1</v>
      </c>
    </row>
    <row r="309" spans="1:4" hidden="1" x14ac:dyDescent="0.25">
      <c r="A309" s="2" t="s">
        <v>40</v>
      </c>
      <c r="B309">
        <v>5</v>
      </c>
      <c r="C309" s="2" t="s">
        <v>122</v>
      </c>
      <c r="D309">
        <v>1</v>
      </c>
    </row>
    <row r="310" spans="1:4" hidden="1" x14ac:dyDescent="0.25">
      <c r="A310" s="2" t="s">
        <v>40</v>
      </c>
      <c r="B310">
        <v>5</v>
      </c>
      <c r="C310" s="2" t="s">
        <v>123</v>
      </c>
      <c r="D310">
        <v>1</v>
      </c>
    </row>
    <row r="311" spans="1:4" hidden="1" x14ac:dyDescent="0.25">
      <c r="A311" s="2" t="s">
        <v>40</v>
      </c>
      <c r="B311">
        <v>5</v>
      </c>
      <c r="C311" s="2" t="s">
        <v>124</v>
      </c>
      <c r="D311">
        <v>1</v>
      </c>
    </row>
    <row r="312" spans="1:4" hidden="1" x14ac:dyDescent="0.25">
      <c r="A312" s="2" t="s">
        <v>40</v>
      </c>
      <c r="B312">
        <v>5</v>
      </c>
      <c r="C312" s="2" t="s">
        <v>125</v>
      </c>
      <c r="D312">
        <v>2</v>
      </c>
    </row>
    <row r="313" spans="1:4" hidden="1" x14ac:dyDescent="0.25">
      <c r="A313" s="2" t="s">
        <v>40</v>
      </c>
      <c r="B313">
        <v>5</v>
      </c>
      <c r="C313" s="2" t="s">
        <v>126</v>
      </c>
      <c r="D313">
        <v>2</v>
      </c>
    </row>
    <row r="314" spans="1:4" hidden="1" x14ac:dyDescent="0.25">
      <c r="A314" s="2" t="s">
        <v>40</v>
      </c>
      <c r="B314">
        <v>5</v>
      </c>
      <c r="C314" s="2" t="s">
        <v>127</v>
      </c>
      <c r="D314">
        <v>2</v>
      </c>
    </row>
    <row r="315" spans="1:4" hidden="1" x14ac:dyDescent="0.25">
      <c r="A315" s="2" t="s">
        <v>40</v>
      </c>
      <c r="B315">
        <v>5</v>
      </c>
      <c r="C315" s="2" t="s">
        <v>128</v>
      </c>
      <c r="D315">
        <v>1</v>
      </c>
    </row>
    <row r="316" spans="1:4" hidden="1" x14ac:dyDescent="0.25">
      <c r="A316" s="2" t="s">
        <v>40</v>
      </c>
      <c r="B316">
        <v>5</v>
      </c>
      <c r="C316" s="2" t="s">
        <v>129</v>
      </c>
      <c r="D316">
        <v>1</v>
      </c>
    </row>
    <row r="317" spans="1:4" hidden="1" x14ac:dyDescent="0.25">
      <c r="A317" s="2" t="s">
        <v>40</v>
      </c>
      <c r="B317">
        <v>5</v>
      </c>
      <c r="C317" s="2" t="s">
        <v>130</v>
      </c>
      <c r="D317">
        <v>6</v>
      </c>
    </row>
    <row r="318" spans="1:4" hidden="1" x14ac:dyDescent="0.25">
      <c r="A318" s="2" t="s">
        <v>40</v>
      </c>
      <c r="B318">
        <v>5</v>
      </c>
      <c r="C318" s="2" t="s">
        <v>131</v>
      </c>
      <c r="D318">
        <v>6</v>
      </c>
    </row>
    <row r="319" spans="1:4" hidden="1" x14ac:dyDescent="0.25">
      <c r="A319" s="2" t="s">
        <v>40</v>
      </c>
      <c r="B319">
        <v>5</v>
      </c>
      <c r="C319" s="2" t="s">
        <v>132</v>
      </c>
      <c r="D319">
        <v>7</v>
      </c>
    </row>
    <row r="320" spans="1:4" hidden="1" x14ac:dyDescent="0.25">
      <c r="A320" s="2" t="s">
        <v>40</v>
      </c>
      <c r="B320">
        <v>5</v>
      </c>
      <c r="C320" s="2" t="s">
        <v>133</v>
      </c>
      <c r="D320">
        <v>7</v>
      </c>
    </row>
    <row r="321" spans="1:4" hidden="1" x14ac:dyDescent="0.25">
      <c r="A321" s="2" t="s">
        <v>40</v>
      </c>
      <c r="B321">
        <v>5</v>
      </c>
      <c r="C321" s="2" t="s">
        <v>134</v>
      </c>
      <c r="D321">
        <v>5</v>
      </c>
    </row>
    <row r="322" spans="1:4" hidden="1" x14ac:dyDescent="0.25">
      <c r="A322" s="2" t="s">
        <v>40</v>
      </c>
      <c r="B322">
        <v>5</v>
      </c>
      <c r="C322" s="2" t="s">
        <v>135</v>
      </c>
      <c r="D322">
        <v>5</v>
      </c>
    </row>
    <row r="323" spans="1:4" hidden="1" x14ac:dyDescent="0.25">
      <c r="A323" s="2" t="s">
        <v>40</v>
      </c>
      <c r="B323">
        <v>5</v>
      </c>
      <c r="C323" s="2" t="s">
        <v>136</v>
      </c>
      <c r="D323">
        <v>5</v>
      </c>
    </row>
    <row r="324" spans="1:4" hidden="1" x14ac:dyDescent="0.25">
      <c r="A324" s="2" t="s">
        <v>40</v>
      </c>
      <c r="B324">
        <v>5</v>
      </c>
      <c r="C324" s="2" t="s">
        <v>137</v>
      </c>
      <c r="D324">
        <v>5</v>
      </c>
    </row>
    <row r="325" spans="1:4" hidden="1" x14ac:dyDescent="0.25">
      <c r="A325" s="2" t="s">
        <v>40</v>
      </c>
      <c r="B325">
        <v>5</v>
      </c>
      <c r="C325" s="2" t="s">
        <v>138</v>
      </c>
      <c r="D325">
        <v>5</v>
      </c>
    </row>
    <row r="326" spans="1:4" hidden="1" x14ac:dyDescent="0.25">
      <c r="A326" s="2" t="s">
        <v>40</v>
      </c>
      <c r="B326">
        <v>5</v>
      </c>
      <c r="C326" s="2" t="s">
        <v>139</v>
      </c>
      <c r="D326">
        <v>5</v>
      </c>
    </row>
    <row r="327" spans="1:4" hidden="1" x14ac:dyDescent="0.25">
      <c r="A327" s="2" t="s">
        <v>40</v>
      </c>
      <c r="B327">
        <v>5</v>
      </c>
      <c r="C327" s="2" t="s">
        <v>140</v>
      </c>
      <c r="D327">
        <v>5</v>
      </c>
    </row>
    <row r="328" spans="1:4" hidden="1" x14ac:dyDescent="0.25">
      <c r="A328" s="2" t="s">
        <v>40</v>
      </c>
      <c r="B328">
        <v>5</v>
      </c>
      <c r="C328" s="2" t="s">
        <v>141</v>
      </c>
      <c r="D328">
        <v>5</v>
      </c>
    </row>
    <row r="329" spans="1:4" hidden="1" x14ac:dyDescent="0.25">
      <c r="A329" s="2" t="s">
        <v>40</v>
      </c>
      <c r="B329">
        <v>5</v>
      </c>
      <c r="C329" s="2" t="s">
        <v>142</v>
      </c>
      <c r="D329">
        <v>5</v>
      </c>
    </row>
    <row r="330" spans="1:4" hidden="1" x14ac:dyDescent="0.25">
      <c r="A330" s="2" t="s">
        <v>40</v>
      </c>
      <c r="B330">
        <v>5</v>
      </c>
      <c r="C330" s="2" t="s">
        <v>143</v>
      </c>
      <c r="D330">
        <v>5</v>
      </c>
    </row>
    <row r="331" spans="1:4" hidden="1" x14ac:dyDescent="0.25">
      <c r="A331" s="2" t="s">
        <v>40</v>
      </c>
      <c r="B331">
        <v>5</v>
      </c>
      <c r="C331" s="2" t="s">
        <v>144</v>
      </c>
      <c r="D331">
        <v>5</v>
      </c>
    </row>
    <row r="332" spans="1:4" hidden="1" x14ac:dyDescent="0.25">
      <c r="A332" s="2" t="s">
        <v>40</v>
      </c>
      <c r="B332">
        <v>5</v>
      </c>
      <c r="C332" s="2" t="s">
        <v>145</v>
      </c>
      <c r="D332">
        <v>5</v>
      </c>
    </row>
    <row r="333" spans="1:4" hidden="1" x14ac:dyDescent="0.25">
      <c r="A333" s="2" t="s">
        <v>40</v>
      </c>
      <c r="B333">
        <v>5</v>
      </c>
      <c r="C333" s="2" t="s">
        <v>146</v>
      </c>
      <c r="D333">
        <v>5</v>
      </c>
    </row>
    <row r="334" spans="1:4" hidden="1" x14ac:dyDescent="0.25">
      <c r="A334" s="2" t="s">
        <v>40</v>
      </c>
      <c r="B334">
        <v>5</v>
      </c>
      <c r="C334" s="2" t="s">
        <v>147</v>
      </c>
      <c r="D334">
        <v>5</v>
      </c>
    </row>
    <row r="335" spans="1:4" hidden="1" x14ac:dyDescent="0.25">
      <c r="A335" s="2" t="s">
        <v>40</v>
      </c>
      <c r="B335">
        <v>5</v>
      </c>
      <c r="C335" s="2" t="s">
        <v>148</v>
      </c>
      <c r="D335">
        <v>5</v>
      </c>
    </row>
    <row r="336" spans="1:4" hidden="1" x14ac:dyDescent="0.25">
      <c r="A336" s="2" t="s">
        <v>40</v>
      </c>
      <c r="B336">
        <v>5</v>
      </c>
      <c r="C336" s="2" t="s">
        <v>149</v>
      </c>
      <c r="D336">
        <v>5</v>
      </c>
    </row>
    <row r="337" spans="1:4" hidden="1" x14ac:dyDescent="0.25">
      <c r="A337" s="2" t="s">
        <v>40</v>
      </c>
      <c r="B337">
        <v>5</v>
      </c>
      <c r="C337" s="2" t="s">
        <v>150</v>
      </c>
      <c r="D337">
        <v>5</v>
      </c>
    </row>
    <row r="338" spans="1:4" hidden="1" x14ac:dyDescent="0.25">
      <c r="A338" s="2" t="s">
        <v>40</v>
      </c>
      <c r="B338">
        <v>5</v>
      </c>
      <c r="C338" s="2" t="s">
        <v>151</v>
      </c>
      <c r="D338">
        <v>5</v>
      </c>
    </row>
    <row r="339" spans="1:4" hidden="1" x14ac:dyDescent="0.25">
      <c r="A339" s="2" t="s">
        <v>40</v>
      </c>
      <c r="B339">
        <v>5</v>
      </c>
      <c r="C339" s="2" t="s">
        <v>152</v>
      </c>
      <c r="D339">
        <v>5</v>
      </c>
    </row>
    <row r="340" spans="1:4" hidden="1" x14ac:dyDescent="0.25">
      <c r="A340" s="2" t="s">
        <v>40</v>
      </c>
      <c r="B340">
        <v>5</v>
      </c>
      <c r="C340" s="2" t="s">
        <v>153</v>
      </c>
      <c r="D340">
        <v>5</v>
      </c>
    </row>
    <row r="341" spans="1:4" hidden="1" x14ac:dyDescent="0.25">
      <c r="A341" s="2" t="s">
        <v>40</v>
      </c>
      <c r="B341">
        <v>5</v>
      </c>
      <c r="C341" s="2" t="s">
        <v>154</v>
      </c>
      <c r="D341">
        <v>5</v>
      </c>
    </row>
    <row r="342" spans="1:4" hidden="1" x14ac:dyDescent="0.25">
      <c r="A342" s="2" t="s">
        <v>40</v>
      </c>
      <c r="B342">
        <v>5</v>
      </c>
      <c r="C342" s="2" t="s">
        <v>155</v>
      </c>
      <c r="D342">
        <v>5</v>
      </c>
    </row>
    <row r="343" spans="1:4" hidden="1" x14ac:dyDescent="0.25">
      <c r="A343" s="2" t="s">
        <v>40</v>
      </c>
      <c r="B343">
        <v>5</v>
      </c>
      <c r="C343" s="2" t="s">
        <v>156</v>
      </c>
      <c r="D343">
        <v>5</v>
      </c>
    </row>
    <row r="344" spans="1:4" hidden="1" x14ac:dyDescent="0.25">
      <c r="A344" s="2" t="s">
        <v>40</v>
      </c>
      <c r="B344">
        <v>5</v>
      </c>
      <c r="C344" s="2" t="s">
        <v>157</v>
      </c>
      <c r="D344">
        <v>5</v>
      </c>
    </row>
    <row r="345" spans="1:4" hidden="1" x14ac:dyDescent="0.25">
      <c r="A345" s="2" t="s">
        <v>40</v>
      </c>
      <c r="B345">
        <v>5</v>
      </c>
      <c r="C345" s="2" t="s">
        <v>158</v>
      </c>
      <c r="D345">
        <v>5</v>
      </c>
    </row>
    <row r="346" spans="1:4" hidden="1" x14ac:dyDescent="0.25">
      <c r="A346" s="2" t="s">
        <v>40</v>
      </c>
      <c r="B346">
        <v>5</v>
      </c>
      <c r="C346" s="2" t="s">
        <v>159</v>
      </c>
      <c r="D346">
        <v>5</v>
      </c>
    </row>
    <row r="347" spans="1:4" hidden="1" x14ac:dyDescent="0.25">
      <c r="A347" s="2" t="s">
        <v>40</v>
      </c>
      <c r="B347">
        <v>5</v>
      </c>
      <c r="C347" s="2" t="s">
        <v>160</v>
      </c>
      <c r="D347">
        <v>5</v>
      </c>
    </row>
    <row r="348" spans="1:4" hidden="1" x14ac:dyDescent="0.25">
      <c r="A348" s="2" t="s">
        <v>40</v>
      </c>
      <c r="B348">
        <v>5</v>
      </c>
      <c r="C348" s="2" t="s">
        <v>161</v>
      </c>
      <c r="D348">
        <v>5</v>
      </c>
    </row>
    <row r="349" spans="1:4" hidden="1" x14ac:dyDescent="0.25">
      <c r="A349" s="2" t="s">
        <v>40</v>
      </c>
      <c r="B349">
        <v>5</v>
      </c>
      <c r="C349" s="2" t="s">
        <v>162</v>
      </c>
      <c r="D349">
        <v>5</v>
      </c>
    </row>
    <row r="350" spans="1:4" hidden="1" x14ac:dyDescent="0.25">
      <c r="A350" s="2" t="s">
        <v>40</v>
      </c>
      <c r="B350">
        <v>5</v>
      </c>
      <c r="C350" s="2" t="s">
        <v>163</v>
      </c>
      <c r="D350">
        <v>5</v>
      </c>
    </row>
    <row r="351" spans="1:4" hidden="1" x14ac:dyDescent="0.25">
      <c r="A351" s="2" t="s">
        <v>40</v>
      </c>
      <c r="B351">
        <v>5</v>
      </c>
      <c r="C351" s="2" t="s">
        <v>164</v>
      </c>
      <c r="D351">
        <v>5</v>
      </c>
    </row>
    <row r="352" spans="1:4" hidden="1" x14ac:dyDescent="0.25">
      <c r="A352" s="2" t="s">
        <v>40</v>
      </c>
      <c r="B352">
        <v>5</v>
      </c>
      <c r="C352" s="2" t="s">
        <v>165</v>
      </c>
      <c r="D352">
        <v>5</v>
      </c>
    </row>
    <row r="353" spans="1:4" hidden="1" x14ac:dyDescent="0.25">
      <c r="A353" s="2" t="s">
        <v>40</v>
      </c>
      <c r="B353">
        <v>5</v>
      </c>
      <c r="C353" s="2" t="s">
        <v>166</v>
      </c>
      <c r="D353">
        <v>5</v>
      </c>
    </row>
    <row r="354" spans="1:4" hidden="1" x14ac:dyDescent="0.25">
      <c r="A354" s="2" t="s">
        <v>40</v>
      </c>
      <c r="B354">
        <v>5</v>
      </c>
      <c r="C354" s="2" t="s">
        <v>167</v>
      </c>
      <c r="D354">
        <v>5</v>
      </c>
    </row>
    <row r="355" spans="1:4" hidden="1" x14ac:dyDescent="0.25">
      <c r="A355" s="2" t="s">
        <v>40</v>
      </c>
      <c r="B355">
        <v>5</v>
      </c>
      <c r="C355" s="2" t="s">
        <v>168</v>
      </c>
      <c r="D355">
        <v>5</v>
      </c>
    </row>
    <row r="356" spans="1:4" hidden="1" x14ac:dyDescent="0.25">
      <c r="A356" s="2" t="s">
        <v>40</v>
      </c>
      <c r="B356">
        <v>5</v>
      </c>
      <c r="C356" s="2" t="s">
        <v>169</v>
      </c>
      <c r="D356">
        <v>5</v>
      </c>
    </row>
    <row r="357" spans="1:4" hidden="1" x14ac:dyDescent="0.25">
      <c r="A357" s="2" t="s">
        <v>40</v>
      </c>
      <c r="B357">
        <v>5</v>
      </c>
      <c r="C357" s="2" t="s">
        <v>170</v>
      </c>
      <c r="D357">
        <v>5</v>
      </c>
    </row>
    <row r="358" spans="1:4" hidden="1" x14ac:dyDescent="0.25">
      <c r="A358" s="2" t="s">
        <v>40</v>
      </c>
      <c r="B358">
        <v>5</v>
      </c>
      <c r="C358" s="2" t="s">
        <v>171</v>
      </c>
      <c r="D358">
        <v>5</v>
      </c>
    </row>
    <row r="359" spans="1:4" hidden="1" x14ac:dyDescent="0.25">
      <c r="A359" s="2" t="s">
        <v>40</v>
      </c>
      <c r="B359">
        <v>5</v>
      </c>
      <c r="C359" s="2" t="s">
        <v>172</v>
      </c>
      <c r="D359">
        <v>5</v>
      </c>
    </row>
    <row r="360" spans="1:4" hidden="1" x14ac:dyDescent="0.25">
      <c r="A360" s="2" t="s">
        <v>40</v>
      </c>
      <c r="B360">
        <v>5</v>
      </c>
      <c r="C360" s="2" t="s">
        <v>173</v>
      </c>
      <c r="D360">
        <v>5</v>
      </c>
    </row>
    <row r="361" spans="1:4" hidden="1" x14ac:dyDescent="0.25">
      <c r="A361" s="2" t="s">
        <v>40</v>
      </c>
      <c r="B361">
        <v>5</v>
      </c>
      <c r="C361" s="2" t="s">
        <v>174</v>
      </c>
      <c r="D361">
        <v>5</v>
      </c>
    </row>
    <row r="362" spans="1:4" hidden="1" x14ac:dyDescent="0.25">
      <c r="A362" s="2" t="s">
        <v>40</v>
      </c>
      <c r="B362">
        <v>5</v>
      </c>
      <c r="C362" s="2" t="s">
        <v>175</v>
      </c>
      <c r="D362">
        <v>5</v>
      </c>
    </row>
    <row r="363" spans="1:4" hidden="1" x14ac:dyDescent="0.25">
      <c r="A363" s="2" t="s">
        <v>40</v>
      </c>
      <c r="B363">
        <v>5</v>
      </c>
      <c r="C363" s="2" t="s">
        <v>176</v>
      </c>
      <c r="D363">
        <v>5</v>
      </c>
    </row>
    <row r="364" spans="1:4" hidden="1" x14ac:dyDescent="0.25">
      <c r="A364" s="2" t="s">
        <v>40</v>
      </c>
      <c r="B364">
        <v>5</v>
      </c>
      <c r="C364" s="2" t="s">
        <v>177</v>
      </c>
      <c r="D364">
        <v>5</v>
      </c>
    </row>
    <row r="365" spans="1:4" hidden="1" x14ac:dyDescent="0.25">
      <c r="A365" s="2" t="s">
        <v>40</v>
      </c>
      <c r="B365">
        <v>5</v>
      </c>
      <c r="C365" s="2" t="s">
        <v>178</v>
      </c>
      <c r="D365">
        <v>5</v>
      </c>
    </row>
    <row r="366" spans="1:4" hidden="1" x14ac:dyDescent="0.25">
      <c r="A366" s="2" t="s">
        <v>40</v>
      </c>
      <c r="B366">
        <v>5</v>
      </c>
      <c r="C366" s="2" t="s">
        <v>179</v>
      </c>
      <c r="D366">
        <v>5</v>
      </c>
    </row>
    <row r="367" spans="1:4" hidden="1" x14ac:dyDescent="0.25">
      <c r="A367" s="2" t="s">
        <v>78</v>
      </c>
      <c r="B367">
        <v>5</v>
      </c>
      <c r="C367" s="2" t="s">
        <v>183</v>
      </c>
      <c r="D367">
        <v>62</v>
      </c>
    </row>
    <row r="368" spans="1:4" hidden="1" x14ac:dyDescent="0.25">
      <c r="A368" s="2" t="s">
        <v>78</v>
      </c>
      <c r="B368">
        <v>5</v>
      </c>
      <c r="C368" s="2" t="s">
        <v>184</v>
      </c>
      <c r="D368">
        <v>59</v>
      </c>
    </row>
    <row r="369" spans="1:4" hidden="1" x14ac:dyDescent="0.25">
      <c r="A369" s="2" t="s">
        <v>78</v>
      </c>
      <c r="B369">
        <v>5</v>
      </c>
      <c r="C369" s="2" t="s">
        <v>185</v>
      </c>
      <c r="D369">
        <v>52</v>
      </c>
    </row>
    <row r="370" spans="1:4" hidden="1" x14ac:dyDescent="0.25">
      <c r="A370" s="2" t="s">
        <v>78</v>
      </c>
      <c r="B370">
        <v>5</v>
      </c>
      <c r="C370" s="2" t="s">
        <v>186</v>
      </c>
      <c r="D370">
        <v>27</v>
      </c>
    </row>
    <row r="371" spans="1:4" hidden="1" x14ac:dyDescent="0.25">
      <c r="A371" s="2" t="s">
        <v>78</v>
      </c>
      <c r="B371">
        <v>5</v>
      </c>
      <c r="C371" s="2" t="s">
        <v>187</v>
      </c>
      <c r="D371">
        <v>27</v>
      </c>
    </row>
    <row r="372" spans="1:4" hidden="1" x14ac:dyDescent="0.25">
      <c r="A372" s="2" t="s">
        <v>78</v>
      </c>
      <c r="B372">
        <v>5</v>
      </c>
      <c r="C372" s="2" t="s">
        <v>188</v>
      </c>
      <c r="D372">
        <v>23</v>
      </c>
    </row>
    <row r="373" spans="1:4" hidden="1" x14ac:dyDescent="0.25">
      <c r="A373" s="2" t="s">
        <v>78</v>
      </c>
      <c r="B373">
        <v>5</v>
      </c>
      <c r="C373" s="2" t="s">
        <v>189</v>
      </c>
      <c r="D373">
        <v>16</v>
      </c>
    </row>
    <row r="374" spans="1:4" hidden="1" x14ac:dyDescent="0.25">
      <c r="A374" s="2" t="s">
        <v>78</v>
      </c>
      <c r="B374">
        <v>5</v>
      </c>
      <c r="C374" s="2" t="s">
        <v>190</v>
      </c>
      <c r="D374">
        <v>8</v>
      </c>
    </row>
    <row r="375" spans="1:4" hidden="1" x14ac:dyDescent="0.25">
      <c r="A375" s="2" t="s">
        <v>78</v>
      </c>
      <c r="B375">
        <v>5</v>
      </c>
      <c r="C375" s="2" t="s">
        <v>191</v>
      </c>
      <c r="D375">
        <v>3</v>
      </c>
    </row>
    <row r="376" spans="1:4" hidden="1" x14ac:dyDescent="0.25">
      <c r="A376" s="2" t="s">
        <v>78</v>
      </c>
      <c r="B376">
        <v>5</v>
      </c>
      <c r="C376" s="2" t="s">
        <v>116</v>
      </c>
      <c r="D376">
        <v>4</v>
      </c>
    </row>
    <row r="377" spans="1:4" hidden="1" x14ac:dyDescent="0.25">
      <c r="A377" s="2" t="s">
        <v>78</v>
      </c>
      <c r="B377">
        <v>5</v>
      </c>
      <c r="C377" s="2" t="s">
        <v>117</v>
      </c>
      <c r="D377">
        <v>23</v>
      </c>
    </row>
    <row r="378" spans="1:4" hidden="1" x14ac:dyDescent="0.25">
      <c r="A378" s="2" t="s">
        <v>78</v>
      </c>
      <c r="B378">
        <v>5</v>
      </c>
      <c r="C378" s="2" t="s">
        <v>118</v>
      </c>
      <c r="D378">
        <v>22</v>
      </c>
    </row>
    <row r="379" spans="1:4" hidden="1" x14ac:dyDescent="0.25">
      <c r="A379" s="2" t="s">
        <v>78</v>
      </c>
      <c r="B379">
        <v>5</v>
      </c>
      <c r="C379" s="2" t="s">
        <v>119</v>
      </c>
      <c r="D379">
        <v>46</v>
      </c>
    </row>
    <row r="380" spans="1:4" hidden="1" x14ac:dyDescent="0.25">
      <c r="A380" s="2" t="s">
        <v>78</v>
      </c>
      <c r="B380">
        <v>5</v>
      </c>
      <c r="C380" s="2" t="s">
        <v>120</v>
      </c>
      <c r="D380">
        <v>15</v>
      </c>
    </row>
    <row r="381" spans="1:4" hidden="1" x14ac:dyDescent="0.25">
      <c r="A381" s="2" t="s">
        <v>78</v>
      </c>
      <c r="B381">
        <v>5</v>
      </c>
      <c r="C381" s="2" t="s">
        <v>121</v>
      </c>
      <c r="D381">
        <v>16</v>
      </c>
    </row>
    <row r="382" spans="1:4" hidden="1" x14ac:dyDescent="0.25">
      <c r="A382" s="2" t="s">
        <v>78</v>
      </c>
      <c r="B382">
        <v>5</v>
      </c>
      <c r="C382" s="2" t="s">
        <v>122</v>
      </c>
      <c r="D382">
        <v>19</v>
      </c>
    </row>
    <row r="383" spans="1:4" hidden="1" x14ac:dyDescent="0.25">
      <c r="A383" s="2" t="s">
        <v>78</v>
      </c>
      <c r="B383">
        <v>5</v>
      </c>
      <c r="C383" s="2" t="s">
        <v>123</v>
      </c>
      <c r="D383">
        <v>23</v>
      </c>
    </row>
    <row r="384" spans="1:4" hidden="1" x14ac:dyDescent="0.25">
      <c r="A384" s="2" t="s">
        <v>78</v>
      </c>
      <c r="B384">
        <v>5</v>
      </c>
      <c r="C384" s="2" t="s">
        <v>124</v>
      </c>
      <c r="D384">
        <v>22</v>
      </c>
    </row>
    <row r="385" spans="1:4" hidden="1" x14ac:dyDescent="0.25">
      <c r="A385" s="2" t="s">
        <v>78</v>
      </c>
      <c r="B385">
        <v>5</v>
      </c>
      <c r="C385" s="2" t="s">
        <v>125</v>
      </c>
      <c r="D385">
        <v>38</v>
      </c>
    </row>
    <row r="386" spans="1:4" hidden="1" x14ac:dyDescent="0.25">
      <c r="A386" s="2" t="s">
        <v>78</v>
      </c>
      <c r="B386">
        <v>5</v>
      </c>
      <c r="C386" s="2" t="s">
        <v>126</v>
      </c>
      <c r="D386">
        <v>12</v>
      </c>
    </row>
    <row r="387" spans="1:4" hidden="1" x14ac:dyDescent="0.25">
      <c r="A387" s="2" t="s">
        <v>78</v>
      </c>
      <c r="B387">
        <v>5</v>
      </c>
      <c r="C387" s="2" t="s">
        <v>127</v>
      </c>
      <c r="D387">
        <v>10</v>
      </c>
    </row>
    <row r="388" spans="1:4" hidden="1" x14ac:dyDescent="0.25">
      <c r="A388" s="2" t="s">
        <v>78</v>
      </c>
      <c r="B388">
        <v>5</v>
      </c>
      <c r="C388" s="2" t="s">
        <v>128</v>
      </c>
      <c r="D388">
        <v>3</v>
      </c>
    </row>
    <row r="389" spans="1:4" hidden="1" x14ac:dyDescent="0.25">
      <c r="A389" s="2" t="s">
        <v>78</v>
      </c>
      <c r="B389">
        <v>5</v>
      </c>
      <c r="C389" s="2" t="s">
        <v>129</v>
      </c>
      <c r="D389">
        <v>4</v>
      </c>
    </row>
    <row r="390" spans="1:4" hidden="1" x14ac:dyDescent="0.25">
      <c r="A390" s="2" t="s">
        <v>78</v>
      </c>
      <c r="B390">
        <v>5</v>
      </c>
      <c r="C390" s="2" t="s">
        <v>130</v>
      </c>
      <c r="D390">
        <v>7</v>
      </c>
    </row>
    <row r="391" spans="1:4" hidden="1" x14ac:dyDescent="0.25">
      <c r="A391" s="2" t="s">
        <v>78</v>
      </c>
      <c r="B391">
        <v>5</v>
      </c>
      <c r="C391" s="2" t="s">
        <v>131</v>
      </c>
      <c r="D391">
        <v>4</v>
      </c>
    </row>
    <row r="392" spans="1:4" hidden="1" x14ac:dyDescent="0.25">
      <c r="A392" s="2" t="s">
        <v>78</v>
      </c>
      <c r="B392">
        <v>5</v>
      </c>
      <c r="C392" s="2" t="s">
        <v>132</v>
      </c>
      <c r="D392">
        <v>6</v>
      </c>
    </row>
    <row r="393" spans="1:4" hidden="1" x14ac:dyDescent="0.25">
      <c r="A393" s="2" t="s">
        <v>78</v>
      </c>
      <c r="B393">
        <v>5</v>
      </c>
      <c r="C393" s="2" t="s">
        <v>133</v>
      </c>
      <c r="D393">
        <v>6</v>
      </c>
    </row>
    <row r="394" spans="1:4" hidden="1" x14ac:dyDescent="0.25">
      <c r="A394" s="2" t="s">
        <v>78</v>
      </c>
      <c r="B394">
        <v>5</v>
      </c>
      <c r="C394" s="2" t="s">
        <v>134</v>
      </c>
      <c r="D394">
        <v>5</v>
      </c>
    </row>
    <row r="395" spans="1:4" hidden="1" x14ac:dyDescent="0.25">
      <c r="A395" s="2" t="s">
        <v>78</v>
      </c>
      <c r="B395">
        <v>5</v>
      </c>
      <c r="C395" s="2" t="s">
        <v>135</v>
      </c>
      <c r="D395">
        <v>5</v>
      </c>
    </row>
    <row r="396" spans="1:4" hidden="1" x14ac:dyDescent="0.25">
      <c r="A396" s="2" t="s">
        <v>78</v>
      </c>
      <c r="B396">
        <v>5</v>
      </c>
      <c r="C396" s="2" t="s">
        <v>136</v>
      </c>
      <c r="D396">
        <v>5</v>
      </c>
    </row>
    <row r="397" spans="1:4" hidden="1" x14ac:dyDescent="0.25">
      <c r="A397" s="2" t="s">
        <v>78</v>
      </c>
      <c r="B397">
        <v>5</v>
      </c>
      <c r="C397" s="2" t="s">
        <v>137</v>
      </c>
      <c r="D397">
        <v>5</v>
      </c>
    </row>
    <row r="398" spans="1:4" hidden="1" x14ac:dyDescent="0.25">
      <c r="A398" s="2" t="s">
        <v>78</v>
      </c>
      <c r="B398">
        <v>5</v>
      </c>
      <c r="C398" s="2" t="s">
        <v>138</v>
      </c>
      <c r="D398">
        <v>5</v>
      </c>
    </row>
    <row r="399" spans="1:4" hidden="1" x14ac:dyDescent="0.25">
      <c r="A399" s="2" t="s">
        <v>78</v>
      </c>
      <c r="B399">
        <v>5</v>
      </c>
      <c r="C399" s="2" t="s">
        <v>139</v>
      </c>
      <c r="D399">
        <v>5</v>
      </c>
    </row>
    <row r="400" spans="1:4" hidden="1" x14ac:dyDescent="0.25">
      <c r="A400" s="2" t="s">
        <v>78</v>
      </c>
      <c r="B400">
        <v>5</v>
      </c>
      <c r="C400" s="2" t="s">
        <v>140</v>
      </c>
      <c r="D400">
        <v>5</v>
      </c>
    </row>
    <row r="401" spans="1:4" hidden="1" x14ac:dyDescent="0.25">
      <c r="A401" s="2" t="s">
        <v>78</v>
      </c>
      <c r="B401">
        <v>5</v>
      </c>
      <c r="C401" s="2" t="s">
        <v>141</v>
      </c>
      <c r="D401">
        <v>5</v>
      </c>
    </row>
    <row r="402" spans="1:4" hidden="1" x14ac:dyDescent="0.25">
      <c r="A402" s="2" t="s">
        <v>78</v>
      </c>
      <c r="B402">
        <v>5</v>
      </c>
      <c r="C402" s="2" t="s">
        <v>142</v>
      </c>
      <c r="D402">
        <v>5</v>
      </c>
    </row>
    <row r="403" spans="1:4" hidden="1" x14ac:dyDescent="0.25">
      <c r="A403" s="2" t="s">
        <v>78</v>
      </c>
      <c r="B403">
        <v>5</v>
      </c>
      <c r="C403" s="2" t="s">
        <v>143</v>
      </c>
      <c r="D403">
        <v>5</v>
      </c>
    </row>
    <row r="404" spans="1:4" hidden="1" x14ac:dyDescent="0.25">
      <c r="A404" s="2" t="s">
        <v>78</v>
      </c>
      <c r="B404">
        <v>5</v>
      </c>
      <c r="C404" s="2" t="s">
        <v>144</v>
      </c>
      <c r="D404">
        <v>5</v>
      </c>
    </row>
    <row r="405" spans="1:4" hidden="1" x14ac:dyDescent="0.25">
      <c r="A405" s="2" t="s">
        <v>78</v>
      </c>
      <c r="B405">
        <v>5</v>
      </c>
      <c r="C405" s="2" t="s">
        <v>145</v>
      </c>
      <c r="D405">
        <v>5</v>
      </c>
    </row>
    <row r="406" spans="1:4" hidden="1" x14ac:dyDescent="0.25">
      <c r="A406" s="2" t="s">
        <v>78</v>
      </c>
      <c r="B406">
        <v>5</v>
      </c>
      <c r="C406" s="2" t="s">
        <v>146</v>
      </c>
      <c r="D406">
        <v>5</v>
      </c>
    </row>
    <row r="407" spans="1:4" hidden="1" x14ac:dyDescent="0.25">
      <c r="A407" s="2" t="s">
        <v>78</v>
      </c>
      <c r="B407">
        <v>5</v>
      </c>
      <c r="C407" s="2" t="s">
        <v>147</v>
      </c>
      <c r="D407">
        <v>5</v>
      </c>
    </row>
    <row r="408" spans="1:4" hidden="1" x14ac:dyDescent="0.25">
      <c r="A408" s="2" t="s">
        <v>78</v>
      </c>
      <c r="B408">
        <v>5</v>
      </c>
      <c r="C408" s="2" t="s">
        <v>148</v>
      </c>
      <c r="D408">
        <v>5</v>
      </c>
    </row>
    <row r="409" spans="1:4" hidden="1" x14ac:dyDescent="0.25">
      <c r="A409" s="2" t="s">
        <v>78</v>
      </c>
      <c r="B409">
        <v>5</v>
      </c>
      <c r="C409" s="2" t="s">
        <v>149</v>
      </c>
      <c r="D409">
        <v>5</v>
      </c>
    </row>
    <row r="410" spans="1:4" hidden="1" x14ac:dyDescent="0.25">
      <c r="A410" s="2" t="s">
        <v>78</v>
      </c>
      <c r="B410">
        <v>5</v>
      </c>
      <c r="C410" s="2" t="s">
        <v>150</v>
      </c>
      <c r="D410">
        <v>5</v>
      </c>
    </row>
    <row r="411" spans="1:4" hidden="1" x14ac:dyDescent="0.25">
      <c r="A411" s="2" t="s">
        <v>78</v>
      </c>
      <c r="B411">
        <v>5</v>
      </c>
      <c r="C411" s="2" t="s">
        <v>151</v>
      </c>
      <c r="D411">
        <v>5</v>
      </c>
    </row>
    <row r="412" spans="1:4" hidden="1" x14ac:dyDescent="0.25">
      <c r="A412" s="2" t="s">
        <v>78</v>
      </c>
      <c r="B412">
        <v>5</v>
      </c>
      <c r="C412" s="2" t="s">
        <v>152</v>
      </c>
      <c r="D412">
        <v>5</v>
      </c>
    </row>
    <row r="413" spans="1:4" hidden="1" x14ac:dyDescent="0.25">
      <c r="A413" s="2" t="s">
        <v>78</v>
      </c>
      <c r="B413">
        <v>5</v>
      </c>
      <c r="C413" s="2" t="s">
        <v>153</v>
      </c>
      <c r="D413">
        <v>5</v>
      </c>
    </row>
    <row r="414" spans="1:4" hidden="1" x14ac:dyDescent="0.25">
      <c r="A414" s="2" t="s">
        <v>78</v>
      </c>
      <c r="B414">
        <v>5</v>
      </c>
      <c r="C414" s="2" t="s">
        <v>154</v>
      </c>
      <c r="D414">
        <v>5</v>
      </c>
    </row>
    <row r="415" spans="1:4" hidden="1" x14ac:dyDescent="0.25">
      <c r="A415" s="2" t="s">
        <v>78</v>
      </c>
      <c r="B415">
        <v>5</v>
      </c>
      <c r="C415" s="2" t="s">
        <v>155</v>
      </c>
      <c r="D415">
        <v>5</v>
      </c>
    </row>
    <row r="416" spans="1:4" hidden="1" x14ac:dyDescent="0.25">
      <c r="A416" s="2" t="s">
        <v>78</v>
      </c>
      <c r="B416">
        <v>5</v>
      </c>
      <c r="C416" s="2" t="s">
        <v>156</v>
      </c>
      <c r="D416">
        <v>5</v>
      </c>
    </row>
    <row r="417" spans="1:4" hidden="1" x14ac:dyDescent="0.25">
      <c r="A417" s="2" t="s">
        <v>78</v>
      </c>
      <c r="B417">
        <v>5</v>
      </c>
      <c r="C417" s="2" t="s">
        <v>157</v>
      </c>
      <c r="D417">
        <v>5</v>
      </c>
    </row>
    <row r="418" spans="1:4" hidden="1" x14ac:dyDescent="0.25">
      <c r="A418" s="2" t="s">
        <v>78</v>
      </c>
      <c r="B418">
        <v>5</v>
      </c>
      <c r="C418" s="2" t="s">
        <v>158</v>
      </c>
      <c r="D418">
        <v>5</v>
      </c>
    </row>
    <row r="419" spans="1:4" hidden="1" x14ac:dyDescent="0.25">
      <c r="A419" s="2" t="s">
        <v>78</v>
      </c>
      <c r="B419">
        <v>5</v>
      </c>
      <c r="C419" s="2" t="s">
        <v>159</v>
      </c>
      <c r="D419">
        <v>5</v>
      </c>
    </row>
    <row r="420" spans="1:4" hidden="1" x14ac:dyDescent="0.25">
      <c r="A420" s="2" t="s">
        <v>78</v>
      </c>
      <c r="B420">
        <v>5</v>
      </c>
      <c r="C420" s="2" t="s">
        <v>160</v>
      </c>
      <c r="D420">
        <v>5</v>
      </c>
    </row>
    <row r="421" spans="1:4" hidden="1" x14ac:dyDescent="0.25">
      <c r="A421" s="2" t="s">
        <v>78</v>
      </c>
      <c r="B421">
        <v>5</v>
      </c>
      <c r="C421" s="2" t="s">
        <v>161</v>
      </c>
      <c r="D421">
        <v>5</v>
      </c>
    </row>
    <row r="422" spans="1:4" hidden="1" x14ac:dyDescent="0.25">
      <c r="A422" s="2" t="s">
        <v>78</v>
      </c>
      <c r="B422">
        <v>5</v>
      </c>
      <c r="C422" s="2" t="s">
        <v>162</v>
      </c>
      <c r="D422">
        <v>5</v>
      </c>
    </row>
    <row r="423" spans="1:4" hidden="1" x14ac:dyDescent="0.25">
      <c r="A423" s="2" t="s">
        <v>78</v>
      </c>
      <c r="B423">
        <v>5</v>
      </c>
      <c r="C423" s="2" t="s">
        <v>163</v>
      </c>
      <c r="D423">
        <v>5</v>
      </c>
    </row>
    <row r="424" spans="1:4" hidden="1" x14ac:dyDescent="0.25">
      <c r="A424" s="2" t="s">
        <v>78</v>
      </c>
      <c r="B424">
        <v>5</v>
      </c>
      <c r="C424" s="2" t="s">
        <v>164</v>
      </c>
      <c r="D424">
        <v>5</v>
      </c>
    </row>
    <row r="425" spans="1:4" hidden="1" x14ac:dyDescent="0.25">
      <c r="A425" s="2" t="s">
        <v>78</v>
      </c>
      <c r="B425">
        <v>5</v>
      </c>
      <c r="C425" s="2" t="s">
        <v>165</v>
      </c>
      <c r="D425">
        <v>5</v>
      </c>
    </row>
    <row r="426" spans="1:4" hidden="1" x14ac:dyDescent="0.25">
      <c r="A426" s="2" t="s">
        <v>78</v>
      </c>
      <c r="B426">
        <v>5</v>
      </c>
      <c r="C426" s="2" t="s">
        <v>166</v>
      </c>
      <c r="D426">
        <v>5</v>
      </c>
    </row>
    <row r="427" spans="1:4" hidden="1" x14ac:dyDescent="0.25">
      <c r="A427" s="2" t="s">
        <v>78</v>
      </c>
      <c r="B427">
        <v>5</v>
      </c>
      <c r="C427" s="2" t="s">
        <v>167</v>
      </c>
      <c r="D427">
        <v>5</v>
      </c>
    </row>
    <row r="428" spans="1:4" hidden="1" x14ac:dyDescent="0.25">
      <c r="A428" s="2" t="s">
        <v>78</v>
      </c>
      <c r="B428">
        <v>5</v>
      </c>
      <c r="C428" s="2" t="s">
        <v>168</v>
      </c>
      <c r="D428">
        <v>5</v>
      </c>
    </row>
    <row r="429" spans="1:4" hidden="1" x14ac:dyDescent="0.25">
      <c r="A429" s="2" t="s">
        <v>78</v>
      </c>
      <c r="B429">
        <v>5</v>
      </c>
      <c r="C429" s="2" t="s">
        <v>169</v>
      </c>
      <c r="D429">
        <v>5</v>
      </c>
    </row>
    <row r="430" spans="1:4" hidden="1" x14ac:dyDescent="0.25">
      <c r="A430" s="2" t="s">
        <v>78</v>
      </c>
      <c r="B430">
        <v>5</v>
      </c>
      <c r="C430" s="2" t="s">
        <v>170</v>
      </c>
      <c r="D430">
        <v>5</v>
      </c>
    </row>
    <row r="431" spans="1:4" hidden="1" x14ac:dyDescent="0.25">
      <c r="A431" s="2" t="s">
        <v>78</v>
      </c>
      <c r="B431">
        <v>5</v>
      </c>
      <c r="C431" s="2" t="s">
        <v>171</v>
      </c>
      <c r="D431">
        <v>5</v>
      </c>
    </row>
    <row r="432" spans="1:4" hidden="1" x14ac:dyDescent="0.25">
      <c r="A432" s="2" t="s">
        <v>78</v>
      </c>
      <c r="B432">
        <v>5</v>
      </c>
      <c r="C432" s="2" t="s">
        <v>172</v>
      </c>
      <c r="D432">
        <v>5</v>
      </c>
    </row>
    <row r="433" spans="1:4" hidden="1" x14ac:dyDescent="0.25">
      <c r="A433" s="2" t="s">
        <v>78</v>
      </c>
      <c r="B433">
        <v>5</v>
      </c>
      <c r="C433" s="2" t="s">
        <v>173</v>
      </c>
      <c r="D433">
        <v>5</v>
      </c>
    </row>
    <row r="434" spans="1:4" hidden="1" x14ac:dyDescent="0.25">
      <c r="A434" s="2" t="s">
        <v>78</v>
      </c>
      <c r="B434">
        <v>5</v>
      </c>
      <c r="C434" s="2" t="s">
        <v>174</v>
      </c>
      <c r="D434">
        <v>5</v>
      </c>
    </row>
    <row r="435" spans="1:4" hidden="1" x14ac:dyDescent="0.25">
      <c r="A435" s="2" t="s">
        <v>78</v>
      </c>
      <c r="B435">
        <v>5</v>
      </c>
      <c r="C435" s="2" t="s">
        <v>175</v>
      </c>
      <c r="D435">
        <v>5</v>
      </c>
    </row>
    <row r="436" spans="1:4" hidden="1" x14ac:dyDescent="0.25">
      <c r="A436" s="2" t="s">
        <v>78</v>
      </c>
      <c r="B436">
        <v>5</v>
      </c>
      <c r="C436" s="2" t="s">
        <v>176</v>
      </c>
      <c r="D436">
        <v>5</v>
      </c>
    </row>
    <row r="437" spans="1:4" hidden="1" x14ac:dyDescent="0.25">
      <c r="A437" s="2" t="s">
        <v>78</v>
      </c>
      <c r="B437">
        <v>5</v>
      </c>
      <c r="C437" s="2" t="s">
        <v>177</v>
      </c>
      <c r="D437">
        <v>5</v>
      </c>
    </row>
    <row r="438" spans="1:4" hidden="1" x14ac:dyDescent="0.25">
      <c r="A438" s="2" t="s">
        <v>78</v>
      </c>
      <c r="B438">
        <v>5</v>
      </c>
      <c r="C438" s="2" t="s">
        <v>178</v>
      </c>
      <c r="D438">
        <v>5</v>
      </c>
    </row>
    <row r="439" spans="1:4" hidden="1" x14ac:dyDescent="0.25">
      <c r="A439" s="2" t="s">
        <v>78</v>
      </c>
      <c r="B439">
        <v>5</v>
      </c>
      <c r="C439" s="2" t="s">
        <v>179</v>
      </c>
      <c r="D439">
        <v>5</v>
      </c>
    </row>
    <row r="440" spans="1:4" hidden="1" x14ac:dyDescent="0.25">
      <c r="A440" s="2" t="s">
        <v>43</v>
      </c>
      <c r="B440">
        <v>7</v>
      </c>
      <c r="C440" s="2" t="s">
        <v>183</v>
      </c>
      <c r="D440">
        <v>13</v>
      </c>
    </row>
    <row r="441" spans="1:4" hidden="1" x14ac:dyDescent="0.25">
      <c r="A441" s="2" t="s">
        <v>43</v>
      </c>
      <c r="B441">
        <v>7</v>
      </c>
      <c r="C441" s="2" t="s">
        <v>184</v>
      </c>
      <c r="D441">
        <v>14</v>
      </c>
    </row>
    <row r="442" spans="1:4" hidden="1" x14ac:dyDescent="0.25">
      <c r="A442" s="2" t="s">
        <v>43</v>
      </c>
      <c r="B442">
        <v>7</v>
      </c>
      <c r="C442" s="2" t="s">
        <v>185</v>
      </c>
      <c r="D442">
        <v>3</v>
      </c>
    </row>
    <row r="443" spans="1:4" hidden="1" x14ac:dyDescent="0.25">
      <c r="A443" s="2" t="s">
        <v>43</v>
      </c>
      <c r="B443">
        <v>7</v>
      </c>
      <c r="C443" s="2" t="s">
        <v>186</v>
      </c>
      <c r="D443">
        <v>1</v>
      </c>
    </row>
    <row r="444" spans="1:4" hidden="1" x14ac:dyDescent="0.25">
      <c r="A444" s="2" t="s">
        <v>43</v>
      </c>
      <c r="B444">
        <v>7</v>
      </c>
      <c r="C444" s="2" t="s">
        <v>187</v>
      </c>
      <c r="D444">
        <v>1</v>
      </c>
    </row>
    <row r="445" spans="1:4" hidden="1" x14ac:dyDescent="0.25">
      <c r="A445" s="2" t="s">
        <v>43</v>
      </c>
      <c r="B445">
        <v>7</v>
      </c>
      <c r="C445" s="2" t="s">
        <v>188</v>
      </c>
      <c r="D445">
        <v>1</v>
      </c>
    </row>
    <row r="446" spans="1:4" hidden="1" x14ac:dyDescent="0.25">
      <c r="A446" s="2" t="s">
        <v>43</v>
      </c>
      <c r="B446">
        <v>7</v>
      </c>
      <c r="C446" s="2" t="s">
        <v>189</v>
      </c>
      <c r="D446">
        <v>1</v>
      </c>
    </row>
    <row r="447" spans="1:4" hidden="1" x14ac:dyDescent="0.25">
      <c r="A447" s="2" t="s">
        <v>43</v>
      </c>
      <c r="B447">
        <v>7</v>
      </c>
      <c r="C447" s="2" t="s">
        <v>190</v>
      </c>
      <c r="D447">
        <v>1</v>
      </c>
    </row>
    <row r="448" spans="1:4" hidden="1" x14ac:dyDescent="0.25">
      <c r="A448" s="2" t="s">
        <v>43</v>
      </c>
      <c r="B448">
        <v>7</v>
      </c>
      <c r="C448" s="2" t="s">
        <v>191</v>
      </c>
      <c r="D448">
        <v>1</v>
      </c>
    </row>
    <row r="449" spans="1:4" hidden="1" x14ac:dyDescent="0.25">
      <c r="A449" s="2" t="s">
        <v>43</v>
      </c>
      <c r="B449">
        <v>7</v>
      </c>
      <c r="C449" s="2" t="s">
        <v>116</v>
      </c>
      <c r="D449">
        <v>1</v>
      </c>
    </row>
    <row r="450" spans="1:4" hidden="1" x14ac:dyDescent="0.25">
      <c r="A450" s="2" t="s">
        <v>43</v>
      </c>
      <c r="B450">
        <v>7</v>
      </c>
      <c r="C450" s="2" t="s">
        <v>117</v>
      </c>
      <c r="D450">
        <v>1</v>
      </c>
    </row>
    <row r="451" spans="1:4" hidden="1" x14ac:dyDescent="0.25">
      <c r="A451" s="2" t="s">
        <v>43</v>
      </c>
      <c r="B451">
        <v>7</v>
      </c>
      <c r="C451" s="2" t="s">
        <v>118</v>
      </c>
      <c r="D451">
        <v>6</v>
      </c>
    </row>
    <row r="452" spans="1:4" hidden="1" x14ac:dyDescent="0.25">
      <c r="A452" s="2" t="s">
        <v>43</v>
      </c>
      <c r="B452">
        <v>7</v>
      </c>
      <c r="C452" s="2" t="s">
        <v>119</v>
      </c>
      <c r="D452">
        <v>22</v>
      </c>
    </row>
    <row r="453" spans="1:4" hidden="1" x14ac:dyDescent="0.25">
      <c r="A453" s="2" t="s">
        <v>43</v>
      </c>
      <c r="B453">
        <v>7</v>
      </c>
      <c r="C453" s="2" t="s">
        <v>120</v>
      </c>
      <c r="D453">
        <v>23</v>
      </c>
    </row>
    <row r="454" spans="1:4" hidden="1" x14ac:dyDescent="0.25">
      <c r="A454" s="2" t="s">
        <v>43</v>
      </c>
      <c r="B454">
        <v>7</v>
      </c>
      <c r="C454" s="2" t="s">
        <v>121</v>
      </c>
      <c r="D454">
        <v>25</v>
      </c>
    </row>
    <row r="455" spans="1:4" hidden="1" x14ac:dyDescent="0.25">
      <c r="A455" s="2" t="s">
        <v>43</v>
      </c>
      <c r="B455">
        <v>7</v>
      </c>
      <c r="C455" s="2" t="s">
        <v>122</v>
      </c>
      <c r="D455">
        <v>30</v>
      </c>
    </row>
    <row r="456" spans="1:4" hidden="1" x14ac:dyDescent="0.25">
      <c r="A456" s="2" t="s">
        <v>43</v>
      </c>
      <c r="B456">
        <v>7</v>
      </c>
      <c r="C456" s="2" t="s">
        <v>123</v>
      </c>
      <c r="D456">
        <v>38</v>
      </c>
    </row>
    <row r="457" spans="1:4" hidden="1" x14ac:dyDescent="0.25">
      <c r="A457" s="2" t="s">
        <v>43</v>
      </c>
      <c r="B457">
        <v>7</v>
      </c>
      <c r="C457" s="2" t="s">
        <v>124</v>
      </c>
      <c r="D457">
        <v>16</v>
      </c>
    </row>
    <row r="458" spans="1:4" hidden="1" x14ac:dyDescent="0.25">
      <c r="A458" s="2" t="s">
        <v>43</v>
      </c>
      <c r="B458">
        <v>7</v>
      </c>
      <c r="C458" s="2" t="s">
        <v>125</v>
      </c>
      <c r="D458">
        <v>7</v>
      </c>
    </row>
    <row r="459" spans="1:4" hidden="1" x14ac:dyDescent="0.25">
      <c r="A459" s="2" t="s">
        <v>43</v>
      </c>
      <c r="B459">
        <v>7</v>
      </c>
      <c r="C459" s="2" t="s">
        <v>126</v>
      </c>
      <c r="D459">
        <v>7</v>
      </c>
    </row>
    <row r="460" spans="1:4" hidden="1" x14ac:dyDescent="0.25">
      <c r="A460" s="2" t="s">
        <v>43</v>
      </c>
      <c r="B460">
        <v>7</v>
      </c>
      <c r="C460" s="2" t="s">
        <v>127</v>
      </c>
      <c r="D460">
        <v>10</v>
      </c>
    </row>
    <row r="461" spans="1:4" hidden="1" x14ac:dyDescent="0.25">
      <c r="A461" s="2" t="s">
        <v>43</v>
      </c>
      <c r="B461">
        <v>7</v>
      </c>
      <c r="C461" s="2" t="s">
        <v>128</v>
      </c>
      <c r="D461">
        <v>3</v>
      </c>
    </row>
    <row r="462" spans="1:4" hidden="1" x14ac:dyDescent="0.25">
      <c r="A462" s="2" t="s">
        <v>43</v>
      </c>
      <c r="B462">
        <v>7</v>
      </c>
      <c r="C462" s="2" t="s">
        <v>129</v>
      </c>
      <c r="D462">
        <v>4</v>
      </c>
    </row>
    <row r="463" spans="1:4" hidden="1" x14ac:dyDescent="0.25">
      <c r="A463" s="2" t="s">
        <v>43</v>
      </c>
      <c r="B463">
        <v>7</v>
      </c>
      <c r="C463" s="2" t="s">
        <v>130</v>
      </c>
      <c r="D463">
        <v>2</v>
      </c>
    </row>
    <row r="464" spans="1:4" hidden="1" x14ac:dyDescent="0.25">
      <c r="A464" s="2" t="s">
        <v>43</v>
      </c>
      <c r="B464">
        <v>7</v>
      </c>
      <c r="C464" s="2" t="s">
        <v>131</v>
      </c>
      <c r="D464">
        <v>7</v>
      </c>
    </row>
    <row r="465" spans="1:4" hidden="1" x14ac:dyDescent="0.25">
      <c r="A465" s="2" t="s">
        <v>43</v>
      </c>
      <c r="B465">
        <v>7</v>
      </c>
      <c r="C465" s="2" t="s">
        <v>132</v>
      </c>
      <c r="D465">
        <v>7</v>
      </c>
    </row>
    <row r="466" spans="1:4" hidden="1" x14ac:dyDescent="0.25">
      <c r="A466" s="2" t="s">
        <v>43</v>
      </c>
      <c r="B466">
        <v>7</v>
      </c>
      <c r="C466" s="2" t="s">
        <v>133</v>
      </c>
      <c r="D466">
        <v>7</v>
      </c>
    </row>
    <row r="467" spans="1:4" hidden="1" x14ac:dyDescent="0.25">
      <c r="A467" s="2" t="s">
        <v>43</v>
      </c>
      <c r="B467">
        <v>7</v>
      </c>
      <c r="C467" s="2" t="s">
        <v>134</v>
      </c>
      <c r="D467">
        <v>8</v>
      </c>
    </row>
    <row r="468" spans="1:4" hidden="1" x14ac:dyDescent="0.25">
      <c r="A468" s="2" t="s">
        <v>43</v>
      </c>
      <c r="B468">
        <v>7</v>
      </c>
      <c r="C468" s="2" t="s">
        <v>135</v>
      </c>
      <c r="D468">
        <v>7</v>
      </c>
    </row>
    <row r="469" spans="1:4" hidden="1" x14ac:dyDescent="0.25">
      <c r="A469" s="2" t="s">
        <v>43</v>
      </c>
      <c r="B469">
        <v>7</v>
      </c>
      <c r="C469" s="2" t="s">
        <v>136</v>
      </c>
      <c r="D469">
        <v>7</v>
      </c>
    </row>
    <row r="470" spans="1:4" hidden="1" x14ac:dyDescent="0.25">
      <c r="A470" s="2" t="s">
        <v>43</v>
      </c>
      <c r="B470">
        <v>7</v>
      </c>
      <c r="C470" s="2" t="s">
        <v>137</v>
      </c>
      <c r="D470">
        <v>7</v>
      </c>
    </row>
    <row r="471" spans="1:4" hidden="1" x14ac:dyDescent="0.25">
      <c r="A471" s="2" t="s">
        <v>43</v>
      </c>
      <c r="B471">
        <v>7</v>
      </c>
      <c r="C471" s="2" t="s">
        <v>138</v>
      </c>
      <c r="D471">
        <v>7</v>
      </c>
    </row>
    <row r="472" spans="1:4" hidden="1" x14ac:dyDescent="0.25">
      <c r="A472" s="2" t="s">
        <v>43</v>
      </c>
      <c r="B472">
        <v>7</v>
      </c>
      <c r="C472" s="2" t="s">
        <v>139</v>
      </c>
      <c r="D472">
        <v>7</v>
      </c>
    </row>
    <row r="473" spans="1:4" hidden="1" x14ac:dyDescent="0.25">
      <c r="A473" s="2" t="s">
        <v>43</v>
      </c>
      <c r="B473">
        <v>7</v>
      </c>
      <c r="C473" s="2" t="s">
        <v>140</v>
      </c>
      <c r="D473">
        <v>7</v>
      </c>
    </row>
    <row r="474" spans="1:4" hidden="1" x14ac:dyDescent="0.25">
      <c r="A474" s="2" t="s">
        <v>43</v>
      </c>
      <c r="B474">
        <v>7</v>
      </c>
      <c r="C474" s="2" t="s">
        <v>141</v>
      </c>
      <c r="D474">
        <v>7</v>
      </c>
    </row>
    <row r="475" spans="1:4" hidden="1" x14ac:dyDescent="0.25">
      <c r="A475" s="2" t="s">
        <v>43</v>
      </c>
      <c r="B475">
        <v>7</v>
      </c>
      <c r="C475" s="2" t="s">
        <v>142</v>
      </c>
      <c r="D475">
        <v>7</v>
      </c>
    </row>
    <row r="476" spans="1:4" hidden="1" x14ac:dyDescent="0.25">
      <c r="A476" s="2" t="s">
        <v>43</v>
      </c>
      <c r="B476">
        <v>7</v>
      </c>
      <c r="C476" s="2" t="s">
        <v>143</v>
      </c>
      <c r="D476">
        <v>7</v>
      </c>
    </row>
    <row r="477" spans="1:4" hidden="1" x14ac:dyDescent="0.25">
      <c r="A477" s="2" t="s">
        <v>43</v>
      </c>
      <c r="B477">
        <v>7</v>
      </c>
      <c r="C477" s="2" t="s">
        <v>144</v>
      </c>
      <c r="D477">
        <v>7</v>
      </c>
    </row>
    <row r="478" spans="1:4" hidden="1" x14ac:dyDescent="0.25">
      <c r="A478" s="2" t="s">
        <v>43</v>
      </c>
      <c r="B478">
        <v>7</v>
      </c>
      <c r="C478" s="2" t="s">
        <v>145</v>
      </c>
      <c r="D478">
        <v>7</v>
      </c>
    </row>
    <row r="479" spans="1:4" hidden="1" x14ac:dyDescent="0.25">
      <c r="A479" s="2" t="s">
        <v>43</v>
      </c>
      <c r="B479">
        <v>7</v>
      </c>
      <c r="C479" s="2" t="s">
        <v>146</v>
      </c>
      <c r="D479">
        <v>7</v>
      </c>
    </row>
    <row r="480" spans="1:4" hidden="1" x14ac:dyDescent="0.25">
      <c r="A480" s="2" t="s">
        <v>43</v>
      </c>
      <c r="B480">
        <v>7</v>
      </c>
      <c r="C480" s="2" t="s">
        <v>147</v>
      </c>
      <c r="D480">
        <v>7</v>
      </c>
    </row>
    <row r="481" spans="1:4" hidden="1" x14ac:dyDescent="0.25">
      <c r="A481" s="2" t="s">
        <v>43</v>
      </c>
      <c r="B481">
        <v>7</v>
      </c>
      <c r="C481" s="2" t="s">
        <v>148</v>
      </c>
      <c r="D481">
        <v>7</v>
      </c>
    </row>
    <row r="482" spans="1:4" hidden="1" x14ac:dyDescent="0.25">
      <c r="A482" s="2" t="s">
        <v>43</v>
      </c>
      <c r="B482">
        <v>7</v>
      </c>
      <c r="C482" s="2" t="s">
        <v>149</v>
      </c>
      <c r="D482">
        <v>7</v>
      </c>
    </row>
    <row r="483" spans="1:4" hidden="1" x14ac:dyDescent="0.25">
      <c r="A483" s="2" t="s">
        <v>43</v>
      </c>
      <c r="B483">
        <v>7</v>
      </c>
      <c r="C483" s="2" t="s">
        <v>150</v>
      </c>
      <c r="D483">
        <v>7</v>
      </c>
    </row>
    <row r="484" spans="1:4" hidden="1" x14ac:dyDescent="0.25">
      <c r="A484" s="2" t="s">
        <v>43</v>
      </c>
      <c r="B484">
        <v>7</v>
      </c>
      <c r="C484" s="2" t="s">
        <v>151</v>
      </c>
      <c r="D484">
        <v>7</v>
      </c>
    </row>
    <row r="485" spans="1:4" hidden="1" x14ac:dyDescent="0.25">
      <c r="A485" s="2" t="s">
        <v>43</v>
      </c>
      <c r="B485">
        <v>7</v>
      </c>
      <c r="C485" s="2" t="s">
        <v>152</v>
      </c>
      <c r="D485">
        <v>7</v>
      </c>
    </row>
    <row r="486" spans="1:4" hidden="1" x14ac:dyDescent="0.25">
      <c r="A486" s="2" t="s">
        <v>43</v>
      </c>
      <c r="B486">
        <v>7</v>
      </c>
      <c r="C486" s="2" t="s">
        <v>153</v>
      </c>
      <c r="D486">
        <v>7</v>
      </c>
    </row>
    <row r="487" spans="1:4" hidden="1" x14ac:dyDescent="0.25">
      <c r="A487" s="2" t="s">
        <v>43</v>
      </c>
      <c r="B487">
        <v>7</v>
      </c>
      <c r="C487" s="2" t="s">
        <v>154</v>
      </c>
      <c r="D487">
        <v>7</v>
      </c>
    </row>
    <row r="488" spans="1:4" hidden="1" x14ac:dyDescent="0.25">
      <c r="A488" s="2" t="s">
        <v>43</v>
      </c>
      <c r="B488">
        <v>7</v>
      </c>
      <c r="C488" s="2" t="s">
        <v>155</v>
      </c>
      <c r="D488">
        <v>7</v>
      </c>
    </row>
    <row r="489" spans="1:4" hidden="1" x14ac:dyDescent="0.25">
      <c r="A489" s="2" t="s">
        <v>43</v>
      </c>
      <c r="B489">
        <v>7</v>
      </c>
      <c r="C489" s="2" t="s">
        <v>156</v>
      </c>
      <c r="D489">
        <v>7</v>
      </c>
    </row>
    <row r="490" spans="1:4" hidden="1" x14ac:dyDescent="0.25">
      <c r="A490" s="2" t="s">
        <v>43</v>
      </c>
      <c r="B490">
        <v>7</v>
      </c>
      <c r="C490" s="2" t="s">
        <v>157</v>
      </c>
      <c r="D490">
        <v>7</v>
      </c>
    </row>
    <row r="491" spans="1:4" hidden="1" x14ac:dyDescent="0.25">
      <c r="A491" s="2" t="s">
        <v>43</v>
      </c>
      <c r="B491">
        <v>7</v>
      </c>
      <c r="C491" s="2" t="s">
        <v>158</v>
      </c>
      <c r="D491">
        <v>7</v>
      </c>
    </row>
    <row r="492" spans="1:4" hidden="1" x14ac:dyDescent="0.25">
      <c r="A492" s="2" t="s">
        <v>43</v>
      </c>
      <c r="B492">
        <v>7</v>
      </c>
      <c r="C492" s="2" t="s">
        <v>159</v>
      </c>
      <c r="D492">
        <v>7</v>
      </c>
    </row>
    <row r="493" spans="1:4" hidden="1" x14ac:dyDescent="0.25">
      <c r="A493" s="2" t="s">
        <v>43</v>
      </c>
      <c r="B493">
        <v>7</v>
      </c>
      <c r="C493" s="2" t="s">
        <v>160</v>
      </c>
      <c r="D493">
        <v>7</v>
      </c>
    </row>
    <row r="494" spans="1:4" hidden="1" x14ac:dyDescent="0.25">
      <c r="A494" s="2" t="s">
        <v>43</v>
      </c>
      <c r="B494">
        <v>7</v>
      </c>
      <c r="C494" s="2" t="s">
        <v>161</v>
      </c>
      <c r="D494">
        <v>7</v>
      </c>
    </row>
    <row r="495" spans="1:4" hidden="1" x14ac:dyDescent="0.25">
      <c r="A495" s="2" t="s">
        <v>43</v>
      </c>
      <c r="B495">
        <v>7</v>
      </c>
      <c r="C495" s="2" t="s">
        <v>162</v>
      </c>
      <c r="D495">
        <v>7</v>
      </c>
    </row>
    <row r="496" spans="1:4" hidden="1" x14ac:dyDescent="0.25">
      <c r="A496" s="2" t="s">
        <v>43</v>
      </c>
      <c r="B496">
        <v>7</v>
      </c>
      <c r="C496" s="2" t="s">
        <v>163</v>
      </c>
      <c r="D496">
        <v>7</v>
      </c>
    </row>
    <row r="497" spans="1:4" hidden="1" x14ac:dyDescent="0.25">
      <c r="A497" s="2" t="s">
        <v>43</v>
      </c>
      <c r="B497">
        <v>7</v>
      </c>
      <c r="C497" s="2" t="s">
        <v>164</v>
      </c>
      <c r="D497">
        <v>7</v>
      </c>
    </row>
    <row r="498" spans="1:4" hidden="1" x14ac:dyDescent="0.25">
      <c r="A498" s="2" t="s">
        <v>43</v>
      </c>
      <c r="B498">
        <v>7</v>
      </c>
      <c r="C498" s="2" t="s">
        <v>165</v>
      </c>
      <c r="D498">
        <v>7</v>
      </c>
    </row>
    <row r="499" spans="1:4" hidden="1" x14ac:dyDescent="0.25">
      <c r="A499" s="2" t="s">
        <v>43</v>
      </c>
      <c r="B499">
        <v>7</v>
      </c>
      <c r="C499" s="2" t="s">
        <v>166</v>
      </c>
      <c r="D499">
        <v>7</v>
      </c>
    </row>
    <row r="500" spans="1:4" hidden="1" x14ac:dyDescent="0.25">
      <c r="A500" s="2" t="s">
        <v>43</v>
      </c>
      <c r="B500">
        <v>7</v>
      </c>
      <c r="C500" s="2" t="s">
        <v>167</v>
      </c>
      <c r="D500">
        <v>7</v>
      </c>
    </row>
    <row r="501" spans="1:4" hidden="1" x14ac:dyDescent="0.25">
      <c r="A501" s="2" t="s">
        <v>43</v>
      </c>
      <c r="B501">
        <v>7</v>
      </c>
      <c r="C501" s="2" t="s">
        <v>168</v>
      </c>
      <c r="D501">
        <v>7</v>
      </c>
    </row>
    <row r="502" spans="1:4" hidden="1" x14ac:dyDescent="0.25">
      <c r="A502" s="2" t="s">
        <v>43</v>
      </c>
      <c r="B502">
        <v>7</v>
      </c>
      <c r="C502" s="2" t="s">
        <v>169</v>
      </c>
      <c r="D502">
        <v>7</v>
      </c>
    </row>
    <row r="503" spans="1:4" hidden="1" x14ac:dyDescent="0.25">
      <c r="A503" s="2" t="s">
        <v>43</v>
      </c>
      <c r="B503">
        <v>7</v>
      </c>
      <c r="C503" s="2" t="s">
        <v>170</v>
      </c>
      <c r="D503">
        <v>7</v>
      </c>
    </row>
    <row r="504" spans="1:4" hidden="1" x14ac:dyDescent="0.25">
      <c r="A504" s="2" t="s">
        <v>43</v>
      </c>
      <c r="B504">
        <v>7</v>
      </c>
      <c r="C504" s="2" t="s">
        <v>171</v>
      </c>
      <c r="D504">
        <v>7</v>
      </c>
    </row>
    <row r="505" spans="1:4" hidden="1" x14ac:dyDescent="0.25">
      <c r="A505" s="2" t="s">
        <v>43</v>
      </c>
      <c r="B505">
        <v>7</v>
      </c>
      <c r="C505" s="2" t="s">
        <v>172</v>
      </c>
      <c r="D505">
        <v>7</v>
      </c>
    </row>
    <row r="506" spans="1:4" hidden="1" x14ac:dyDescent="0.25">
      <c r="A506" s="2" t="s">
        <v>43</v>
      </c>
      <c r="B506">
        <v>7</v>
      </c>
      <c r="C506" s="2" t="s">
        <v>173</v>
      </c>
      <c r="D506">
        <v>7</v>
      </c>
    </row>
    <row r="507" spans="1:4" hidden="1" x14ac:dyDescent="0.25">
      <c r="A507" s="2" t="s">
        <v>43</v>
      </c>
      <c r="B507">
        <v>7</v>
      </c>
      <c r="C507" s="2" t="s">
        <v>174</v>
      </c>
      <c r="D507">
        <v>7</v>
      </c>
    </row>
    <row r="508" spans="1:4" hidden="1" x14ac:dyDescent="0.25">
      <c r="A508" s="2" t="s">
        <v>43</v>
      </c>
      <c r="B508">
        <v>7</v>
      </c>
      <c r="C508" s="2" t="s">
        <v>175</v>
      </c>
      <c r="D508">
        <v>7</v>
      </c>
    </row>
    <row r="509" spans="1:4" hidden="1" x14ac:dyDescent="0.25">
      <c r="A509" s="2" t="s">
        <v>43</v>
      </c>
      <c r="B509">
        <v>7</v>
      </c>
      <c r="C509" s="2" t="s">
        <v>176</v>
      </c>
      <c r="D509">
        <v>7</v>
      </c>
    </row>
    <row r="510" spans="1:4" hidden="1" x14ac:dyDescent="0.25">
      <c r="A510" s="2" t="s">
        <v>43</v>
      </c>
      <c r="B510">
        <v>7</v>
      </c>
      <c r="C510" s="2" t="s">
        <v>177</v>
      </c>
      <c r="D510">
        <v>7</v>
      </c>
    </row>
    <row r="511" spans="1:4" hidden="1" x14ac:dyDescent="0.25">
      <c r="A511" s="2" t="s">
        <v>43</v>
      </c>
      <c r="B511">
        <v>7</v>
      </c>
      <c r="C511" s="2" t="s">
        <v>178</v>
      </c>
      <c r="D511">
        <v>7</v>
      </c>
    </row>
    <row r="512" spans="1:4" hidden="1" x14ac:dyDescent="0.25">
      <c r="A512" s="2" t="s">
        <v>43</v>
      </c>
      <c r="B512">
        <v>7</v>
      </c>
      <c r="C512" s="2" t="s">
        <v>179</v>
      </c>
      <c r="D512">
        <v>7</v>
      </c>
    </row>
    <row r="513" spans="1:4" x14ac:dyDescent="0.25">
      <c r="A513" s="2" t="s">
        <v>86</v>
      </c>
      <c r="B513">
        <v>8</v>
      </c>
      <c r="C513" s="2" t="s">
        <v>183</v>
      </c>
      <c r="D513">
        <v>13</v>
      </c>
    </row>
    <row r="514" spans="1:4" x14ac:dyDescent="0.25">
      <c r="A514" s="2" t="s">
        <v>86</v>
      </c>
      <c r="B514">
        <v>8</v>
      </c>
      <c r="C514" s="2" t="s">
        <v>184</v>
      </c>
      <c r="D514">
        <v>14</v>
      </c>
    </row>
    <row r="515" spans="1:4" x14ac:dyDescent="0.25">
      <c r="A515" s="2" t="s">
        <v>86</v>
      </c>
      <c r="B515">
        <v>8</v>
      </c>
      <c r="C515" s="2" t="s">
        <v>185</v>
      </c>
      <c r="D515">
        <v>24</v>
      </c>
    </row>
    <row r="516" spans="1:4" x14ac:dyDescent="0.25">
      <c r="A516" s="2" t="s">
        <v>86</v>
      </c>
      <c r="B516">
        <v>8</v>
      </c>
      <c r="C516" s="2" t="s">
        <v>186</v>
      </c>
      <c r="D516">
        <v>9</v>
      </c>
    </row>
    <row r="517" spans="1:4" x14ac:dyDescent="0.25">
      <c r="A517" s="2" t="s">
        <v>86</v>
      </c>
      <c r="B517">
        <v>8</v>
      </c>
      <c r="C517" s="2" t="s">
        <v>187</v>
      </c>
      <c r="D517">
        <v>9</v>
      </c>
    </row>
    <row r="518" spans="1:4" x14ac:dyDescent="0.25">
      <c r="A518" s="2" t="s">
        <v>86</v>
      </c>
      <c r="B518">
        <v>8</v>
      </c>
      <c r="C518" s="2" t="s">
        <v>188</v>
      </c>
      <c r="D518">
        <v>23</v>
      </c>
    </row>
    <row r="519" spans="1:4" x14ac:dyDescent="0.25">
      <c r="A519" s="2" t="s">
        <v>86</v>
      </c>
      <c r="B519">
        <v>8</v>
      </c>
      <c r="C519" s="2" t="s">
        <v>189</v>
      </c>
      <c r="D519">
        <v>16</v>
      </c>
    </row>
    <row r="520" spans="1:4" x14ac:dyDescent="0.25">
      <c r="A520" s="2" t="s">
        <v>86</v>
      </c>
      <c r="B520">
        <v>8</v>
      </c>
      <c r="C520" s="2" t="s">
        <v>190</v>
      </c>
      <c r="D520">
        <v>20</v>
      </c>
    </row>
    <row r="521" spans="1:4" x14ac:dyDescent="0.25">
      <c r="A521" s="2" t="s">
        <v>86</v>
      </c>
      <c r="B521">
        <v>8</v>
      </c>
      <c r="C521" s="2" t="s">
        <v>191</v>
      </c>
      <c r="D521">
        <v>21</v>
      </c>
    </row>
    <row r="522" spans="1:4" x14ac:dyDescent="0.25">
      <c r="A522" s="2" t="s">
        <v>86</v>
      </c>
      <c r="B522">
        <v>8</v>
      </c>
      <c r="C522" s="2" t="s">
        <v>116</v>
      </c>
      <c r="D522">
        <v>21</v>
      </c>
    </row>
    <row r="523" spans="1:4" x14ac:dyDescent="0.25">
      <c r="A523" s="2" t="s">
        <v>86</v>
      </c>
      <c r="B523">
        <v>8</v>
      </c>
      <c r="C523" s="2" t="s">
        <v>117</v>
      </c>
      <c r="D523">
        <v>17</v>
      </c>
    </row>
    <row r="524" spans="1:4" x14ac:dyDescent="0.25">
      <c r="A524" s="2" t="s">
        <v>86</v>
      </c>
      <c r="B524">
        <v>8</v>
      </c>
      <c r="C524" s="2" t="s">
        <v>118</v>
      </c>
      <c r="D524">
        <v>7</v>
      </c>
    </row>
    <row r="525" spans="1:4" x14ac:dyDescent="0.25">
      <c r="A525" s="2" t="s">
        <v>86</v>
      </c>
      <c r="B525">
        <v>8</v>
      </c>
      <c r="C525" s="2" t="s">
        <v>119</v>
      </c>
      <c r="D525">
        <v>1</v>
      </c>
    </row>
    <row r="526" spans="1:4" x14ac:dyDescent="0.25">
      <c r="A526" s="2" t="s">
        <v>86</v>
      </c>
      <c r="B526">
        <v>8</v>
      </c>
      <c r="C526" s="2" t="s">
        <v>120</v>
      </c>
      <c r="D526">
        <v>3</v>
      </c>
    </row>
    <row r="527" spans="1:4" x14ac:dyDescent="0.25">
      <c r="A527" s="2" t="s">
        <v>86</v>
      </c>
      <c r="B527">
        <v>8</v>
      </c>
      <c r="C527" s="2" t="s">
        <v>121</v>
      </c>
      <c r="D527">
        <v>13</v>
      </c>
    </row>
    <row r="528" spans="1:4" x14ac:dyDescent="0.25">
      <c r="A528" s="2" t="s">
        <v>86</v>
      </c>
      <c r="B528">
        <v>8</v>
      </c>
      <c r="C528" s="2" t="s">
        <v>122</v>
      </c>
      <c r="D528">
        <v>24</v>
      </c>
    </row>
    <row r="529" spans="1:4" x14ac:dyDescent="0.25">
      <c r="A529" s="2" t="s">
        <v>86</v>
      </c>
      <c r="B529">
        <v>8</v>
      </c>
      <c r="C529" s="2" t="s">
        <v>123</v>
      </c>
      <c r="D529">
        <v>28</v>
      </c>
    </row>
    <row r="530" spans="1:4" x14ac:dyDescent="0.25">
      <c r="A530" s="2" t="s">
        <v>86</v>
      </c>
      <c r="B530">
        <v>8</v>
      </c>
      <c r="C530" s="2" t="s">
        <v>124</v>
      </c>
      <c r="D530">
        <v>10</v>
      </c>
    </row>
    <row r="531" spans="1:4" x14ac:dyDescent="0.25">
      <c r="A531" s="2" t="s">
        <v>86</v>
      </c>
      <c r="B531">
        <v>8</v>
      </c>
      <c r="C531" s="2" t="s">
        <v>125</v>
      </c>
      <c r="D531">
        <v>10</v>
      </c>
    </row>
    <row r="532" spans="1:4" x14ac:dyDescent="0.25">
      <c r="A532" s="2" t="s">
        <v>86</v>
      </c>
      <c r="B532">
        <v>8</v>
      </c>
      <c r="C532" s="2" t="s">
        <v>126</v>
      </c>
      <c r="D532">
        <v>15</v>
      </c>
    </row>
    <row r="533" spans="1:4" x14ac:dyDescent="0.25">
      <c r="A533" s="2" t="s">
        <v>86</v>
      </c>
      <c r="B533">
        <v>8</v>
      </c>
      <c r="C533" s="2" t="s">
        <v>127</v>
      </c>
      <c r="D533">
        <v>16</v>
      </c>
    </row>
    <row r="534" spans="1:4" x14ac:dyDescent="0.25">
      <c r="A534" s="2" t="s">
        <v>86</v>
      </c>
      <c r="B534">
        <v>8</v>
      </c>
      <c r="C534" s="2" t="s">
        <v>128</v>
      </c>
      <c r="D534">
        <v>21</v>
      </c>
    </row>
    <row r="535" spans="1:4" x14ac:dyDescent="0.25">
      <c r="A535" s="2" t="s">
        <v>86</v>
      </c>
      <c r="B535">
        <v>8</v>
      </c>
      <c r="C535" s="2" t="s">
        <v>129</v>
      </c>
      <c r="D535">
        <v>13</v>
      </c>
    </row>
    <row r="536" spans="1:4" x14ac:dyDescent="0.25">
      <c r="A536" s="2" t="s">
        <v>86</v>
      </c>
      <c r="B536">
        <v>8</v>
      </c>
      <c r="C536" s="2" t="s">
        <v>130</v>
      </c>
      <c r="D536">
        <v>28</v>
      </c>
    </row>
    <row r="537" spans="1:4" x14ac:dyDescent="0.25">
      <c r="A537" s="2" t="s">
        <v>86</v>
      </c>
      <c r="B537">
        <v>8</v>
      </c>
      <c r="C537" s="2" t="s">
        <v>131</v>
      </c>
      <c r="D537">
        <v>28</v>
      </c>
    </row>
    <row r="538" spans="1:4" x14ac:dyDescent="0.25">
      <c r="A538" s="2" t="s">
        <v>86</v>
      </c>
      <c r="B538">
        <v>8</v>
      </c>
      <c r="C538" s="2" t="s">
        <v>132</v>
      </c>
      <c r="D538">
        <v>10</v>
      </c>
    </row>
    <row r="539" spans="1:4" x14ac:dyDescent="0.25">
      <c r="A539" s="2" t="s">
        <v>86</v>
      </c>
      <c r="B539">
        <v>8</v>
      </c>
      <c r="C539" s="2" t="s">
        <v>133</v>
      </c>
      <c r="D539">
        <v>10</v>
      </c>
    </row>
    <row r="540" spans="1:4" x14ac:dyDescent="0.25">
      <c r="A540" s="2" t="s">
        <v>86</v>
      </c>
      <c r="B540">
        <v>8</v>
      </c>
      <c r="C540" s="2" t="s">
        <v>134</v>
      </c>
      <c r="D540">
        <v>9</v>
      </c>
    </row>
    <row r="541" spans="1:4" x14ac:dyDescent="0.25">
      <c r="A541" s="2" t="s">
        <v>86</v>
      </c>
      <c r="B541">
        <v>8</v>
      </c>
      <c r="C541" s="2" t="s">
        <v>135</v>
      </c>
      <c r="D541">
        <v>8</v>
      </c>
    </row>
    <row r="542" spans="1:4" x14ac:dyDescent="0.25">
      <c r="A542" s="2" t="s">
        <v>86</v>
      </c>
      <c r="B542">
        <v>8</v>
      </c>
      <c r="C542" s="2" t="s">
        <v>136</v>
      </c>
      <c r="D542">
        <v>8</v>
      </c>
    </row>
    <row r="543" spans="1:4" x14ac:dyDescent="0.25">
      <c r="A543" s="2" t="s">
        <v>86</v>
      </c>
      <c r="B543">
        <v>8</v>
      </c>
      <c r="C543" s="2" t="s">
        <v>137</v>
      </c>
      <c r="D543">
        <v>8</v>
      </c>
    </row>
    <row r="544" spans="1:4" x14ac:dyDescent="0.25">
      <c r="A544" s="2" t="s">
        <v>86</v>
      </c>
      <c r="B544">
        <v>8</v>
      </c>
      <c r="C544" s="2" t="s">
        <v>138</v>
      </c>
      <c r="D544">
        <v>8</v>
      </c>
    </row>
    <row r="545" spans="1:4" x14ac:dyDescent="0.25">
      <c r="A545" s="2" t="s">
        <v>86</v>
      </c>
      <c r="B545">
        <v>8</v>
      </c>
      <c r="C545" s="2" t="s">
        <v>139</v>
      </c>
      <c r="D545">
        <v>8</v>
      </c>
    </row>
    <row r="546" spans="1:4" x14ac:dyDescent="0.25">
      <c r="A546" s="2" t="s">
        <v>86</v>
      </c>
      <c r="B546">
        <v>8</v>
      </c>
      <c r="C546" s="2" t="s">
        <v>140</v>
      </c>
      <c r="D546">
        <v>8</v>
      </c>
    </row>
    <row r="547" spans="1:4" x14ac:dyDescent="0.25">
      <c r="A547" s="2" t="s">
        <v>86</v>
      </c>
      <c r="B547">
        <v>8</v>
      </c>
      <c r="C547" s="2" t="s">
        <v>141</v>
      </c>
      <c r="D547">
        <v>8</v>
      </c>
    </row>
    <row r="548" spans="1:4" x14ac:dyDescent="0.25">
      <c r="A548" s="2" t="s">
        <v>86</v>
      </c>
      <c r="B548">
        <v>8</v>
      </c>
      <c r="C548" s="2" t="s">
        <v>142</v>
      </c>
      <c r="D548">
        <v>8</v>
      </c>
    </row>
    <row r="549" spans="1:4" x14ac:dyDescent="0.25">
      <c r="A549" s="2" t="s">
        <v>86</v>
      </c>
      <c r="B549">
        <v>8</v>
      </c>
      <c r="C549" s="2" t="s">
        <v>143</v>
      </c>
      <c r="D549">
        <v>8</v>
      </c>
    </row>
    <row r="550" spans="1:4" x14ac:dyDescent="0.25">
      <c r="A550" s="2" t="s">
        <v>86</v>
      </c>
      <c r="B550">
        <v>8</v>
      </c>
      <c r="C550" s="2" t="s">
        <v>144</v>
      </c>
      <c r="D550">
        <v>8</v>
      </c>
    </row>
    <row r="551" spans="1:4" x14ac:dyDescent="0.25">
      <c r="A551" s="2" t="s">
        <v>86</v>
      </c>
      <c r="B551">
        <v>8</v>
      </c>
      <c r="C551" s="2" t="s">
        <v>145</v>
      </c>
      <c r="D551">
        <v>8</v>
      </c>
    </row>
    <row r="552" spans="1:4" x14ac:dyDescent="0.25">
      <c r="A552" s="2" t="s">
        <v>86</v>
      </c>
      <c r="B552">
        <v>8</v>
      </c>
      <c r="C552" s="2" t="s">
        <v>146</v>
      </c>
      <c r="D552">
        <v>8</v>
      </c>
    </row>
    <row r="553" spans="1:4" x14ac:dyDescent="0.25">
      <c r="A553" s="2" t="s">
        <v>86</v>
      </c>
      <c r="B553">
        <v>8</v>
      </c>
      <c r="C553" s="2" t="s">
        <v>147</v>
      </c>
      <c r="D553">
        <v>8</v>
      </c>
    </row>
    <row r="554" spans="1:4" x14ac:dyDescent="0.25">
      <c r="A554" s="2" t="s">
        <v>86</v>
      </c>
      <c r="B554">
        <v>8</v>
      </c>
      <c r="C554" s="2" t="s">
        <v>148</v>
      </c>
      <c r="D554">
        <v>8</v>
      </c>
    </row>
    <row r="555" spans="1:4" x14ac:dyDescent="0.25">
      <c r="A555" s="2" t="s">
        <v>86</v>
      </c>
      <c r="B555">
        <v>8</v>
      </c>
      <c r="C555" s="2" t="s">
        <v>149</v>
      </c>
      <c r="D555">
        <v>8</v>
      </c>
    </row>
    <row r="556" spans="1:4" x14ac:dyDescent="0.25">
      <c r="A556" s="2" t="s">
        <v>86</v>
      </c>
      <c r="B556">
        <v>8</v>
      </c>
      <c r="C556" s="2" t="s">
        <v>150</v>
      </c>
      <c r="D556">
        <v>8</v>
      </c>
    </row>
    <row r="557" spans="1:4" x14ac:dyDescent="0.25">
      <c r="A557" s="2" t="s">
        <v>86</v>
      </c>
      <c r="B557">
        <v>8</v>
      </c>
      <c r="C557" s="2" t="s">
        <v>151</v>
      </c>
      <c r="D557">
        <v>8</v>
      </c>
    </row>
    <row r="558" spans="1:4" x14ac:dyDescent="0.25">
      <c r="A558" s="2" t="s">
        <v>86</v>
      </c>
      <c r="B558">
        <v>8</v>
      </c>
      <c r="C558" s="2" t="s">
        <v>152</v>
      </c>
      <c r="D558">
        <v>8</v>
      </c>
    </row>
    <row r="559" spans="1:4" x14ac:dyDescent="0.25">
      <c r="A559" s="2" t="s">
        <v>86</v>
      </c>
      <c r="B559">
        <v>8</v>
      </c>
      <c r="C559" s="2" t="s">
        <v>153</v>
      </c>
      <c r="D559">
        <v>8</v>
      </c>
    </row>
    <row r="560" spans="1:4" x14ac:dyDescent="0.25">
      <c r="A560" s="2" t="s">
        <v>86</v>
      </c>
      <c r="B560">
        <v>8</v>
      </c>
      <c r="C560" s="2" t="s">
        <v>154</v>
      </c>
      <c r="D560">
        <v>8</v>
      </c>
    </row>
    <row r="561" spans="1:4" x14ac:dyDescent="0.25">
      <c r="A561" s="2" t="s">
        <v>86</v>
      </c>
      <c r="B561">
        <v>8</v>
      </c>
      <c r="C561" s="2" t="s">
        <v>155</v>
      </c>
      <c r="D561">
        <v>8</v>
      </c>
    </row>
    <row r="562" spans="1:4" x14ac:dyDescent="0.25">
      <c r="A562" s="2" t="s">
        <v>86</v>
      </c>
      <c r="B562">
        <v>8</v>
      </c>
      <c r="C562" s="2" t="s">
        <v>156</v>
      </c>
      <c r="D562">
        <v>8</v>
      </c>
    </row>
    <row r="563" spans="1:4" x14ac:dyDescent="0.25">
      <c r="A563" s="2" t="s">
        <v>86</v>
      </c>
      <c r="B563">
        <v>8</v>
      </c>
      <c r="C563" s="2" t="s">
        <v>157</v>
      </c>
      <c r="D563">
        <v>8</v>
      </c>
    </row>
    <row r="564" spans="1:4" x14ac:dyDescent="0.25">
      <c r="A564" s="2" t="s">
        <v>86</v>
      </c>
      <c r="B564">
        <v>8</v>
      </c>
      <c r="C564" s="2" t="s">
        <v>158</v>
      </c>
      <c r="D564">
        <v>8</v>
      </c>
    </row>
    <row r="565" spans="1:4" x14ac:dyDescent="0.25">
      <c r="A565" s="2" t="s">
        <v>86</v>
      </c>
      <c r="B565">
        <v>8</v>
      </c>
      <c r="C565" s="2" t="s">
        <v>159</v>
      </c>
      <c r="D565">
        <v>8</v>
      </c>
    </row>
    <row r="566" spans="1:4" x14ac:dyDescent="0.25">
      <c r="A566" s="2" t="s">
        <v>86</v>
      </c>
      <c r="B566">
        <v>8</v>
      </c>
      <c r="C566" s="2" t="s">
        <v>160</v>
      </c>
      <c r="D566">
        <v>8</v>
      </c>
    </row>
    <row r="567" spans="1:4" x14ac:dyDescent="0.25">
      <c r="A567" s="2" t="s">
        <v>86</v>
      </c>
      <c r="B567">
        <v>8</v>
      </c>
      <c r="C567" s="2" t="s">
        <v>161</v>
      </c>
      <c r="D567">
        <v>8</v>
      </c>
    </row>
    <row r="568" spans="1:4" x14ac:dyDescent="0.25">
      <c r="A568" s="2" t="s">
        <v>86</v>
      </c>
      <c r="B568">
        <v>8</v>
      </c>
      <c r="C568" s="2" t="s">
        <v>162</v>
      </c>
      <c r="D568">
        <v>8</v>
      </c>
    </row>
    <row r="569" spans="1:4" x14ac:dyDescent="0.25">
      <c r="A569" s="2" t="s">
        <v>86</v>
      </c>
      <c r="B569">
        <v>8</v>
      </c>
      <c r="C569" s="2" t="s">
        <v>163</v>
      </c>
      <c r="D569">
        <v>8</v>
      </c>
    </row>
    <row r="570" spans="1:4" x14ac:dyDescent="0.25">
      <c r="A570" s="2" t="s">
        <v>86</v>
      </c>
      <c r="B570">
        <v>8</v>
      </c>
      <c r="C570" s="2" t="s">
        <v>164</v>
      </c>
      <c r="D570">
        <v>8</v>
      </c>
    </row>
    <row r="571" spans="1:4" x14ac:dyDescent="0.25">
      <c r="A571" s="2" t="s">
        <v>86</v>
      </c>
      <c r="B571">
        <v>8</v>
      </c>
      <c r="C571" s="2" t="s">
        <v>165</v>
      </c>
      <c r="D571">
        <v>8</v>
      </c>
    </row>
    <row r="572" spans="1:4" x14ac:dyDescent="0.25">
      <c r="A572" s="2" t="s">
        <v>86</v>
      </c>
      <c r="B572">
        <v>8</v>
      </c>
      <c r="C572" s="2" t="s">
        <v>166</v>
      </c>
      <c r="D572">
        <v>8</v>
      </c>
    </row>
    <row r="573" spans="1:4" x14ac:dyDescent="0.25">
      <c r="A573" s="2" t="s">
        <v>86</v>
      </c>
      <c r="B573">
        <v>8</v>
      </c>
      <c r="C573" s="2" t="s">
        <v>167</v>
      </c>
      <c r="D573">
        <v>8</v>
      </c>
    </row>
    <row r="574" spans="1:4" x14ac:dyDescent="0.25">
      <c r="A574" s="2" t="s">
        <v>86</v>
      </c>
      <c r="B574">
        <v>8</v>
      </c>
      <c r="C574" s="2" t="s">
        <v>168</v>
      </c>
      <c r="D574">
        <v>8</v>
      </c>
    </row>
    <row r="575" spans="1:4" x14ac:dyDescent="0.25">
      <c r="A575" s="2" t="s">
        <v>86</v>
      </c>
      <c r="B575">
        <v>8</v>
      </c>
      <c r="C575" s="2" t="s">
        <v>169</v>
      </c>
      <c r="D575">
        <v>8</v>
      </c>
    </row>
    <row r="576" spans="1:4" x14ac:dyDescent="0.25">
      <c r="A576" s="2" t="s">
        <v>86</v>
      </c>
      <c r="B576">
        <v>8</v>
      </c>
      <c r="C576" s="2" t="s">
        <v>170</v>
      </c>
      <c r="D576">
        <v>8</v>
      </c>
    </row>
    <row r="577" spans="1:4" x14ac:dyDescent="0.25">
      <c r="A577" s="2" t="s">
        <v>86</v>
      </c>
      <c r="B577">
        <v>8</v>
      </c>
      <c r="C577" s="2" t="s">
        <v>171</v>
      </c>
      <c r="D577">
        <v>8</v>
      </c>
    </row>
    <row r="578" spans="1:4" x14ac:dyDescent="0.25">
      <c r="A578" s="2" t="s">
        <v>86</v>
      </c>
      <c r="B578">
        <v>8</v>
      </c>
      <c r="C578" s="2" t="s">
        <v>172</v>
      </c>
      <c r="D578">
        <v>8</v>
      </c>
    </row>
    <row r="579" spans="1:4" x14ac:dyDescent="0.25">
      <c r="A579" s="2" t="s">
        <v>86</v>
      </c>
      <c r="B579">
        <v>8</v>
      </c>
      <c r="C579" s="2" t="s">
        <v>173</v>
      </c>
      <c r="D579">
        <v>8</v>
      </c>
    </row>
    <row r="580" spans="1:4" x14ac:dyDescent="0.25">
      <c r="A580" s="2" t="s">
        <v>86</v>
      </c>
      <c r="B580">
        <v>8</v>
      </c>
      <c r="C580" s="2" t="s">
        <v>174</v>
      </c>
      <c r="D580">
        <v>8</v>
      </c>
    </row>
    <row r="581" spans="1:4" x14ac:dyDescent="0.25">
      <c r="A581" s="2" t="s">
        <v>86</v>
      </c>
      <c r="B581">
        <v>8</v>
      </c>
      <c r="C581" s="2" t="s">
        <v>175</v>
      </c>
      <c r="D581">
        <v>8</v>
      </c>
    </row>
    <row r="582" spans="1:4" x14ac:dyDescent="0.25">
      <c r="A582" s="2" t="s">
        <v>86</v>
      </c>
      <c r="B582">
        <v>8</v>
      </c>
      <c r="C582" s="2" t="s">
        <v>176</v>
      </c>
      <c r="D582">
        <v>8</v>
      </c>
    </row>
    <row r="583" spans="1:4" x14ac:dyDescent="0.25">
      <c r="A583" s="2" t="s">
        <v>86</v>
      </c>
      <c r="B583">
        <v>8</v>
      </c>
      <c r="C583" s="2" t="s">
        <v>177</v>
      </c>
      <c r="D583">
        <v>8</v>
      </c>
    </row>
    <row r="584" spans="1:4" x14ac:dyDescent="0.25">
      <c r="A584" s="2" t="s">
        <v>86</v>
      </c>
      <c r="B584">
        <v>8</v>
      </c>
      <c r="C584" s="2" t="s">
        <v>178</v>
      </c>
      <c r="D584">
        <v>8</v>
      </c>
    </row>
    <row r="585" spans="1:4" x14ac:dyDescent="0.25">
      <c r="A585" s="2" t="s">
        <v>86</v>
      </c>
      <c r="B585">
        <v>8</v>
      </c>
      <c r="C585" s="2" t="s">
        <v>179</v>
      </c>
      <c r="D585">
        <v>8</v>
      </c>
    </row>
    <row r="586" spans="1:4" hidden="1" x14ac:dyDescent="0.25">
      <c r="A586" s="2" t="s">
        <v>16</v>
      </c>
      <c r="B586">
        <v>9</v>
      </c>
      <c r="C586" s="2" t="s">
        <v>183</v>
      </c>
      <c r="D586">
        <v>13</v>
      </c>
    </row>
    <row r="587" spans="1:4" hidden="1" x14ac:dyDescent="0.25">
      <c r="A587" s="2" t="s">
        <v>16</v>
      </c>
      <c r="B587">
        <v>9</v>
      </c>
      <c r="C587" s="2" t="s">
        <v>184</v>
      </c>
      <c r="D587">
        <v>14</v>
      </c>
    </row>
    <row r="588" spans="1:4" hidden="1" x14ac:dyDescent="0.25">
      <c r="A588" s="2" t="s">
        <v>16</v>
      </c>
      <c r="B588">
        <v>9</v>
      </c>
      <c r="C588" s="2" t="s">
        <v>185</v>
      </c>
      <c r="D588">
        <v>3</v>
      </c>
    </row>
    <row r="589" spans="1:4" hidden="1" x14ac:dyDescent="0.25">
      <c r="A589" s="2" t="s">
        <v>16</v>
      </c>
      <c r="B589">
        <v>9</v>
      </c>
      <c r="C589" s="2" t="s">
        <v>186</v>
      </c>
      <c r="D589">
        <v>1</v>
      </c>
    </row>
    <row r="590" spans="1:4" hidden="1" x14ac:dyDescent="0.25">
      <c r="A590" s="2" t="s">
        <v>16</v>
      </c>
      <c r="B590">
        <v>9</v>
      </c>
      <c r="C590" s="2" t="s">
        <v>187</v>
      </c>
      <c r="D590">
        <v>1</v>
      </c>
    </row>
    <row r="591" spans="1:4" hidden="1" x14ac:dyDescent="0.25">
      <c r="A591" s="2" t="s">
        <v>16</v>
      </c>
      <c r="B591">
        <v>9</v>
      </c>
      <c r="C591" s="2" t="s">
        <v>188</v>
      </c>
      <c r="D591">
        <v>1</v>
      </c>
    </row>
    <row r="592" spans="1:4" hidden="1" x14ac:dyDescent="0.25">
      <c r="A592" s="2" t="s">
        <v>16</v>
      </c>
      <c r="B592">
        <v>9</v>
      </c>
      <c r="C592" s="2" t="s">
        <v>189</v>
      </c>
      <c r="D592">
        <v>1</v>
      </c>
    </row>
    <row r="593" spans="1:4" hidden="1" x14ac:dyDescent="0.25">
      <c r="A593" s="2" t="s">
        <v>16</v>
      </c>
      <c r="B593">
        <v>9</v>
      </c>
      <c r="C593" s="2" t="s">
        <v>190</v>
      </c>
      <c r="D593">
        <v>2</v>
      </c>
    </row>
    <row r="594" spans="1:4" hidden="1" x14ac:dyDescent="0.25">
      <c r="A594" s="2" t="s">
        <v>16</v>
      </c>
      <c r="B594">
        <v>9</v>
      </c>
      <c r="C594" s="2" t="s">
        <v>191</v>
      </c>
      <c r="D594">
        <v>2</v>
      </c>
    </row>
    <row r="595" spans="1:4" hidden="1" x14ac:dyDescent="0.25">
      <c r="A595" s="2" t="s">
        <v>16</v>
      </c>
      <c r="B595">
        <v>9</v>
      </c>
      <c r="C595" s="2" t="s">
        <v>116</v>
      </c>
      <c r="D595">
        <v>3</v>
      </c>
    </row>
    <row r="596" spans="1:4" hidden="1" x14ac:dyDescent="0.25">
      <c r="A596" s="2" t="s">
        <v>16</v>
      </c>
      <c r="B596">
        <v>9</v>
      </c>
      <c r="C596" s="2" t="s">
        <v>117</v>
      </c>
      <c r="D596">
        <v>3</v>
      </c>
    </row>
    <row r="597" spans="1:4" hidden="1" x14ac:dyDescent="0.25">
      <c r="A597" s="2" t="s">
        <v>16</v>
      </c>
      <c r="B597">
        <v>9</v>
      </c>
      <c r="C597" s="2" t="s">
        <v>118</v>
      </c>
      <c r="D597">
        <v>1</v>
      </c>
    </row>
    <row r="598" spans="1:4" hidden="1" x14ac:dyDescent="0.25">
      <c r="A598" s="2" t="s">
        <v>16</v>
      </c>
      <c r="B598">
        <v>9</v>
      </c>
      <c r="C598" s="2" t="s">
        <v>119</v>
      </c>
      <c r="D598">
        <v>1</v>
      </c>
    </row>
    <row r="599" spans="1:4" hidden="1" x14ac:dyDescent="0.25">
      <c r="A599" s="2" t="s">
        <v>16</v>
      </c>
      <c r="B599">
        <v>9</v>
      </c>
      <c r="C599" s="2" t="s">
        <v>120</v>
      </c>
      <c r="D599">
        <v>3</v>
      </c>
    </row>
    <row r="600" spans="1:4" hidden="1" x14ac:dyDescent="0.25">
      <c r="A600" s="2" t="s">
        <v>16</v>
      </c>
      <c r="B600">
        <v>9</v>
      </c>
      <c r="C600" s="2" t="s">
        <v>121</v>
      </c>
      <c r="D600">
        <v>4</v>
      </c>
    </row>
    <row r="601" spans="1:4" hidden="1" x14ac:dyDescent="0.25">
      <c r="A601" s="2" t="s">
        <v>16</v>
      </c>
      <c r="B601">
        <v>9</v>
      </c>
      <c r="C601" s="2" t="s">
        <v>122</v>
      </c>
      <c r="D601">
        <v>4</v>
      </c>
    </row>
    <row r="602" spans="1:4" hidden="1" x14ac:dyDescent="0.25">
      <c r="A602" s="2" t="s">
        <v>16</v>
      </c>
      <c r="B602">
        <v>9</v>
      </c>
      <c r="C602" s="2" t="s">
        <v>123</v>
      </c>
      <c r="D602">
        <v>3</v>
      </c>
    </row>
    <row r="603" spans="1:4" hidden="1" x14ac:dyDescent="0.25">
      <c r="A603" s="2" t="s">
        <v>16</v>
      </c>
      <c r="B603">
        <v>9</v>
      </c>
      <c r="C603" s="2" t="s">
        <v>124</v>
      </c>
      <c r="D603">
        <v>4</v>
      </c>
    </row>
    <row r="604" spans="1:4" hidden="1" x14ac:dyDescent="0.25">
      <c r="A604" s="2" t="s">
        <v>16</v>
      </c>
      <c r="B604">
        <v>9</v>
      </c>
      <c r="C604" s="2" t="s">
        <v>125</v>
      </c>
      <c r="D604">
        <v>2</v>
      </c>
    </row>
    <row r="605" spans="1:4" hidden="1" x14ac:dyDescent="0.25">
      <c r="A605" s="2" t="s">
        <v>16</v>
      </c>
      <c r="B605">
        <v>9</v>
      </c>
      <c r="C605" s="2" t="s">
        <v>126</v>
      </c>
      <c r="D605">
        <v>2</v>
      </c>
    </row>
    <row r="606" spans="1:4" hidden="1" x14ac:dyDescent="0.25">
      <c r="A606" s="2" t="s">
        <v>16</v>
      </c>
      <c r="B606">
        <v>9</v>
      </c>
      <c r="C606" s="2" t="s">
        <v>127</v>
      </c>
      <c r="D606">
        <v>4</v>
      </c>
    </row>
    <row r="607" spans="1:4" hidden="1" x14ac:dyDescent="0.25">
      <c r="A607" s="2" t="s">
        <v>16</v>
      </c>
      <c r="B607">
        <v>9</v>
      </c>
      <c r="C607" s="2" t="s">
        <v>128</v>
      </c>
      <c r="D607">
        <v>9</v>
      </c>
    </row>
    <row r="608" spans="1:4" hidden="1" x14ac:dyDescent="0.25">
      <c r="A608" s="2" t="s">
        <v>16</v>
      </c>
      <c r="B608">
        <v>9</v>
      </c>
      <c r="C608" s="2" t="s">
        <v>129</v>
      </c>
      <c r="D608">
        <v>6</v>
      </c>
    </row>
    <row r="609" spans="1:4" hidden="1" x14ac:dyDescent="0.25">
      <c r="A609" s="2" t="s">
        <v>16</v>
      </c>
      <c r="B609">
        <v>9</v>
      </c>
      <c r="C609" s="2" t="s">
        <v>130</v>
      </c>
      <c r="D609">
        <v>4</v>
      </c>
    </row>
    <row r="610" spans="1:4" hidden="1" x14ac:dyDescent="0.25">
      <c r="A610" s="2" t="s">
        <v>16</v>
      </c>
      <c r="B610">
        <v>9</v>
      </c>
      <c r="C610" s="2" t="s">
        <v>131</v>
      </c>
      <c r="D610">
        <v>3</v>
      </c>
    </row>
    <row r="611" spans="1:4" hidden="1" x14ac:dyDescent="0.25">
      <c r="A611" s="2" t="s">
        <v>16</v>
      </c>
      <c r="B611">
        <v>9</v>
      </c>
      <c r="C611" s="2" t="s">
        <v>132</v>
      </c>
      <c r="D611">
        <v>4</v>
      </c>
    </row>
    <row r="612" spans="1:4" hidden="1" x14ac:dyDescent="0.25">
      <c r="A612" s="2" t="s">
        <v>16</v>
      </c>
      <c r="B612">
        <v>9</v>
      </c>
      <c r="C612" s="2" t="s">
        <v>133</v>
      </c>
      <c r="D612">
        <v>4</v>
      </c>
    </row>
    <row r="613" spans="1:4" hidden="1" x14ac:dyDescent="0.25">
      <c r="A613" s="2" t="s">
        <v>16</v>
      </c>
      <c r="B613">
        <v>9</v>
      </c>
      <c r="C613" s="2" t="s">
        <v>134</v>
      </c>
      <c r="D613">
        <v>7</v>
      </c>
    </row>
    <row r="614" spans="1:4" hidden="1" x14ac:dyDescent="0.25">
      <c r="A614" s="2" t="s">
        <v>16</v>
      </c>
      <c r="B614">
        <v>9</v>
      </c>
      <c r="C614" s="2" t="s">
        <v>135</v>
      </c>
      <c r="D614">
        <v>9</v>
      </c>
    </row>
    <row r="615" spans="1:4" hidden="1" x14ac:dyDescent="0.25">
      <c r="A615" s="2" t="s">
        <v>16</v>
      </c>
      <c r="B615">
        <v>9</v>
      </c>
      <c r="C615" s="2" t="s">
        <v>136</v>
      </c>
      <c r="D615">
        <v>9</v>
      </c>
    </row>
    <row r="616" spans="1:4" hidden="1" x14ac:dyDescent="0.25">
      <c r="A616" s="2" t="s">
        <v>16</v>
      </c>
      <c r="B616">
        <v>9</v>
      </c>
      <c r="C616" s="2" t="s">
        <v>137</v>
      </c>
      <c r="D616">
        <v>9</v>
      </c>
    </row>
    <row r="617" spans="1:4" hidden="1" x14ac:dyDescent="0.25">
      <c r="A617" s="2" t="s">
        <v>16</v>
      </c>
      <c r="B617">
        <v>9</v>
      </c>
      <c r="C617" s="2" t="s">
        <v>138</v>
      </c>
      <c r="D617">
        <v>9</v>
      </c>
    </row>
    <row r="618" spans="1:4" hidden="1" x14ac:dyDescent="0.25">
      <c r="A618" s="2" t="s">
        <v>16</v>
      </c>
      <c r="B618">
        <v>9</v>
      </c>
      <c r="C618" s="2" t="s">
        <v>139</v>
      </c>
      <c r="D618">
        <v>9</v>
      </c>
    </row>
    <row r="619" spans="1:4" hidden="1" x14ac:dyDescent="0.25">
      <c r="A619" s="2" t="s">
        <v>16</v>
      </c>
      <c r="B619">
        <v>9</v>
      </c>
      <c r="C619" s="2" t="s">
        <v>140</v>
      </c>
      <c r="D619">
        <v>9</v>
      </c>
    </row>
    <row r="620" spans="1:4" hidden="1" x14ac:dyDescent="0.25">
      <c r="A620" s="2" t="s">
        <v>16</v>
      </c>
      <c r="B620">
        <v>9</v>
      </c>
      <c r="C620" s="2" t="s">
        <v>141</v>
      </c>
      <c r="D620">
        <v>9</v>
      </c>
    </row>
    <row r="621" spans="1:4" hidden="1" x14ac:dyDescent="0.25">
      <c r="A621" s="2" t="s">
        <v>16</v>
      </c>
      <c r="B621">
        <v>9</v>
      </c>
      <c r="C621" s="2" t="s">
        <v>142</v>
      </c>
      <c r="D621">
        <v>9</v>
      </c>
    </row>
    <row r="622" spans="1:4" hidden="1" x14ac:dyDescent="0.25">
      <c r="A622" s="2" t="s">
        <v>16</v>
      </c>
      <c r="B622">
        <v>9</v>
      </c>
      <c r="C622" s="2" t="s">
        <v>143</v>
      </c>
      <c r="D622">
        <v>9</v>
      </c>
    </row>
    <row r="623" spans="1:4" hidden="1" x14ac:dyDescent="0.25">
      <c r="A623" s="2" t="s">
        <v>16</v>
      </c>
      <c r="B623">
        <v>9</v>
      </c>
      <c r="C623" s="2" t="s">
        <v>144</v>
      </c>
      <c r="D623">
        <v>9</v>
      </c>
    </row>
    <row r="624" spans="1:4" hidden="1" x14ac:dyDescent="0.25">
      <c r="A624" s="2" t="s">
        <v>16</v>
      </c>
      <c r="B624">
        <v>9</v>
      </c>
      <c r="C624" s="2" t="s">
        <v>145</v>
      </c>
      <c r="D624">
        <v>9</v>
      </c>
    </row>
    <row r="625" spans="1:4" hidden="1" x14ac:dyDescent="0.25">
      <c r="A625" s="2" t="s">
        <v>16</v>
      </c>
      <c r="B625">
        <v>9</v>
      </c>
      <c r="C625" s="2" t="s">
        <v>146</v>
      </c>
      <c r="D625">
        <v>9</v>
      </c>
    </row>
    <row r="626" spans="1:4" hidden="1" x14ac:dyDescent="0.25">
      <c r="A626" s="2" t="s">
        <v>16</v>
      </c>
      <c r="B626">
        <v>9</v>
      </c>
      <c r="C626" s="2" t="s">
        <v>147</v>
      </c>
      <c r="D626">
        <v>9</v>
      </c>
    </row>
    <row r="627" spans="1:4" hidden="1" x14ac:dyDescent="0.25">
      <c r="A627" s="2" t="s">
        <v>16</v>
      </c>
      <c r="B627">
        <v>9</v>
      </c>
      <c r="C627" s="2" t="s">
        <v>148</v>
      </c>
      <c r="D627">
        <v>9</v>
      </c>
    </row>
    <row r="628" spans="1:4" hidden="1" x14ac:dyDescent="0.25">
      <c r="A628" s="2" t="s">
        <v>16</v>
      </c>
      <c r="B628">
        <v>9</v>
      </c>
      <c r="C628" s="2" t="s">
        <v>149</v>
      </c>
      <c r="D628">
        <v>9</v>
      </c>
    </row>
    <row r="629" spans="1:4" hidden="1" x14ac:dyDescent="0.25">
      <c r="A629" s="2" t="s">
        <v>16</v>
      </c>
      <c r="B629">
        <v>9</v>
      </c>
      <c r="C629" s="2" t="s">
        <v>150</v>
      </c>
      <c r="D629">
        <v>9</v>
      </c>
    </row>
    <row r="630" spans="1:4" hidden="1" x14ac:dyDescent="0.25">
      <c r="A630" s="2" t="s">
        <v>16</v>
      </c>
      <c r="B630">
        <v>9</v>
      </c>
      <c r="C630" s="2" t="s">
        <v>151</v>
      </c>
      <c r="D630">
        <v>9</v>
      </c>
    </row>
    <row r="631" spans="1:4" hidden="1" x14ac:dyDescent="0.25">
      <c r="A631" s="2" t="s">
        <v>16</v>
      </c>
      <c r="B631">
        <v>9</v>
      </c>
      <c r="C631" s="2" t="s">
        <v>152</v>
      </c>
      <c r="D631">
        <v>9</v>
      </c>
    </row>
    <row r="632" spans="1:4" hidden="1" x14ac:dyDescent="0.25">
      <c r="A632" s="2" t="s">
        <v>16</v>
      </c>
      <c r="B632">
        <v>9</v>
      </c>
      <c r="C632" s="2" t="s">
        <v>153</v>
      </c>
      <c r="D632">
        <v>9</v>
      </c>
    </row>
    <row r="633" spans="1:4" hidden="1" x14ac:dyDescent="0.25">
      <c r="A633" s="2" t="s">
        <v>16</v>
      </c>
      <c r="B633">
        <v>9</v>
      </c>
      <c r="C633" s="2" t="s">
        <v>154</v>
      </c>
      <c r="D633">
        <v>9</v>
      </c>
    </row>
    <row r="634" spans="1:4" hidden="1" x14ac:dyDescent="0.25">
      <c r="A634" s="2" t="s">
        <v>16</v>
      </c>
      <c r="B634">
        <v>9</v>
      </c>
      <c r="C634" s="2" t="s">
        <v>155</v>
      </c>
      <c r="D634">
        <v>9</v>
      </c>
    </row>
    <row r="635" spans="1:4" hidden="1" x14ac:dyDescent="0.25">
      <c r="A635" s="2" t="s">
        <v>16</v>
      </c>
      <c r="B635">
        <v>9</v>
      </c>
      <c r="C635" s="2" t="s">
        <v>156</v>
      </c>
      <c r="D635">
        <v>9</v>
      </c>
    </row>
    <row r="636" spans="1:4" hidden="1" x14ac:dyDescent="0.25">
      <c r="A636" s="2" t="s">
        <v>16</v>
      </c>
      <c r="B636">
        <v>9</v>
      </c>
      <c r="C636" s="2" t="s">
        <v>157</v>
      </c>
      <c r="D636">
        <v>9</v>
      </c>
    </row>
    <row r="637" spans="1:4" hidden="1" x14ac:dyDescent="0.25">
      <c r="A637" s="2" t="s">
        <v>16</v>
      </c>
      <c r="B637">
        <v>9</v>
      </c>
      <c r="C637" s="2" t="s">
        <v>158</v>
      </c>
      <c r="D637">
        <v>9</v>
      </c>
    </row>
    <row r="638" spans="1:4" hidden="1" x14ac:dyDescent="0.25">
      <c r="A638" s="2" t="s">
        <v>16</v>
      </c>
      <c r="B638">
        <v>9</v>
      </c>
      <c r="C638" s="2" t="s">
        <v>159</v>
      </c>
      <c r="D638">
        <v>9</v>
      </c>
    </row>
    <row r="639" spans="1:4" hidden="1" x14ac:dyDescent="0.25">
      <c r="A639" s="2" t="s">
        <v>16</v>
      </c>
      <c r="B639">
        <v>9</v>
      </c>
      <c r="C639" s="2" t="s">
        <v>160</v>
      </c>
      <c r="D639">
        <v>9</v>
      </c>
    </row>
    <row r="640" spans="1:4" hidden="1" x14ac:dyDescent="0.25">
      <c r="A640" s="2" t="s">
        <v>16</v>
      </c>
      <c r="B640">
        <v>9</v>
      </c>
      <c r="C640" s="2" t="s">
        <v>161</v>
      </c>
      <c r="D640">
        <v>9</v>
      </c>
    </row>
    <row r="641" spans="1:4" hidden="1" x14ac:dyDescent="0.25">
      <c r="A641" s="2" t="s">
        <v>16</v>
      </c>
      <c r="B641">
        <v>9</v>
      </c>
      <c r="C641" s="2" t="s">
        <v>162</v>
      </c>
      <c r="D641">
        <v>9</v>
      </c>
    </row>
    <row r="642" spans="1:4" hidden="1" x14ac:dyDescent="0.25">
      <c r="A642" s="2" t="s">
        <v>16</v>
      </c>
      <c r="B642">
        <v>9</v>
      </c>
      <c r="C642" s="2" t="s">
        <v>163</v>
      </c>
      <c r="D642">
        <v>9</v>
      </c>
    </row>
    <row r="643" spans="1:4" hidden="1" x14ac:dyDescent="0.25">
      <c r="A643" s="2" t="s">
        <v>16</v>
      </c>
      <c r="B643">
        <v>9</v>
      </c>
      <c r="C643" s="2" t="s">
        <v>164</v>
      </c>
      <c r="D643">
        <v>9</v>
      </c>
    </row>
    <row r="644" spans="1:4" hidden="1" x14ac:dyDescent="0.25">
      <c r="A644" s="2" t="s">
        <v>16</v>
      </c>
      <c r="B644">
        <v>9</v>
      </c>
      <c r="C644" s="2" t="s">
        <v>165</v>
      </c>
      <c r="D644">
        <v>9</v>
      </c>
    </row>
    <row r="645" spans="1:4" hidden="1" x14ac:dyDescent="0.25">
      <c r="A645" s="2" t="s">
        <v>16</v>
      </c>
      <c r="B645">
        <v>9</v>
      </c>
      <c r="C645" s="2" t="s">
        <v>166</v>
      </c>
      <c r="D645">
        <v>9</v>
      </c>
    </row>
    <row r="646" spans="1:4" hidden="1" x14ac:dyDescent="0.25">
      <c r="A646" s="2" t="s">
        <v>16</v>
      </c>
      <c r="B646">
        <v>9</v>
      </c>
      <c r="C646" s="2" t="s">
        <v>167</v>
      </c>
      <c r="D646">
        <v>9</v>
      </c>
    </row>
    <row r="647" spans="1:4" hidden="1" x14ac:dyDescent="0.25">
      <c r="A647" s="2" t="s">
        <v>16</v>
      </c>
      <c r="B647">
        <v>9</v>
      </c>
      <c r="C647" s="2" t="s">
        <v>168</v>
      </c>
      <c r="D647">
        <v>9</v>
      </c>
    </row>
    <row r="648" spans="1:4" hidden="1" x14ac:dyDescent="0.25">
      <c r="A648" s="2" t="s">
        <v>16</v>
      </c>
      <c r="B648">
        <v>9</v>
      </c>
      <c r="C648" s="2" t="s">
        <v>169</v>
      </c>
      <c r="D648">
        <v>9</v>
      </c>
    </row>
    <row r="649" spans="1:4" hidden="1" x14ac:dyDescent="0.25">
      <c r="A649" s="2" t="s">
        <v>16</v>
      </c>
      <c r="B649">
        <v>9</v>
      </c>
      <c r="C649" s="2" t="s">
        <v>170</v>
      </c>
      <c r="D649">
        <v>9</v>
      </c>
    </row>
    <row r="650" spans="1:4" hidden="1" x14ac:dyDescent="0.25">
      <c r="A650" s="2" t="s">
        <v>16</v>
      </c>
      <c r="B650">
        <v>9</v>
      </c>
      <c r="C650" s="2" t="s">
        <v>171</v>
      </c>
      <c r="D650">
        <v>9</v>
      </c>
    </row>
    <row r="651" spans="1:4" hidden="1" x14ac:dyDescent="0.25">
      <c r="A651" s="2" t="s">
        <v>16</v>
      </c>
      <c r="B651">
        <v>9</v>
      </c>
      <c r="C651" s="2" t="s">
        <v>172</v>
      </c>
      <c r="D651">
        <v>9</v>
      </c>
    </row>
    <row r="652" spans="1:4" hidden="1" x14ac:dyDescent="0.25">
      <c r="A652" s="2" t="s">
        <v>16</v>
      </c>
      <c r="B652">
        <v>9</v>
      </c>
      <c r="C652" s="2" t="s">
        <v>173</v>
      </c>
      <c r="D652">
        <v>9</v>
      </c>
    </row>
    <row r="653" spans="1:4" hidden="1" x14ac:dyDescent="0.25">
      <c r="A653" s="2" t="s">
        <v>16</v>
      </c>
      <c r="B653">
        <v>9</v>
      </c>
      <c r="C653" s="2" t="s">
        <v>174</v>
      </c>
      <c r="D653">
        <v>9</v>
      </c>
    </row>
    <row r="654" spans="1:4" hidden="1" x14ac:dyDescent="0.25">
      <c r="A654" s="2" t="s">
        <v>16</v>
      </c>
      <c r="B654">
        <v>9</v>
      </c>
      <c r="C654" s="2" t="s">
        <v>175</v>
      </c>
      <c r="D654">
        <v>9</v>
      </c>
    </row>
    <row r="655" spans="1:4" hidden="1" x14ac:dyDescent="0.25">
      <c r="A655" s="2" t="s">
        <v>16</v>
      </c>
      <c r="B655">
        <v>9</v>
      </c>
      <c r="C655" s="2" t="s">
        <v>176</v>
      </c>
      <c r="D655">
        <v>9</v>
      </c>
    </row>
    <row r="656" spans="1:4" hidden="1" x14ac:dyDescent="0.25">
      <c r="A656" s="2" t="s">
        <v>16</v>
      </c>
      <c r="B656">
        <v>9</v>
      </c>
      <c r="C656" s="2" t="s">
        <v>177</v>
      </c>
      <c r="D656">
        <v>9</v>
      </c>
    </row>
    <row r="657" spans="1:4" hidden="1" x14ac:dyDescent="0.25">
      <c r="A657" s="2" t="s">
        <v>16</v>
      </c>
      <c r="B657">
        <v>9</v>
      </c>
      <c r="C657" s="2" t="s">
        <v>178</v>
      </c>
      <c r="D657">
        <v>9</v>
      </c>
    </row>
    <row r="658" spans="1:4" hidden="1" x14ac:dyDescent="0.25">
      <c r="A658" s="2" t="s">
        <v>16</v>
      </c>
      <c r="B658">
        <v>9</v>
      </c>
      <c r="C658" s="2" t="s">
        <v>179</v>
      </c>
      <c r="D658">
        <v>9</v>
      </c>
    </row>
    <row r="659" spans="1:4" hidden="1" x14ac:dyDescent="0.25">
      <c r="A659" s="2" t="s">
        <v>91</v>
      </c>
      <c r="B659">
        <v>10</v>
      </c>
      <c r="C659" s="2" t="s">
        <v>183</v>
      </c>
      <c r="D659">
        <v>78</v>
      </c>
    </row>
    <row r="660" spans="1:4" hidden="1" x14ac:dyDescent="0.25">
      <c r="A660" s="2" t="s">
        <v>91</v>
      </c>
      <c r="B660">
        <v>10</v>
      </c>
      <c r="C660" s="2" t="s">
        <v>184</v>
      </c>
      <c r="D660">
        <v>77</v>
      </c>
    </row>
    <row r="661" spans="1:4" hidden="1" x14ac:dyDescent="0.25">
      <c r="A661" s="2" t="s">
        <v>91</v>
      </c>
      <c r="B661">
        <v>10</v>
      </c>
      <c r="C661" s="2" t="s">
        <v>185</v>
      </c>
      <c r="D661">
        <v>61</v>
      </c>
    </row>
    <row r="662" spans="1:4" hidden="1" x14ac:dyDescent="0.25">
      <c r="A662" s="2" t="s">
        <v>91</v>
      </c>
      <c r="B662">
        <v>10</v>
      </c>
      <c r="C662" s="2" t="s">
        <v>186</v>
      </c>
      <c r="D662">
        <v>32</v>
      </c>
    </row>
    <row r="663" spans="1:4" hidden="1" x14ac:dyDescent="0.25">
      <c r="A663" s="2" t="s">
        <v>91</v>
      </c>
      <c r="B663">
        <v>10</v>
      </c>
      <c r="C663" s="2" t="s">
        <v>187</v>
      </c>
      <c r="D663">
        <v>32</v>
      </c>
    </row>
    <row r="664" spans="1:4" hidden="1" x14ac:dyDescent="0.25">
      <c r="A664" s="2" t="s">
        <v>91</v>
      </c>
      <c r="B664">
        <v>10</v>
      </c>
      <c r="C664" s="2" t="s">
        <v>188</v>
      </c>
      <c r="D664">
        <v>33</v>
      </c>
    </row>
    <row r="665" spans="1:4" hidden="1" x14ac:dyDescent="0.25">
      <c r="A665" s="2" t="s">
        <v>91</v>
      </c>
      <c r="B665">
        <v>10</v>
      </c>
      <c r="C665" s="2" t="s">
        <v>189</v>
      </c>
      <c r="D665">
        <v>42</v>
      </c>
    </row>
    <row r="666" spans="1:4" hidden="1" x14ac:dyDescent="0.25">
      <c r="A666" s="2" t="s">
        <v>91</v>
      </c>
      <c r="B666">
        <v>10</v>
      </c>
      <c r="C666" s="2" t="s">
        <v>190</v>
      </c>
      <c r="D666">
        <v>43</v>
      </c>
    </row>
    <row r="667" spans="1:4" hidden="1" x14ac:dyDescent="0.25">
      <c r="A667" s="2" t="s">
        <v>91</v>
      </c>
      <c r="B667">
        <v>10</v>
      </c>
      <c r="C667" s="2" t="s">
        <v>191</v>
      </c>
      <c r="D667">
        <v>48</v>
      </c>
    </row>
    <row r="668" spans="1:4" hidden="1" x14ac:dyDescent="0.25">
      <c r="A668" s="2" t="s">
        <v>91</v>
      </c>
      <c r="B668">
        <v>10</v>
      </c>
      <c r="C668" s="2" t="s">
        <v>116</v>
      </c>
      <c r="D668">
        <v>50</v>
      </c>
    </row>
    <row r="669" spans="1:4" hidden="1" x14ac:dyDescent="0.25">
      <c r="A669" s="2" t="s">
        <v>91</v>
      </c>
      <c r="B669">
        <v>10</v>
      </c>
      <c r="C669" s="2" t="s">
        <v>117</v>
      </c>
      <c r="D669">
        <v>57</v>
      </c>
    </row>
    <row r="670" spans="1:4" hidden="1" x14ac:dyDescent="0.25">
      <c r="A670" s="2" t="s">
        <v>91</v>
      </c>
      <c r="B670">
        <v>10</v>
      </c>
      <c r="C670" s="2" t="s">
        <v>118</v>
      </c>
      <c r="D670">
        <v>62</v>
      </c>
    </row>
    <row r="671" spans="1:4" hidden="1" x14ac:dyDescent="0.25">
      <c r="A671" s="2" t="s">
        <v>91</v>
      </c>
      <c r="B671">
        <v>10</v>
      </c>
      <c r="C671" s="2" t="s">
        <v>119</v>
      </c>
      <c r="D671">
        <v>68</v>
      </c>
    </row>
    <row r="672" spans="1:4" hidden="1" x14ac:dyDescent="0.25">
      <c r="A672" s="2" t="s">
        <v>91</v>
      </c>
      <c r="B672">
        <v>10</v>
      </c>
      <c r="C672" s="2" t="s">
        <v>120</v>
      </c>
      <c r="D672">
        <v>68</v>
      </c>
    </row>
    <row r="673" spans="1:4" hidden="1" x14ac:dyDescent="0.25">
      <c r="A673" s="2" t="s">
        <v>91</v>
      </c>
      <c r="B673">
        <v>10</v>
      </c>
      <c r="C673" s="2" t="s">
        <v>121</v>
      </c>
      <c r="D673">
        <v>66</v>
      </c>
    </row>
    <row r="674" spans="1:4" hidden="1" x14ac:dyDescent="0.25">
      <c r="A674" s="2" t="s">
        <v>91</v>
      </c>
      <c r="B674">
        <v>10</v>
      </c>
      <c r="C674" s="2" t="s">
        <v>122</v>
      </c>
      <c r="D674">
        <v>55</v>
      </c>
    </row>
    <row r="675" spans="1:4" hidden="1" x14ac:dyDescent="0.25">
      <c r="A675" s="2" t="s">
        <v>91</v>
      </c>
      <c r="B675">
        <v>10</v>
      </c>
      <c r="C675" s="2" t="s">
        <v>123</v>
      </c>
      <c r="D675">
        <v>61</v>
      </c>
    </row>
    <row r="676" spans="1:4" hidden="1" x14ac:dyDescent="0.25">
      <c r="A676" s="2" t="s">
        <v>91</v>
      </c>
      <c r="B676">
        <v>10</v>
      </c>
      <c r="C676" s="2" t="s">
        <v>124</v>
      </c>
      <c r="D676">
        <v>63</v>
      </c>
    </row>
    <row r="677" spans="1:4" hidden="1" x14ac:dyDescent="0.25">
      <c r="A677" s="2" t="s">
        <v>91</v>
      </c>
      <c r="B677">
        <v>10</v>
      </c>
      <c r="C677" s="2" t="s">
        <v>125</v>
      </c>
      <c r="D677">
        <v>57</v>
      </c>
    </row>
    <row r="678" spans="1:4" hidden="1" x14ac:dyDescent="0.25">
      <c r="A678" s="2" t="s">
        <v>91</v>
      </c>
      <c r="B678">
        <v>10</v>
      </c>
      <c r="C678" s="2" t="s">
        <v>126</v>
      </c>
      <c r="D678">
        <v>55</v>
      </c>
    </row>
    <row r="679" spans="1:4" hidden="1" x14ac:dyDescent="0.25">
      <c r="A679" s="2" t="s">
        <v>91</v>
      </c>
      <c r="B679">
        <v>10</v>
      </c>
      <c r="C679" s="2" t="s">
        <v>127</v>
      </c>
      <c r="D679">
        <v>56</v>
      </c>
    </row>
    <row r="680" spans="1:4" hidden="1" x14ac:dyDescent="0.25">
      <c r="A680" s="2" t="s">
        <v>91</v>
      </c>
      <c r="B680">
        <v>10</v>
      </c>
      <c r="C680" s="2" t="s">
        <v>128</v>
      </c>
      <c r="D680">
        <v>28</v>
      </c>
    </row>
    <row r="681" spans="1:4" hidden="1" x14ac:dyDescent="0.25">
      <c r="A681" s="2" t="s">
        <v>91</v>
      </c>
      <c r="B681">
        <v>10</v>
      </c>
      <c r="C681" s="2" t="s">
        <v>129</v>
      </c>
      <c r="D681">
        <v>22</v>
      </c>
    </row>
    <row r="682" spans="1:4" hidden="1" x14ac:dyDescent="0.25">
      <c r="A682" s="2" t="s">
        <v>91</v>
      </c>
      <c r="B682">
        <v>10</v>
      </c>
      <c r="C682" s="2" t="s">
        <v>130</v>
      </c>
      <c r="D682">
        <v>13</v>
      </c>
    </row>
    <row r="683" spans="1:4" hidden="1" x14ac:dyDescent="0.25">
      <c r="A683" s="2" t="s">
        <v>91</v>
      </c>
      <c r="B683">
        <v>10</v>
      </c>
      <c r="C683" s="2" t="s">
        <v>131</v>
      </c>
      <c r="D683">
        <v>8</v>
      </c>
    </row>
    <row r="684" spans="1:4" hidden="1" x14ac:dyDescent="0.25">
      <c r="A684" s="2" t="s">
        <v>91</v>
      </c>
      <c r="B684">
        <v>10</v>
      </c>
      <c r="C684" s="2" t="s">
        <v>132</v>
      </c>
      <c r="D684">
        <v>9</v>
      </c>
    </row>
    <row r="685" spans="1:4" hidden="1" x14ac:dyDescent="0.25">
      <c r="A685" s="2" t="s">
        <v>91</v>
      </c>
      <c r="B685">
        <v>10</v>
      </c>
      <c r="C685" s="2" t="s">
        <v>133</v>
      </c>
      <c r="D685">
        <v>9</v>
      </c>
    </row>
    <row r="686" spans="1:4" hidden="1" x14ac:dyDescent="0.25">
      <c r="A686" s="2" t="s">
        <v>91</v>
      </c>
      <c r="B686">
        <v>10</v>
      </c>
      <c r="C686" s="2" t="s">
        <v>134</v>
      </c>
      <c r="D686">
        <v>9</v>
      </c>
    </row>
    <row r="687" spans="1:4" hidden="1" x14ac:dyDescent="0.25">
      <c r="A687" s="2" t="s">
        <v>91</v>
      </c>
      <c r="B687">
        <v>10</v>
      </c>
      <c r="C687" s="2" t="s">
        <v>135</v>
      </c>
      <c r="D687">
        <v>10</v>
      </c>
    </row>
    <row r="688" spans="1:4" hidden="1" x14ac:dyDescent="0.25">
      <c r="A688" s="2" t="s">
        <v>91</v>
      </c>
      <c r="B688">
        <v>10</v>
      </c>
      <c r="C688" s="2" t="s">
        <v>136</v>
      </c>
      <c r="D688">
        <v>10</v>
      </c>
    </row>
    <row r="689" spans="1:4" hidden="1" x14ac:dyDescent="0.25">
      <c r="A689" s="2" t="s">
        <v>91</v>
      </c>
      <c r="B689">
        <v>10</v>
      </c>
      <c r="C689" s="2" t="s">
        <v>137</v>
      </c>
      <c r="D689">
        <v>10</v>
      </c>
    </row>
    <row r="690" spans="1:4" hidden="1" x14ac:dyDescent="0.25">
      <c r="A690" s="2" t="s">
        <v>91</v>
      </c>
      <c r="B690">
        <v>10</v>
      </c>
      <c r="C690" s="2" t="s">
        <v>138</v>
      </c>
      <c r="D690">
        <v>10</v>
      </c>
    </row>
    <row r="691" spans="1:4" hidden="1" x14ac:dyDescent="0.25">
      <c r="A691" s="2" t="s">
        <v>91</v>
      </c>
      <c r="B691">
        <v>10</v>
      </c>
      <c r="C691" s="2" t="s">
        <v>139</v>
      </c>
      <c r="D691">
        <v>10</v>
      </c>
    </row>
    <row r="692" spans="1:4" hidden="1" x14ac:dyDescent="0.25">
      <c r="A692" s="2" t="s">
        <v>91</v>
      </c>
      <c r="B692">
        <v>10</v>
      </c>
      <c r="C692" s="2" t="s">
        <v>140</v>
      </c>
      <c r="D692">
        <v>10</v>
      </c>
    </row>
    <row r="693" spans="1:4" hidden="1" x14ac:dyDescent="0.25">
      <c r="A693" s="2" t="s">
        <v>91</v>
      </c>
      <c r="B693">
        <v>10</v>
      </c>
      <c r="C693" s="2" t="s">
        <v>141</v>
      </c>
      <c r="D693">
        <v>10</v>
      </c>
    </row>
    <row r="694" spans="1:4" hidden="1" x14ac:dyDescent="0.25">
      <c r="A694" s="2" t="s">
        <v>91</v>
      </c>
      <c r="B694">
        <v>10</v>
      </c>
      <c r="C694" s="2" t="s">
        <v>142</v>
      </c>
      <c r="D694">
        <v>10</v>
      </c>
    </row>
    <row r="695" spans="1:4" hidden="1" x14ac:dyDescent="0.25">
      <c r="A695" s="2" t="s">
        <v>91</v>
      </c>
      <c r="B695">
        <v>10</v>
      </c>
      <c r="C695" s="2" t="s">
        <v>143</v>
      </c>
      <c r="D695">
        <v>10</v>
      </c>
    </row>
    <row r="696" spans="1:4" hidden="1" x14ac:dyDescent="0.25">
      <c r="A696" s="2" t="s">
        <v>91</v>
      </c>
      <c r="B696">
        <v>10</v>
      </c>
      <c r="C696" s="2" t="s">
        <v>144</v>
      </c>
      <c r="D696">
        <v>10</v>
      </c>
    </row>
    <row r="697" spans="1:4" hidden="1" x14ac:dyDescent="0.25">
      <c r="A697" s="2" t="s">
        <v>91</v>
      </c>
      <c r="B697">
        <v>10</v>
      </c>
      <c r="C697" s="2" t="s">
        <v>145</v>
      </c>
      <c r="D697">
        <v>10</v>
      </c>
    </row>
    <row r="698" spans="1:4" hidden="1" x14ac:dyDescent="0.25">
      <c r="A698" s="2" t="s">
        <v>91</v>
      </c>
      <c r="B698">
        <v>10</v>
      </c>
      <c r="C698" s="2" t="s">
        <v>146</v>
      </c>
      <c r="D698">
        <v>10</v>
      </c>
    </row>
    <row r="699" spans="1:4" hidden="1" x14ac:dyDescent="0.25">
      <c r="A699" s="2" t="s">
        <v>91</v>
      </c>
      <c r="B699">
        <v>10</v>
      </c>
      <c r="C699" s="2" t="s">
        <v>147</v>
      </c>
      <c r="D699">
        <v>10</v>
      </c>
    </row>
    <row r="700" spans="1:4" hidden="1" x14ac:dyDescent="0.25">
      <c r="A700" s="2" t="s">
        <v>91</v>
      </c>
      <c r="B700">
        <v>10</v>
      </c>
      <c r="C700" s="2" t="s">
        <v>148</v>
      </c>
      <c r="D700">
        <v>10</v>
      </c>
    </row>
    <row r="701" spans="1:4" hidden="1" x14ac:dyDescent="0.25">
      <c r="A701" s="2" t="s">
        <v>91</v>
      </c>
      <c r="B701">
        <v>10</v>
      </c>
      <c r="C701" s="2" t="s">
        <v>149</v>
      </c>
      <c r="D701">
        <v>10</v>
      </c>
    </row>
    <row r="702" spans="1:4" hidden="1" x14ac:dyDescent="0.25">
      <c r="A702" s="2" t="s">
        <v>91</v>
      </c>
      <c r="B702">
        <v>10</v>
      </c>
      <c r="C702" s="2" t="s">
        <v>150</v>
      </c>
      <c r="D702">
        <v>10</v>
      </c>
    </row>
    <row r="703" spans="1:4" hidden="1" x14ac:dyDescent="0.25">
      <c r="A703" s="2" t="s">
        <v>91</v>
      </c>
      <c r="B703">
        <v>10</v>
      </c>
      <c r="C703" s="2" t="s">
        <v>151</v>
      </c>
      <c r="D703">
        <v>10</v>
      </c>
    </row>
    <row r="704" spans="1:4" hidden="1" x14ac:dyDescent="0.25">
      <c r="A704" s="2" t="s">
        <v>91</v>
      </c>
      <c r="B704">
        <v>10</v>
      </c>
      <c r="C704" s="2" t="s">
        <v>152</v>
      </c>
      <c r="D704">
        <v>10</v>
      </c>
    </row>
    <row r="705" spans="1:4" hidden="1" x14ac:dyDescent="0.25">
      <c r="A705" s="2" t="s">
        <v>91</v>
      </c>
      <c r="B705">
        <v>10</v>
      </c>
      <c r="C705" s="2" t="s">
        <v>153</v>
      </c>
      <c r="D705">
        <v>10</v>
      </c>
    </row>
    <row r="706" spans="1:4" hidden="1" x14ac:dyDescent="0.25">
      <c r="A706" s="2" t="s">
        <v>91</v>
      </c>
      <c r="B706">
        <v>10</v>
      </c>
      <c r="C706" s="2" t="s">
        <v>154</v>
      </c>
      <c r="D706">
        <v>10</v>
      </c>
    </row>
    <row r="707" spans="1:4" hidden="1" x14ac:dyDescent="0.25">
      <c r="A707" s="2" t="s">
        <v>91</v>
      </c>
      <c r="B707">
        <v>10</v>
      </c>
      <c r="C707" s="2" t="s">
        <v>155</v>
      </c>
      <c r="D707">
        <v>10</v>
      </c>
    </row>
    <row r="708" spans="1:4" hidden="1" x14ac:dyDescent="0.25">
      <c r="A708" s="2" t="s">
        <v>91</v>
      </c>
      <c r="B708">
        <v>10</v>
      </c>
      <c r="C708" s="2" t="s">
        <v>156</v>
      </c>
      <c r="D708">
        <v>10</v>
      </c>
    </row>
    <row r="709" spans="1:4" hidden="1" x14ac:dyDescent="0.25">
      <c r="A709" s="2" t="s">
        <v>91</v>
      </c>
      <c r="B709">
        <v>10</v>
      </c>
      <c r="C709" s="2" t="s">
        <v>157</v>
      </c>
      <c r="D709">
        <v>10</v>
      </c>
    </row>
    <row r="710" spans="1:4" hidden="1" x14ac:dyDescent="0.25">
      <c r="A710" s="2" t="s">
        <v>91</v>
      </c>
      <c r="B710">
        <v>10</v>
      </c>
      <c r="C710" s="2" t="s">
        <v>158</v>
      </c>
      <c r="D710">
        <v>10</v>
      </c>
    </row>
    <row r="711" spans="1:4" hidden="1" x14ac:dyDescent="0.25">
      <c r="A711" s="2" t="s">
        <v>91</v>
      </c>
      <c r="B711">
        <v>10</v>
      </c>
      <c r="C711" s="2" t="s">
        <v>159</v>
      </c>
      <c r="D711">
        <v>10</v>
      </c>
    </row>
    <row r="712" spans="1:4" hidden="1" x14ac:dyDescent="0.25">
      <c r="A712" s="2" t="s">
        <v>91</v>
      </c>
      <c r="B712">
        <v>10</v>
      </c>
      <c r="C712" s="2" t="s">
        <v>160</v>
      </c>
      <c r="D712">
        <v>10</v>
      </c>
    </row>
    <row r="713" spans="1:4" hidden="1" x14ac:dyDescent="0.25">
      <c r="A713" s="2" t="s">
        <v>91</v>
      </c>
      <c r="B713">
        <v>10</v>
      </c>
      <c r="C713" s="2" t="s">
        <v>161</v>
      </c>
      <c r="D713">
        <v>10</v>
      </c>
    </row>
    <row r="714" spans="1:4" hidden="1" x14ac:dyDescent="0.25">
      <c r="A714" s="2" t="s">
        <v>91</v>
      </c>
      <c r="B714">
        <v>10</v>
      </c>
      <c r="C714" s="2" t="s">
        <v>162</v>
      </c>
      <c r="D714">
        <v>10</v>
      </c>
    </row>
    <row r="715" spans="1:4" hidden="1" x14ac:dyDescent="0.25">
      <c r="A715" s="2" t="s">
        <v>91</v>
      </c>
      <c r="B715">
        <v>10</v>
      </c>
      <c r="C715" s="2" t="s">
        <v>163</v>
      </c>
      <c r="D715">
        <v>10</v>
      </c>
    </row>
    <row r="716" spans="1:4" hidden="1" x14ac:dyDescent="0.25">
      <c r="A716" s="2" t="s">
        <v>91</v>
      </c>
      <c r="B716">
        <v>10</v>
      </c>
      <c r="C716" s="2" t="s">
        <v>164</v>
      </c>
      <c r="D716">
        <v>10</v>
      </c>
    </row>
    <row r="717" spans="1:4" hidden="1" x14ac:dyDescent="0.25">
      <c r="A717" s="2" t="s">
        <v>91</v>
      </c>
      <c r="B717">
        <v>10</v>
      </c>
      <c r="C717" s="2" t="s">
        <v>165</v>
      </c>
      <c r="D717">
        <v>10</v>
      </c>
    </row>
    <row r="718" spans="1:4" hidden="1" x14ac:dyDescent="0.25">
      <c r="A718" s="2" t="s">
        <v>91</v>
      </c>
      <c r="B718">
        <v>10</v>
      </c>
      <c r="C718" s="2" t="s">
        <v>166</v>
      </c>
      <c r="D718">
        <v>10</v>
      </c>
    </row>
    <row r="719" spans="1:4" hidden="1" x14ac:dyDescent="0.25">
      <c r="A719" s="2" t="s">
        <v>91</v>
      </c>
      <c r="B719">
        <v>10</v>
      </c>
      <c r="C719" s="2" t="s">
        <v>167</v>
      </c>
      <c r="D719">
        <v>10</v>
      </c>
    </row>
    <row r="720" spans="1:4" hidden="1" x14ac:dyDescent="0.25">
      <c r="A720" s="2" t="s">
        <v>91</v>
      </c>
      <c r="B720">
        <v>10</v>
      </c>
      <c r="C720" s="2" t="s">
        <v>168</v>
      </c>
      <c r="D720">
        <v>10</v>
      </c>
    </row>
    <row r="721" spans="1:4" hidden="1" x14ac:dyDescent="0.25">
      <c r="A721" s="2" t="s">
        <v>91</v>
      </c>
      <c r="B721">
        <v>10</v>
      </c>
      <c r="C721" s="2" t="s">
        <v>169</v>
      </c>
      <c r="D721">
        <v>10</v>
      </c>
    </row>
    <row r="722" spans="1:4" hidden="1" x14ac:dyDescent="0.25">
      <c r="A722" s="2" t="s">
        <v>91</v>
      </c>
      <c r="B722">
        <v>10</v>
      </c>
      <c r="C722" s="2" t="s">
        <v>170</v>
      </c>
      <c r="D722">
        <v>10</v>
      </c>
    </row>
    <row r="723" spans="1:4" hidden="1" x14ac:dyDescent="0.25">
      <c r="A723" s="2" t="s">
        <v>91</v>
      </c>
      <c r="B723">
        <v>10</v>
      </c>
      <c r="C723" s="2" t="s">
        <v>171</v>
      </c>
      <c r="D723">
        <v>10</v>
      </c>
    </row>
    <row r="724" spans="1:4" hidden="1" x14ac:dyDescent="0.25">
      <c r="A724" s="2" t="s">
        <v>91</v>
      </c>
      <c r="B724">
        <v>10</v>
      </c>
      <c r="C724" s="2" t="s">
        <v>172</v>
      </c>
      <c r="D724">
        <v>10</v>
      </c>
    </row>
    <row r="725" spans="1:4" hidden="1" x14ac:dyDescent="0.25">
      <c r="A725" s="2" t="s">
        <v>91</v>
      </c>
      <c r="B725">
        <v>10</v>
      </c>
      <c r="C725" s="2" t="s">
        <v>173</v>
      </c>
      <c r="D725">
        <v>10</v>
      </c>
    </row>
    <row r="726" spans="1:4" hidden="1" x14ac:dyDescent="0.25">
      <c r="A726" s="2" t="s">
        <v>91</v>
      </c>
      <c r="B726">
        <v>10</v>
      </c>
      <c r="C726" s="2" t="s">
        <v>174</v>
      </c>
      <c r="D726">
        <v>10</v>
      </c>
    </row>
    <row r="727" spans="1:4" hidden="1" x14ac:dyDescent="0.25">
      <c r="A727" s="2" t="s">
        <v>91</v>
      </c>
      <c r="B727">
        <v>10</v>
      </c>
      <c r="C727" s="2" t="s">
        <v>175</v>
      </c>
      <c r="D727">
        <v>10</v>
      </c>
    </row>
    <row r="728" spans="1:4" hidden="1" x14ac:dyDescent="0.25">
      <c r="A728" s="2" t="s">
        <v>91</v>
      </c>
      <c r="B728">
        <v>10</v>
      </c>
      <c r="C728" s="2" t="s">
        <v>176</v>
      </c>
      <c r="D728">
        <v>10</v>
      </c>
    </row>
    <row r="729" spans="1:4" hidden="1" x14ac:dyDescent="0.25">
      <c r="A729" s="2" t="s">
        <v>91</v>
      </c>
      <c r="B729">
        <v>10</v>
      </c>
      <c r="C729" s="2" t="s">
        <v>177</v>
      </c>
      <c r="D729">
        <v>10</v>
      </c>
    </row>
    <row r="730" spans="1:4" hidden="1" x14ac:dyDescent="0.25">
      <c r="A730" s="2" t="s">
        <v>91</v>
      </c>
      <c r="B730">
        <v>10</v>
      </c>
      <c r="C730" s="2" t="s">
        <v>178</v>
      </c>
      <c r="D730">
        <v>10</v>
      </c>
    </row>
    <row r="731" spans="1:4" hidden="1" x14ac:dyDescent="0.25">
      <c r="A731" s="2" t="s">
        <v>91</v>
      </c>
      <c r="B731">
        <v>10</v>
      </c>
      <c r="C731" s="2" t="s">
        <v>179</v>
      </c>
      <c r="D731">
        <v>10</v>
      </c>
    </row>
    <row r="732" spans="1:4" hidden="1" x14ac:dyDescent="0.25">
      <c r="A732" s="2" t="s">
        <v>102</v>
      </c>
      <c r="B732">
        <v>10</v>
      </c>
      <c r="C732" s="2" t="s">
        <v>183</v>
      </c>
      <c r="D732">
        <v>65</v>
      </c>
    </row>
    <row r="733" spans="1:4" hidden="1" x14ac:dyDescent="0.25">
      <c r="A733" s="2" t="s">
        <v>102</v>
      </c>
      <c r="B733">
        <v>10</v>
      </c>
      <c r="C733" s="2" t="s">
        <v>184</v>
      </c>
      <c r="D733">
        <v>62</v>
      </c>
    </row>
    <row r="734" spans="1:4" hidden="1" x14ac:dyDescent="0.25">
      <c r="A734" s="2" t="s">
        <v>102</v>
      </c>
      <c r="B734">
        <v>10</v>
      </c>
      <c r="C734" s="2" t="s">
        <v>185</v>
      </c>
      <c r="D734">
        <v>75</v>
      </c>
    </row>
    <row r="735" spans="1:4" hidden="1" x14ac:dyDescent="0.25">
      <c r="A735" s="2" t="s">
        <v>102</v>
      </c>
      <c r="B735">
        <v>10</v>
      </c>
      <c r="C735" s="2" t="s">
        <v>186</v>
      </c>
      <c r="D735">
        <v>96</v>
      </c>
    </row>
    <row r="736" spans="1:4" hidden="1" x14ac:dyDescent="0.25">
      <c r="A736" s="2" t="s">
        <v>102</v>
      </c>
      <c r="B736">
        <v>10</v>
      </c>
      <c r="C736" s="2" t="s">
        <v>187</v>
      </c>
      <c r="D736">
        <v>96</v>
      </c>
    </row>
    <row r="737" spans="1:4" hidden="1" x14ac:dyDescent="0.25">
      <c r="A737" s="2" t="s">
        <v>102</v>
      </c>
      <c r="B737">
        <v>10</v>
      </c>
      <c r="C737" s="2" t="s">
        <v>188</v>
      </c>
      <c r="D737">
        <v>93</v>
      </c>
    </row>
    <row r="738" spans="1:4" hidden="1" x14ac:dyDescent="0.25">
      <c r="A738" s="2" t="s">
        <v>102</v>
      </c>
      <c r="B738">
        <v>10</v>
      </c>
      <c r="C738" s="2" t="s">
        <v>189</v>
      </c>
      <c r="D738">
        <v>82</v>
      </c>
    </row>
    <row r="739" spans="1:4" hidden="1" x14ac:dyDescent="0.25">
      <c r="A739" s="2" t="s">
        <v>102</v>
      </c>
      <c r="B739">
        <v>10</v>
      </c>
      <c r="C739" s="2" t="s">
        <v>190</v>
      </c>
      <c r="D739">
        <v>80</v>
      </c>
    </row>
    <row r="740" spans="1:4" hidden="1" x14ac:dyDescent="0.25">
      <c r="A740" s="2" t="s">
        <v>102</v>
      </c>
      <c r="B740">
        <v>10</v>
      </c>
      <c r="C740" s="2" t="s">
        <v>191</v>
      </c>
      <c r="D740">
        <v>85</v>
      </c>
    </row>
    <row r="741" spans="1:4" hidden="1" x14ac:dyDescent="0.25">
      <c r="A741" s="2" t="s">
        <v>102</v>
      </c>
      <c r="B741">
        <v>10</v>
      </c>
      <c r="C741" s="2" t="s">
        <v>116</v>
      </c>
      <c r="D741">
        <v>86</v>
      </c>
    </row>
    <row r="742" spans="1:4" hidden="1" x14ac:dyDescent="0.25">
      <c r="A742" s="2" t="s">
        <v>102</v>
      </c>
      <c r="B742">
        <v>10</v>
      </c>
      <c r="C742" s="2" t="s">
        <v>117</v>
      </c>
      <c r="D742">
        <v>88</v>
      </c>
    </row>
    <row r="743" spans="1:4" hidden="1" x14ac:dyDescent="0.25">
      <c r="A743" s="2" t="s">
        <v>102</v>
      </c>
      <c r="B743">
        <v>10</v>
      </c>
      <c r="C743" s="2" t="s">
        <v>118</v>
      </c>
      <c r="D743">
        <v>85</v>
      </c>
    </row>
    <row r="744" spans="1:4" hidden="1" x14ac:dyDescent="0.25">
      <c r="A744" s="2" t="s">
        <v>102</v>
      </c>
      <c r="B744">
        <v>10</v>
      </c>
      <c r="C744" s="2" t="s">
        <v>119</v>
      </c>
      <c r="D744">
        <v>87</v>
      </c>
    </row>
    <row r="745" spans="1:4" hidden="1" x14ac:dyDescent="0.25">
      <c r="A745" s="2" t="s">
        <v>102</v>
      </c>
      <c r="B745">
        <v>10</v>
      </c>
      <c r="C745" s="2" t="s">
        <v>120</v>
      </c>
      <c r="D745">
        <v>87</v>
      </c>
    </row>
    <row r="746" spans="1:4" hidden="1" x14ac:dyDescent="0.25">
      <c r="A746" s="2" t="s">
        <v>102</v>
      </c>
      <c r="B746">
        <v>10</v>
      </c>
      <c r="C746" s="2" t="s">
        <v>121</v>
      </c>
      <c r="D746">
        <v>86</v>
      </c>
    </row>
    <row r="747" spans="1:4" hidden="1" x14ac:dyDescent="0.25">
      <c r="A747" s="2" t="s">
        <v>102</v>
      </c>
      <c r="B747">
        <v>10</v>
      </c>
      <c r="C747" s="2" t="s">
        <v>122</v>
      </c>
      <c r="D747">
        <v>72</v>
      </c>
    </row>
    <row r="748" spans="1:4" hidden="1" x14ac:dyDescent="0.25">
      <c r="A748" s="2" t="s">
        <v>102</v>
      </c>
      <c r="B748">
        <v>10</v>
      </c>
      <c r="C748" s="2" t="s">
        <v>123</v>
      </c>
      <c r="D748">
        <v>57</v>
      </c>
    </row>
    <row r="749" spans="1:4" hidden="1" x14ac:dyDescent="0.25">
      <c r="A749" s="2" t="s">
        <v>102</v>
      </c>
      <c r="B749">
        <v>10</v>
      </c>
      <c r="C749" s="2" t="s">
        <v>124</v>
      </c>
      <c r="D749">
        <v>60</v>
      </c>
    </row>
    <row r="750" spans="1:4" hidden="1" x14ac:dyDescent="0.25">
      <c r="A750" s="2" t="s">
        <v>102</v>
      </c>
      <c r="B750">
        <v>10</v>
      </c>
      <c r="C750" s="2" t="s">
        <v>125</v>
      </c>
      <c r="D750">
        <v>60</v>
      </c>
    </row>
    <row r="751" spans="1:4" hidden="1" x14ac:dyDescent="0.25">
      <c r="A751" s="2" t="s">
        <v>102</v>
      </c>
      <c r="B751">
        <v>10</v>
      </c>
      <c r="C751" s="2" t="s">
        <v>126</v>
      </c>
      <c r="D751">
        <v>58</v>
      </c>
    </row>
    <row r="752" spans="1:4" hidden="1" x14ac:dyDescent="0.25">
      <c r="A752" s="2" t="s">
        <v>102</v>
      </c>
      <c r="B752">
        <v>10</v>
      </c>
      <c r="C752" s="2" t="s">
        <v>127</v>
      </c>
      <c r="D752">
        <v>47</v>
      </c>
    </row>
    <row r="753" spans="1:4" hidden="1" x14ac:dyDescent="0.25">
      <c r="A753" s="2" t="s">
        <v>102</v>
      </c>
      <c r="B753">
        <v>10</v>
      </c>
      <c r="C753" s="2" t="s">
        <v>128</v>
      </c>
      <c r="D753">
        <v>22</v>
      </c>
    </row>
    <row r="754" spans="1:4" hidden="1" x14ac:dyDescent="0.25">
      <c r="A754" s="2" t="s">
        <v>102</v>
      </c>
      <c r="B754">
        <v>10</v>
      </c>
      <c r="C754" s="2" t="s">
        <v>129</v>
      </c>
      <c r="D754">
        <v>25</v>
      </c>
    </row>
    <row r="755" spans="1:4" hidden="1" x14ac:dyDescent="0.25">
      <c r="A755" s="2" t="s">
        <v>102</v>
      </c>
      <c r="B755">
        <v>10</v>
      </c>
      <c r="C755" s="2" t="s">
        <v>130</v>
      </c>
      <c r="D755">
        <v>15</v>
      </c>
    </row>
    <row r="756" spans="1:4" hidden="1" x14ac:dyDescent="0.25">
      <c r="A756" s="2" t="s">
        <v>102</v>
      </c>
      <c r="B756">
        <v>10</v>
      </c>
      <c r="C756" s="2" t="s">
        <v>131</v>
      </c>
      <c r="D756">
        <v>10</v>
      </c>
    </row>
    <row r="757" spans="1:4" hidden="1" x14ac:dyDescent="0.25">
      <c r="A757" s="2" t="s">
        <v>102</v>
      </c>
      <c r="B757">
        <v>10</v>
      </c>
      <c r="C757" s="2" t="s">
        <v>132</v>
      </c>
      <c r="D757">
        <v>10</v>
      </c>
    </row>
    <row r="758" spans="1:4" hidden="1" x14ac:dyDescent="0.25">
      <c r="A758" s="2" t="s">
        <v>102</v>
      </c>
      <c r="B758">
        <v>10</v>
      </c>
      <c r="C758" s="2" t="s">
        <v>133</v>
      </c>
      <c r="D758">
        <v>10</v>
      </c>
    </row>
    <row r="759" spans="1:4" hidden="1" x14ac:dyDescent="0.25">
      <c r="A759" s="2" t="s">
        <v>102</v>
      </c>
      <c r="B759">
        <v>10</v>
      </c>
      <c r="C759" s="2" t="s">
        <v>134</v>
      </c>
      <c r="D759">
        <v>9</v>
      </c>
    </row>
    <row r="760" spans="1:4" hidden="1" x14ac:dyDescent="0.25">
      <c r="A760" s="2" t="s">
        <v>102</v>
      </c>
      <c r="B760">
        <v>10</v>
      </c>
      <c r="C760" s="2" t="s">
        <v>135</v>
      </c>
      <c r="D760">
        <v>10</v>
      </c>
    </row>
    <row r="761" spans="1:4" hidden="1" x14ac:dyDescent="0.25">
      <c r="A761" s="2" t="s">
        <v>102</v>
      </c>
      <c r="B761">
        <v>10</v>
      </c>
      <c r="C761" s="2" t="s">
        <v>136</v>
      </c>
      <c r="D761">
        <v>10</v>
      </c>
    </row>
    <row r="762" spans="1:4" hidden="1" x14ac:dyDescent="0.25">
      <c r="A762" s="2" t="s">
        <v>102</v>
      </c>
      <c r="B762">
        <v>10</v>
      </c>
      <c r="C762" s="2" t="s">
        <v>137</v>
      </c>
      <c r="D762">
        <v>10</v>
      </c>
    </row>
    <row r="763" spans="1:4" hidden="1" x14ac:dyDescent="0.25">
      <c r="A763" s="2" t="s">
        <v>102</v>
      </c>
      <c r="B763">
        <v>10</v>
      </c>
      <c r="C763" s="2" t="s">
        <v>138</v>
      </c>
      <c r="D763">
        <v>10</v>
      </c>
    </row>
    <row r="764" spans="1:4" hidden="1" x14ac:dyDescent="0.25">
      <c r="A764" s="2" t="s">
        <v>102</v>
      </c>
      <c r="B764">
        <v>10</v>
      </c>
      <c r="C764" s="2" t="s">
        <v>139</v>
      </c>
      <c r="D764">
        <v>10</v>
      </c>
    </row>
    <row r="765" spans="1:4" hidden="1" x14ac:dyDescent="0.25">
      <c r="A765" s="2" t="s">
        <v>102</v>
      </c>
      <c r="B765">
        <v>10</v>
      </c>
      <c r="C765" s="2" t="s">
        <v>140</v>
      </c>
      <c r="D765">
        <v>10</v>
      </c>
    </row>
    <row r="766" spans="1:4" hidden="1" x14ac:dyDescent="0.25">
      <c r="A766" s="2" t="s">
        <v>102</v>
      </c>
      <c r="B766">
        <v>10</v>
      </c>
      <c r="C766" s="2" t="s">
        <v>141</v>
      </c>
      <c r="D766">
        <v>10</v>
      </c>
    </row>
    <row r="767" spans="1:4" hidden="1" x14ac:dyDescent="0.25">
      <c r="A767" s="2" t="s">
        <v>102</v>
      </c>
      <c r="B767">
        <v>10</v>
      </c>
      <c r="C767" s="2" t="s">
        <v>142</v>
      </c>
      <c r="D767">
        <v>10</v>
      </c>
    </row>
    <row r="768" spans="1:4" hidden="1" x14ac:dyDescent="0.25">
      <c r="A768" s="2" t="s">
        <v>102</v>
      </c>
      <c r="B768">
        <v>10</v>
      </c>
      <c r="C768" s="2" t="s">
        <v>143</v>
      </c>
      <c r="D768">
        <v>10</v>
      </c>
    </row>
    <row r="769" spans="1:4" hidden="1" x14ac:dyDescent="0.25">
      <c r="A769" s="2" t="s">
        <v>102</v>
      </c>
      <c r="B769">
        <v>10</v>
      </c>
      <c r="C769" s="2" t="s">
        <v>144</v>
      </c>
      <c r="D769">
        <v>10</v>
      </c>
    </row>
    <row r="770" spans="1:4" hidden="1" x14ac:dyDescent="0.25">
      <c r="A770" s="2" t="s">
        <v>102</v>
      </c>
      <c r="B770">
        <v>10</v>
      </c>
      <c r="C770" s="2" t="s">
        <v>145</v>
      </c>
      <c r="D770">
        <v>10</v>
      </c>
    </row>
    <row r="771" spans="1:4" hidden="1" x14ac:dyDescent="0.25">
      <c r="A771" s="2" t="s">
        <v>102</v>
      </c>
      <c r="B771">
        <v>10</v>
      </c>
      <c r="C771" s="2" t="s">
        <v>146</v>
      </c>
      <c r="D771">
        <v>10</v>
      </c>
    </row>
    <row r="772" spans="1:4" hidden="1" x14ac:dyDescent="0.25">
      <c r="A772" s="2" t="s">
        <v>102</v>
      </c>
      <c r="B772">
        <v>10</v>
      </c>
      <c r="C772" s="2" t="s">
        <v>147</v>
      </c>
      <c r="D772">
        <v>10</v>
      </c>
    </row>
    <row r="773" spans="1:4" hidden="1" x14ac:dyDescent="0.25">
      <c r="A773" s="2" t="s">
        <v>102</v>
      </c>
      <c r="B773">
        <v>10</v>
      </c>
      <c r="C773" s="2" t="s">
        <v>148</v>
      </c>
      <c r="D773">
        <v>10</v>
      </c>
    </row>
    <row r="774" spans="1:4" hidden="1" x14ac:dyDescent="0.25">
      <c r="A774" s="2" t="s">
        <v>102</v>
      </c>
      <c r="B774">
        <v>10</v>
      </c>
      <c r="C774" s="2" t="s">
        <v>149</v>
      </c>
      <c r="D774">
        <v>10</v>
      </c>
    </row>
    <row r="775" spans="1:4" hidden="1" x14ac:dyDescent="0.25">
      <c r="A775" s="2" t="s">
        <v>102</v>
      </c>
      <c r="B775">
        <v>10</v>
      </c>
      <c r="C775" s="2" t="s">
        <v>150</v>
      </c>
      <c r="D775">
        <v>10</v>
      </c>
    </row>
    <row r="776" spans="1:4" hidden="1" x14ac:dyDescent="0.25">
      <c r="A776" s="2" t="s">
        <v>102</v>
      </c>
      <c r="B776">
        <v>10</v>
      </c>
      <c r="C776" s="2" t="s">
        <v>151</v>
      </c>
      <c r="D776">
        <v>10</v>
      </c>
    </row>
    <row r="777" spans="1:4" hidden="1" x14ac:dyDescent="0.25">
      <c r="A777" s="2" t="s">
        <v>102</v>
      </c>
      <c r="B777">
        <v>10</v>
      </c>
      <c r="C777" s="2" t="s">
        <v>152</v>
      </c>
      <c r="D777">
        <v>10</v>
      </c>
    </row>
    <row r="778" spans="1:4" hidden="1" x14ac:dyDescent="0.25">
      <c r="A778" s="2" t="s">
        <v>102</v>
      </c>
      <c r="B778">
        <v>10</v>
      </c>
      <c r="C778" s="2" t="s">
        <v>153</v>
      </c>
      <c r="D778">
        <v>10</v>
      </c>
    </row>
    <row r="779" spans="1:4" hidden="1" x14ac:dyDescent="0.25">
      <c r="A779" s="2" t="s">
        <v>102</v>
      </c>
      <c r="B779">
        <v>10</v>
      </c>
      <c r="C779" s="2" t="s">
        <v>154</v>
      </c>
      <c r="D779">
        <v>10</v>
      </c>
    </row>
    <row r="780" spans="1:4" hidden="1" x14ac:dyDescent="0.25">
      <c r="A780" s="2" t="s">
        <v>102</v>
      </c>
      <c r="B780">
        <v>10</v>
      </c>
      <c r="C780" s="2" t="s">
        <v>155</v>
      </c>
      <c r="D780">
        <v>10</v>
      </c>
    </row>
    <row r="781" spans="1:4" hidden="1" x14ac:dyDescent="0.25">
      <c r="A781" s="2" t="s">
        <v>102</v>
      </c>
      <c r="B781">
        <v>10</v>
      </c>
      <c r="C781" s="2" t="s">
        <v>156</v>
      </c>
      <c r="D781">
        <v>10</v>
      </c>
    </row>
    <row r="782" spans="1:4" hidden="1" x14ac:dyDescent="0.25">
      <c r="A782" s="2" t="s">
        <v>102</v>
      </c>
      <c r="B782">
        <v>10</v>
      </c>
      <c r="C782" s="2" t="s">
        <v>157</v>
      </c>
      <c r="D782">
        <v>10</v>
      </c>
    </row>
    <row r="783" spans="1:4" hidden="1" x14ac:dyDescent="0.25">
      <c r="A783" s="2" t="s">
        <v>102</v>
      </c>
      <c r="B783">
        <v>10</v>
      </c>
      <c r="C783" s="2" t="s">
        <v>158</v>
      </c>
      <c r="D783">
        <v>10</v>
      </c>
    </row>
    <row r="784" spans="1:4" hidden="1" x14ac:dyDescent="0.25">
      <c r="A784" s="2" t="s">
        <v>102</v>
      </c>
      <c r="B784">
        <v>10</v>
      </c>
      <c r="C784" s="2" t="s">
        <v>159</v>
      </c>
      <c r="D784">
        <v>10</v>
      </c>
    </row>
    <row r="785" spans="1:4" hidden="1" x14ac:dyDescent="0.25">
      <c r="A785" s="2" t="s">
        <v>102</v>
      </c>
      <c r="B785">
        <v>10</v>
      </c>
      <c r="C785" s="2" t="s">
        <v>160</v>
      </c>
      <c r="D785">
        <v>10</v>
      </c>
    </row>
    <row r="786" spans="1:4" hidden="1" x14ac:dyDescent="0.25">
      <c r="A786" s="2" t="s">
        <v>102</v>
      </c>
      <c r="B786">
        <v>10</v>
      </c>
      <c r="C786" s="2" t="s">
        <v>161</v>
      </c>
      <c r="D786">
        <v>10</v>
      </c>
    </row>
    <row r="787" spans="1:4" hidden="1" x14ac:dyDescent="0.25">
      <c r="A787" s="2" t="s">
        <v>102</v>
      </c>
      <c r="B787">
        <v>10</v>
      </c>
      <c r="C787" s="2" t="s">
        <v>162</v>
      </c>
      <c r="D787">
        <v>10</v>
      </c>
    </row>
    <row r="788" spans="1:4" hidden="1" x14ac:dyDescent="0.25">
      <c r="A788" s="2" t="s">
        <v>102</v>
      </c>
      <c r="B788">
        <v>10</v>
      </c>
      <c r="C788" s="2" t="s">
        <v>163</v>
      </c>
      <c r="D788">
        <v>10</v>
      </c>
    </row>
    <row r="789" spans="1:4" hidden="1" x14ac:dyDescent="0.25">
      <c r="A789" s="2" t="s">
        <v>102</v>
      </c>
      <c r="B789">
        <v>10</v>
      </c>
      <c r="C789" s="2" t="s">
        <v>164</v>
      </c>
      <c r="D789">
        <v>10</v>
      </c>
    </row>
    <row r="790" spans="1:4" hidden="1" x14ac:dyDescent="0.25">
      <c r="A790" s="2" t="s">
        <v>102</v>
      </c>
      <c r="B790">
        <v>10</v>
      </c>
      <c r="C790" s="2" t="s">
        <v>165</v>
      </c>
      <c r="D790">
        <v>10</v>
      </c>
    </row>
    <row r="791" spans="1:4" hidden="1" x14ac:dyDescent="0.25">
      <c r="A791" s="2" t="s">
        <v>102</v>
      </c>
      <c r="B791">
        <v>10</v>
      </c>
      <c r="C791" s="2" t="s">
        <v>166</v>
      </c>
      <c r="D791">
        <v>10</v>
      </c>
    </row>
    <row r="792" spans="1:4" hidden="1" x14ac:dyDescent="0.25">
      <c r="A792" s="2" t="s">
        <v>102</v>
      </c>
      <c r="B792">
        <v>10</v>
      </c>
      <c r="C792" s="2" t="s">
        <v>167</v>
      </c>
      <c r="D792">
        <v>10</v>
      </c>
    </row>
    <row r="793" spans="1:4" hidden="1" x14ac:dyDescent="0.25">
      <c r="A793" s="2" t="s">
        <v>102</v>
      </c>
      <c r="B793">
        <v>10</v>
      </c>
      <c r="C793" s="2" t="s">
        <v>168</v>
      </c>
      <c r="D793">
        <v>10</v>
      </c>
    </row>
    <row r="794" spans="1:4" hidden="1" x14ac:dyDescent="0.25">
      <c r="A794" s="2" t="s">
        <v>102</v>
      </c>
      <c r="B794">
        <v>10</v>
      </c>
      <c r="C794" s="2" t="s">
        <v>169</v>
      </c>
      <c r="D794">
        <v>10</v>
      </c>
    </row>
    <row r="795" spans="1:4" hidden="1" x14ac:dyDescent="0.25">
      <c r="A795" s="2" t="s">
        <v>102</v>
      </c>
      <c r="B795">
        <v>10</v>
      </c>
      <c r="C795" s="2" t="s">
        <v>170</v>
      </c>
      <c r="D795">
        <v>10</v>
      </c>
    </row>
    <row r="796" spans="1:4" hidden="1" x14ac:dyDescent="0.25">
      <c r="A796" s="2" t="s">
        <v>102</v>
      </c>
      <c r="B796">
        <v>10</v>
      </c>
      <c r="C796" s="2" t="s">
        <v>171</v>
      </c>
      <c r="D796">
        <v>10</v>
      </c>
    </row>
    <row r="797" spans="1:4" hidden="1" x14ac:dyDescent="0.25">
      <c r="A797" s="2" t="s">
        <v>102</v>
      </c>
      <c r="B797">
        <v>10</v>
      </c>
      <c r="C797" s="2" t="s">
        <v>172</v>
      </c>
      <c r="D797">
        <v>10</v>
      </c>
    </row>
    <row r="798" spans="1:4" hidden="1" x14ac:dyDescent="0.25">
      <c r="A798" s="2" t="s">
        <v>102</v>
      </c>
      <c r="B798">
        <v>10</v>
      </c>
      <c r="C798" s="2" t="s">
        <v>173</v>
      </c>
      <c r="D798">
        <v>10</v>
      </c>
    </row>
    <row r="799" spans="1:4" hidden="1" x14ac:dyDescent="0.25">
      <c r="A799" s="2" t="s">
        <v>102</v>
      </c>
      <c r="B799">
        <v>10</v>
      </c>
      <c r="C799" s="2" t="s">
        <v>174</v>
      </c>
      <c r="D799">
        <v>10</v>
      </c>
    </row>
    <row r="800" spans="1:4" hidden="1" x14ac:dyDescent="0.25">
      <c r="A800" s="2" t="s">
        <v>102</v>
      </c>
      <c r="B800">
        <v>10</v>
      </c>
      <c r="C800" s="2" t="s">
        <v>175</v>
      </c>
      <c r="D800">
        <v>10</v>
      </c>
    </row>
    <row r="801" spans="1:4" hidden="1" x14ac:dyDescent="0.25">
      <c r="A801" s="2" t="s">
        <v>102</v>
      </c>
      <c r="B801">
        <v>10</v>
      </c>
      <c r="C801" s="2" t="s">
        <v>176</v>
      </c>
      <c r="D801">
        <v>10</v>
      </c>
    </row>
    <row r="802" spans="1:4" hidden="1" x14ac:dyDescent="0.25">
      <c r="A802" s="2" t="s">
        <v>102</v>
      </c>
      <c r="B802">
        <v>10</v>
      </c>
      <c r="C802" s="2" t="s">
        <v>177</v>
      </c>
      <c r="D802">
        <v>10</v>
      </c>
    </row>
    <row r="803" spans="1:4" hidden="1" x14ac:dyDescent="0.25">
      <c r="A803" s="2" t="s">
        <v>102</v>
      </c>
      <c r="B803">
        <v>10</v>
      </c>
      <c r="C803" s="2" t="s">
        <v>178</v>
      </c>
      <c r="D803">
        <v>10</v>
      </c>
    </row>
    <row r="804" spans="1:4" hidden="1" x14ac:dyDescent="0.25">
      <c r="A804" s="2" t="s">
        <v>102</v>
      </c>
      <c r="B804">
        <v>10</v>
      </c>
      <c r="C804" s="2" t="s">
        <v>179</v>
      </c>
      <c r="D804">
        <v>10</v>
      </c>
    </row>
    <row r="805" spans="1:4" hidden="1" x14ac:dyDescent="0.25">
      <c r="A805" s="2" t="s">
        <v>52</v>
      </c>
      <c r="B805">
        <v>12</v>
      </c>
      <c r="C805" s="2" t="s">
        <v>183</v>
      </c>
      <c r="D805">
        <v>1</v>
      </c>
    </row>
    <row r="806" spans="1:4" hidden="1" x14ac:dyDescent="0.25">
      <c r="A806" s="2" t="s">
        <v>52</v>
      </c>
      <c r="B806">
        <v>12</v>
      </c>
      <c r="C806" s="2" t="s">
        <v>184</v>
      </c>
      <c r="D806">
        <v>1</v>
      </c>
    </row>
    <row r="807" spans="1:4" hidden="1" x14ac:dyDescent="0.25">
      <c r="A807" s="2" t="s">
        <v>52</v>
      </c>
      <c r="B807">
        <v>12</v>
      </c>
      <c r="C807" s="2" t="s">
        <v>185</v>
      </c>
      <c r="D807">
        <v>3</v>
      </c>
    </row>
    <row r="808" spans="1:4" hidden="1" x14ac:dyDescent="0.25">
      <c r="A808" s="2" t="s">
        <v>52</v>
      </c>
      <c r="B808">
        <v>12</v>
      </c>
      <c r="C808" s="2" t="s">
        <v>186</v>
      </c>
      <c r="D808">
        <v>54</v>
      </c>
    </row>
    <row r="809" spans="1:4" hidden="1" x14ac:dyDescent="0.25">
      <c r="A809" s="2" t="s">
        <v>52</v>
      </c>
      <c r="B809">
        <v>12</v>
      </c>
      <c r="C809" s="2" t="s">
        <v>187</v>
      </c>
      <c r="D809">
        <v>55</v>
      </c>
    </row>
    <row r="810" spans="1:4" hidden="1" x14ac:dyDescent="0.25">
      <c r="A810" s="2" t="s">
        <v>52</v>
      </c>
      <c r="B810">
        <v>12</v>
      </c>
      <c r="C810" s="2" t="s">
        <v>188</v>
      </c>
      <c r="D810">
        <v>53</v>
      </c>
    </row>
    <row r="811" spans="1:4" hidden="1" x14ac:dyDescent="0.25">
      <c r="A811" s="2" t="s">
        <v>52</v>
      </c>
      <c r="B811">
        <v>12</v>
      </c>
      <c r="C811" s="2" t="s">
        <v>189</v>
      </c>
      <c r="D811">
        <v>71</v>
      </c>
    </row>
    <row r="812" spans="1:4" hidden="1" x14ac:dyDescent="0.25">
      <c r="A812" s="2" t="s">
        <v>52</v>
      </c>
      <c r="B812">
        <v>12</v>
      </c>
      <c r="C812" s="2" t="s">
        <v>190</v>
      </c>
      <c r="D812">
        <v>65</v>
      </c>
    </row>
    <row r="813" spans="1:4" hidden="1" x14ac:dyDescent="0.25">
      <c r="A813" s="2" t="s">
        <v>52</v>
      </c>
      <c r="B813">
        <v>12</v>
      </c>
      <c r="C813" s="2" t="s">
        <v>191</v>
      </c>
      <c r="D813">
        <v>16</v>
      </c>
    </row>
    <row r="814" spans="1:4" hidden="1" x14ac:dyDescent="0.25">
      <c r="A814" s="2" t="s">
        <v>52</v>
      </c>
      <c r="B814">
        <v>12</v>
      </c>
      <c r="C814" s="2" t="s">
        <v>116</v>
      </c>
      <c r="D814">
        <v>10</v>
      </c>
    </row>
    <row r="815" spans="1:4" hidden="1" x14ac:dyDescent="0.25">
      <c r="A815" s="2" t="s">
        <v>52</v>
      </c>
      <c r="B815">
        <v>12</v>
      </c>
      <c r="C815" s="2" t="s">
        <v>117</v>
      </c>
      <c r="D815">
        <v>9</v>
      </c>
    </row>
    <row r="816" spans="1:4" hidden="1" x14ac:dyDescent="0.25">
      <c r="A816" s="2" t="s">
        <v>52</v>
      </c>
      <c r="B816">
        <v>12</v>
      </c>
      <c r="C816" s="2" t="s">
        <v>118</v>
      </c>
      <c r="D816">
        <v>3</v>
      </c>
    </row>
    <row r="817" spans="1:4" hidden="1" x14ac:dyDescent="0.25">
      <c r="A817" s="2" t="s">
        <v>52</v>
      </c>
      <c r="B817">
        <v>12</v>
      </c>
      <c r="C817" s="2" t="s">
        <v>119</v>
      </c>
      <c r="D817">
        <v>10</v>
      </c>
    </row>
    <row r="818" spans="1:4" hidden="1" x14ac:dyDescent="0.25">
      <c r="A818" s="2" t="s">
        <v>52</v>
      </c>
      <c r="B818">
        <v>12</v>
      </c>
      <c r="C818" s="2" t="s">
        <v>120</v>
      </c>
      <c r="D818">
        <v>10</v>
      </c>
    </row>
    <row r="819" spans="1:4" hidden="1" x14ac:dyDescent="0.25">
      <c r="A819" s="2" t="s">
        <v>52</v>
      </c>
      <c r="B819">
        <v>12</v>
      </c>
      <c r="C819" s="2" t="s">
        <v>121</v>
      </c>
      <c r="D819">
        <v>9</v>
      </c>
    </row>
    <row r="820" spans="1:4" hidden="1" x14ac:dyDescent="0.25">
      <c r="A820" s="2" t="s">
        <v>52</v>
      </c>
      <c r="B820">
        <v>12</v>
      </c>
      <c r="C820" s="2" t="s">
        <v>122</v>
      </c>
      <c r="D820">
        <v>10</v>
      </c>
    </row>
    <row r="821" spans="1:4" hidden="1" x14ac:dyDescent="0.25">
      <c r="A821" s="2" t="s">
        <v>52</v>
      </c>
      <c r="B821">
        <v>12</v>
      </c>
      <c r="C821" s="2" t="s">
        <v>123</v>
      </c>
      <c r="D821">
        <v>13</v>
      </c>
    </row>
    <row r="822" spans="1:4" hidden="1" x14ac:dyDescent="0.25">
      <c r="A822" s="2" t="s">
        <v>52</v>
      </c>
      <c r="B822">
        <v>12</v>
      </c>
      <c r="C822" s="2" t="s">
        <v>124</v>
      </c>
      <c r="D822">
        <v>11</v>
      </c>
    </row>
    <row r="823" spans="1:4" hidden="1" x14ac:dyDescent="0.25">
      <c r="A823" s="2" t="s">
        <v>52</v>
      </c>
      <c r="B823">
        <v>12</v>
      </c>
      <c r="C823" s="2" t="s">
        <v>125</v>
      </c>
      <c r="D823">
        <v>10</v>
      </c>
    </row>
    <row r="824" spans="1:4" hidden="1" x14ac:dyDescent="0.25">
      <c r="A824" s="2" t="s">
        <v>52</v>
      </c>
      <c r="B824">
        <v>12</v>
      </c>
      <c r="C824" s="2" t="s">
        <v>126</v>
      </c>
      <c r="D824">
        <v>16</v>
      </c>
    </row>
    <row r="825" spans="1:4" hidden="1" x14ac:dyDescent="0.25">
      <c r="A825" s="2" t="s">
        <v>52</v>
      </c>
      <c r="B825">
        <v>12</v>
      </c>
      <c r="C825" s="2" t="s">
        <v>127</v>
      </c>
      <c r="D825">
        <v>20</v>
      </c>
    </row>
    <row r="826" spans="1:4" hidden="1" x14ac:dyDescent="0.25">
      <c r="A826" s="2" t="s">
        <v>52</v>
      </c>
      <c r="B826">
        <v>12</v>
      </c>
      <c r="C826" s="2" t="s">
        <v>128</v>
      </c>
      <c r="D826">
        <v>16</v>
      </c>
    </row>
    <row r="827" spans="1:4" hidden="1" x14ac:dyDescent="0.25">
      <c r="A827" s="2" t="s">
        <v>52</v>
      </c>
      <c r="B827">
        <v>12</v>
      </c>
      <c r="C827" s="2" t="s">
        <v>129</v>
      </c>
      <c r="D827">
        <v>17</v>
      </c>
    </row>
    <row r="828" spans="1:4" hidden="1" x14ac:dyDescent="0.25">
      <c r="A828" s="2" t="s">
        <v>52</v>
      </c>
      <c r="B828">
        <v>12</v>
      </c>
      <c r="C828" s="2" t="s">
        <v>130</v>
      </c>
      <c r="D828">
        <v>9</v>
      </c>
    </row>
    <row r="829" spans="1:4" hidden="1" x14ac:dyDescent="0.25">
      <c r="A829" s="2" t="s">
        <v>52</v>
      </c>
      <c r="B829">
        <v>12</v>
      </c>
      <c r="C829" s="2" t="s">
        <v>131</v>
      </c>
      <c r="D829">
        <v>11</v>
      </c>
    </row>
    <row r="830" spans="1:4" hidden="1" x14ac:dyDescent="0.25">
      <c r="A830" s="2" t="s">
        <v>52</v>
      </c>
      <c r="B830">
        <v>12</v>
      </c>
      <c r="C830" s="2" t="s">
        <v>132</v>
      </c>
      <c r="D830">
        <v>13</v>
      </c>
    </row>
    <row r="831" spans="1:4" hidden="1" x14ac:dyDescent="0.25">
      <c r="A831" s="2" t="s">
        <v>52</v>
      </c>
      <c r="B831">
        <v>12</v>
      </c>
      <c r="C831" s="2" t="s">
        <v>133</v>
      </c>
      <c r="D831">
        <v>13</v>
      </c>
    </row>
    <row r="832" spans="1:4" hidden="1" x14ac:dyDescent="0.25">
      <c r="A832" s="2" t="s">
        <v>52</v>
      </c>
      <c r="B832">
        <v>12</v>
      </c>
      <c r="C832" s="2" t="s">
        <v>134</v>
      </c>
      <c r="D832">
        <v>13</v>
      </c>
    </row>
    <row r="833" spans="1:4" hidden="1" x14ac:dyDescent="0.25">
      <c r="A833" s="2" t="s">
        <v>52</v>
      </c>
      <c r="B833">
        <v>12</v>
      </c>
      <c r="C833" s="2" t="s">
        <v>135</v>
      </c>
      <c r="D833">
        <v>12</v>
      </c>
    </row>
    <row r="834" spans="1:4" hidden="1" x14ac:dyDescent="0.25">
      <c r="A834" s="2" t="s">
        <v>52</v>
      </c>
      <c r="B834">
        <v>12</v>
      </c>
      <c r="C834" s="2" t="s">
        <v>136</v>
      </c>
      <c r="D834">
        <v>12</v>
      </c>
    </row>
    <row r="835" spans="1:4" hidden="1" x14ac:dyDescent="0.25">
      <c r="A835" s="2" t="s">
        <v>52</v>
      </c>
      <c r="B835">
        <v>12</v>
      </c>
      <c r="C835" s="2" t="s">
        <v>137</v>
      </c>
      <c r="D835">
        <v>12</v>
      </c>
    </row>
    <row r="836" spans="1:4" hidden="1" x14ac:dyDescent="0.25">
      <c r="A836" s="2" t="s">
        <v>52</v>
      </c>
      <c r="B836">
        <v>12</v>
      </c>
      <c r="C836" s="2" t="s">
        <v>138</v>
      </c>
      <c r="D836">
        <v>12</v>
      </c>
    </row>
    <row r="837" spans="1:4" hidden="1" x14ac:dyDescent="0.25">
      <c r="A837" s="2" t="s">
        <v>52</v>
      </c>
      <c r="B837">
        <v>12</v>
      </c>
      <c r="C837" s="2" t="s">
        <v>139</v>
      </c>
      <c r="D837">
        <v>12</v>
      </c>
    </row>
    <row r="838" spans="1:4" hidden="1" x14ac:dyDescent="0.25">
      <c r="A838" s="2" t="s">
        <v>52</v>
      </c>
      <c r="B838">
        <v>12</v>
      </c>
      <c r="C838" s="2" t="s">
        <v>140</v>
      </c>
      <c r="D838">
        <v>12</v>
      </c>
    </row>
    <row r="839" spans="1:4" hidden="1" x14ac:dyDescent="0.25">
      <c r="A839" s="2" t="s">
        <v>52</v>
      </c>
      <c r="B839">
        <v>12</v>
      </c>
      <c r="C839" s="2" t="s">
        <v>141</v>
      </c>
      <c r="D839">
        <v>12</v>
      </c>
    </row>
    <row r="840" spans="1:4" hidden="1" x14ac:dyDescent="0.25">
      <c r="A840" s="2" t="s">
        <v>52</v>
      </c>
      <c r="B840">
        <v>12</v>
      </c>
      <c r="C840" s="2" t="s">
        <v>142</v>
      </c>
      <c r="D840">
        <v>12</v>
      </c>
    </row>
    <row r="841" spans="1:4" hidden="1" x14ac:dyDescent="0.25">
      <c r="A841" s="2" t="s">
        <v>52</v>
      </c>
      <c r="B841">
        <v>12</v>
      </c>
      <c r="C841" s="2" t="s">
        <v>143</v>
      </c>
      <c r="D841">
        <v>12</v>
      </c>
    </row>
    <row r="842" spans="1:4" hidden="1" x14ac:dyDescent="0.25">
      <c r="A842" s="2" t="s">
        <v>52</v>
      </c>
      <c r="B842">
        <v>12</v>
      </c>
      <c r="C842" s="2" t="s">
        <v>144</v>
      </c>
      <c r="D842">
        <v>12</v>
      </c>
    </row>
    <row r="843" spans="1:4" hidden="1" x14ac:dyDescent="0.25">
      <c r="A843" s="2" t="s">
        <v>52</v>
      </c>
      <c r="B843">
        <v>12</v>
      </c>
      <c r="C843" s="2" t="s">
        <v>145</v>
      </c>
      <c r="D843">
        <v>12</v>
      </c>
    </row>
    <row r="844" spans="1:4" hidden="1" x14ac:dyDescent="0.25">
      <c r="A844" s="2" t="s">
        <v>52</v>
      </c>
      <c r="B844">
        <v>12</v>
      </c>
      <c r="C844" s="2" t="s">
        <v>146</v>
      </c>
      <c r="D844">
        <v>12</v>
      </c>
    </row>
    <row r="845" spans="1:4" hidden="1" x14ac:dyDescent="0.25">
      <c r="A845" s="2" t="s">
        <v>52</v>
      </c>
      <c r="B845">
        <v>12</v>
      </c>
      <c r="C845" s="2" t="s">
        <v>147</v>
      </c>
      <c r="D845">
        <v>12</v>
      </c>
    </row>
    <row r="846" spans="1:4" hidden="1" x14ac:dyDescent="0.25">
      <c r="A846" s="2" t="s">
        <v>52</v>
      </c>
      <c r="B846">
        <v>12</v>
      </c>
      <c r="C846" s="2" t="s">
        <v>148</v>
      </c>
      <c r="D846">
        <v>12</v>
      </c>
    </row>
    <row r="847" spans="1:4" hidden="1" x14ac:dyDescent="0.25">
      <c r="A847" s="2" t="s">
        <v>52</v>
      </c>
      <c r="B847">
        <v>12</v>
      </c>
      <c r="C847" s="2" t="s">
        <v>149</v>
      </c>
      <c r="D847">
        <v>12</v>
      </c>
    </row>
    <row r="848" spans="1:4" hidden="1" x14ac:dyDescent="0.25">
      <c r="A848" s="2" t="s">
        <v>52</v>
      </c>
      <c r="B848">
        <v>12</v>
      </c>
      <c r="C848" s="2" t="s">
        <v>150</v>
      </c>
      <c r="D848">
        <v>12</v>
      </c>
    </row>
    <row r="849" spans="1:4" hidden="1" x14ac:dyDescent="0.25">
      <c r="A849" s="2" t="s">
        <v>52</v>
      </c>
      <c r="B849">
        <v>12</v>
      </c>
      <c r="C849" s="2" t="s">
        <v>151</v>
      </c>
      <c r="D849">
        <v>12</v>
      </c>
    </row>
    <row r="850" spans="1:4" hidden="1" x14ac:dyDescent="0.25">
      <c r="A850" s="2" t="s">
        <v>52</v>
      </c>
      <c r="B850">
        <v>12</v>
      </c>
      <c r="C850" s="2" t="s">
        <v>152</v>
      </c>
      <c r="D850">
        <v>12</v>
      </c>
    </row>
    <row r="851" spans="1:4" hidden="1" x14ac:dyDescent="0.25">
      <c r="A851" s="2" t="s">
        <v>52</v>
      </c>
      <c r="B851">
        <v>12</v>
      </c>
      <c r="C851" s="2" t="s">
        <v>153</v>
      </c>
      <c r="D851">
        <v>12</v>
      </c>
    </row>
    <row r="852" spans="1:4" hidden="1" x14ac:dyDescent="0.25">
      <c r="A852" s="2" t="s">
        <v>52</v>
      </c>
      <c r="B852">
        <v>12</v>
      </c>
      <c r="C852" s="2" t="s">
        <v>154</v>
      </c>
      <c r="D852">
        <v>12</v>
      </c>
    </row>
    <row r="853" spans="1:4" hidden="1" x14ac:dyDescent="0.25">
      <c r="A853" s="2" t="s">
        <v>52</v>
      </c>
      <c r="B853">
        <v>12</v>
      </c>
      <c r="C853" s="2" t="s">
        <v>155</v>
      </c>
      <c r="D853">
        <v>12</v>
      </c>
    </row>
    <row r="854" spans="1:4" hidden="1" x14ac:dyDescent="0.25">
      <c r="A854" s="2" t="s">
        <v>52</v>
      </c>
      <c r="B854">
        <v>12</v>
      </c>
      <c r="C854" s="2" t="s">
        <v>156</v>
      </c>
      <c r="D854">
        <v>12</v>
      </c>
    </row>
    <row r="855" spans="1:4" hidden="1" x14ac:dyDescent="0.25">
      <c r="A855" s="2" t="s">
        <v>52</v>
      </c>
      <c r="B855">
        <v>12</v>
      </c>
      <c r="C855" s="2" t="s">
        <v>157</v>
      </c>
      <c r="D855">
        <v>12</v>
      </c>
    </row>
    <row r="856" spans="1:4" hidden="1" x14ac:dyDescent="0.25">
      <c r="A856" s="2" t="s">
        <v>52</v>
      </c>
      <c r="B856">
        <v>12</v>
      </c>
      <c r="C856" s="2" t="s">
        <v>158</v>
      </c>
      <c r="D856">
        <v>12</v>
      </c>
    </row>
    <row r="857" spans="1:4" hidden="1" x14ac:dyDescent="0.25">
      <c r="A857" s="2" t="s">
        <v>52</v>
      </c>
      <c r="B857">
        <v>12</v>
      </c>
      <c r="C857" s="2" t="s">
        <v>159</v>
      </c>
      <c r="D857">
        <v>12</v>
      </c>
    </row>
    <row r="858" spans="1:4" hidden="1" x14ac:dyDescent="0.25">
      <c r="A858" s="2" t="s">
        <v>52</v>
      </c>
      <c r="B858">
        <v>12</v>
      </c>
      <c r="C858" s="2" t="s">
        <v>160</v>
      </c>
      <c r="D858">
        <v>12</v>
      </c>
    </row>
    <row r="859" spans="1:4" hidden="1" x14ac:dyDescent="0.25">
      <c r="A859" s="2" t="s">
        <v>52</v>
      </c>
      <c r="B859">
        <v>12</v>
      </c>
      <c r="C859" s="2" t="s">
        <v>161</v>
      </c>
      <c r="D859">
        <v>12</v>
      </c>
    </row>
    <row r="860" spans="1:4" hidden="1" x14ac:dyDescent="0.25">
      <c r="A860" s="2" t="s">
        <v>52</v>
      </c>
      <c r="B860">
        <v>12</v>
      </c>
      <c r="C860" s="2" t="s">
        <v>162</v>
      </c>
      <c r="D860">
        <v>12</v>
      </c>
    </row>
    <row r="861" spans="1:4" hidden="1" x14ac:dyDescent="0.25">
      <c r="A861" s="2" t="s">
        <v>52</v>
      </c>
      <c r="B861">
        <v>12</v>
      </c>
      <c r="C861" s="2" t="s">
        <v>163</v>
      </c>
      <c r="D861">
        <v>12</v>
      </c>
    </row>
    <row r="862" spans="1:4" hidden="1" x14ac:dyDescent="0.25">
      <c r="A862" s="2" t="s">
        <v>52</v>
      </c>
      <c r="B862">
        <v>12</v>
      </c>
      <c r="C862" s="2" t="s">
        <v>164</v>
      </c>
      <c r="D862">
        <v>12</v>
      </c>
    </row>
    <row r="863" spans="1:4" hidden="1" x14ac:dyDescent="0.25">
      <c r="A863" s="2" t="s">
        <v>52</v>
      </c>
      <c r="B863">
        <v>12</v>
      </c>
      <c r="C863" s="2" t="s">
        <v>165</v>
      </c>
      <c r="D863">
        <v>12</v>
      </c>
    </row>
    <row r="864" spans="1:4" hidden="1" x14ac:dyDescent="0.25">
      <c r="A864" s="2" t="s">
        <v>52</v>
      </c>
      <c r="B864">
        <v>12</v>
      </c>
      <c r="C864" s="2" t="s">
        <v>166</v>
      </c>
      <c r="D864">
        <v>12</v>
      </c>
    </row>
    <row r="865" spans="1:4" hidden="1" x14ac:dyDescent="0.25">
      <c r="A865" s="2" t="s">
        <v>52</v>
      </c>
      <c r="B865">
        <v>12</v>
      </c>
      <c r="C865" s="2" t="s">
        <v>167</v>
      </c>
      <c r="D865">
        <v>12</v>
      </c>
    </row>
    <row r="866" spans="1:4" hidden="1" x14ac:dyDescent="0.25">
      <c r="A866" s="2" t="s">
        <v>52</v>
      </c>
      <c r="B866">
        <v>12</v>
      </c>
      <c r="C866" s="2" t="s">
        <v>168</v>
      </c>
      <c r="D866">
        <v>12</v>
      </c>
    </row>
    <row r="867" spans="1:4" hidden="1" x14ac:dyDescent="0.25">
      <c r="A867" s="2" t="s">
        <v>52</v>
      </c>
      <c r="B867">
        <v>12</v>
      </c>
      <c r="C867" s="2" t="s">
        <v>169</v>
      </c>
      <c r="D867">
        <v>12</v>
      </c>
    </row>
    <row r="868" spans="1:4" hidden="1" x14ac:dyDescent="0.25">
      <c r="A868" s="2" t="s">
        <v>52</v>
      </c>
      <c r="B868">
        <v>12</v>
      </c>
      <c r="C868" s="2" t="s">
        <v>170</v>
      </c>
      <c r="D868">
        <v>12</v>
      </c>
    </row>
    <row r="869" spans="1:4" hidden="1" x14ac:dyDescent="0.25">
      <c r="A869" s="2" t="s">
        <v>52</v>
      </c>
      <c r="B869">
        <v>12</v>
      </c>
      <c r="C869" s="2" t="s">
        <v>171</v>
      </c>
      <c r="D869">
        <v>12</v>
      </c>
    </row>
    <row r="870" spans="1:4" hidden="1" x14ac:dyDescent="0.25">
      <c r="A870" s="2" t="s">
        <v>52</v>
      </c>
      <c r="B870">
        <v>12</v>
      </c>
      <c r="C870" s="2" t="s">
        <v>172</v>
      </c>
      <c r="D870">
        <v>12</v>
      </c>
    </row>
    <row r="871" spans="1:4" hidden="1" x14ac:dyDescent="0.25">
      <c r="A871" s="2" t="s">
        <v>52</v>
      </c>
      <c r="B871">
        <v>12</v>
      </c>
      <c r="C871" s="2" t="s">
        <v>173</v>
      </c>
      <c r="D871">
        <v>12</v>
      </c>
    </row>
    <row r="872" spans="1:4" hidden="1" x14ac:dyDescent="0.25">
      <c r="A872" s="2" t="s">
        <v>52</v>
      </c>
      <c r="B872">
        <v>12</v>
      </c>
      <c r="C872" s="2" t="s">
        <v>174</v>
      </c>
      <c r="D872">
        <v>12</v>
      </c>
    </row>
    <row r="873" spans="1:4" hidden="1" x14ac:dyDescent="0.25">
      <c r="A873" s="2" t="s">
        <v>52</v>
      </c>
      <c r="B873">
        <v>12</v>
      </c>
      <c r="C873" s="2" t="s">
        <v>175</v>
      </c>
      <c r="D873">
        <v>12</v>
      </c>
    </row>
    <row r="874" spans="1:4" hidden="1" x14ac:dyDescent="0.25">
      <c r="A874" s="2" t="s">
        <v>52</v>
      </c>
      <c r="B874">
        <v>12</v>
      </c>
      <c r="C874" s="2" t="s">
        <v>176</v>
      </c>
      <c r="D874">
        <v>12</v>
      </c>
    </row>
    <row r="875" spans="1:4" hidden="1" x14ac:dyDescent="0.25">
      <c r="A875" s="2" t="s">
        <v>52</v>
      </c>
      <c r="B875">
        <v>12</v>
      </c>
      <c r="C875" s="2" t="s">
        <v>177</v>
      </c>
      <c r="D875">
        <v>12</v>
      </c>
    </row>
    <row r="876" spans="1:4" hidden="1" x14ac:dyDescent="0.25">
      <c r="A876" s="2" t="s">
        <v>52</v>
      </c>
      <c r="B876">
        <v>12</v>
      </c>
      <c r="C876" s="2" t="s">
        <v>178</v>
      </c>
      <c r="D876">
        <v>12</v>
      </c>
    </row>
    <row r="877" spans="1:4" hidden="1" x14ac:dyDescent="0.25">
      <c r="A877" s="2" t="s">
        <v>52</v>
      </c>
      <c r="B877">
        <v>12</v>
      </c>
      <c r="C877" s="2" t="s">
        <v>179</v>
      </c>
      <c r="D877">
        <v>12</v>
      </c>
    </row>
    <row r="878" spans="1:4" hidden="1" x14ac:dyDescent="0.25">
      <c r="A878" s="2" t="s">
        <v>53</v>
      </c>
      <c r="B878">
        <v>12</v>
      </c>
      <c r="C878" s="2" t="s">
        <v>183</v>
      </c>
      <c r="D878">
        <v>1</v>
      </c>
    </row>
    <row r="879" spans="1:4" hidden="1" x14ac:dyDescent="0.25">
      <c r="A879" s="2" t="s">
        <v>53</v>
      </c>
      <c r="B879">
        <v>12</v>
      </c>
      <c r="C879" s="2" t="s">
        <v>184</v>
      </c>
      <c r="D879">
        <v>1</v>
      </c>
    </row>
    <row r="880" spans="1:4" hidden="1" x14ac:dyDescent="0.25">
      <c r="A880" s="2" t="s">
        <v>53</v>
      </c>
      <c r="B880">
        <v>12</v>
      </c>
      <c r="C880" s="2" t="s">
        <v>185</v>
      </c>
      <c r="D880">
        <v>3</v>
      </c>
    </row>
    <row r="881" spans="1:4" hidden="1" x14ac:dyDescent="0.25">
      <c r="A881" s="2" t="s">
        <v>53</v>
      </c>
      <c r="B881">
        <v>12</v>
      </c>
      <c r="C881" s="2" t="s">
        <v>186</v>
      </c>
      <c r="D881">
        <v>54</v>
      </c>
    </row>
    <row r="882" spans="1:4" hidden="1" x14ac:dyDescent="0.25">
      <c r="A882" s="2" t="s">
        <v>53</v>
      </c>
      <c r="B882">
        <v>12</v>
      </c>
      <c r="C882" s="2" t="s">
        <v>187</v>
      </c>
      <c r="D882">
        <v>55</v>
      </c>
    </row>
    <row r="883" spans="1:4" hidden="1" x14ac:dyDescent="0.25">
      <c r="A883" s="2" t="s">
        <v>53</v>
      </c>
      <c r="B883">
        <v>12</v>
      </c>
      <c r="C883" s="2" t="s">
        <v>188</v>
      </c>
      <c r="D883">
        <v>53</v>
      </c>
    </row>
    <row r="884" spans="1:4" hidden="1" x14ac:dyDescent="0.25">
      <c r="A884" s="2" t="s">
        <v>53</v>
      </c>
      <c r="B884">
        <v>12</v>
      </c>
      <c r="C884" s="2" t="s">
        <v>189</v>
      </c>
      <c r="D884">
        <v>71</v>
      </c>
    </row>
    <row r="885" spans="1:4" hidden="1" x14ac:dyDescent="0.25">
      <c r="A885" s="2" t="s">
        <v>53</v>
      </c>
      <c r="B885">
        <v>12</v>
      </c>
      <c r="C885" s="2" t="s">
        <v>190</v>
      </c>
      <c r="D885">
        <v>65</v>
      </c>
    </row>
    <row r="886" spans="1:4" hidden="1" x14ac:dyDescent="0.25">
      <c r="A886" s="2" t="s">
        <v>53</v>
      </c>
      <c r="B886">
        <v>12</v>
      </c>
      <c r="C886" s="2" t="s">
        <v>191</v>
      </c>
      <c r="D886">
        <v>16</v>
      </c>
    </row>
    <row r="887" spans="1:4" hidden="1" x14ac:dyDescent="0.25">
      <c r="A887" s="2" t="s">
        <v>53</v>
      </c>
      <c r="B887">
        <v>12</v>
      </c>
      <c r="C887" s="2" t="s">
        <v>116</v>
      </c>
      <c r="D887">
        <v>10</v>
      </c>
    </row>
    <row r="888" spans="1:4" hidden="1" x14ac:dyDescent="0.25">
      <c r="A888" s="2" t="s">
        <v>53</v>
      </c>
      <c r="B888">
        <v>12</v>
      </c>
      <c r="C888" s="2" t="s">
        <v>117</v>
      </c>
      <c r="D888">
        <v>9</v>
      </c>
    </row>
    <row r="889" spans="1:4" hidden="1" x14ac:dyDescent="0.25">
      <c r="A889" s="2" t="s">
        <v>53</v>
      </c>
      <c r="B889">
        <v>12</v>
      </c>
      <c r="C889" s="2" t="s">
        <v>118</v>
      </c>
      <c r="D889">
        <v>3</v>
      </c>
    </row>
    <row r="890" spans="1:4" hidden="1" x14ac:dyDescent="0.25">
      <c r="A890" s="2" t="s">
        <v>53</v>
      </c>
      <c r="B890">
        <v>12</v>
      </c>
      <c r="C890" s="2" t="s">
        <v>119</v>
      </c>
      <c r="D890">
        <v>10</v>
      </c>
    </row>
    <row r="891" spans="1:4" hidden="1" x14ac:dyDescent="0.25">
      <c r="A891" s="2" t="s">
        <v>53</v>
      </c>
      <c r="B891">
        <v>12</v>
      </c>
      <c r="C891" s="2" t="s">
        <v>120</v>
      </c>
      <c r="D891">
        <v>10</v>
      </c>
    </row>
    <row r="892" spans="1:4" hidden="1" x14ac:dyDescent="0.25">
      <c r="A892" s="2" t="s">
        <v>53</v>
      </c>
      <c r="B892">
        <v>12</v>
      </c>
      <c r="C892" s="2" t="s">
        <v>121</v>
      </c>
      <c r="D892">
        <v>9</v>
      </c>
    </row>
    <row r="893" spans="1:4" hidden="1" x14ac:dyDescent="0.25">
      <c r="A893" s="2" t="s">
        <v>53</v>
      </c>
      <c r="B893">
        <v>12</v>
      </c>
      <c r="C893" s="2" t="s">
        <v>122</v>
      </c>
      <c r="D893">
        <v>10</v>
      </c>
    </row>
    <row r="894" spans="1:4" hidden="1" x14ac:dyDescent="0.25">
      <c r="A894" s="2" t="s">
        <v>53</v>
      </c>
      <c r="B894">
        <v>12</v>
      </c>
      <c r="C894" s="2" t="s">
        <v>123</v>
      </c>
      <c r="D894">
        <v>13</v>
      </c>
    </row>
    <row r="895" spans="1:4" hidden="1" x14ac:dyDescent="0.25">
      <c r="A895" s="2" t="s">
        <v>53</v>
      </c>
      <c r="B895">
        <v>12</v>
      </c>
      <c r="C895" s="2" t="s">
        <v>124</v>
      </c>
      <c r="D895">
        <v>11</v>
      </c>
    </row>
    <row r="896" spans="1:4" hidden="1" x14ac:dyDescent="0.25">
      <c r="A896" s="2" t="s">
        <v>53</v>
      </c>
      <c r="B896">
        <v>12</v>
      </c>
      <c r="C896" s="2" t="s">
        <v>125</v>
      </c>
      <c r="D896">
        <v>10</v>
      </c>
    </row>
    <row r="897" spans="1:4" hidden="1" x14ac:dyDescent="0.25">
      <c r="A897" s="2" t="s">
        <v>53</v>
      </c>
      <c r="B897">
        <v>12</v>
      </c>
      <c r="C897" s="2" t="s">
        <v>126</v>
      </c>
      <c r="D897">
        <v>16</v>
      </c>
    </row>
    <row r="898" spans="1:4" hidden="1" x14ac:dyDescent="0.25">
      <c r="A898" s="2" t="s">
        <v>53</v>
      </c>
      <c r="B898">
        <v>12</v>
      </c>
      <c r="C898" s="2" t="s">
        <v>127</v>
      </c>
      <c r="D898">
        <v>20</v>
      </c>
    </row>
    <row r="899" spans="1:4" hidden="1" x14ac:dyDescent="0.25">
      <c r="A899" s="2" t="s">
        <v>53</v>
      </c>
      <c r="B899">
        <v>12</v>
      </c>
      <c r="C899" s="2" t="s">
        <v>128</v>
      </c>
      <c r="D899">
        <v>16</v>
      </c>
    </row>
    <row r="900" spans="1:4" hidden="1" x14ac:dyDescent="0.25">
      <c r="A900" s="2" t="s">
        <v>53</v>
      </c>
      <c r="B900">
        <v>12</v>
      </c>
      <c r="C900" s="2" t="s">
        <v>129</v>
      </c>
      <c r="D900">
        <v>17</v>
      </c>
    </row>
    <row r="901" spans="1:4" hidden="1" x14ac:dyDescent="0.25">
      <c r="A901" s="2" t="s">
        <v>53</v>
      </c>
      <c r="B901">
        <v>12</v>
      </c>
      <c r="C901" s="2" t="s">
        <v>130</v>
      </c>
      <c r="D901">
        <v>9</v>
      </c>
    </row>
    <row r="902" spans="1:4" hidden="1" x14ac:dyDescent="0.25">
      <c r="A902" s="2" t="s">
        <v>53</v>
      </c>
      <c r="B902">
        <v>12</v>
      </c>
      <c r="C902" s="2" t="s">
        <v>131</v>
      </c>
      <c r="D902">
        <v>11</v>
      </c>
    </row>
    <row r="903" spans="1:4" hidden="1" x14ac:dyDescent="0.25">
      <c r="A903" s="2" t="s">
        <v>53</v>
      </c>
      <c r="B903">
        <v>12</v>
      </c>
      <c r="C903" s="2" t="s">
        <v>132</v>
      </c>
      <c r="D903">
        <v>13</v>
      </c>
    </row>
    <row r="904" spans="1:4" hidden="1" x14ac:dyDescent="0.25">
      <c r="A904" s="2" t="s">
        <v>53</v>
      </c>
      <c r="B904">
        <v>12</v>
      </c>
      <c r="C904" s="2" t="s">
        <v>133</v>
      </c>
      <c r="D904">
        <v>13</v>
      </c>
    </row>
    <row r="905" spans="1:4" hidden="1" x14ac:dyDescent="0.25">
      <c r="A905" s="2" t="s">
        <v>53</v>
      </c>
      <c r="B905">
        <v>12</v>
      </c>
      <c r="C905" s="2" t="s">
        <v>134</v>
      </c>
      <c r="D905">
        <v>13</v>
      </c>
    </row>
    <row r="906" spans="1:4" hidden="1" x14ac:dyDescent="0.25">
      <c r="A906" s="2" t="s">
        <v>53</v>
      </c>
      <c r="B906">
        <v>12</v>
      </c>
      <c r="C906" s="2" t="s">
        <v>135</v>
      </c>
      <c r="D906">
        <v>12</v>
      </c>
    </row>
    <row r="907" spans="1:4" hidden="1" x14ac:dyDescent="0.25">
      <c r="A907" s="2" t="s">
        <v>53</v>
      </c>
      <c r="B907">
        <v>12</v>
      </c>
      <c r="C907" s="2" t="s">
        <v>136</v>
      </c>
      <c r="D907">
        <v>12</v>
      </c>
    </row>
    <row r="908" spans="1:4" hidden="1" x14ac:dyDescent="0.25">
      <c r="A908" s="2" t="s">
        <v>53</v>
      </c>
      <c r="B908">
        <v>12</v>
      </c>
      <c r="C908" s="2" t="s">
        <v>137</v>
      </c>
      <c r="D908">
        <v>12</v>
      </c>
    </row>
    <row r="909" spans="1:4" hidden="1" x14ac:dyDescent="0.25">
      <c r="A909" s="2" t="s">
        <v>53</v>
      </c>
      <c r="B909">
        <v>12</v>
      </c>
      <c r="C909" s="2" t="s">
        <v>138</v>
      </c>
      <c r="D909">
        <v>12</v>
      </c>
    </row>
    <row r="910" spans="1:4" hidden="1" x14ac:dyDescent="0.25">
      <c r="A910" s="2" t="s">
        <v>53</v>
      </c>
      <c r="B910">
        <v>12</v>
      </c>
      <c r="C910" s="2" t="s">
        <v>139</v>
      </c>
      <c r="D910">
        <v>12</v>
      </c>
    </row>
    <row r="911" spans="1:4" hidden="1" x14ac:dyDescent="0.25">
      <c r="A911" s="2" t="s">
        <v>53</v>
      </c>
      <c r="B911">
        <v>12</v>
      </c>
      <c r="C911" s="2" t="s">
        <v>140</v>
      </c>
      <c r="D911">
        <v>12</v>
      </c>
    </row>
    <row r="912" spans="1:4" hidden="1" x14ac:dyDescent="0.25">
      <c r="A912" s="2" t="s">
        <v>53</v>
      </c>
      <c r="B912">
        <v>12</v>
      </c>
      <c r="C912" s="2" t="s">
        <v>141</v>
      </c>
      <c r="D912">
        <v>12</v>
      </c>
    </row>
    <row r="913" spans="1:4" hidden="1" x14ac:dyDescent="0.25">
      <c r="A913" s="2" t="s">
        <v>53</v>
      </c>
      <c r="B913">
        <v>12</v>
      </c>
      <c r="C913" s="2" t="s">
        <v>142</v>
      </c>
      <c r="D913">
        <v>12</v>
      </c>
    </row>
    <row r="914" spans="1:4" hidden="1" x14ac:dyDescent="0.25">
      <c r="A914" s="2" t="s">
        <v>53</v>
      </c>
      <c r="B914">
        <v>12</v>
      </c>
      <c r="C914" s="2" t="s">
        <v>143</v>
      </c>
      <c r="D914">
        <v>12</v>
      </c>
    </row>
    <row r="915" spans="1:4" hidden="1" x14ac:dyDescent="0.25">
      <c r="A915" s="2" t="s">
        <v>53</v>
      </c>
      <c r="B915">
        <v>12</v>
      </c>
      <c r="C915" s="2" t="s">
        <v>144</v>
      </c>
      <c r="D915">
        <v>12</v>
      </c>
    </row>
    <row r="916" spans="1:4" hidden="1" x14ac:dyDescent="0.25">
      <c r="A916" s="2" t="s">
        <v>53</v>
      </c>
      <c r="B916">
        <v>12</v>
      </c>
      <c r="C916" s="2" t="s">
        <v>145</v>
      </c>
      <c r="D916">
        <v>12</v>
      </c>
    </row>
    <row r="917" spans="1:4" hidden="1" x14ac:dyDescent="0.25">
      <c r="A917" s="2" t="s">
        <v>53</v>
      </c>
      <c r="B917">
        <v>12</v>
      </c>
      <c r="C917" s="2" t="s">
        <v>146</v>
      </c>
      <c r="D917">
        <v>12</v>
      </c>
    </row>
    <row r="918" spans="1:4" hidden="1" x14ac:dyDescent="0.25">
      <c r="A918" s="2" t="s">
        <v>53</v>
      </c>
      <c r="B918">
        <v>12</v>
      </c>
      <c r="C918" s="2" t="s">
        <v>147</v>
      </c>
      <c r="D918">
        <v>12</v>
      </c>
    </row>
    <row r="919" spans="1:4" hidden="1" x14ac:dyDescent="0.25">
      <c r="A919" s="2" t="s">
        <v>53</v>
      </c>
      <c r="B919">
        <v>12</v>
      </c>
      <c r="C919" s="2" t="s">
        <v>148</v>
      </c>
      <c r="D919">
        <v>12</v>
      </c>
    </row>
    <row r="920" spans="1:4" hidden="1" x14ac:dyDescent="0.25">
      <c r="A920" s="2" t="s">
        <v>53</v>
      </c>
      <c r="B920">
        <v>12</v>
      </c>
      <c r="C920" s="2" t="s">
        <v>149</v>
      </c>
      <c r="D920">
        <v>12</v>
      </c>
    </row>
    <row r="921" spans="1:4" hidden="1" x14ac:dyDescent="0.25">
      <c r="A921" s="2" t="s">
        <v>53</v>
      </c>
      <c r="B921">
        <v>12</v>
      </c>
      <c r="C921" s="2" t="s">
        <v>150</v>
      </c>
      <c r="D921">
        <v>12</v>
      </c>
    </row>
    <row r="922" spans="1:4" hidden="1" x14ac:dyDescent="0.25">
      <c r="A922" s="2" t="s">
        <v>53</v>
      </c>
      <c r="B922">
        <v>12</v>
      </c>
      <c r="C922" s="2" t="s">
        <v>151</v>
      </c>
      <c r="D922">
        <v>12</v>
      </c>
    </row>
    <row r="923" spans="1:4" hidden="1" x14ac:dyDescent="0.25">
      <c r="A923" s="2" t="s">
        <v>53</v>
      </c>
      <c r="B923">
        <v>12</v>
      </c>
      <c r="C923" s="2" t="s">
        <v>152</v>
      </c>
      <c r="D923">
        <v>12</v>
      </c>
    </row>
    <row r="924" spans="1:4" hidden="1" x14ac:dyDescent="0.25">
      <c r="A924" s="2" t="s">
        <v>53</v>
      </c>
      <c r="B924">
        <v>12</v>
      </c>
      <c r="C924" s="2" t="s">
        <v>153</v>
      </c>
      <c r="D924">
        <v>12</v>
      </c>
    </row>
    <row r="925" spans="1:4" hidden="1" x14ac:dyDescent="0.25">
      <c r="A925" s="2" t="s">
        <v>53</v>
      </c>
      <c r="B925">
        <v>12</v>
      </c>
      <c r="C925" s="2" t="s">
        <v>154</v>
      </c>
      <c r="D925">
        <v>12</v>
      </c>
    </row>
    <row r="926" spans="1:4" hidden="1" x14ac:dyDescent="0.25">
      <c r="A926" s="2" t="s">
        <v>53</v>
      </c>
      <c r="B926">
        <v>12</v>
      </c>
      <c r="C926" s="2" t="s">
        <v>155</v>
      </c>
      <c r="D926">
        <v>12</v>
      </c>
    </row>
    <row r="927" spans="1:4" hidden="1" x14ac:dyDescent="0.25">
      <c r="A927" s="2" t="s">
        <v>53</v>
      </c>
      <c r="B927">
        <v>12</v>
      </c>
      <c r="C927" s="2" t="s">
        <v>156</v>
      </c>
      <c r="D927">
        <v>12</v>
      </c>
    </row>
    <row r="928" spans="1:4" hidden="1" x14ac:dyDescent="0.25">
      <c r="A928" s="2" t="s">
        <v>53</v>
      </c>
      <c r="B928">
        <v>12</v>
      </c>
      <c r="C928" s="2" t="s">
        <v>157</v>
      </c>
      <c r="D928">
        <v>12</v>
      </c>
    </row>
    <row r="929" spans="1:4" hidden="1" x14ac:dyDescent="0.25">
      <c r="A929" s="2" t="s">
        <v>53</v>
      </c>
      <c r="B929">
        <v>12</v>
      </c>
      <c r="C929" s="2" t="s">
        <v>158</v>
      </c>
      <c r="D929">
        <v>12</v>
      </c>
    </row>
    <row r="930" spans="1:4" hidden="1" x14ac:dyDescent="0.25">
      <c r="A930" s="2" t="s">
        <v>53</v>
      </c>
      <c r="B930">
        <v>12</v>
      </c>
      <c r="C930" s="2" t="s">
        <v>159</v>
      </c>
      <c r="D930">
        <v>12</v>
      </c>
    </row>
    <row r="931" spans="1:4" hidden="1" x14ac:dyDescent="0.25">
      <c r="A931" s="2" t="s">
        <v>53</v>
      </c>
      <c r="B931">
        <v>12</v>
      </c>
      <c r="C931" s="2" t="s">
        <v>160</v>
      </c>
      <c r="D931">
        <v>12</v>
      </c>
    </row>
    <row r="932" spans="1:4" hidden="1" x14ac:dyDescent="0.25">
      <c r="A932" s="2" t="s">
        <v>53</v>
      </c>
      <c r="B932">
        <v>12</v>
      </c>
      <c r="C932" s="2" t="s">
        <v>161</v>
      </c>
      <c r="D932">
        <v>12</v>
      </c>
    </row>
    <row r="933" spans="1:4" hidden="1" x14ac:dyDescent="0.25">
      <c r="A933" s="2" t="s">
        <v>53</v>
      </c>
      <c r="B933">
        <v>12</v>
      </c>
      <c r="C933" s="2" t="s">
        <v>162</v>
      </c>
      <c r="D933">
        <v>12</v>
      </c>
    </row>
    <row r="934" spans="1:4" hidden="1" x14ac:dyDescent="0.25">
      <c r="A934" s="2" t="s">
        <v>53</v>
      </c>
      <c r="B934">
        <v>12</v>
      </c>
      <c r="C934" s="2" t="s">
        <v>163</v>
      </c>
      <c r="D934">
        <v>12</v>
      </c>
    </row>
    <row r="935" spans="1:4" hidden="1" x14ac:dyDescent="0.25">
      <c r="A935" s="2" t="s">
        <v>53</v>
      </c>
      <c r="B935">
        <v>12</v>
      </c>
      <c r="C935" s="2" t="s">
        <v>164</v>
      </c>
      <c r="D935">
        <v>12</v>
      </c>
    </row>
    <row r="936" spans="1:4" hidden="1" x14ac:dyDescent="0.25">
      <c r="A936" s="2" t="s">
        <v>53</v>
      </c>
      <c r="B936">
        <v>12</v>
      </c>
      <c r="C936" s="2" t="s">
        <v>165</v>
      </c>
      <c r="D936">
        <v>12</v>
      </c>
    </row>
    <row r="937" spans="1:4" hidden="1" x14ac:dyDescent="0.25">
      <c r="A937" s="2" t="s">
        <v>53</v>
      </c>
      <c r="B937">
        <v>12</v>
      </c>
      <c r="C937" s="2" t="s">
        <v>166</v>
      </c>
      <c r="D937">
        <v>12</v>
      </c>
    </row>
    <row r="938" spans="1:4" hidden="1" x14ac:dyDescent="0.25">
      <c r="A938" s="2" t="s">
        <v>53</v>
      </c>
      <c r="B938">
        <v>12</v>
      </c>
      <c r="C938" s="2" t="s">
        <v>167</v>
      </c>
      <c r="D938">
        <v>12</v>
      </c>
    </row>
    <row r="939" spans="1:4" hidden="1" x14ac:dyDescent="0.25">
      <c r="A939" s="2" t="s">
        <v>53</v>
      </c>
      <c r="B939">
        <v>12</v>
      </c>
      <c r="C939" s="2" t="s">
        <v>168</v>
      </c>
      <c r="D939">
        <v>12</v>
      </c>
    </row>
    <row r="940" spans="1:4" hidden="1" x14ac:dyDescent="0.25">
      <c r="A940" s="2" t="s">
        <v>53</v>
      </c>
      <c r="B940">
        <v>12</v>
      </c>
      <c r="C940" s="2" t="s">
        <v>169</v>
      </c>
      <c r="D940">
        <v>12</v>
      </c>
    </row>
    <row r="941" spans="1:4" hidden="1" x14ac:dyDescent="0.25">
      <c r="A941" s="2" t="s">
        <v>53</v>
      </c>
      <c r="B941">
        <v>12</v>
      </c>
      <c r="C941" s="2" t="s">
        <v>170</v>
      </c>
      <c r="D941">
        <v>12</v>
      </c>
    </row>
    <row r="942" spans="1:4" hidden="1" x14ac:dyDescent="0.25">
      <c r="A942" s="2" t="s">
        <v>53</v>
      </c>
      <c r="B942">
        <v>12</v>
      </c>
      <c r="C942" s="2" t="s">
        <v>171</v>
      </c>
      <c r="D942">
        <v>12</v>
      </c>
    </row>
    <row r="943" spans="1:4" hidden="1" x14ac:dyDescent="0.25">
      <c r="A943" s="2" t="s">
        <v>53</v>
      </c>
      <c r="B943">
        <v>12</v>
      </c>
      <c r="C943" s="2" t="s">
        <v>172</v>
      </c>
      <c r="D943">
        <v>12</v>
      </c>
    </row>
    <row r="944" spans="1:4" hidden="1" x14ac:dyDescent="0.25">
      <c r="A944" s="2" t="s">
        <v>53</v>
      </c>
      <c r="B944">
        <v>12</v>
      </c>
      <c r="C944" s="2" t="s">
        <v>173</v>
      </c>
      <c r="D944">
        <v>12</v>
      </c>
    </row>
    <row r="945" spans="1:4" hidden="1" x14ac:dyDescent="0.25">
      <c r="A945" s="2" t="s">
        <v>53</v>
      </c>
      <c r="B945">
        <v>12</v>
      </c>
      <c r="C945" s="2" t="s">
        <v>174</v>
      </c>
      <c r="D945">
        <v>12</v>
      </c>
    </row>
    <row r="946" spans="1:4" hidden="1" x14ac:dyDescent="0.25">
      <c r="A946" s="2" t="s">
        <v>53</v>
      </c>
      <c r="B946">
        <v>12</v>
      </c>
      <c r="C946" s="2" t="s">
        <v>175</v>
      </c>
      <c r="D946">
        <v>12</v>
      </c>
    </row>
    <row r="947" spans="1:4" hidden="1" x14ac:dyDescent="0.25">
      <c r="A947" s="2" t="s">
        <v>53</v>
      </c>
      <c r="B947">
        <v>12</v>
      </c>
      <c r="C947" s="2" t="s">
        <v>176</v>
      </c>
      <c r="D947">
        <v>12</v>
      </c>
    </row>
    <row r="948" spans="1:4" hidden="1" x14ac:dyDescent="0.25">
      <c r="A948" s="2" t="s">
        <v>53</v>
      </c>
      <c r="B948">
        <v>12</v>
      </c>
      <c r="C948" s="2" t="s">
        <v>177</v>
      </c>
      <c r="D948">
        <v>12</v>
      </c>
    </row>
    <row r="949" spans="1:4" hidden="1" x14ac:dyDescent="0.25">
      <c r="A949" s="2" t="s">
        <v>53</v>
      </c>
      <c r="B949">
        <v>12</v>
      </c>
      <c r="C949" s="2" t="s">
        <v>178</v>
      </c>
      <c r="D949">
        <v>12</v>
      </c>
    </row>
    <row r="950" spans="1:4" hidden="1" x14ac:dyDescent="0.25">
      <c r="A950" s="2" t="s">
        <v>53</v>
      </c>
      <c r="B950">
        <v>12</v>
      </c>
      <c r="C950" s="2" t="s">
        <v>179</v>
      </c>
      <c r="D950">
        <v>12</v>
      </c>
    </row>
    <row r="951" spans="1:4" hidden="1" x14ac:dyDescent="0.25">
      <c r="A951" s="2" t="s">
        <v>74</v>
      </c>
      <c r="B951">
        <v>12</v>
      </c>
      <c r="C951" s="2" t="s">
        <v>183</v>
      </c>
      <c r="D951">
        <v>13</v>
      </c>
    </row>
    <row r="952" spans="1:4" hidden="1" x14ac:dyDescent="0.25">
      <c r="A952" s="2" t="s">
        <v>74</v>
      </c>
      <c r="B952">
        <v>12</v>
      </c>
      <c r="C952" s="2" t="s">
        <v>184</v>
      </c>
      <c r="D952">
        <v>14</v>
      </c>
    </row>
    <row r="953" spans="1:4" hidden="1" x14ac:dyDescent="0.25">
      <c r="A953" s="2" t="s">
        <v>74</v>
      </c>
      <c r="B953">
        <v>12</v>
      </c>
      <c r="C953" s="2" t="s">
        <v>185</v>
      </c>
      <c r="D953">
        <v>3</v>
      </c>
    </row>
    <row r="954" spans="1:4" hidden="1" x14ac:dyDescent="0.25">
      <c r="A954" s="2" t="s">
        <v>74</v>
      </c>
      <c r="B954">
        <v>12</v>
      </c>
      <c r="C954" s="2" t="s">
        <v>186</v>
      </c>
      <c r="D954">
        <v>1</v>
      </c>
    </row>
    <row r="955" spans="1:4" hidden="1" x14ac:dyDescent="0.25">
      <c r="A955" s="2" t="s">
        <v>74</v>
      </c>
      <c r="B955">
        <v>12</v>
      </c>
      <c r="C955" s="2" t="s">
        <v>187</v>
      </c>
      <c r="D955">
        <v>1</v>
      </c>
    </row>
    <row r="956" spans="1:4" hidden="1" x14ac:dyDescent="0.25">
      <c r="A956" s="2" t="s">
        <v>74</v>
      </c>
      <c r="B956">
        <v>12</v>
      </c>
      <c r="C956" s="2" t="s">
        <v>188</v>
      </c>
      <c r="D956">
        <v>1</v>
      </c>
    </row>
    <row r="957" spans="1:4" hidden="1" x14ac:dyDescent="0.25">
      <c r="A957" s="2" t="s">
        <v>74</v>
      </c>
      <c r="B957">
        <v>12</v>
      </c>
      <c r="C957" s="2" t="s">
        <v>189</v>
      </c>
      <c r="D957">
        <v>11</v>
      </c>
    </row>
    <row r="958" spans="1:4" hidden="1" x14ac:dyDescent="0.25">
      <c r="A958" s="2" t="s">
        <v>74</v>
      </c>
      <c r="B958">
        <v>12</v>
      </c>
      <c r="C958" s="2" t="s">
        <v>190</v>
      </c>
      <c r="D958">
        <v>15</v>
      </c>
    </row>
    <row r="959" spans="1:4" hidden="1" x14ac:dyDescent="0.25">
      <c r="A959" s="2" t="s">
        <v>74</v>
      </c>
      <c r="B959">
        <v>12</v>
      </c>
      <c r="C959" s="2" t="s">
        <v>191</v>
      </c>
      <c r="D959">
        <v>23</v>
      </c>
    </row>
    <row r="960" spans="1:4" hidden="1" x14ac:dyDescent="0.25">
      <c r="A960" s="2" t="s">
        <v>74</v>
      </c>
      <c r="B960">
        <v>12</v>
      </c>
      <c r="C960" s="2" t="s">
        <v>116</v>
      </c>
      <c r="D960">
        <v>23</v>
      </c>
    </row>
    <row r="961" spans="1:4" hidden="1" x14ac:dyDescent="0.25">
      <c r="A961" s="2" t="s">
        <v>74</v>
      </c>
      <c r="B961">
        <v>12</v>
      </c>
      <c r="C961" s="2" t="s">
        <v>117</v>
      </c>
      <c r="D961">
        <v>20</v>
      </c>
    </row>
    <row r="962" spans="1:4" hidden="1" x14ac:dyDescent="0.25">
      <c r="A962" s="2" t="s">
        <v>74</v>
      </c>
      <c r="B962">
        <v>12</v>
      </c>
      <c r="C962" s="2" t="s">
        <v>118</v>
      </c>
      <c r="D962">
        <v>19</v>
      </c>
    </row>
    <row r="963" spans="1:4" hidden="1" x14ac:dyDescent="0.25">
      <c r="A963" s="2" t="s">
        <v>74</v>
      </c>
      <c r="B963">
        <v>12</v>
      </c>
      <c r="C963" s="2" t="s">
        <v>119</v>
      </c>
      <c r="D963">
        <v>14</v>
      </c>
    </row>
    <row r="964" spans="1:4" hidden="1" x14ac:dyDescent="0.25">
      <c r="A964" s="2" t="s">
        <v>74</v>
      </c>
      <c r="B964">
        <v>12</v>
      </c>
      <c r="C964" s="2" t="s">
        <v>120</v>
      </c>
      <c r="D964">
        <v>19</v>
      </c>
    </row>
    <row r="965" spans="1:4" hidden="1" x14ac:dyDescent="0.25">
      <c r="A965" s="2" t="s">
        <v>74</v>
      </c>
      <c r="B965">
        <v>12</v>
      </c>
      <c r="C965" s="2" t="s">
        <v>121</v>
      </c>
      <c r="D965">
        <v>13</v>
      </c>
    </row>
    <row r="966" spans="1:4" hidden="1" x14ac:dyDescent="0.25">
      <c r="A966" s="2" t="s">
        <v>74</v>
      </c>
      <c r="B966">
        <v>12</v>
      </c>
      <c r="C966" s="2" t="s">
        <v>122</v>
      </c>
      <c r="D966">
        <v>15</v>
      </c>
    </row>
    <row r="967" spans="1:4" hidden="1" x14ac:dyDescent="0.25">
      <c r="A967" s="2" t="s">
        <v>74</v>
      </c>
      <c r="B967">
        <v>12</v>
      </c>
      <c r="C967" s="2" t="s">
        <v>123</v>
      </c>
      <c r="D967">
        <v>7</v>
      </c>
    </row>
    <row r="968" spans="1:4" hidden="1" x14ac:dyDescent="0.25">
      <c r="A968" s="2" t="s">
        <v>74</v>
      </c>
      <c r="B968">
        <v>12</v>
      </c>
      <c r="C968" s="2" t="s">
        <v>124</v>
      </c>
      <c r="D968">
        <v>7</v>
      </c>
    </row>
    <row r="969" spans="1:4" hidden="1" x14ac:dyDescent="0.25">
      <c r="A969" s="2" t="s">
        <v>74</v>
      </c>
      <c r="B969">
        <v>12</v>
      </c>
      <c r="C969" s="2" t="s">
        <v>125</v>
      </c>
      <c r="D969">
        <v>5</v>
      </c>
    </row>
    <row r="970" spans="1:4" hidden="1" x14ac:dyDescent="0.25">
      <c r="A970" s="2" t="s">
        <v>74</v>
      </c>
      <c r="B970">
        <v>12</v>
      </c>
      <c r="C970" s="2" t="s">
        <v>126</v>
      </c>
      <c r="D970">
        <v>5</v>
      </c>
    </row>
    <row r="971" spans="1:4" hidden="1" x14ac:dyDescent="0.25">
      <c r="A971" s="2" t="s">
        <v>74</v>
      </c>
      <c r="B971">
        <v>12</v>
      </c>
      <c r="C971" s="2" t="s">
        <v>127</v>
      </c>
      <c r="D971">
        <v>7</v>
      </c>
    </row>
    <row r="972" spans="1:4" hidden="1" x14ac:dyDescent="0.25">
      <c r="A972" s="2" t="s">
        <v>74</v>
      </c>
      <c r="B972">
        <v>12</v>
      </c>
      <c r="C972" s="2" t="s">
        <v>128</v>
      </c>
      <c r="D972">
        <v>14</v>
      </c>
    </row>
    <row r="973" spans="1:4" hidden="1" x14ac:dyDescent="0.25">
      <c r="A973" s="2" t="s">
        <v>74</v>
      </c>
      <c r="B973">
        <v>12</v>
      </c>
      <c r="C973" s="2" t="s">
        <v>129</v>
      </c>
      <c r="D973">
        <v>11</v>
      </c>
    </row>
    <row r="974" spans="1:4" hidden="1" x14ac:dyDescent="0.25">
      <c r="A974" s="2" t="s">
        <v>74</v>
      </c>
      <c r="B974">
        <v>12</v>
      </c>
      <c r="C974" s="2" t="s">
        <v>130</v>
      </c>
      <c r="D974">
        <v>17</v>
      </c>
    </row>
    <row r="975" spans="1:4" hidden="1" x14ac:dyDescent="0.25">
      <c r="A975" s="2" t="s">
        <v>74</v>
      </c>
      <c r="B975">
        <v>12</v>
      </c>
      <c r="C975" s="2" t="s">
        <v>131</v>
      </c>
      <c r="D975">
        <v>20</v>
      </c>
    </row>
    <row r="976" spans="1:4" hidden="1" x14ac:dyDescent="0.25">
      <c r="A976" s="2" t="s">
        <v>74</v>
      </c>
      <c r="B976">
        <v>12</v>
      </c>
      <c r="C976" s="2" t="s">
        <v>132</v>
      </c>
      <c r="D976">
        <v>22</v>
      </c>
    </row>
    <row r="977" spans="1:4" hidden="1" x14ac:dyDescent="0.25">
      <c r="A977" s="2" t="s">
        <v>74</v>
      </c>
      <c r="B977">
        <v>12</v>
      </c>
      <c r="C977" s="2" t="s">
        <v>133</v>
      </c>
      <c r="D977">
        <v>22</v>
      </c>
    </row>
    <row r="978" spans="1:4" hidden="1" x14ac:dyDescent="0.25">
      <c r="A978" s="2" t="s">
        <v>74</v>
      </c>
      <c r="B978">
        <v>12</v>
      </c>
      <c r="C978" s="2" t="s">
        <v>134</v>
      </c>
      <c r="D978">
        <v>25</v>
      </c>
    </row>
    <row r="979" spans="1:4" hidden="1" x14ac:dyDescent="0.25">
      <c r="A979" s="2" t="s">
        <v>74</v>
      </c>
      <c r="B979">
        <v>12</v>
      </c>
      <c r="C979" s="2" t="s">
        <v>135</v>
      </c>
      <c r="D979">
        <v>12</v>
      </c>
    </row>
    <row r="980" spans="1:4" hidden="1" x14ac:dyDescent="0.25">
      <c r="A980" s="2" t="s">
        <v>74</v>
      </c>
      <c r="B980">
        <v>12</v>
      </c>
      <c r="C980" s="2" t="s">
        <v>136</v>
      </c>
      <c r="D980">
        <v>12</v>
      </c>
    </row>
    <row r="981" spans="1:4" hidden="1" x14ac:dyDescent="0.25">
      <c r="A981" s="2" t="s">
        <v>74</v>
      </c>
      <c r="B981">
        <v>12</v>
      </c>
      <c r="C981" s="2" t="s">
        <v>137</v>
      </c>
      <c r="D981">
        <v>12</v>
      </c>
    </row>
    <row r="982" spans="1:4" hidden="1" x14ac:dyDescent="0.25">
      <c r="A982" s="2" t="s">
        <v>74</v>
      </c>
      <c r="B982">
        <v>12</v>
      </c>
      <c r="C982" s="2" t="s">
        <v>138</v>
      </c>
      <c r="D982">
        <v>12</v>
      </c>
    </row>
    <row r="983" spans="1:4" hidden="1" x14ac:dyDescent="0.25">
      <c r="A983" s="2" t="s">
        <v>74</v>
      </c>
      <c r="B983">
        <v>12</v>
      </c>
      <c r="C983" s="2" t="s">
        <v>139</v>
      </c>
      <c r="D983">
        <v>12</v>
      </c>
    </row>
    <row r="984" spans="1:4" hidden="1" x14ac:dyDescent="0.25">
      <c r="A984" s="2" t="s">
        <v>74</v>
      </c>
      <c r="B984">
        <v>12</v>
      </c>
      <c r="C984" s="2" t="s">
        <v>140</v>
      </c>
      <c r="D984">
        <v>12</v>
      </c>
    </row>
    <row r="985" spans="1:4" hidden="1" x14ac:dyDescent="0.25">
      <c r="A985" s="2" t="s">
        <v>74</v>
      </c>
      <c r="B985">
        <v>12</v>
      </c>
      <c r="C985" s="2" t="s">
        <v>141</v>
      </c>
      <c r="D985">
        <v>12</v>
      </c>
    </row>
    <row r="986" spans="1:4" hidden="1" x14ac:dyDescent="0.25">
      <c r="A986" s="2" t="s">
        <v>74</v>
      </c>
      <c r="B986">
        <v>12</v>
      </c>
      <c r="C986" s="2" t="s">
        <v>142</v>
      </c>
      <c r="D986">
        <v>12</v>
      </c>
    </row>
    <row r="987" spans="1:4" hidden="1" x14ac:dyDescent="0.25">
      <c r="A987" s="2" t="s">
        <v>74</v>
      </c>
      <c r="B987">
        <v>12</v>
      </c>
      <c r="C987" s="2" t="s">
        <v>143</v>
      </c>
      <c r="D987">
        <v>12</v>
      </c>
    </row>
    <row r="988" spans="1:4" hidden="1" x14ac:dyDescent="0.25">
      <c r="A988" s="2" t="s">
        <v>74</v>
      </c>
      <c r="B988">
        <v>12</v>
      </c>
      <c r="C988" s="2" t="s">
        <v>144</v>
      </c>
      <c r="D988">
        <v>12</v>
      </c>
    </row>
    <row r="989" spans="1:4" hidden="1" x14ac:dyDescent="0.25">
      <c r="A989" s="2" t="s">
        <v>74</v>
      </c>
      <c r="B989">
        <v>12</v>
      </c>
      <c r="C989" s="2" t="s">
        <v>145</v>
      </c>
      <c r="D989">
        <v>12</v>
      </c>
    </row>
    <row r="990" spans="1:4" hidden="1" x14ac:dyDescent="0.25">
      <c r="A990" s="2" t="s">
        <v>74</v>
      </c>
      <c r="B990">
        <v>12</v>
      </c>
      <c r="C990" s="2" t="s">
        <v>146</v>
      </c>
      <c r="D990">
        <v>12</v>
      </c>
    </row>
    <row r="991" spans="1:4" hidden="1" x14ac:dyDescent="0.25">
      <c r="A991" s="2" t="s">
        <v>74</v>
      </c>
      <c r="B991">
        <v>12</v>
      </c>
      <c r="C991" s="2" t="s">
        <v>147</v>
      </c>
      <c r="D991">
        <v>12</v>
      </c>
    </row>
    <row r="992" spans="1:4" hidden="1" x14ac:dyDescent="0.25">
      <c r="A992" s="2" t="s">
        <v>74</v>
      </c>
      <c r="B992">
        <v>12</v>
      </c>
      <c r="C992" s="2" t="s">
        <v>148</v>
      </c>
      <c r="D992">
        <v>12</v>
      </c>
    </row>
    <row r="993" spans="1:4" hidden="1" x14ac:dyDescent="0.25">
      <c r="A993" s="2" t="s">
        <v>74</v>
      </c>
      <c r="B993">
        <v>12</v>
      </c>
      <c r="C993" s="2" t="s">
        <v>149</v>
      </c>
      <c r="D993">
        <v>12</v>
      </c>
    </row>
    <row r="994" spans="1:4" hidden="1" x14ac:dyDescent="0.25">
      <c r="A994" s="2" t="s">
        <v>74</v>
      </c>
      <c r="B994">
        <v>12</v>
      </c>
      <c r="C994" s="2" t="s">
        <v>150</v>
      </c>
      <c r="D994">
        <v>12</v>
      </c>
    </row>
    <row r="995" spans="1:4" hidden="1" x14ac:dyDescent="0.25">
      <c r="A995" s="2" t="s">
        <v>74</v>
      </c>
      <c r="B995">
        <v>12</v>
      </c>
      <c r="C995" s="2" t="s">
        <v>151</v>
      </c>
      <c r="D995">
        <v>12</v>
      </c>
    </row>
    <row r="996" spans="1:4" hidden="1" x14ac:dyDescent="0.25">
      <c r="A996" s="2" t="s">
        <v>74</v>
      </c>
      <c r="B996">
        <v>12</v>
      </c>
      <c r="C996" s="2" t="s">
        <v>152</v>
      </c>
      <c r="D996">
        <v>12</v>
      </c>
    </row>
    <row r="997" spans="1:4" hidden="1" x14ac:dyDescent="0.25">
      <c r="A997" s="2" t="s">
        <v>74</v>
      </c>
      <c r="B997">
        <v>12</v>
      </c>
      <c r="C997" s="2" t="s">
        <v>153</v>
      </c>
      <c r="D997">
        <v>12</v>
      </c>
    </row>
    <row r="998" spans="1:4" hidden="1" x14ac:dyDescent="0.25">
      <c r="A998" s="2" t="s">
        <v>74</v>
      </c>
      <c r="B998">
        <v>12</v>
      </c>
      <c r="C998" s="2" t="s">
        <v>154</v>
      </c>
      <c r="D998">
        <v>12</v>
      </c>
    </row>
    <row r="999" spans="1:4" hidden="1" x14ac:dyDescent="0.25">
      <c r="A999" s="2" t="s">
        <v>74</v>
      </c>
      <c r="B999">
        <v>12</v>
      </c>
      <c r="C999" s="2" t="s">
        <v>155</v>
      </c>
      <c r="D999">
        <v>12</v>
      </c>
    </row>
    <row r="1000" spans="1:4" hidden="1" x14ac:dyDescent="0.25">
      <c r="A1000" s="2" t="s">
        <v>74</v>
      </c>
      <c r="B1000">
        <v>12</v>
      </c>
      <c r="C1000" s="2" t="s">
        <v>156</v>
      </c>
      <c r="D1000">
        <v>12</v>
      </c>
    </row>
    <row r="1001" spans="1:4" hidden="1" x14ac:dyDescent="0.25">
      <c r="A1001" s="2" t="s">
        <v>74</v>
      </c>
      <c r="B1001">
        <v>12</v>
      </c>
      <c r="C1001" s="2" t="s">
        <v>157</v>
      </c>
      <c r="D1001">
        <v>12</v>
      </c>
    </row>
    <row r="1002" spans="1:4" hidden="1" x14ac:dyDescent="0.25">
      <c r="A1002" s="2" t="s">
        <v>74</v>
      </c>
      <c r="B1002">
        <v>12</v>
      </c>
      <c r="C1002" s="2" t="s">
        <v>158</v>
      </c>
      <c r="D1002">
        <v>12</v>
      </c>
    </row>
    <row r="1003" spans="1:4" hidden="1" x14ac:dyDescent="0.25">
      <c r="A1003" s="2" t="s">
        <v>74</v>
      </c>
      <c r="B1003">
        <v>12</v>
      </c>
      <c r="C1003" s="2" t="s">
        <v>159</v>
      </c>
      <c r="D1003">
        <v>12</v>
      </c>
    </row>
    <row r="1004" spans="1:4" hidden="1" x14ac:dyDescent="0.25">
      <c r="A1004" s="2" t="s">
        <v>74</v>
      </c>
      <c r="B1004">
        <v>12</v>
      </c>
      <c r="C1004" s="2" t="s">
        <v>160</v>
      </c>
      <c r="D1004">
        <v>12</v>
      </c>
    </row>
    <row r="1005" spans="1:4" hidden="1" x14ac:dyDescent="0.25">
      <c r="A1005" s="2" t="s">
        <v>74</v>
      </c>
      <c r="B1005">
        <v>12</v>
      </c>
      <c r="C1005" s="2" t="s">
        <v>161</v>
      </c>
      <c r="D1005">
        <v>12</v>
      </c>
    </row>
    <row r="1006" spans="1:4" hidden="1" x14ac:dyDescent="0.25">
      <c r="A1006" s="2" t="s">
        <v>74</v>
      </c>
      <c r="B1006">
        <v>12</v>
      </c>
      <c r="C1006" s="2" t="s">
        <v>162</v>
      </c>
      <c r="D1006">
        <v>12</v>
      </c>
    </row>
    <row r="1007" spans="1:4" hidden="1" x14ac:dyDescent="0.25">
      <c r="A1007" s="2" t="s">
        <v>74</v>
      </c>
      <c r="B1007">
        <v>12</v>
      </c>
      <c r="C1007" s="2" t="s">
        <v>163</v>
      </c>
      <c r="D1007">
        <v>12</v>
      </c>
    </row>
    <row r="1008" spans="1:4" hidden="1" x14ac:dyDescent="0.25">
      <c r="A1008" s="2" t="s">
        <v>74</v>
      </c>
      <c r="B1008">
        <v>12</v>
      </c>
      <c r="C1008" s="2" t="s">
        <v>164</v>
      </c>
      <c r="D1008">
        <v>12</v>
      </c>
    </row>
    <row r="1009" spans="1:4" hidden="1" x14ac:dyDescent="0.25">
      <c r="A1009" s="2" t="s">
        <v>74</v>
      </c>
      <c r="B1009">
        <v>12</v>
      </c>
      <c r="C1009" s="2" t="s">
        <v>165</v>
      </c>
      <c r="D1009">
        <v>12</v>
      </c>
    </row>
    <row r="1010" spans="1:4" hidden="1" x14ac:dyDescent="0.25">
      <c r="A1010" s="2" t="s">
        <v>74</v>
      </c>
      <c r="B1010">
        <v>12</v>
      </c>
      <c r="C1010" s="2" t="s">
        <v>166</v>
      </c>
      <c r="D1010">
        <v>12</v>
      </c>
    </row>
    <row r="1011" spans="1:4" hidden="1" x14ac:dyDescent="0.25">
      <c r="A1011" s="2" t="s">
        <v>74</v>
      </c>
      <c r="B1011">
        <v>12</v>
      </c>
      <c r="C1011" s="2" t="s">
        <v>167</v>
      </c>
      <c r="D1011">
        <v>12</v>
      </c>
    </row>
    <row r="1012" spans="1:4" hidden="1" x14ac:dyDescent="0.25">
      <c r="A1012" s="2" t="s">
        <v>74</v>
      </c>
      <c r="B1012">
        <v>12</v>
      </c>
      <c r="C1012" s="2" t="s">
        <v>168</v>
      </c>
      <c r="D1012">
        <v>12</v>
      </c>
    </row>
    <row r="1013" spans="1:4" hidden="1" x14ac:dyDescent="0.25">
      <c r="A1013" s="2" t="s">
        <v>74</v>
      </c>
      <c r="B1013">
        <v>12</v>
      </c>
      <c r="C1013" s="2" t="s">
        <v>169</v>
      </c>
      <c r="D1013">
        <v>12</v>
      </c>
    </row>
    <row r="1014" spans="1:4" hidden="1" x14ac:dyDescent="0.25">
      <c r="A1014" s="2" t="s">
        <v>74</v>
      </c>
      <c r="B1014">
        <v>12</v>
      </c>
      <c r="C1014" s="2" t="s">
        <v>170</v>
      </c>
      <c r="D1014">
        <v>12</v>
      </c>
    </row>
    <row r="1015" spans="1:4" hidden="1" x14ac:dyDescent="0.25">
      <c r="A1015" s="2" t="s">
        <v>74</v>
      </c>
      <c r="B1015">
        <v>12</v>
      </c>
      <c r="C1015" s="2" t="s">
        <v>171</v>
      </c>
      <c r="D1015">
        <v>12</v>
      </c>
    </row>
    <row r="1016" spans="1:4" hidden="1" x14ac:dyDescent="0.25">
      <c r="A1016" s="2" t="s">
        <v>74</v>
      </c>
      <c r="B1016">
        <v>12</v>
      </c>
      <c r="C1016" s="2" t="s">
        <v>172</v>
      </c>
      <c r="D1016">
        <v>12</v>
      </c>
    </row>
    <row r="1017" spans="1:4" hidden="1" x14ac:dyDescent="0.25">
      <c r="A1017" s="2" t="s">
        <v>74</v>
      </c>
      <c r="B1017">
        <v>12</v>
      </c>
      <c r="C1017" s="2" t="s">
        <v>173</v>
      </c>
      <c r="D1017">
        <v>12</v>
      </c>
    </row>
    <row r="1018" spans="1:4" hidden="1" x14ac:dyDescent="0.25">
      <c r="A1018" s="2" t="s">
        <v>74</v>
      </c>
      <c r="B1018">
        <v>12</v>
      </c>
      <c r="C1018" s="2" t="s">
        <v>174</v>
      </c>
      <c r="D1018">
        <v>12</v>
      </c>
    </row>
    <row r="1019" spans="1:4" hidden="1" x14ac:dyDescent="0.25">
      <c r="A1019" s="2" t="s">
        <v>74</v>
      </c>
      <c r="B1019">
        <v>12</v>
      </c>
      <c r="C1019" s="2" t="s">
        <v>175</v>
      </c>
      <c r="D1019">
        <v>12</v>
      </c>
    </row>
    <row r="1020" spans="1:4" hidden="1" x14ac:dyDescent="0.25">
      <c r="A1020" s="2" t="s">
        <v>74</v>
      </c>
      <c r="B1020">
        <v>12</v>
      </c>
      <c r="C1020" s="2" t="s">
        <v>176</v>
      </c>
      <c r="D1020">
        <v>12</v>
      </c>
    </row>
    <row r="1021" spans="1:4" hidden="1" x14ac:dyDescent="0.25">
      <c r="A1021" s="2" t="s">
        <v>74</v>
      </c>
      <c r="B1021">
        <v>12</v>
      </c>
      <c r="C1021" s="2" t="s">
        <v>177</v>
      </c>
      <c r="D1021">
        <v>12</v>
      </c>
    </row>
    <row r="1022" spans="1:4" hidden="1" x14ac:dyDescent="0.25">
      <c r="A1022" s="2" t="s">
        <v>74</v>
      </c>
      <c r="B1022">
        <v>12</v>
      </c>
      <c r="C1022" s="2" t="s">
        <v>178</v>
      </c>
      <c r="D1022">
        <v>12</v>
      </c>
    </row>
    <row r="1023" spans="1:4" hidden="1" x14ac:dyDescent="0.25">
      <c r="A1023" s="2" t="s">
        <v>74</v>
      </c>
      <c r="B1023">
        <v>12</v>
      </c>
      <c r="C1023" s="2" t="s">
        <v>179</v>
      </c>
      <c r="D1023">
        <v>12</v>
      </c>
    </row>
    <row r="1024" spans="1:4" hidden="1" x14ac:dyDescent="0.25">
      <c r="A1024" s="2" t="s">
        <v>6</v>
      </c>
      <c r="B1024">
        <v>15</v>
      </c>
      <c r="C1024" s="2" t="s">
        <v>183</v>
      </c>
      <c r="D1024">
        <v>1</v>
      </c>
    </row>
    <row r="1025" spans="1:4" hidden="1" x14ac:dyDescent="0.25">
      <c r="A1025" s="2" t="s">
        <v>6</v>
      </c>
      <c r="B1025">
        <v>15</v>
      </c>
      <c r="C1025" s="2" t="s">
        <v>184</v>
      </c>
      <c r="D1025">
        <v>1</v>
      </c>
    </row>
    <row r="1026" spans="1:4" hidden="1" x14ac:dyDescent="0.25">
      <c r="A1026" s="2" t="s">
        <v>6</v>
      </c>
      <c r="B1026">
        <v>15</v>
      </c>
      <c r="C1026" s="2" t="s">
        <v>185</v>
      </c>
      <c r="D1026">
        <v>1</v>
      </c>
    </row>
    <row r="1027" spans="1:4" hidden="1" x14ac:dyDescent="0.25">
      <c r="A1027" s="2" t="s">
        <v>6</v>
      </c>
      <c r="B1027">
        <v>15</v>
      </c>
      <c r="C1027" s="2" t="s">
        <v>186</v>
      </c>
      <c r="D1027">
        <v>26</v>
      </c>
    </row>
    <row r="1028" spans="1:4" hidden="1" x14ac:dyDescent="0.25">
      <c r="A1028" s="2" t="s">
        <v>6</v>
      </c>
      <c r="B1028">
        <v>15</v>
      </c>
      <c r="C1028" s="2" t="s">
        <v>187</v>
      </c>
      <c r="D1028">
        <v>26</v>
      </c>
    </row>
    <row r="1029" spans="1:4" hidden="1" x14ac:dyDescent="0.25">
      <c r="A1029" s="2" t="s">
        <v>6</v>
      </c>
      <c r="B1029">
        <v>15</v>
      </c>
      <c r="C1029" s="2" t="s">
        <v>188</v>
      </c>
      <c r="D1029">
        <v>22</v>
      </c>
    </row>
    <row r="1030" spans="1:4" hidden="1" x14ac:dyDescent="0.25">
      <c r="A1030" s="2" t="s">
        <v>6</v>
      </c>
      <c r="B1030">
        <v>15</v>
      </c>
      <c r="C1030" s="2" t="s">
        <v>189</v>
      </c>
      <c r="D1030">
        <v>11</v>
      </c>
    </row>
    <row r="1031" spans="1:4" hidden="1" x14ac:dyDescent="0.25">
      <c r="A1031" s="2" t="s">
        <v>6</v>
      </c>
      <c r="B1031">
        <v>15</v>
      </c>
      <c r="C1031" s="2" t="s">
        <v>190</v>
      </c>
      <c r="D1031">
        <v>15</v>
      </c>
    </row>
    <row r="1032" spans="1:4" hidden="1" x14ac:dyDescent="0.25">
      <c r="A1032" s="2" t="s">
        <v>6</v>
      </c>
      <c r="B1032">
        <v>15</v>
      </c>
      <c r="C1032" s="2" t="s">
        <v>191</v>
      </c>
      <c r="D1032">
        <v>16</v>
      </c>
    </row>
    <row r="1033" spans="1:4" hidden="1" x14ac:dyDescent="0.25">
      <c r="A1033" s="2" t="s">
        <v>6</v>
      </c>
      <c r="B1033">
        <v>15</v>
      </c>
      <c r="C1033" s="2" t="s">
        <v>116</v>
      </c>
      <c r="D1033">
        <v>19</v>
      </c>
    </row>
    <row r="1034" spans="1:4" hidden="1" x14ac:dyDescent="0.25">
      <c r="A1034" s="2" t="s">
        <v>6</v>
      </c>
      <c r="B1034">
        <v>15</v>
      </c>
      <c r="C1034" s="2" t="s">
        <v>117</v>
      </c>
      <c r="D1034">
        <v>20</v>
      </c>
    </row>
    <row r="1035" spans="1:4" hidden="1" x14ac:dyDescent="0.25">
      <c r="A1035" s="2" t="s">
        <v>6</v>
      </c>
      <c r="B1035">
        <v>15</v>
      </c>
      <c r="C1035" s="2" t="s">
        <v>118</v>
      </c>
      <c r="D1035">
        <v>19</v>
      </c>
    </row>
    <row r="1036" spans="1:4" hidden="1" x14ac:dyDescent="0.25">
      <c r="A1036" s="2" t="s">
        <v>6</v>
      </c>
      <c r="B1036">
        <v>15</v>
      </c>
      <c r="C1036" s="2" t="s">
        <v>119</v>
      </c>
      <c r="D1036">
        <v>14</v>
      </c>
    </row>
    <row r="1037" spans="1:4" hidden="1" x14ac:dyDescent="0.25">
      <c r="A1037" s="2" t="s">
        <v>6</v>
      </c>
      <c r="B1037">
        <v>15</v>
      </c>
      <c r="C1037" s="2" t="s">
        <v>120</v>
      </c>
      <c r="D1037">
        <v>14</v>
      </c>
    </row>
    <row r="1038" spans="1:4" hidden="1" x14ac:dyDescent="0.25">
      <c r="A1038" s="2" t="s">
        <v>6</v>
      </c>
      <c r="B1038">
        <v>15</v>
      </c>
      <c r="C1038" s="2" t="s">
        <v>121</v>
      </c>
      <c r="D1038">
        <v>13</v>
      </c>
    </row>
    <row r="1039" spans="1:4" hidden="1" x14ac:dyDescent="0.25">
      <c r="A1039" s="2" t="s">
        <v>6</v>
      </c>
      <c r="B1039">
        <v>15</v>
      </c>
      <c r="C1039" s="2" t="s">
        <v>122</v>
      </c>
      <c r="D1039">
        <v>15</v>
      </c>
    </row>
    <row r="1040" spans="1:4" hidden="1" x14ac:dyDescent="0.25">
      <c r="A1040" s="2" t="s">
        <v>6</v>
      </c>
      <c r="B1040">
        <v>15</v>
      </c>
      <c r="C1040" s="2" t="s">
        <v>123</v>
      </c>
      <c r="D1040">
        <v>18</v>
      </c>
    </row>
    <row r="1041" spans="1:4" hidden="1" x14ac:dyDescent="0.25">
      <c r="A1041" s="2" t="s">
        <v>6</v>
      </c>
      <c r="B1041">
        <v>15</v>
      </c>
      <c r="C1041" s="2" t="s">
        <v>124</v>
      </c>
      <c r="D1041">
        <v>18</v>
      </c>
    </row>
    <row r="1042" spans="1:4" hidden="1" x14ac:dyDescent="0.25">
      <c r="A1042" s="2" t="s">
        <v>6</v>
      </c>
      <c r="B1042">
        <v>15</v>
      </c>
      <c r="C1042" s="2" t="s">
        <v>125</v>
      </c>
      <c r="D1042">
        <v>20</v>
      </c>
    </row>
    <row r="1043" spans="1:4" hidden="1" x14ac:dyDescent="0.25">
      <c r="A1043" s="2" t="s">
        <v>6</v>
      </c>
      <c r="B1043">
        <v>15</v>
      </c>
      <c r="C1043" s="2" t="s">
        <v>126</v>
      </c>
      <c r="D1043">
        <v>27</v>
      </c>
    </row>
    <row r="1044" spans="1:4" hidden="1" x14ac:dyDescent="0.25">
      <c r="A1044" s="2" t="s">
        <v>6</v>
      </c>
      <c r="B1044">
        <v>15</v>
      </c>
      <c r="C1044" s="2" t="s">
        <v>127</v>
      </c>
      <c r="D1044">
        <v>25</v>
      </c>
    </row>
    <row r="1045" spans="1:4" hidden="1" x14ac:dyDescent="0.25">
      <c r="A1045" s="2" t="s">
        <v>6</v>
      </c>
      <c r="B1045">
        <v>15</v>
      </c>
      <c r="C1045" s="2" t="s">
        <v>128</v>
      </c>
      <c r="D1045">
        <v>29</v>
      </c>
    </row>
    <row r="1046" spans="1:4" hidden="1" x14ac:dyDescent="0.25">
      <c r="A1046" s="2" t="s">
        <v>6</v>
      </c>
      <c r="B1046">
        <v>15</v>
      </c>
      <c r="C1046" s="2" t="s">
        <v>129</v>
      </c>
      <c r="D1046">
        <v>23</v>
      </c>
    </row>
    <row r="1047" spans="1:4" hidden="1" x14ac:dyDescent="0.25">
      <c r="A1047" s="2" t="s">
        <v>6</v>
      </c>
      <c r="B1047">
        <v>15</v>
      </c>
      <c r="C1047" s="2" t="s">
        <v>130</v>
      </c>
      <c r="D1047">
        <v>23</v>
      </c>
    </row>
    <row r="1048" spans="1:4" hidden="1" x14ac:dyDescent="0.25">
      <c r="A1048" s="2" t="s">
        <v>6</v>
      </c>
      <c r="B1048">
        <v>15</v>
      </c>
      <c r="C1048" s="2" t="s">
        <v>131</v>
      </c>
      <c r="D1048">
        <v>28</v>
      </c>
    </row>
    <row r="1049" spans="1:4" hidden="1" x14ac:dyDescent="0.25">
      <c r="A1049" s="2" t="s">
        <v>6</v>
      </c>
      <c r="B1049">
        <v>15</v>
      </c>
      <c r="C1049" s="2" t="s">
        <v>132</v>
      </c>
      <c r="D1049">
        <v>10</v>
      </c>
    </row>
    <row r="1050" spans="1:4" hidden="1" x14ac:dyDescent="0.25">
      <c r="A1050" s="2" t="s">
        <v>6</v>
      </c>
      <c r="B1050">
        <v>15</v>
      </c>
      <c r="C1050" s="2" t="s">
        <v>133</v>
      </c>
      <c r="D1050">
        <v>10</v>
      </c>
    </row>
    <row r="1051" spans="1:4" hidden="1" x14ac:dyDescent="0.25">
      <c r="A1051" s="2" t="s">
        <v>6</v>
      </c>
      <c r="B1051">
        <v>15</v>
      </c>
      <c r="C1051" s="2" t="s">
        <v>134</v>
      </c>
      <c r="D1051">
        <v>9</v>
      </c>
    </row>
    <row r="1052" spans="1:4" hidden="1" x14ac:dyDescent="0.25">
      <c r="A1052" s="2" t="s">
        <v>6</v>
      </c>
      <c r="B1052">
        <v>15</v>
      </c>
      <c r="C1052" s="2" t="s">
        <v>135</v>
      </c>
      <c r="D1052">
        <v>15</v>
      </c>
    </row>
    <row r="1053" spans="1:4" hidden="1" x14ac:dyDescent="0.25">
      <c r="A1053" s="2" t="s">
        <v>6</v>
      </c>
      <c r="B1053">
        <v>15</v>
      </c>
      <c r="C1053" s="2" t="s">
        <v>136</v>
      </c>
      <c r="D1053">
        <v>15</v>
      </c>
    </row>
    <row r="1054" spans="1:4" hidden="1" x14ac:dyDescent="0.25">
      <c r="A1054" s="2" t="s">
        <v>6</v>
      </c>
      <c r="B1054">
        <v>15</v>
      </c>
      <c r="C1054" s="2" t="s">
        <v>137</v>
      </c>
      <c r="D1054">
        <v>15</v>
      </c>
    </row>
    <row r="1055" spans="1:4" hidden="1" x14ac:dyDescent="0.25">
      <c r="A1055" s="2" t="s">
        <v>6</v>
      </c>
      <c r="B1055">
        <v>15</v>
      </c>
      <c r="C1055" s="2" t="s">
        <v>138</v>
      </c>
      <c r="D1055">
        <v>15</v>
      </c>
    </row>
    <row r="1056" spans="1:4" hidden="1" x14ac:dyDescent="0.25">
      <c r="A1056" s="2" t="s">
        <v>6</v>
      </c>
      <c r="B1056">
        <v>15</v>
      </c>
      <c r="C1056" s="2" t="s">
        <v>139</v>
      </c>
      <c r="D1056">
        <v>15</v>
      </c>
    </row>
    <row r="1057" spans="1:4" hidden="1" x14ac:dyDescent="0.25">
      <c r="A1057" s="2" t="s">
        <v>6</v>
      </c>
      <c r="B1057">
        <v>15</v>
      </c>
      <c r="C1057" s="2" t="s">
        <v>140</v>
      </c>
      <c r="D1057">
        <v>15</v>
      </c>
    </row>
    <row r="1058" spans="1:4" hidden="1" x14ac:dyDescent="0.25">
      <c r="A1058" s="2" t="s">
        <v>6</v>
      </c>
      <c r="B1058">
        <v>15</v>
      </c>
      <c r="C1058" s="2" t="s">
        <v>141</v>
      </c>
      <c r="D1058">
        <v>15</v>
      </c>
    </row>
    <row r="1059" spans="1:4" hidden="1" x14ac:dyDescent="0.25">
      <c r="A1059" s="2" t="s">
        <v>6</v>
      </c>
      <c r="B1059">
        <v>15</v>
      </c>
      <c r="C1059" s="2" t="s">
        <v>142</v>
      </c>
      <c r="D1059">
        <v>15</v>
      </c>
    </row>
    <row r="1060" spans="1:4" hidden="1" x14ac:dyDescent="0.25">
      <c r="A1060" s="2" t="s">
        <v>6</v>
      </c>
      <c r="B1060">
        <v>15</v>
      </c>
      <c r="C1060" s="2" t="s">
        <v>143</v>
      </c>
      <c r="D1060">
        <v>15</v>
      </c>
    </row>
    <row r="1061" spans="1:4" hidden="1" x14ac:dyDescent="0.25">
      <c r="A1061" s="2" t="s">
        <v>6</v>
      </c>
      <c r="B1061">
        <v>15</v>
      </c>
      <c r="C1061" s="2" t="s">
        <v>144</v>
      </c>
      <c r="D1061">
        <v>15</v>
      </c>
    </row>
    <row r="1062" spans="1:4" hidden="1" x14ac:dyDescent="0.25">
      <c r="A1062" s="2" t="s">
        <v>6</v>
      </c>
      <c r="B1062">
        <v>15</v>
      </c>
      <c r="C1062" s="2" t="s">
        <v>145</v>
      </c>
      <c r="D1062">
        <v>15</v>
      </c>
    </row>
    <row r="1063" spans="1:4" hidden="1" x14ac:dyDescent="0.25">
      <c r="A1063" s="2" t="s">
        <v>6</v>
      </c>
      <c r="B1063">
        <v>15</v>
      </c>
      <c r="C1063" s="2" t="s">
        <v>146</v>
      </c>
      <c r="D1063">
        <v>15</v>
      </c>
    </row>
    <row r="1064" spans="1:4" hidden="1" x14ac:dyDescent="0.25">
      <c r="A1064" s="2" t="s">
        <v>6</v>
      </c>
      <c r="B1064">
        <v>15</v>
      </c>
      <c r="C1064" s="2" t="s">
        <v>147</v>
      </c>
      <c r="D1064">
        <v>15</v>
      </c>
    </row>
    <row r="1065" spans="1:4" hidden="1" x14ac:dyDescent="0.25">
      <c r="A1065" s="2" t="s">
        <v>6</v>
      </c>
      <c r="B1065">
        <v>15</v>
      </c>
      <c r="C1065" s="2" t="s">
        <v>148</v>
      </c>
      <c r="D1065">
        <v>15</v>
      </c>
    </row>
    <row r="1066" spans="1:4" hidden="1" x14ac:dyDescent="0.25">
      <c r="A1066" s="2" t="s">
        <v>6</v>
      </c>
      <c r="B1066">
        <v>15</v>
      </c>
      <c r="C1066" s="2" t="s">
        <v>149</v>
      </c>
      <c r="D1066">
        <v>15</v>
      </c>
    </row>
    <row r="1067" spans="1:4" hidden="1" x14ac:dyDescent="0.25">
      <c r="A1067" s="2" t="s">
        <v>6</v>
      </c>
      <c r="B1067">
        <v>15</v>
      </c>
      <c r="C1067" s="2" t="s">
        <v>150</v>
      </c>
      <c r="D1067">
        <v>15</v>
      </c>
    </row>
    <row r="1068" spans="1:4" hidden="1" x14ac:dyDescent="0.25">
      <c r="A1068" s="2" t="s">
        <v>6</v>
      </c>
      <c r="B1068">
        <v>15</v>
      </c>
      <c r="C1068" s="2" t="s">
        <v>151</v>
      </c>
      <c r="D1068">
        <v>15</v>
      </c>
    </row>
    <row r="1069" spans="1:4" hidden="1" x14ac:dyDescent="0.25">
      <c r="A1069" s="2" t="s">
        <v>6</v>
      </c>
      <c r="B1069">
        <v>15</v>
      </c>
      <c r="C1069" s="2" t="s">
        <v>152</v>
      </c>
      <c r="D1069">
        <v>15</v>
      </c>
    </row>
    <row r="1070" spans="1:4" hidden="1" x14ac:dyDescent="0.25">
      <c r="A1070" s="2" t="s">
        <v>6</v>
      </c>
      <c r="B1070">
        <v>15</v>
      </c>
      <c r="C1070" s="2" t="s">
        <v>153</v>
      </c>
      <c r="D1070">
        <v>15</v>
      </c>
    </row>
    <row r="1071" spans="1:4" hidden="1" x14ac:dyDescent="0.25">
      <c r="A1071" s="2" t="s">
        <v>6</v>
      </c>
      <c r="B1071">
        <v>15</v>
      </c>
      <c r="C1071" s="2" t="s">
        <v>154</v>
      </c>
      <c r="D1071">
        <v>15</v>
      </c>
    </row>
    <row r="1072" spans="1:4" hidden="1" x14ac:dyDescent="0.25">
      <c r="A1072" s="2" t="s">
        <v>6</v>
      </c>
      <c r="B1072">
        <v>15</v>
      </c>
      <c r="C1072" s="2" t="s">
        <v>155</v>
      </c>
      <c r="D1072">
        <v>15</v>
      </c>
    </row>
    <row r="1073" spans="1:4" hidden="1" x14ac:dyDescent="0.25">
      <c r="A1073" s="2" t="s">
        <v>6</v>
      </c>
      <c r="B1073">
        <v>15</v>
      </c>
      <c r="C1073" s="2" t="s">
        <v>156</v>
      </c>
      <c r="D1073">
        <v>15</v>
      </c>
    </row>
    <row r="1074" spans="1:4" hidden="1" x14ac:dyDescent="0.25">
      <c r="A1074" s="2" t="s">
        <v>6</v>
      </c>
      <c r="B1074">
        <v>15</v>
      </c>
      <c r="C1074" s="2" t="s">
        <v>157</v>
      </c>
      <c r="D1074">
        <v>15</v>
      </c>
    </row>
    <row r="1075" spans="1:4" hidden="1" x14ac:dyDescent="0.25">
      <c r="A1075" s="2" t="s">
        <v>6</v>
      </c>
      <c r="B1075">
        <v>15</v>
      </c>
      <c r="C1075" s="2" t="s">
        <v>158</v>
      </c>
      <c r="D1075">
        <v>15</v>
      </c>
    </row>
    <row r="1076" spans="1:4" hidden="1" x14ac:dyDescent="0.25">
      <c r="A1076" s="2" t="s">
        <v>6</v>
      </c>
      <c r="B1076">
        <v>15</v>
      </c>
      <c r="C1076" s="2" t="s">
        <v>159</v>
      </c>
      <c r="D1076">
        <v>15</v>
      </c>
    </row>
    <row r="1077" spans="1:4" hidden="1" x14ac:dyDescent="0.25">
      <c r="A1077" s="2" t="s">
        <v>6</v>
      </c>
      <c r="B1077">
        <v>15</v>
      </c>
      <c r="C1077" s="2" t="s">
        <v>160</v>
      </c>
      <c r="D1077">
        <v>15</v>
      </c>
    </row>
    <row r="1078" spans="1:4" hidden="1" x14ac:dyDescent="0.25">
      <c r="A1078" s="2" t="s">
        <v>6</v>
      </c>
      <c r="B1078">
        <v>15</v>
      </c>
      <c r="C1078" s="2" t="s">
        <v>161</v>
      </c>
      <c r="D1078">
        <v>15</v>
      </c>
    </row>
    <row r="1079" spans="1:4" hidden="1" x14ac:dyDescent="0.25">
      <c r="A1079" s="2" t="s">
        <v>6</v>
      </c>
      <c r="B1079">
        <v>15</v>
      </c>
      <c r="C1079" s="2" t="s">
        <v>162</v>
      </c>
      <c r="D1079">
        <v>15</v>
      </c>
    </row>
    <row r="1080" spans="1:4" hidden="1" x14ac:dyDescent="0.25">
      <c r="A1080" s="2" t="s">
        <v>6</v>
      </c>
      <c r="B1080">
        <v>15</v>
      </c>
      <c r="C1080" s="2" t="s">
        <v>163</v>
      </c>
      <c r="D1080">
        <v>15</v>
      </c>
    </row>
    <row r="1081" spans="1:4" hidden="1" x14ac:dyDescent="0.25">
      <c r="A1081" s="2" t="s">
        <v>6</v>
      </c>
      <c r="B1081">
        <v>15</v>
      </c>
      <c r="C1081" s="2" t="s">
        <v>164</v>
      </c>
      <c r="D1081">
        <v>15</v>
      </c>
    </row>
    <row r="1082" spans="1:4" hidden="1" x14ac:dyDescent="0.25">
      <c r="A1082" s="2" t="s">
        <v>6</v>
      </c>
      <c r="B1082">
        <v>15</v>
      </c>
      <c r="C1082" s="2" t="s">
        <v>165</v>
      </c>
      <c r="D1082">
        <v>15</v>
      </c>
    </row>
    <row r="1083" spans="1:4" hidden="1" x14ac:dyDescent="0.25">
      <c r="A1083" s="2" t="s">
        <v>6</v>
      </c>
      <c r="B1083">
        <v>15</v>
      </c>
      <c r="C1083" s="2" t="s">
        <v>166</v>
      </c>
      <c r="D1083">
        <v>15</v>
      </c>
    </row>
    <row r="1084" spans="1:4" hidden="1" x14ac:dyDescent="0.25">
      <c r="A1084" s="2" t="s">
        <v>6</v>
      </c>
      <c r="B1084">
        <v>15</v>
      </c>
      <c r="C1084" s="2" t="s">
        <v>167</v>
      </c>
      <c r="D1084">
        <v>15</v>
      </c>
    </row>
    <row r="1085" spans="1:4" hidden="1" x14ac:dyDescent="0.25">
      <c r="A1085" s="2" t="s">
        <v>6</v>
      </c>
      <c r="B1085">
        <v>15</v>
      </c>
      <c r="C1085" s="2" t="s">
        <v>168</v>
      </c>
      <c r="D1085">
        <v>15</v>
      </c>
    </row>
    <row r="1086" spans="1:4" hidden="1" x14ac:dyDescent="0.25">
      <c r="A1086" s="2" t="s">
        <v>6</v>
      </c>
      <c r="B1086">
        <v>15</v>
      </c>
      <c r="C1086" s="2" t="s">
        <v>169</v>
      </c>
      <c r="D1086">
        <v>15</v>
      </c>
    </row>
    <row r="1087" spans="1:4" hidden="1" x14ac:dyDescent="0.25">
      <c r="A1087" s="2" t="s">
        <v>6</v>
      </c>
      <c r="B1087">
        <v>15</v>
      </c>
      <c r="C1087" s="2" t="s">
        <v>170</v>
      </c>
      <c r="D1087">
        <v>15</v>
      </c>
    </row>
    <row r="1088" spans="1:4" hidden="1" x14ac:dyDescent="0.25">
      <c r="A1088" s="2" t="s">
        <v>6</v>
      </c>
      <c r="B1088">
        <v>15</v>
      </c>
      <c r="C1088" s="2" t="s">
        <v>171</v>
      </c>
      <c r="D1088">
        <v>15</v>
      </c>
    </row>
    <row r="1089" spans="1:4" hidden="1" x14ac:dyDescent="0.25">
      <c r="A1089" s="2" t="s">
        <v>6</v>
      </c>
      <c r="B1089">
        <v>15</v>
      </c>
      <c r="C1089" s="2" t="s">
        <v>172</v>
      </c>
      <c r="D1089">
        <v>15</v>
      </c>
    </row>
    <row r="1090" spans="1:4" hidden="1" x14ac:dyDescent="0.25">
      <c r="A1090" s="2" t="s">
        <v>6</v>
      </c>
      <c r="B1090">
        <v>15</v>
      </c>
      <c r="C1090" s="2" t="s">
        <v>173</v>
      </c>
      <c r="D1090">
        <v>15</v>
      </c>
    </row>
    <row r="1091" spans="1:4" hidden="1" x14ac:dyDescent="0.25">
      <c r="A1091" s="2" t="s">
        <v>6</v>
      </c>
      <c r="B1091">
        <v>15</v>
      </c>
      <c r="C1091" s="2" t="s">
        <v>174</v>
      </c>
      <c r="D1091">
        <v>15</v>
      </c>
    </row>
    <row r="1092" spans="1:4" hidden="1" x14ac:dyDescent="0.25">
      <c r="A1092" s="2" t="s">
        <v>6</v>
      </c>
      <c r="B1092">
        <v>15</v>
      </c>
      <c r="C1092" s="2" t="s">
        <v>175</v>
      </c>
      <c r="D1092">
        <v>15</v>
      </c>
    </row>
    <row r="1093" spans="1:4" hidden="1" x14ac:dyDescent="0.25">
      <c r="A1093" s="2" t="s">
        <v>6</v>
      </c>
      <c r="B1093">
        <v>15</v>
      </c>
      <c r="C1093" s="2" t="s">
        <v>176</v>
      </c>
      <c r="D1093">
        <v>15</v>
      </c>
    </row>
    <row r="1094" spans="1:4" hidden="1" x14ac:dyDescent="0.25">
      <c r="A1094" s="2" t="s">
        <v>6</v>
      </c>
      <c r="B1094">
        <v>15</v>
      </c>
      <c r="C1094" s="2" t="s">
        <v>177</v>
      </c>
      <c r="D1094">
        <v>15</v>
      </c>
    </row>
    <row r="1095" spans="1:4" hidden="1" x14ac:dyDescent="0.25">
      <c r="A1095" s="2" t="s">
        <v>6</v>
      </c>
      <c r="B1095">
        <v>15</v>
      </c>
      <c r="C1095" s="2" t="s">
        <v>178</v>
      </c>
      <c r="D1095">
        <v>15</v>
      </c>
    </row>
    <row r="1096" spans="1:4" hidden="1" x14ac:dyDescent="0.25">
      <c r="A1096" s="2" t="s">
        <v>6</v>
      </c>
      <c r="B1096">
        <v>15</v>
      </c>
      <c r="C1096" s="2" t="s">
        <v>179</v>
      </c>
      <c r="D1096">
        <v>15</v>
      </c>
    </row>
    <row r="1097" spans="1:4" hidden="1" x14ac:dyDescent="0.25">
      <c r="A1097" s="2" t="s">
        <v>42</v>
      </c>
      <c r="B1097">
        <v>16</v>
      </c>
      <c r="C1097" s="2" t="s">
        <v>183</v>
      </c>
      <c r="D1097">
        <v>13</v>
      </c>
    </row>
    <row r="1098" spans="1:4" hidden="1" x14ac:dyDescent="0.25">
      <c r="A1098" s="2" t="s">
        <v>42</v>
      </c>
      <c r="B1098">
        <v>16</v>
      </c>
      <c r="C1098" s="2" t="s">
        <v>184</v>
      </c>
      <c r="D1098">
        <v>14</v>
      </c>
    </row>
    <row r="1099" spans="1:4" hidden="1" x14ac:dyDescent="0.25">
      <c r="A1099" s="2" t="s">
        <v>42</v>
      </c>
      <c r="B1099">
        <v>16</v>
      </c>
      <c r="C1099" s="2" t="s">
        <v>185</v>
      </c>
      <c r="D1099">
        <v>3</v>
      </c>
    </row>
    <row r="1100" spans="1:4" hidden="1" x14ac:dyDescent="0.25">
      <c r="A1100" s="2" t="s">
        <v>42</v>
      </c>
      <c r="B1100">
        <v>16</v>
      </c>
      <c r="C1100" s="2" t="s">
        <v>186</v>
      </c>
      <c r="D1100">
        <v>38</v>
      </c>
    </row>
    <row r="1101" spans="1:4" hidden="1" x14ac:dyDescent="0.25">
      <c r="A1101" s="2" t="s">
        <v>42</v>
      </c>
      <c r="B1101">
        <v>16</v>
      </c>
      <c r="C1101" s="2" t="s">
        <v>187</v>
      </c>
      <c r="D1101">
        <v>39</v>
      </c>
    </row>
    <row r="1102" spans="1:4" hidden="1" x14ac:dyDescent="0.25">
      <c r="A1102" s="2" t="s">
        <v>42</v>
      </c>
      <c r="B1102">
        <v>16</v>
      </c>
      <c r="C1102" s="2" t="s">
        <v>188</v>
      </c>
      <c r="D1102">
        <v>41</v>
      </c>
    </row>
    <row r="1103" spans="1:4" hidden="1" x14ac:dyDescent="0.25">
      <c r="A1103" s="2" t="s">
        <v>42</v>
      </c>
      <c r="B1103">
        <v>16</v>
      </c>
      <c r="C1103" s="2" t="s">
        <v>189</v>
      </c>
      <c r="D1103">
        <v>27</v>
      </c>
    </row>
    <row r="1104" spans="1:4" hidden="1" x14ac:dyDescent="0.25">
      <c r="A1104" s="2" t="s">
        <v>42</v>
      </c>
      <c r="B1104">
        <v>16</v>
      </c>
      <c r="C1104" s="2" t="s">
        <v>190</v>
      </c>
      <c r="D1104">
        <v>27</v>
      </c>
    </row>
    <row r="1105" spans="1:4" hidden="1" x14ac:dyDescent="0.25">
      <c r="A1105" s="2" t="s">
        <v>42</v>
      </c>
      <c r="B1105">
        <v>16</v>
      </c>
      <c r="C1105" s="2" t="s">
        <v>191</v>
      </c>
      <c r="D1105">
        <v>27</v>
      </c>
    </row>
    <row r="1106" spans="1:4" hidden="1" x14ac:dyDescent="0.25">
      <c r="A1106" s="2" t="s">
        <v>42</v>
      </c>
      <c r="B1106">
        <v>16</v>
      </c>
      <c r="C1106" s="2" t="s">
        <v>116</v>
      </c>
      <c r="D1106">
        <v>25</v>
      </c>
    </row>
    <row r="1107" spans="1:4" hidden="1" x14ac:dyDescent="0.25">
      <c r="A1107" s="2" t="s">
        <v>42</v>
      </c>
      <c r="B1107">
        <v>16</v>
      </c>
      <c r="C1107" s="2" t="s">
        <v>117</v>
      </c>
      <c r="D1107">
        <v>23</v>
      </c>
    </row>
    <row r="1108" spans="1:4" hidden="1" x14ac:dyDescent="0.25">
      <c r="A1108" s="2" t="s">
        <v>42</v>
      </c>
      <c r="B1108">
        <v>16</v>
      </c>
      <c r="C1108" s="2" t="s">
        <v>118</v>
      </c>
      <c r="D1108">
        <v>22</v>
      </c>
    </row>
    <row r="1109" spans="1:4" hidden="1" x14ac:dyDescent="0.25">
      <c r="A1109" s="2" t="s">
        <v>42</v>
      </c>
      <c r="B1109">
        <v>16</v>
      </c>
      <c r="C1109" s="2" t="s">
        <v>119</v>
      </c>
      <c r="D1109">
        <v>16</v>
      </c>
    </row>
    <row r="1110" spans="1:4" hidden="1" x14ac:dyDescent="0.25">
      <c r="A1110" s="2" t="s">
        <v>42</v>
      </c>
      <c r="B1110">
        <v>16</v>
      </c>
      <c r="C1110" s="2" t="s">
        <v>120</v>
      </c>
      <c r="D1110">
        <v>15</v>
      </c>
    </row>
    <row r="1111" spans="1:4" hidden="1" x14ac:dyDescent="0.25">
      <c r="A1111" s="2" t="s">
        <v>42</v>
      </c>
      <c r="B1111">
        <v>16</v>
      </c>
      <c r="C1111" s="2" t="s">
        <v>121</v>
      </c>
      <c r="D1111">
        <v>16</v>
      </c>
    </row>
    <row r="1112" spans="1:4" hidden="1" x14ac:dyDescent="0.25">
      <c r="A1112" s="2" t="s">
        <v>42</v>
      </c>
      <c r="B1112">
        <v>16</v>
      </c>
      <c r="C1112" s="2" t="s">
        <v>122</v>
      </c>
      <c r="D1112">
        <v>5</v>
      </c>
    </row>
    <row r="1113" spans="1:4" hidden="1" x14ac:dyDescent="0.25">
      <c r="A1113" s="2" t="s">
        <v>42</v>
      </c>
      <c r="B1113">
        <v>16</v>
      </c>
      <c r="C1113" s="2" t="s">
        <v>123</v>
      </c>
      <c r="D1113">
        <v>9</v>
      </c>
    </row>
    <row r="1114" spans="1:4" hidden="1" x14ac:dyDescent="0.25">
      <c r="A1114" s="2" t="s">
        <v>42</v>
      </c>
      <c r="B1114">
        <v>16</v>
      </c>
      <c r="C1114" s="2" t="s">
        <v>124</v>
      </c>
      <c r="D1114">
        <v>11</v>
      </c>
    </row>
    <row r="1115" spans="1:4" hidden="1" x14ac:dyDescent="0.25">
      <c r="A1115" s="2" t="s">
        <v>42</v>
      </c>
      <c r="B1115">
        <v>16</v>
      </c>
      <c r="C1115" s="2" t="s">
        <v>125</v>
      </c>
      <c r="D1115">
        <v>15</v>
      </c>
    </row>
    <row r="1116" spans="1:4" hidden="1" x14ac:dyDescent="0.25">
      <c r="A1116" s="2" t="s">
        <v>42</v>
      </c>
      <c r="B1116">
        <v>16</v>
      </c>
      <c r="C1116" s="2" t="s">
        <v>126</v>
      </c>
      <c r="D1116">
        <v>16</v>
      </c>
    </row>
    <row r="1117" spans="1:4" hidden="1" x14ac:dyDescent="0.25">
      <c r="A1117" s="2" t="s">
        <v>42</v>
      </c>
      <c r="B1117">
        <v>16</v>
      </c>
      <c r="C1117" s="2" t="s">
        <v>127</v>
      </c>
      <c r="D1117">
        <v>17</v>
      </c>
    </row>
    <row r="1118" spans="1:4" hidden="1" x14ac:dyDescent="0.25">
      <c r="A1118" s="2" t="s">
        <v>42</v>
      </c>
      <c r="B1118">
        <v>16</v>
      </c>
      <c r="C1118" s="2" t="s">
        <v>128</v>
      </c>
      <c r="D1118">
        <v>22</v>
      </c>
    </row>
    <row r="1119" spans="1:4" hidden="1" x14ac:dyDescent="0.25">
      <c r="A1119" s="2" t="s">
        <v>42</v>
      </c>
      <c r="B1119">
        <v>16</v>
      </c>
      <c r="C1119" s="2" t="s">
        <v>129</v>
      </c>
      <c r="D1119">
        <v>25</v>
      </c>
    </row>
    <row r="1120" spans="1:4" hidden="1" x14ac:dyDescent="0.25">
      <c r="A1120" s="2" t="s">
        <v>42</v>
      </c>
      <c r="B1120">
        <v>16</v>
      </c>
      <c r="C1120" s="2" t="s">
        <v>130</v>
      </c>
      <c r="D1120">
        <v>15</v>
      </c>
    </row>
    <row r="1121" spans="1:4" hidden="1" x14ac:dyDescent="0.25">
      <c r="A1121" s="2" t="s">
        <v>42</v>
      </c>
      <c r="B1121">
        <v>16</v>
      </c>
      <c r="C1121" s="2" t="s">
        <v>131</v>
      </c>
      <c r="D1121">
        <v>17</v>
      </c>
    </row>
    <row r="1122" spans="1:4" hidden="1" x14ac:dyDescent="0.25">
      <c r="A1122" s="2" t="s">
        <v>42</v>
      </c>
      <c r="B1122">
        <v>16</v>
      </c>
      <c r="C1122" s="2" t="s">
        <v>132</v>
      </c>
      <c r="D1122">
        <v>18</v>
      </c>
    </row>
    <row r="1123" spans="1:4" hidden="1" x14ac:dyDescent="0.25">
      <c r="A1123" s="2" t="s">
        <v>42</v>
      </c>
      <c r="B1123">
        <v>16</v>
      </c>
      <c r="C1123" s="2" t="s">
        <v>133</v>
      </c>
      <c r="D1123">
        <v>18</v>
      </c>
    </row>
    <row r="1124" spans="1:4" hidden="1" x14ac:dyDescent="0.25">
      <c r="A1124" s="2" t="s">
        <v>42</v>
      </c>
      <c r="B1124">
        <v>16</v>
      </c>
      <c r="C1124" s="2" t="s">
        <v>134</v>
      </c>
      <c r="D1124">
        <v>17</v>
      </c>
    </row>
    <row r="1125" spans="1:4" hidden="1" x14ac:dyDescent="0.25">
      <c r="A1125" s="2" t="s">
        <v>42</v>
      </c>
      <c r="B1125">
        <v>16</v>
      </c>
      <c r="C1125" s="2" t="s">
        <v>135</v>
      </c>
      <c r="D1125">
        <v>16</v>
      </c>
    </row>
    <row r="1126" spans="1:4" hidden="1" x14ac:dyDescent="0.25">
      <c r="A1126" s="2" t="s">
        <v>42</v>
      </c>
      <c r="B1126">
        <v>16</v>
      </c>
      <c r="C1126" s="2" t="s">
        <v>136</v>
      </c>
      <c r="D1126">
        <v>16</v>
      </c>
    </row>
    <row r="1127" spans="1:4" hidden="1" x14ac:dyDescent="0.25">
      <c r="A1127" s="2" t="s">
        <v>42</v>
      </c>
      <c r="B1127">
        <v>16</v>
      </c>
      <c r="C1127" s="2" t="s">
        <v>137</v>
      </c>
      <c r="D1127">
        <v>16</v>
      </c>
    </row>
    <row r="1128" spans="1:4" hidden="1" x14ac:dyDescent="0.25">
      <c r="A1128" s="2" t="s">
        <v>42</v>
      </c>
      <c r="B1128">
        <v>16</v>
      </c>
      <c r="C1128" s="2" t="s">
        <v>138</v>
      </c>
      <c r="D1128">
        <v>16</v>
      </c>
    </row>
    <row r="1129" spans="1:4" hidden="1" x14ac:dyDescent="0.25">
      <c r="A1129" s="2" t="s">
        <v>42</v>
      </c>
      <c r="B1129">
        <v>16</v>
      </c>
      <c r="C1129" s="2" t="s">
        <v>139</v>
      </c>
      <c r="D1129">
        <v>16</v>
      </c>
    </row>
    <row r="1130" spans="1:4" hidden="1" x14ac:dyDescent="0.25">
      <c r="A1130" s="2" t="s">
        <v>42</v>
      </c>
      <c r="B1130">
        <v>16</v>
      </c>
      <c r="C1130" s="2" t="s">
        <v>140</v>
      </c>
      <c r="D1130">
        <v>16</v>
      </c>
    </row>
    <row r="1131" spans="1:4" hidden="1" x14ac:dyDescent="0.25">
      <c r="A1131" s="2" t="s">
        <v>42</v>
      </c>
      <c r="B1131">
        <v>16</v>
      </c>
      <c r="C1131" s="2" t="s">
        <v>141</v>
      </c>
      <c r="D1131">
        <v>16</v>
      </c>
    </row>
    <row r="1132" spans="1:4" hidden="1" x14ac:dyDescent="0.25">
      <c r="A1132" s="2" t="s">
        <v>42</v>
      </c>
      <c r="B1132">
        <v>16</v>
      </c>
      <c r="C1132" s="2" t="s">
        <v>142</v>
      </c>
      <c r="D1132">
        <v>16</v>
      </c>
    </row>
    <row r="1133" spans="1:4" hidden="1" x14ac:dyDescent="0.25">
      <c r="A1133" s="2" t="s">
        <v>42</v>
      </c>
      <c r="B1133">
        <v>16</v>
      </c>
      <c r="C1133" s="2" t="s">
        <v>143</v>
      </c>
      <c r="D1133">
        <v>16</v>
      </c>
    </row>
    <row r="1134" spans="1:4" hidden="1" x14ac:dyDescent="0.25">
      <c r="A1134" s="2" t="s">
        <v>42</v>
      </c>
      <c r="B1134">
        <v>16</v>
      </c>
      <c r="C1134" s="2" t="s">
        <v>144</v>
      </c>
      <c r="D1134">
        <v>16</v>
      </c>
    </row>
    <row r="1135" spans="1:4" hidden="1" x14ac:dyDescent="0.25">
      <c r="A1135" s="2" t="s">
        <v>42</v>
      </c>
      <c r="B1135">
        <v>16</v>
      </c>
      <c r="C1135" s="2" t="s">
        <v>145</v>
      </c>
      <c r="D1135">
        <v>16</v>
      </c>
    </row>
    <row r="1136" spans="1:4" hidden="1" x14ac:dyDescent="0.25">
      <c r="A1136" s="2" t="s">
        <v>42</v>
      </c>
      <c r="B1136">
        <v>16</v>
      </c>
      <c r="C1136" s="2" t="s">
        <v>146</v>
      </c>
      <c r="D1136">
        <v>16</v>
      </c>
    </row>
    <row r="1137" spans="1:4" hidden="1" x14ac:dyDescent="0.25">
      <c r="A1137" s="2" t="s">
        <v>42</v>
      </c>
      <c r="B1137">
        <v>16</v>
      </c>
      <c r="C1137" s="2" t="s">
        <v>147</v>
      </c>
      <c r="D1137">
        <v>16</v>
      </c>
    </row>
    <row r="1138" spans="1:4" hidden="1" x14ac:dyDescent="0.25">
      <c r="A1138" s="2" t="s">
        <v>42</v>
      </c>
      <c r="B1138">
        <v>16</v>
      </c>
      <c r="C1138" s="2" t="s">
        <v>148</v>
      </c>
      <c r="D1138">
        <v>16</v>
      </c>
    </row>
    <row r="1139" spans="1:4" hidden="1" x14ac:dyDescent="0.25">
      <c r="A1139" s="2" t="s">
        <v>42</v>
      </c>
      <c r="B1139">
        <v>16</v>
      </c>
      <c r="C1139" s="2" t="s">
        <v>149</v>
      </c>
      <c r="D1139">
        <v>16</v>
      </c>
    </row>
    <row r="1140" spans="1:4" hidden="1" x14ac:dyDescent="0.25">
      <c r="A1140" s="2" t="s">
        <v>42</v>
      </c>
      <c r="B1140">
        <v>16</v>
      </c>
      <c r="C1140" s="2" t="s">
        <v>150</v>
      </c>
      <c r="D1140">
        <v>16</v>
      </c>
    </row>
    <row r="1141" spans="1:4" hidden="1" x14ac:dyDescent="0.25">
      <c r="A1141" s="2" t="s">
        <v>42</v>
      </c>
      <c r="B1141">
        <v>16</v>
      </c>
      <c r="C1141" s="2" t="s">
        <v>151</v>
      </c>
      <c r="D1141">
        <v>16</v>
      </c>
    </row>
    <row r="1142" spans="1:4" hidden="1" x14ac:dyDescent="0.25">
      <c r="A1142" s="2" t="s">
        <v>42</v>
      </c>
      <c r="B1142">
        <v>16</v>
      </c>
      <c r="C1142" s="2" t="s">
        <v>152</v>
      </c>
      <c r="D1142">
        <v>16</v>
      </c>
    </row>
    <row r="1143" spans="1:4" hidden="1" x14ac:dyDescent="0.25">
      <c r="A1143" s="2" t="s">
        <v>42</v>
      </c>
      <c r="B1143">
        <v>16</v>
      </c>
      <c r="C1143" s="2" t="s">
        <v>153</v>
      </c>
      <c r="D1143">
        <v>16</v>
      </c>
    </row>
    <row r="1144" spans="1:4" hidden="1" x14ac:dyDescent="0.25">
      <c r="A1144" s="2" t="s">
        <v>42</v>
      </c>
      <c r="B1144">
        <v>16</v>
      </c>
      <c r="C1144" s="2" t="s">
        <v>154</v>
      </c>
      <c r="D1144">
        <v>16</v>
      </c>
    </row>
    <row r="1145" spans="1:4" hidden="1" x14ac:dyDescent="0.25">
      <c r="A1145" s="2" t="s">
        <v>42</v>
      </c>
      <c r="B1145">
        <v>16</v>
      </c>
      <c r="C1145" s="2" t="s">
        <v>155</v>
      </c>
      <c r="D1145">
        <v>16</v>
      </c>
    </row>
    <row r="1146" spans="1:4" hidden="1" x14ac:dyDescent="0.25">
      <c r="A1146" s="2" t="s">
        <v>42</v>
      </c>
      <c r="B1146">
        <v>16</v>
      </c>
      <c r="C1146" s="2" t="s">
        <v>156</v>
      </c>
      <c r="D1146">
        <v>16</v>
      </c>
    </row>
    <row r="1147" spans="1:4" hidden="1" x14ac:dyDescent="0.25">
      <c r="A1147" s="2" t="s">
        <v>42</v>
      </c>
      <c r="B1147">
        <v>16</v>
      </c>
      <c r="C1147" s="2" t="s">
        <v>157</v>
      </c>
      <c r="D1147">
        <v>16</v>
      </c>
    </row>
    <row r="1148" spans="1:4" hidden="1" x14ac:dyDescent="0.25">
      <c r="A1148" s="2" t="s">
        <v>42</v>
      </c>
      <c r="B1148">
        <v>16</v>
      </c>
      <c r="C1148" s="2" t="s">
        <v>158</v>
      </c>
      <c r="D1148">
        <v>16</v>
      </c>
    </row>
    <row r="1149" spans="1:4" hidden="1" x14ac:dyDescent="0.25">
      <c r="A1149" s="2" t="s">
        <v>42</v>
      </c>
      <c r="B1149">
        <v>16</v>
      </c>
      <c r="C1149" s="2" t="s">
        <v>159</v>
      </c>
      <c r="D1149">
        <v>16</v>
      </c>
    </row>
    <row r="1150" spans="1:4" hidden="1" x14ac:dyDescent="0.25">
      <c r="A1150" s="2" t="s">
        <v>42</v>
      </c>
      <c r="B1150">
        <v>16</v>
      </c>
      <c r="C1150" s="2" t="s">
        <v>160</v>
      </c>
      <c r="D1150">
        <v>16</v>
      </c>
    </row>
    <row r="1151" spans="1:4" hidden="1" x14ac:dyDescent="0.25">
      <c r="A1151" s="2" t="s">
        <v>42</v>
      </c>
      <c r="B1151">
        <v>16</v>
      </c>
      <c r="C1151" s="2" t="s">
        <v>161</v>
      </c>
      <c r="D1151">
        <v>16</v>
      </c>
    </row>
    <row r="1152" spans="1:4" hidden="1" x14ac:dyDescent="0.25">
      <c r="A1152" s="2" t="s">
        <v>42</v>
      </c>
      <c r="B1152">
        <v>16</v>
      </c>
      <c r="C1152" s="2" t="s">
        <v>162</v>
      </c>
      <c r="D1152">
        <v>16</v>
      </c>
    </row>
    <row r="1153" spans="1:4" hidden="1" x14ac:dyDescent="0.25">
      <c r="A1153" s="2" t="s">
        <v>42</v>
      </c>
      <c r="B1153">
        <v>16</v>
      </c>
      <c r="C1153" s="2" t="s">
        <v>163</v>
      </c>
      <c r="D1153">
        <v>16</v>
      </c>
    </row>
    <row r="1154" spans="1:4" hidden="1" x14ac:dyDescent="0.25">
      <c r="A1154" s="2" t="s">
        <v>42</v>
      </c>
      <c r="B1154">
        <v>16</v>
      </c>
      <c r="C1154" s="2" t="s">
        <v>164</v>
      </c>
      <c r="D1154">
        <v>16</v>
      </c>
    </row>
    <row r="1155" spans="1:4" hidden="1" x14ac:dyDescent="0.25">
      <c r="A1155" s="2" t="s">
        <v>42</v>
      </c>
      <c r="B1155">
        <v>16</v>
      </c>
      <c r="C1155" s="2" t="s">
        <v>165</v>
      </c>
      <c r="D1155">
        <v>16</v>
      </c>
    </row>
    <row r="1156" spans="1:4" hidden="1" x14ac:dyDescent="0.25">
      <c r="A1156" s="2" t="s">
        <v>42</v>
      </c>
      <c r="B1156">
        <v>16</v>
      </c>
      <c r="C1156" s="2" t="s">
        <v>166</v>
      </c>
      <c r="D1156">
        <v>16</v>
      </c>
    </row>
    <row r="1157" spans="1:4" hidden="1" x14ac:dyDescent="0.25">
      <c r="A1157" s="2" t="s">
        <v>42</v>
      </c>
      <c r="B1157">
        <v>16</v>
      </c>
      <c r="C1157" s="2" t="s">
        <v>167</v>
      </c>
      <c r="D1157">
        <v>16</v>
      </c>
    </row>
    <row r="1158" spans="1:4" hidden="1" x14ac:dyDescent="0.25">
      <c r="A1158" s="2" t="s">
        <v>42</v>
      </c>
      <c r="B1158">
        <v>16</v>
      </c>
      <c r="C1158" s="2" t="s">
        <v>168</v>
      </c>
      <c r="D1158">
        <v>16</v>
      </c>
    </row>
    <row r="1159" spans="1:4" hidden="1" x14ac:dyDescent="0.25">
      <c r="A1159" s="2" t="s">
        <v>42</v>
      </c>
      <c r="B1159">
        <v>16</v>
      </c>
      <c r="C1159" s="2" t="s">
        <v>169</v>
      </c>
      <c r="D1159">
        <v>16</v>
      </c>
    </row>
    <row r="1160" spans="1:4" hidden="1" x14ac:dyDescent="0.25">
      <c r="A1160" s="2" t="s">
        <v>42</v>
      </c>
      <c r="B1160">
        <v>16</v>
      </c>
      <c r="C1160" s="2" t="s">
        <v>170</v>
      </c>
      <c r="D1160">
        <v>16</v>
      </c>
    </row>
    <row r="1161" spans="1:4" hidden="1" x14ac:dyDescent="0.25">
      <c r="A1161" s="2" t="s">
        <v>42</v>
      </c>
      <c r="B1161">
        <v>16</v>
      </c>
      <c r="C1161" s="2" t="s">
        <v>171</v>
      </c>
      <c r="D1161">
        <v>16</v>
      </c>
    </row>
    <row r="1162" spans="1:4" hidden="1" x14ac:dyDescent="0.25">
      <c r="A1162" s="2" t="s">
        <v>42</v>
      </c>
      <c r="B1162">
        <v>16</v>
      </c>
      <c r="C1162" s="2" t="s">
        <v>172</v>
      </c>
      <c r="D1162">
        <v>16</v>
      </c>
    </row>
    <row r="1163" spans="1:4" hidden="1" x14ac:dyDescent="0.25">
      <c r="A1163" s="2" t="s">
        <v>42</v>
      </c>
      <c r="B1163">
        <v>16</v>
      </c>
      <c r="C1163" s="2" t="s">
        <v>173</v>
      </c>
      <c r="D1163">
        <v>16</v>
      </c>
    </row>
    <row r="1164" spans="1:4" hidden="1" x14ac:dyDescent="0.25">
      <c r="A1164" s="2" t="s">
        <v>42</v>
      </c>
      <c r="B1164">
        <v>16</v>
      </c>
      <c r="C1164" s="2" t="s">
        <v>174</v>
      </c>
      <c r="D1164">
        <v>16</v>
      </c>
    </row>
    <row r="1165" spans="1:4" hidden="1" x14ac:dyDescent="0.25">
      <c r="A1165" s="2" t="s">
        <v>42</v>
      </c>
      <c r="B1165">
        <v>16</v>
      </c>
      <c r="C1165" s="2" t="s">
        <v>175</v>
      </c>
      <c r="D1165">
        <v>16</v>
      </c>
    </row>
    <row r="1166" spans="1:4" hidden="1" x14ac:dyDescent="0.25">
      <c r="A1166" s="2" t="s">
        <v>42</v>
      </c>
      <c r="B1166">
        <v>16</v>
      </c>
      <c r="C1166" s="2" t="s">
        <v>176</v>
      </c>
      <c r="D1166">
        <v>16</v>
      </c>
    </row>
    <row r="1167" spans="1:4" hidden="1" x14ac:dyDescent="0.25">
      <c r="A1167" s="2" t="s">
        <v>42</v>
      </c>
      <c r="B1167">
        <v>16</v>
      </c>
      <c r="C1167" s="2" t="s">
        <v>177</v>
      </c>
      <c r="D1167">
        <v>16</v>
      </c>
    </row>
    <row r="1168" spans="1:4" hidden="1" x14ac:dyDescent="0.25">
      <c r="A1168" s="2" t="s">
        <v>42</v>
      </c>
      <c r="B1168">
        <v>16</v>
      </c>
      <c r="C1168" s="2" t="s">
        <v>178</v>
      </c>
      <c r="D1168">
        <v>16</v>
      </c>
    </row>
    <row r="1169" spans="1:4" hidden="1" x14ac:dyDescent="0.25">
      <c r="A1169" s="2" t="s">
        <v>42</v>
      </c>
      <c r="B1169">
        <v>16</v>
      </c>
      <c r="C1169" s="2" t="s">
        <v>179</v>
      </c>
      <c r="D1169">
        <v>16</v>
      </c>
    </row>
    <row r="1170" spans="1:4" hidden="1" x14ac:dyDescent="0.25">
      <c r="A1170" s="2" t="s">
        <v>33</v>
      </c>
      <c r="B1170">
        <v>17</v>
      </c>
      <c r="C1170" s="2" t="s">
        <v>183</v>
      </c>
      <c r="D1170">
        <v>13</v>
      </c>
    </row>
    <row r="1171" spans="1:4" hidden="1" x14ac:dyDescent="0.25">
      <c r="A1171" s="2" t="s">
        <v>33</v>
      </c>
      <c r="B1171">
        <v>17</v>
      </c>
      <c r="C1171" s="2" t="s">
        <v>184</v>
      </c>
      <c r="D1171">
        <v>14</v>
      </c>
    </row>
    <row r="1172" spans="1:4" hidden="1" x14ac:dyDescent="0.25">
      <c r="A1172" s="2" t="s">
        <v>33</v>
      </c>
      <c r="B1172">
        <v>17</v>
      </c>
      <c r="C1172" s="2" t="s">
        <v>185</v>
      </c>
      <c r="D1172">
        <v>24</v>
      </c>
    </row>
    <row r="1173" spans="1:4" hidden="1" x14ac:dyDescent="0.25">
      <c r="A1173" s="2" t="s">
        <v>33</v>
      </c>
      <c r="B1173">
        <v>17</v>
      </c>
      <c r="C1173" s="2" t="s">
        <v>186</v>
      </c>
      <c r="D1173">
        <v>9</v>
      </c>
    </row>
    <row r="1174" spans="1:4" hidden="1" x14ac:dyDescent="0.25">
      <c r="A1174" s="2" t="s">
        <v>33</v>
      </c>
      <c r="B1174">
        <v>17</v>
      </c>
      <c r="C1174" s="2" t="s">
        <v>187</v>
      </c>
      <c r="D1174">
        <v>9</v>
      </c>
    </row>
    <row r="1175" spans="1:4" hidden="1" x14ac:dyDescent="0.25">
      <c r="A1175" s="2" t="s">
        <v>33</v>
      </c>
      <c r="B1175">
        <v>17</v>
      </c>
      <c r="C1175" s="2" t="s">
        <v>188</v>
      </c>
      <c r="D1175">
        <v>9</v>
      </c>
    </row>
    <row r="1176" spans="1:4" hidden="1" x14ac:dyDescent="0.25">
      <c r="A1176" s="2" t="s">
        <v>33</v>
      </c>
      <c r="B1176">
        <v>17</v>
      </c>
      <c r="C1176" s="2" t="s">
        <v>189</v>
      </c>
      <c r="D1176">
        <v>27</v>
      </c>
    </row>
    <row r="1177" spans="1:4" hidden="1" x14ac:dyDescent="0.25">
      <c r="A1177" s="2" t="s">
        <v>33</v>
      </c>
      <c r="B1177">
        <v>17</v>
      </c>
      <c r="C1177" s="2" t="s">
        <v>190</v>
      </c>
      <c r="D1177">
        <v>27</v>
      </c>
    </row>
    <row r="1178" spans="1:4" hidden="1" x14ac:dyDescent="0.25">
      <c r="A1178" s="2" t="s">
        <v>33</v>
      </c>
      <c r="B1178">
        <v>17</v>
      </c>
      <c r="C1178" s="2" t="s">
        <v>191</v>
      </c>
      <c r="D1178">
        <v>41</v>
      </c>
    </row>
    <row r="1179" spans="1:4" hidden="1" x14ac:dyDescent="0.25">
      <c r="A1179" s="2" t="s">
        <v>33</v>
      </c>
      <c r="B1179">
        <v>17</v>
      </c>
      <c r="C1179" s="2" t="s">
        <v>116</v>
      </c>
      <c r="D1179">
        <v>42</v>
      </c>
    </row>
    <row r="1180" spans="1:4" hidden="1" x14ac:dyDescent="0.25">
      <c r="A1180" s="2" t="s">
        <v>33</v>
      </c>
      <c r="B1180">
        <v>17</v>
      </c>
      <c r="C1180" s="2" t="s">
        <v>117</v>
      </c>
      <c r="D1180">
        <v>40</v>
      </c>
    </row>
    <row r="1181" spans="1:4" hidden="1" x14ac:dyDescent="0.25">
      <c r="A1181" s="2" t="s">
        <v>33</v>
      </c>
      <c r="B1181">
        <v>17</v>
      </c>
      <c r="C1181" s="2" t="s">
        <v>118</v>
      </c>
      <c r="D1181">
        <v>41</v>
      </c>
    </row>
    <row r="1182" spans="1:4" hidden="1" x14ac:dyDescent="0.25">
      <c r="A1182" s="2" t="s">
        <v>33</v>
      </c>
      <c r="B1182">
        <v>17</v>
      </c>
      <c r="C1182" s="2" t="s">
        <v>119</v>
      </c>
      <c r="D1182">
        <v>37</v>
      </c>
    </row>
    <row r="1183" spans="1:4" hidden="1" x14ac:dyDescent="0.25">
      <c r="A1183" s="2" t="s">
        <v>33</v>
      </c>
      <c r="B1183">
        <v>17</v>
      </c>
      <c r="C1183" s="2" t="s">
        <v>120</v>
      </c>
      <c r="D1183">
        <v>45</v>
      </c>
    </row>
    <row r="1184" spans="1:4" hidden="1" x14ac:dyDescent="0.25">
      <c r="A1184" s="2" t="s">
        <v>33</v>
      </c>
      <c r="B1184">
        <v>17</v>
      </c>
      <c r="C1184" s="2" t="s">
        <v>121</v>
      </c>
      <c r="D1184">
        <v>45</v>
      </c>
    </row>
    <row r="1185" spans="1:4" hidden="1" x14ac:dyDescent="0.25">
      <c r="A1185" s="2" t="s">
        <v>33</v>
      </c>
      <c r="B1185">
        <v>17</v>
      </c>
      <c r="C1185" s="2" t="s">
        <v>122</v>
      </c>
      <c r="D1185">
        <v>36</v>
      </c>
    </row>
    <row r="1186" spans="1:4" hidden="1" x14ac:dyDescent="0.25">
      <c r="A1186" s="2" t="s">
        <v>33</v>
      </c>
      <c r="B1186">
        <v>17</v>
      </c>
      <c r="C1186" s="2" t="s">
        <v>123</v>
      </c>
      <c r="D1186">
        <v>18</v>
      </c>
    </row>
    <row r="1187" spans="1:4" hidden="1" x14ac:dyDescent="0.25">
      <c r="A1187" s="2" t="s">
        <v>33</v>
      </c>
      <c r="B1187">
        <v>17</v>
      </c>
      <c r="C1187" s="2" t="s">
        <v>124</v>
      </c>
      <c r="D1187">
        <v>24</v>
      </c>
    </row>
    <row r="1188" spans="1:4" hidden="1" x14ac:dyDescent="0.25">
      <c r="A1188" s="2" t="s">
        <v>33</v>
      </c>
      <c r="B1188">
        <v>17</v>
      </c>
      <c r="C1188" s="2" t="s">
        <v>125</v>
      </c>
      <c r="D1188">
        <v>26</v>
      </c>
    </row>
    <row r="1189" spans="1:4" hidden="1" x14ac:dyDescent="0.25">
      <c r="A1189" s="2" t="s">
        <v>33</v>
      </c>
      <c r="B1189">
        <v>17</v>
      </c>
      <c r="C1189" s="2" t="s">
        <v>126</v>
      </c>
      <c r="D1189">
        <v>27</v>
      </c>
    </row>
    <row r="1190" spans="1:4" hidden="1" x14ac:dyDescent="0.25">
      <c r="A1190" s="2" t="s">
        <v>33</v>
      </c>
      <c r="B1190">
        <v>17</v>
      </c>
      <c r="C1190" s="2" t="s">
        <v>127</v>
      </c>
      <c r="D1190">
        <v>25</v>
      </c>
    </row>
    <row r="1191" spans="1:4" hidden="1" x14ac:dyDescent="0.25">
      <c r="A1191" s="2" t="s">
        <v>33</v>
      </c>
      <c r="B1191">
        <v>17</v>
      </c>
      <c r="C1191" s="2" t="s">
        <v>128</v>
      </c>
      <c r="D1191">
        <v>29</v>
      </c>
    </row>
    <row r="1192" spans="1:4" hidden="1" x14ac:dyDescent="0.25">
      <c r="A1192" s="2" t="s">
        <v>33</v>
      </c>
      <c r="B1192">
        <v>17</v>
      </c>
      <c r="C1192" s="2" t="s">
        <v>129</v>
      </c>
      <c r="D1192">
        <v>23</v>
      </c>
    </row>
    <row r="1193" spans="1:4" hidden="1" x14ac:dyDescent="0.25">
      <c r="A1193" s="2" t="s">
        <v>33</v>
      </c>
      <c r="B1193">
        <v>17</v>
      </c>
      <c r="C1193" s="2" t="s">
        <v>130</v>
      </c>
      <c r="D1193">
        <v>14</v>
      </c>
    </row>
    <row r="1194" spans="1:4" hidden="1" x14ac:dyDescent="0.25">
      <c r="A1194" s="2" t="s">
        <v>33</v>
      </c>
      <c r="B1194">
        <v>17</v>
      </c>
      <c r="C1194" s="2" t="s">
        <v>131</v>
      </c>
      <c r="D1194">
        <v>16</v>
      </c>
    </row>
    <row r="1195" spans="1:4" hidden="1" x14ac:dyDescent="0.25">
      <c r="A1195" s="2" t="s">
        <v>33</v>
      </c>
      <c r="B1195">
        <v>17</v>
      </c>
      <c r="C1195" s="2" t="s">
        <v>132</v>
      </c>
      <c r="D1195">
        <v>17</v>
      </c>
    </row>
    <row r="1196" spans="1:4" hidden="1" x14ac:dyDescent="0.25">
      <c r="A1196" s="2" t="s">
        <v>33</v>
      </c>
      <c r="B1196">
        <v>17</v>
      </c>
      <c r="C1196" s="2" t="s">
        <v>133</v>
      </c>
      <c r="D1196">
        <v>17</v>
      </c>
    </row>
    <row r="1197" spans="1:4" hidden="1" x14ac:dyDescent="0.25">
      <c r="A1197" s="2" t="s">
        <v>33</v>
      </c>
      <c r="B1197">
        <v>17</v>
      </c>
      <c r="C1197" s="2" t="s">
        <v>134</v>
      </c>
      <c r="D1197">
        <v>15</v>
      </c>
    </row>
    <row r="1198" spans="1:4" hidden="1" x14ac:dyDescent="0.25">
      <c r="A1198" s="2" t="s">
        <v>33</v>
      </c>
      <c r="B1198">
        <v>17</v>
      </c>
      <c r="C1198" s="2" t="s">
        <v>135</v>
      </c>
      <c r="D1198">
        <v>17</v>
      </c>
    </row>
    <row r="1199" spans="1:4" hidden="1" x14ac:dyDescent="0.25">
      <c r="A1199" s="2" t="s">
        <v>33</v>
      </c>
      <c r="B1199">
        <v>17</v>
      </c>
      <c r="C1199" s="2" t="s">
        <v>136</v>
      </c>
      <c r="D1199">
        <v>17</v>
      </c>
    </row>
    <row r="1200" spans="1:4" hidden="1" x14ac:dyDescent="0.25">
      <c r="A1200" s="2" t="s">
        <v>33</v>
      </c>
      <c r="B1200">
        <v>17</v>
      </c>
      <c r="C1200" s="2" t="s">
        <v>137</v>
      </c>
      <c r="D1200">
        <v>17</v>
      </c>
    </row>
    <row r="1201" spans="1:4" hidden="1" x14ac:dyDescent="0.25">
      <c r="A1201" s="2" t="s">
        <v>33</v>
      </c>
      <c r="B1201">
        <v>17</v>
      </c>
      <c r="C1201" s="2" t="s">
        <v>138</v>
      </c>
      <c r="D1201">
        <v>17</v>
      </c>
    </row>
    <row r="1202" spans="1:4" hidden="1" x14ac:dyDescent="0.25">
      <c r="A1202" s="2" t="s">
        <v>33</v>
      </c>
      <c r="B1202">
        <v>17</v>
      </c>
      <c r="C1202" s="2" t="s">
        <v>139</v>
      </c>
      <c r="D1202">
        <v>17</v>
      </c>
    </row>
    <row r="1203" spans="1:4" hidden="1" x14ac:dyDescent="0.25">
      <c r="A1203" s="2" t="s">
        <v>33</v>
      </c>
      <c r="B1203">
        <v>17</v>
      </c>
      <c r="C1203" s="2" t="s">
        <v>140</v>
      </c>
      <c r="D1203">
        <v>17</v>
      </c>
    </row>
    <row r="1204" spans="1:4" hidden="1" x14ac:dyDescent="0.25">
      <c r="A1204" s="2" t="s">
        <v>33</v>
      </c>
      <c r="B1204">
        <v>17</v>
      </c>
      <c r="C1204" s="2" t="s">
        <v>141</v>
      </c>
      <c r="D1204">
        <v>17</v>
      </c>
    </row>
    <row r="1205" spans="1:4" hidden="1" x14ac:dyDescent="0.25">
      <c r="A1205" s="2" t="s">
        <v>33</v>
      </c>
      <c r="B1205">
        <v>17</v>
      </c>
      <c r="C1205" s="2" t="s">
        <v>142</v>
      </c>
      <c r="D1205">
        <v>17</v>
      </c>
    </row>
    <row r="1206" spans="1:4" hidden="1" x14ac:dyDescent="0.25">
      <c r="A1206" s="2" t="s">
        <v>33</v>
      </c>
      <c r="B1206">
        <v>17</v>
      </c>
      <c r="C1206" s="2" t="s">
        <v>143</v>
      </c>
      <c r="D1206">
        <v>17</v>
      </c>
    </row>
    <row r="1207" spans="1:4" hidden="1" x14ac:dyDescent="0.25">
      <c r="A1207" s="2" t="s">
        <v>33</v>
      </c>
      <c r="B1207">
        <v>17</v>
      </c>
      <c r="C1207" s="2" t="s">
        <v>144</v>
      </c>
      <c r="D1207">
        <v>17</v>
      </c>
    </row>
    <row r="1208" spans="1:4" hidden="1" x14ac:dyDescent="0.25">
      <c r="A1208" s="2" t="s">
        <v>33</v>
      </c>
      <c r="B1208">
        <v>17</v>
      </c>
      <c r="C1208" s="2" t="s">
        <v>145</v>
      </c>
      <c r="D1208">
        <v>17</v>
      </c>
    </row>
    <row r="1209" spans="1:4" hidden="1" x14ac:dyDescent="0.25">
      <c r="A1209" s="2" t="s">
        <v>33</v>
      </c>
      <c r="B1209">
        <v>17</v>
      </c>
      <c r="C1209" s="2" t="s">
        <v>146</v>
      </c>
      <c r="D1209">
        <v>17</v>
      </c>
    </row>
    <row r="1210" spans="1:4" hidden="1" x14ac:dyDescent="0.25">
      <c r="A1210" s="2" t="s">
        <v>33</v>
      </c>
      <c r="B1210">
        <v>17</v>
      </c>
      <c r="C1210" s="2" t="s">
        <v>147</v>
      </c>
      <c r="D1210">
        <v>17</v>
      </c>
    </row>
    <row r="1211" spans="1:4" hidden="1" x14ac:dyDescent="0.25">
      <c r="A1211" s="2" t="s">
        <v>33</v>
      </c>
      <c r="B1211">
        <v>17</v>
      </c>
      <c r="C1211" s="2" t="s">
        <v>148</v>
      </c>
      <c r="D1211">
        <v>17</v>
      </c>
    </row>
    <row r="1212" spans="1:4" hidden="1" x14ac:dyDescent="0.25">
      <c r="A1212" s="2" t="s">
        <v>33</v>
      </c>
      <c r="B1212">
        <v>17</v>
      </c>
      <c r="C1212" s="2" t="s">
        <v>149</v>
      </c>
      <c r="D1212">
        <v>17</v>
      </c>
    </row>
    <row r="1213" spans="1:4" hidden="1" x14ac:dyDescent="0.25">
      <c r="A1213" s="2" t="s">
        <v>33</v>
      </c>
      <c r="B1213">
        <v>17</v>
      </c>
      <c r="C1213" s="2" t="s">
        <v>150</v>
      </c>
      <c r="D1213">
        <v>17</v>
      </c>
    </row>
    <row r="1214" spans="1:4" hidden="1" x14ac:dyDescent="0.25">
      <c r="A1214" s="2" t="s">
        <v>33</v>
      </c>
      <c r="B1214">
        <v>17</v>
      </c>
      <c r="C1214" s="2" t="s">
        <v>151</v>
      </c>
      <c r="D1214">
        <v>17</v>
      </c>
    </row>
    <row r="1215" spans="1:4" hidden="1" x14ac:dyDescent="0.25">
      <c r="A1215" s="2" t="s">
        <v>33</v>
      </c>
      <c r="B1215">
        <v>17</v>
      </c>
      <c r="C1215" s="2" t="s">
        <v>152</v>
      </c>
      <c r="D1215">
        <v>17</v>
      </c>
    </row>
    <row r="1216" spans="1:4" hidden="1" x14ac:dyDescent="0.25">
      <c r="A1216" s="2" t="s">
        <v>33</v>
      </c>
      <c r="B1216">
        <v>17</v>
      </c>
      <c r="C1216" s="2" t="s">
        <v>153</v>
      </c>
      <c r="D1216">
        <v>17</v>
      </c>
    </row>
    <row r="1217" spans="1:4" hidden="1" x14ac:dyDescent="0.25">
      <c r="A1217" s="2" t="s">
        <v>33</v>
      </c>
      <c r="B1217">
        <v>17</v>
      </c>
      <c r="C1217" s="2" t="s">
        <v>154</v>
      </c>
      <c r="D1217">
        <v>17</v>
      </c>
    </row>
    <row r="1218" spans="1:4" hidden="1" x14ac:dyDescent="0.25">
      <c r="A1218" s="2" t="s">
        <v>33</v>
      </c>
      <c r="B1218">
        <v>17</v>
      </c>
      <c r="C1218" s="2" t="s">
        <v>155</v>
      </c>
      <c r="D1218">
        <v>17</v>
      </c>
    </row>
    <row r="1219" spans="1:4" hidden="1" x14ac:dyDescent="0.25">
      <c r="A1219" s="2" t="s">
        <v>33</v>
      </c>
      <c r="B1219">
        <v>17</v>
      </c>
      <c r="C1219" s="2" t="s">
        <v>156</v>
      </c>
      <c r="D1219">
        <v>17</v>
      </c>
    </row>
    <row r="1220" spans="1:4" hidden="1" x14ac:dyDescent="0.25">
      <c r="A1220" s="2" t="s">
        <v>33</v>
      </c>
      <c r="B1220">
        <v>17</v>
      </c>
      <c r="C1220" s="2" t="s">
        <v>157</v>
      </c>
      <c r="D1220">
        <v>17</v>
      </c>
    </row>
    <row r="1221" spans="1:4" hidden="1" x14ac:dyDescent="0.25">
      <c r="A1221" s="2" t="s">
        <v>33</v>
      </c>
      <c r="B1221">
        <v>17</v>
      </c>
      <c r="C1221" s="2" t="s">
        <v>158</v>
      </c>
      <c r="D1221">
        <v>17</v>
      </c>
    </row>
    <row r="1222" spans="1:4" hidden="1" x14ac:dyDescent="0.25">
      <c r="A1222" s="2" t="s">
        <v>33</v>
      </c>
      <c r="B1222">
        <v>17</v>
      </c>
      <c r="C1222" s="2" t="s">
        <v>159</v>
      </c>
      <c r="D1222">
        <v>17</v>
      </c>
    </row>
    <row r="1223" spans="1:4" hidden="1" x14ac:dyDescent="0.25">
      <c r="A1223" s="2" t="s">
        <v>33</v>
      </c>
      <c r="B1223">
        <v>17</v>
      </c>
      <c r="C1223" s="2" t="s">
        <v>160</v>
      </c>
      <c r="D1223">
        <v>17</v>
      </c>
    </row>
    <row r="1224" spans="1:4" hidden="1" x14ac:dyDescent="0.25">
      <c r="A1224" s="2" t="s">
        <v>33</v>
      </c>
      <c r="B1224">
        <v>17</v>
      </c>
      <c r="C1224" s="2" t="s">
        <v>161</v>
      </c>
      <c r="D1224">
        <v>17</v>
      </c>
    </row>
    <row r="1225" spans="1:4" hidden="1" x14ac:dyDescent="0.25">
      <c r="A1225" s="2" t="s">
        <v>33</v>
      </c>
      <c r="B1225">
        <v>17</v>
      </c>
      <c r="C1225" s="2" t="s">
        <v>162</v>
      </c>
      <c r="D1225">
        <v>17</v>
      </c>
    </row>
    <row r="1226" spans="1:4" hidden="1" x14ac:dyDescent="0.25">
      <c r="A1226" s="2" t="s">
        <v>33</v>
      </c>
      <c r="B1226">
        <v>17</v>
      </c>
      <c r="C1226" s="2" t="s">
        <v>163</v>
      </c>
      <c r="D1226">
        <v>17</v>
      </c>
    </row>
    <row r="1227" spans="1:4" hidden="1" x14ac:dyDescent="0.25">
      <c r="A1227" s="2" t="s">
        <v>33</v>
      </c>
      <c r="B1227">
        <v>17</v>
      </c>
      <c r="C1227" s="2" t="s">
        <v>164</v>
      </c>
      <c r="D1227">
        <v>17</v>
      </c>
    </row>
    <row r="1228" spans="1:4" hidden="1" x14ac:dyDescent="0.25">
      <c r="A1228" s="2" t="s">
        <v>33</v>
      </c>
      <c r="B1228">
        <v>17</v>
      </c>
      <c r="C1228" s="2" t="s">
        <v>165</v>
      </c>
      <c r="D1228">
        <v>17</v>
      </c>
    </row>
    <row r="1229" spans="1:4" hidden="1" x14ac:dyDescent="0.25">
      <c r="A1229" s="2" t="s">
        <v>33</v>
      </c>
      <c r="B1229">
        <v>17</v>
      </c>
      <c r="C1229" s="2" t="s">
        <v>166</v>
      </c>
      <c r="D1229">
        <v>17</v>
      </c>
    </row>
    <row r="1230" spans="1:4" hidden="1" x14ac:dyDescent="0.25">
      <c r="A1230" s="2" t="s">
        <v>33</v>
      </c>
      <c r="B1230">
        <v>17</v>
      </c>
      <c r="C1230" s="2" t="s">
        <v>167</v>
      </c>
      <c r="D1230">
        <v>17</v>
      </c>
    </row>
    <row r="1231" spans="1:4" hidden="1" x14ac:dyDescent="0.25">
      <c r="A1231" s="2" t="s">
        <v>33</v>
      </c>
      <c r="B1231">
        <v>17</v>
      </c>
      <c r="C1231" s="2" t="s">
        <v>168</v>
      </c>
      <c r="D1231">
        <v>17</v>
      </c>
    </row>
    <row r="1232" spans="1:4" hidden="1" x14ac:dyDescent="0.25">
      <c r="A1232" s="2" t="s">
        <v>33</v>
      </c>
      <c r="B1232">
        <v>17</v>
      </c>
      <c r="C1232" s="2" t="s">
        <v>169</v>
      </c>
      <c r="D1232">
        <v>17</v>
      </c>
    </row>
    <row r="1233" spans="1:4" hidden="1" x14ac:dyDescent="0.25">
      <c r="A1233" s="2" t="s">
        <v>33</v>
      </c>
      <c r="B1233">
        <v>17</v>
      </c>
      <c r="C1233" s="2" t="s">
        <v>170</v>
      </c>
      <c r="D1233">
        <v>17</v>
      </c>
    </row>
    <row r="1234" spans="1:4" hidden="1" x14ac:dyDescent="0.25">
      <c r="A1234" s="2" t="s">
        <v>33</v>
      </c>
      <c r="B1234">
        <v>17</v>
      </c>
      <c r="C1234" s="2" t="s">
        <v>171</v>
      </c>
      <c r="D1234">
        <v>17</v>
      </c>
    </row>
    <row r="1235" spans="1:4" hidden="1" x14ac:dyDescent="0.25">
      <c r="A1235" s="2" t="s">
        <v>33</v>
      </c>
      <c r="B1235">
        <v>17</v>
      </c>
      <c r="C1235" s="2" t="s">
        <v>172</v>
      </c>
      <c r="D1235">
        <v>17</v>
      </c>
    </row>
    <row r="1236" spans="1:4" hidden="1" x14ac:dyDescent="0.25">
      <c r="A1236" s="2" t="s">
        <v>33</v>
      </c>
      <c r="B1236">
        <v>17</v>
      </c>
      <c r="C1236" s="2" t="s">
        <v>173</v>
      </c>
      <c r="D1236">
        <v>17</v>
      </c>
    </row>
    <row r="1237" spans="1:4" hidden="1" x14ac:dyDescent="0.25">
      <c r="A1237" s="2" t="s">
        <v>33</v>
      </c>
      <c r="B1237">
        <v>17</v>
      </c>
      <c r="C1237" s="2" t="s">
        <v>174</v>
      </c>
      <c r="D1237">
        <v>17</v>
      </c>
    </row>
    <row r="1238" spans="1:4" hidden="1" x14ac:dyDescent="0.25">
      <c r="A1238" s="2" t="s">
        <v>33</v>
      </c>
      <c r="B1238">
        <v>17</v>
      </c>
      <c r="C1238" s="2" t="s">
        <v>175</v>
      </c>
      <c r="D1238">
        <v>17</v>
      </c>
    </row>
    <row r="1239" spans="1:4" hidden="1" x14ac:dyDescent="0.25">
      <c r="A1239" s="2" t="s">
        <v>33</v>
      </c>
      <c r="B1239">
        <v>17</v>
      </c>
      <c r="C1239" s="2" t="s">
        <v>176</v>
      </c>
      <c r="D1239">
        <v>17</v>
      </c>
    </row>
    <row r="1240" spans="1:4" hidden="1" x14ac:dyDescent="0.25">
      <c r="A1240" s="2" t="s">
        <v>33</v>
      </c>
      <c r="B1240">
        <v>17</v>
      </c>
      <c r="C1240" s="2" t="s">
        <v>177</v>
      </c>
      <c r="D1240">
        <v>17</v>
      </c>
    </row>
    <row r="1241" spans="1:4" hidden="1" x14ac:dyDescent="0.25">
      <c r="A1241" s="2" t="s">
        <v>33</v>
      </c>
      <c r="B1241">
        <v>17</v>
      </c>
      <c r="C1241" s="2" t="s">
        <v>178</v>
      </c>
      <c r="D1241">
        <v>17</v>
      </c>
    </row>
    <row r="1242" spans="1:4" hidden="1" x14ac:dyDescent="0.25">
      <c r="A1242" s="2" t="s">
        <v>33</v>
      </c>
      <c r="B1242">
        <v>17</v>
      </c>
      <c r="C1242" s="2" t="s">
        <v>179</v>
      </c>
      <c r="D1242">
        <v>17</v>
      </c>
    </row>
    <row r="1243" spans="1:4" hidden="1" x14ac:dyDescent="0.25">
      <c r="A1243" s="2" t="s">
        <v>99</v>
      </c>
      <c r="B1243">
        <v>17</v>
      </c>
      <c r="C1243" s="2" t="s">
        <v>183</v>
      </c>
      <c r="D1243">
        <v>1</v>
      </c>
    </row>
    <row r="1244" spans="1:4" hidden="1" x14ac:dyDescent="0.25">
      <c r="A1244" s="2" t="s">
        <v>99</v>
      </c>
      <c r="B1244">
        <v>17</v>
      </c>
      <c r="C1244" s="2" t="s">
        <v>184</v>
      </c>
      <c r="D1244">
        <v>1</v>
      </c>
    </row>
    <row r="1245" spans="1:4" hidden="1" x14ac:dyDescent="0.25">
      <c r="A1245" s="2" t="s">
        <v>99</v>
      </c>
      <c r="B1245">
        <v>17</v>
      </c>
      <c r="C1245" s="2" t="s">
        <v>185</v>
      </c>
      <c r="D1245">
        <v>3</v>
      </c>
    </row>
    <row r="1246" spans="1:4" hidden="1" x14ac:dyDescent="0.25">
      <c r="A1246" s="2" t="s">
        <v>99</v>
      </c>
      <c r="B1246">
        <v>17</v>
      </c>
      <c r="C1246" s="2" t="s">
        <v>186</v>
      </c>
      <c r="D1246">
        <v>38</v>
      </c>
    </row>
    <row r="1247" spans="1:4" hidden="1" x14ac:dyDescent="0.25">
      <c r="A1247" s="2" t="s">
        <v>99</v>
      </c>
      <c r="B1247">
        <v>17</v>
      </c>
      <c r="C1247" s="2" t="s">
        <v>187</v>
      </c>
      <c r="D1247">
        <v>39</v>
      </c>
    </row>
    <row r="1248" spans="1:4" hidden="1" x14ac:dyDescent="0.25">
      <c r="A1248" s="2" t="s">
        <v>99</v>
      </c>
      <c r="B1248">
        <v>17</v>
      </c>
      <c r="C1248" s="2" t="s">
        <v>188</v>
      </c>
      <c r="D1248">
        <v>41</v>
      </c>
    </row>
    <row r="1249" spans="1:4" hidden="1" x14ac:dyDescent="0.25">
      <c r="A1249" s="2" t="s">
        <v>99</v>
      </c>
      <c r="B1249">
        <v>17</v>
      </c>
      <c r="C1249" s="2" t="s">
        <v>189</v>
      </c>
      <c r="D1249">
        <v>49</v>
      </c>
    </row>
    <row r="1250" spans="1:4" hidden="1" x14ac:dyDescent="0.25">
      <c r="A1250" s="2" t="s">
        <v>99</v>
      </c>
      <c r="B1250">
        <v>17</v>
      </c>
      <c r="C1250" s="2" t="s">
        <v>190</v>
      </c>
      <c r="D1250">
        <v>49</v>
      </c>
    </row>
    <row r="1251" spans="1:4" hidden="1" x14ac:dyDescent="0.25">
      <c r="A1251" s="2" t="s">
        <v>99</v>
      </c>
      <c r="B1251">
        <v>17</v>
      </c>
      <c r="C1251" s="2" t="s">
        <v>191</v>
      </c>
      <c r="D1251">
        <v>52</v>
      </c>
    </row>
    <row r="1252" spans="1:4" hidden="1" x14ac:dyDescent="0.25">
      <c r="A1252" s="2" t="s">
        <v>99</v>
      </c>
      <c r="B1252">
        <v>17</v>
      </c>
      <c r="C1252" s="2" t="s">
        <v>116</v>
      </c>
      <c r="D1252">
        <v>56</v>
      </c>
    </row>
    <row r="1253" spans="1:4" hidden="1" x14ac:dyDescent="0.25">
      <c r="A1253" s="2" t="s">
        <v>99</v>
      </c>
      <c r="B1253">
        <v>17</v>
      </c>
      <c r="C1253" s="2" t="s">
        <v>117</v>
      </c>
      <c r="D1253">
        <v>51</v>
      </c>
    </row>
    <row r="1254" spans="1:4" hidden="1" x14ac:dyDescent="0.25">
      <c r="A1254" s="2" t="s">
        <v>99</v>
      </c>
      <c r="B1254">
        <v>17</v>
      </c>
      <c r="C1254" s="2" t="s">
        <v>118</v>
      </c>
      <c r="D1254">
        <v>54</v>
      </c>
    </row>
    <row r="1255" spans="1:4" hidden="1" x14ac:dyDescent="0.25">
      <c r="A1255" s="2" t="s">
        <v>99</v>
      </c>
      <c r="B1255">
        <v>17</v>
      </c>
      <c r="C1255" s="2" t="s">
        <v>119</v>
      </c>
      <c r="D1255">
        <v>33</v>
      </c>
    </row>
    <row r="1256" spans="1:4" hidden="1" x14ac:dyDescent="0.25">
      <c r="A1256" s="2" t="s">
        <v>99</v>
      </c>
      <c r="B1256">
        <v>17</v>
      </c>
      <c r="C1256" s="2" t="s">
        <v>120</v>
      </c>
      <c r="D1256">
        <v>35</v>
      </c>
    </row>
    <row r="1257" spans="1:4" hidden="1" x14ac:dyDescent="0.25">
      <c r="A1257" s="2" t="s">
        <v>99</v>
      </c>
      <c r="B1257">
        <v>17</v>
      </c>
      <c r="C1257" s="2" t="s">
        <v>121</v>
      </c>
      <c r="D1257">
        <v>36</v>
      </c>
    </row>
    <row r="1258" spans="1:4" hidden="1" x14ac:dyDescent="0.25">
      <c r="A1258" s="2" t="s">
        <v>99</v>
      </c>
      <c r="B1258">
        <v>17</v>
      </c>
      <c r="C1258" s="2" t="s">
        <v>122</v>
      </c>
      <c r="D1258">
        <v>41</v>
      </c>
    </row>
    <row r="1259" spans="1:4" hidden="1" x14ac:dyDescent="0.25">
      <c r="A1259" s="2" t="s">
        <v>99</v>
      </c>
      <c r="B1259">
        <v>17</v>
      </c>
      <c r="C1259" s="2" t="s">
        <v>123</v>
      </c>
      <c r="D1259">
        <v>50</v>
      </c>
    </row>
    <row r="1260" spans="1:4" hidden="1" x14ac:dyDescent="0.25">
      <c r="A1260" s="2" t="s">
        <v>99</v>
      </c>
      <c r="B1260">
        <v>17</v>
      </c>
      <c r="C1260" s="2" t="s">
        <v>124</v>
      </c>
      <c r="D1260">
        <v>29</v>
      </c>
    </row>
    <row r="1261" spans="1:4" hidden="1" x14ac:dyDescent="0.25">
      <c r="A1261" s="2" t="s">
        <v>99</v>
      </c>
      <c r="B1261">
        <v>17</v>
      </c>
      <c r="C1261" s="2" t="s">
        <v>125</v>
      </c>
      <c r="D1261">
        <v>31</v>
      </c>
    </row>
    <row r="1262" spans="1:4" hidden="1" x14ac:dyDescent="0.25">
      <c r="A1262" s="2" t="s">
        <v>99</v>
      </c>
      <c r="B1262">
        <v>17</v>
      </c>
      <c r="C1262" s="2" t="s">
        <v>126</v>
      </c>
      <c r="D1262">
        <v>7</v>
      </c>
    </row>
    <row r="1263" spans="1:4" hidden="1" x14ac:dyDescent="0.25">
      <c r="A1263" s="2" t="s">
        <v>99</v>
      </c>
      <c r="B1263">
        <v>17</v>
      </c>
      <c r="C1263" s="2" t="s">
        <v>127</v>
      </c>
      <c r="D1263">
        <v>6</v>
      </c>
    </row>
    <row r="1264" spans="1:4" hidden="1" x14ac:dyDescent="0.25">
      <c r="A1264" s="2" t="s">
        <v>99</v>
      </c>
      <c r="B1264">
        <v>17</v>
      </c>
      <c r="C1264" s="2" t="s">
        <v>128</v>
      </c>
      <c r="D1264">
        <v>13</v>
      </c>
    </row>
    <row r="1265" spans="1:4" hidden="1" x14ac:dyDescent="0.25">
      <c r="A1265" s="2" t="s">
        <v>99</v>
      </c>
      <c r="B1265">
        <v>17</v>
      </c>
      <c r="C1265" s="2" t="s">
        <v>129</v>
      </c>
      <c r="D1265">
        <v>15</v>
      </c>
    </row>
    <row r="1266" spans="1:4" hidden="1" x14ac:dyDescent="0.25">
      <c r="A1266" s="2" t="s">
        <v>99</v>
      </c>
      <c r="B1266">
        <v>17</v>
      </c>
      <c r="C1266" s="2" t="s">
        <v>130</v>
      </c>
      <c r="D1266">
        <v>17</v>
      </c>
    </row>
    <row r="1267" spans="1:4" hidden="1" x14ac:dyDescent="0.25">
      <c r="A1267" s="2" t="s">
        <v>99</v>
      </c>
      <c r="B1267">
        <v>17</v>
      </c>
      <c r="C1267" s="2" t="s">
        <v>131</v>
      </c>
      <c r="D1267">
        <v>19</v>
      </c>
    </row>
    <row r="1268" spans="1:4" hidden="1" x14ac:dyDescent="0.25">
      <c r="A1268" s="2" t="s">
        <v>99</v>
      </c>
      <c r="B1268">
        <v>17</v>
      </c>
      <c r="C1268" s="2" t="s">
        <v>132</v>
      </c>
      <c r="D1268">
        <v>21</v>
      </c>
    </row>
    <row r="1269" spans="1:4" hidden="1" x14ac:dyDescent="0.25">
      <c r="A1269" s="2" t="s">
        <v>99</v>
      </c>
      <c r="B1269">
        <v>17</v>
      </c>
      <c r="C1269" s="2" t="s">
        <v>133</v>
      </c>
      <c r="D1269">
        <v>21</v>
      </c>
    </row>
    <row r="1270" spans="1:4" hidden="1" x14ac:dyDescent="0.25">
      <c r="A1270" s="2" t="s">
        <v>99</v>
      </c>
      <c r="B1270">
        <v>17</v>
      </c>
      <c r="C1270" s="2" t="s">
        <v>134</v>
      </c>
      <c r="D1270">
        <v>19</v>
      </c>
    </row>
    <row r="1271" spans="1:4" hidden="1" x14ac:dyDescent="0.25">
      <c r="A1271" s="2" t="s">
        <v>99</v>
      </c>
      <c r="B1271">
        <v>17</v>
      </c>
      <c r="C1271" s="2" t="s">
        <v>135</v>
      </c>
      <c r="D1271">
        <v>17</v>
      </c>
    </row>
    <row r="1272" spans="1:4" hidden="1" x14ac:dyDescent="0.25">
      <c r="A1272" s="2" t="s">
        <v>99</v>
      </c>
      <c r="B1272">
        <v>17</v>
      </c>
      <c r="C1272" s="2" t="s">
        <v>136</v>
      </c>
      <c r="D1272">
        <v>17</v>
      </c>
    </row>
    <row r="1273" spans="1:4" hidden="1" x14ac:dyDescent="0.25">
      <c r="A1273" s="2" t="s">
        <v>99</v>
      </c>
      <c r="B1273">
        <v>17</v>
      </c>
      <c r="C1273" s="2" t="s">
        <v>137</v>
      </c>
      <c r="D1273">
        <v>17</v>
      </c>
    </row>
    <row r="1274" spans="1:4" hidden="1" x14ac:dyDescent="0.25">
      <c r="A1274" s="2" t="s">
        <v>99</v>
      </c>
      <c r="B1274">
        <v>17</v>
      </c>
      <c r="C1274" s="2" t="s">
        <v>138</v>
      </c>
      <c r="D1274">
        <v>17</v>
      </c>
    </row>
    <row r="1275" spans="1:4" hidden="1" x14ac:dyDescent="0.25">
      <c r="A1275" s="2" t="s">
        <v>99</v>
      </c>
      <c r="B1275">
        <v>17</v>
      </c>
      <c r="C1275" s="2" t="s">
        <v>139</v>
      </c>
      <c r="D1275">
        <v>17</v>
      </c>
    </row>
    <row r="1276" spans="1:4" hidden="1" x14ac:dyDescent="0.25">
      <c r="A1276" s="2" t="s">
        <v>99</v>
      </c>
      <c r="B1276">
        <v>17</v>
      </c>
      <c r="C1276" s="2" t="s">
        <v>140</v>
      </c>
      <c r="D1276">
        <v>17</v>
      </c>
    </row>
    <row r="1277" spans="1:4" hidden="1" x14ac:dyDescent="0.25">
      <c r="A1277" s="2" t="s">
        <v>99</v>
      </c>
      <c r="B1277">
        <v>17</v>
      </c>
      <c r="C1277" s="2" t="s">
        <v>141</v>
      </c>
      <c r="D1277">
        <v>17</v>
      </c>
    </row>
    <row r="1278" spans="1:4" hidden="1" x14ac:dyDescent="0.25">
      <c r="A1278" s="2" t="s">
        <v>99</v>
      </c>
      <c r="B1278">
        <v>17</v>
      </c>
      <c r="C1278" s="2" t="s">
        <v>142</v>
      </c>
      <c r="D1278">
        <v>17</v>
      </c>
    </row>
    <row r="1279" spans="1:4" hidden="1" x14ac:dyDescent="0.25">
      <c r="A1279" s="2" t="s">
        <v>99</v>
      </c>
      <c r="B1279">
        <v>17</v>
      </c>
      <c r="C1279" s="2" t="s">
        <v>143</v>
      </c>
      <c r="D1279">
        <v>17</v>
      </c>
    </row>
    <row r="1280" spans="1:4" hidden="1" x14ac:dyDescent="0.25">
      <c r="A1280" s="2" t="s">
        <v>99</v>
      </c>
      <c r="B1280">
        <v>17</v>
      </c>
      <c r="C1280" s="2" t="s">
        <v>144</v>
      </c>
      <c r="D1280">
        <v>17</v>
      </c>
    </row>
    <row r="1281" spans="1:4" hidden="1" x14ac:dyDescent="0.25">
      <c r="A1281" s="2" t="s">
        <v>99</v>
      </c>
      <c r="B1281">
        <v>17</v>
      </c>
      <c r="C1281" s="2" t="s">
        <v>145</v>
      </c>
      <c r="D1281">
        <v>17</v>
      </c>
    </row>
    <row r="1282" spans="1:4" hidden="1" x14ac:dyDescent="0.25">
      <c r="A1282" s="2" t="s">
        <v>99</v>
      </c>
      <c r="B1282">
        <v>17</v>
      </c>
      <c r="C1282" s="2" t="s">
        <v>146</v>
      </c>
      <c r="D1282">
        <v>17</v>
      </c>
    </row>
    <row r="1283" spans="1:4" hidden="1" x14ac:dyDescent="0.25">
      <c r="A1283" s="2" t="s">
        <v>99</v>
      </c>
      <c r="B1283">
        <v>17</v>
      </c>
      <c r="C1283" s="2" t="s">
        <v>147</v>
      </c>
      <c r="D1283">
        <v>17</v>
      </c>
    </row>
    <row r="1284" spans="1:4" hidden="1" x14ac:dyDescent="0.25">
      <c r="A1284" s="2" t="s">
        <v>99</v>
      </c>
      <c r="B1284">
        <v>17</v>
      </c>
      <c r="C1284" s="2" t="s">
        <v>148</v>
      </c>
      <c r="D1284">
        <v>17</v>
      </c>
    </row>
    <row r="1285" spans="1:4" hidden="1" x14ac:dyDescent="0.25">
      <c r="A1285" s="2" t="s">
        <v>99</v>
      </c>
      <c r="B1285">
        <v>17</v>
      </c>
      <c r="C1285" s="2" t="s">
        <v>149</v>
      </c>
      <c r="D1285">
        <v>17</v>
      </c>
    </row>
    <row r="1286" spans="1:4" hidden="1" x14ac:dyDescent="0.25">
      <c r="A1286" s="2" t="s">
        <v>99</v>
      </c>
      <c r="B1286">
        <v>17</v>
      </c>
      <c r="C1286" s="2" t="s">
        <v>150</v>
      </c>
      <c r="D1286">
        <v>17</v>
      </c>
    </row>
    <row r="1287" spans="1:4" hidden="1" x14ac:dyDescent="0.25">
      <c r="A1287" s="2" t="s">
        <v>99</v>
      </c>
      <c r="B1287">
        <v>17</v>
      </c>
      <c r="C1287" s="2" t="s">
        <v>151</v>
      </c>
      <c r="D1287">
        <v>17</v>
      </c>
    </row>
    <row r="1288" spans="1:4" hidden="1" x14ac:dyDescent="0.25">
      <c r="A1288" s="2" t="s">
        <v>99</v>
      </c>
      <c r="B1288">
        <v>17</v>
      </c>
      <c r="C1288" s="2" t="s">
        <v>152</v>
      </c>
      <c r="D1288">
        <v>17</v>
      </c>
    </row>
    <row r="1289" spans="1:4" hidden="1" x14ac:dyDescent="0.25">
      <c r="A1289" s="2" t="s">
        <v>99</v>
      </c>
      <c r="B1289">
        <v>17</v>
      </c>
      <c r="C1289" s="2" t="s">
        <v>153</v>
      </c>
      <c r="D1289">
        <v>17</v>
      </c>
    </row>
    <row r="1290" spans="1:4" hidden="1" x14ac:dyDescent="0.25">
      <c r="A1290" s="2" t="s">
        <v>99</v>
      </c>
      <c r="B1290">
        <v>17</v>
      </c>
      <c r="C1290" s="2" t="s">
        <v>154</v>
      </c>
      <c r="D1290">
        <v>17</v>
      </c>
    </row>
    <row r="1291" spans="1:4" hidden="1" x14ac:dyDescent="0.25">
      <c r="A1291" s="2" t="s">
        <v>99</v>
      </c>
      <c r="B1291">
        <v>17</v>
      </c>
      <c r="C1291" s="2" t="s">
        <v>155</v>
      </c>
      <c r="D1291">
        <v>17</v>
      </c>
    </row>
    <row r="1292" spans="1:4" hidden="1" x14ac:dyDescent="0.25">
      <c r="A1292" s="2" t="s">
        <v>99</v>
      </c>
      <c r="B1292">
        <v>17</v>
      </c>
      <c r="C1292" s="2" t="s">
        <v>156</v>
      </c>
      <c r="D1292">
        <v>17</v>
      </c>
    </row>
    <row r="1293" spans="1:4" hidden="1" x14ac:dyDescent="0.25">
      <c r="A1293" s="2" t="s">
        <v>99</v>
      </c>
      <c r="B1293">
        <v>17</v>
      </c>
      <c r="C1293" s="2" t="s">
        <v>157</v>
      </c>
      <c r="D1293">
        <v>17</v>
      </c>
    </row>
    <row r="1294" spans="1:4" hidden="1" x14ac:dyDescent="0.25">
      <c r="A1294" s="2" t="s">
        <v>99</v>
      </c>
      <c r="B1294">
        <v>17</v>
      </c>
      <c r="C1294" s="2" t="s">
        <v>158</v>
      </c>
      <c r="D1294">
        <v>17</v>
      </c>
    </row>
    <row r="1295" spans="1:4" hidden="1" x14ac:dyDescent="0.25">
      <c r="A1295" s="2" t="s">
        <v>99</v>
      </c>
      <c r="B1295">
        <v>17</v>
      </c>
      <c r="C1295" s="2" t="s">
        <v>159</v>
      </c>
      <c r="D1295">
        <v>17</v>
      </c>
    </row>
    <row r="1296" spans="1:4" hidden="1" x14ac:dyDescent="0.25">
      <c r="A1296" s="2" t="s">
        <v>99</v>
      </c>
      <c r="B1296">
        <v>17</v>
      </c>
      <c r="C1296" s="2" t="s">
        <v>160</v>
      </c>
      <c r="D1296">
        <v>17</v>
      </c>
    </row>
    <row r="1297" spans="1:4" hidden="1" x14ac:dyDescent="0.25">
      <c r="A1297" s="2" t="s">
        <v>99</v>
      </c>
      <c r="B1297">
        <v>17</v>
      </c>
      <c r="C1297" s="2" t="s">
        <v>161</v>
      </c>
      <c r="D1297">
        <v>17</v>
      </c>
    </row>
    <row r="1298" spans="1:4" hidden="1" x14ac:dyDescent="0.25">
      <c r="A1298" s="2" t="s">
        <v>99</v>
      </c>
      <c r="B1298">
        <v>17</v>
      </c>
      <c r="C1298" s="2" t="s">
        <v>162</v>
      </c>
      <c r="D1298">
        <v>17</v>
      </c>
    </row>
    <row r="1299" spans="1:4" hidden="1" x14ac:dyDescent="0.25">
      <c r="A1299" s="2" t="s">
        <v>99</v>
      </c>
      <c r="B1299">
        <v>17</v>
      </c>
      <c r="C1299" s="2" t="s">
        <v>163</v>
      </c>
      <c r="D1299">
        <v>17</v>
      </c>
    </row>
    <row r="1300" spans="1:4" hidden="1" x14ac:dyDescent="0.25">
      <c r="A1300" s="2" t="s">
        <v>99</v>
      </c>
      <c r="B1300">
        <v>17</v>
      </c>
      <c r="C1300" s="2" t="s">
        <v>164</v>
      </c>
      <c r="D1300">
        <v>17</v>
      </c>
    </row>
    <row r="1301" spans="1:4" hidden="1" x14ac:dyDescent="0.25">
      <c r="A1301" s="2" t="s">
        <v>99</v>
      </c>
      <c r="B1301">
        <v>17</v>
      </c>
      <c r="C1301" s="2" t="s">
        <v>165</v>
      </c>
      <c r="D1301">
        <v>17</v>
      </c>
    </row>
    <row r="1302" spans="1:4" hidden="1" x14ac:dyDescent="0.25">
      <c r="A1302" s="2" t="s">
        <v>99</v>
      </c>
      <c r="B1302">
        <v>17</v>
      </c>
      <c r="C1302" s="2" t="s">
        <v>166</v>
      </c>
      <c r="D1302">
        <v>17</v>
      </c>
    </row>
    <row r="1303" spans="1:4" hidden="1" x14ac:dyDescent="0.25">
      <c r="A1303" s="2" t="s">
        <v>99</v>
      </c>
      <c r="B1303">
        <v>17</v>
      </c>
      <c r="C1303" s="2" t="s">
        <v>167</v>
      </c>
      <c r="D1303">
        <v>17</v>
      </c>
    </row>
    <row r="1304" spans="1:4" hidden="1" x14ac:dyDescent="0.25">
      <c r="A1304" s="2" t="s">
        <v>99</v>
      </c>
      <c r="B1304">
        <v>17</v>
      </c>
      <c r="C1304" s="2" t="s">
        <v>168</v>
      </c>
      <c r="D1304">
        <v>17</v>
      </c>
    </row>
    <row r="1305" spans="1:4" hidden="1" x14ac:dyDescent="0.25">
      <c r="A1305" s="2" t="s">
        <v>99</v>
      </c>
      <c r="B1305">
        <v>17</v>
      </c>
      <c r="C1305" s="2" t="s">
        <v>169</v>
      </c>
      <c r="D1305">
        <v>17</v>
      </c>
    </row>
    <row r="1306" spans="1:4" hidden="1" x14ac:dyDescent="0.25">
      <c r="A1306" s="2" t="s">
        <v>99</v>
      </c>
      <c r="B1306">
        <v>17</v>
      </c>
      <c r="C1306" s="2" t="s">
        <v>170</v>
      </c>
      <c r="D1306">
        <v>17</v>
      </c>
    </row>
    <row r="1307" spans="1:4" hidden="1" x14ac:dyDescent="0.25">
      <c r="A1307" s="2" t="s">
        <v>99</v>
      </c>
      <c r="B1307">
        <v>17</v>
      </c>
      <c r="C1307" s="2" t="s">
        <v>171</v>
      </c>
      <c r="D1307">
        <v>17</v>
      </c>
    </row>
    <row r="1308" spans="1:4" hidden="1" x14ac:dyDescent="0.25">
      <c r="A1308" s="2" t="s">
        <v>99</v>
      </c>
      <c r="B1308">
        <v>17</v>
      </c>
      <c r="C1308" s="2" t="s">
        <v>172</v>
      </c>
      <c r="D1308">
        <v>17</v>
      </c>
    </row>
    <row r="1309" spans="1:4" hidden="1" x14ac:dyDescent="0.25">
      <c r="A1309" s="2" t="s">
        <v>99</v>
      </c>
      <c r="B1309">
        <v>17</v>
      </c>
      <c r="C1309" s="2" t="s">
        <v>173</v>
      </c>
      <c r="D1309">
        <v>17</v>
      </c>
    </row>
    <row r="1310" spans="1:4" hidden="1" x14ac:dyDescent="0.25">
      <c r="A1310" s="2" t="s">
        <v>99</v>
      </c>
      <c r="B1310">
        <v>17</v>
      </c>
      <c r="C1310" s="2" t="s">
        <v>174</v>
      </c>
      <c r="D1310">
        <v>17</v>
      </c>
    </row>
    <row r="1311" spans="1:4" hidden="1" x14ac:dyDescent="0.25">
      <c r="A1311" s="2" t="s">
        <v>99</v>
      </c>
      <c r="B1311">
        <v>17</v>
      </c>
      <c r="C1311" s="2" t="s">
        <v>175</v>
      </c>
      <c r="D1311">
        <v>17</v>
      </c>
    </row>
    <row r="1312" spans="1:4" hidden="1" x14ac:dyDescent="0.25">
      <c r="A1312" s="2" t="s">
        <v>99</v>
      </c>
      <c r="B1312">
        <v>17</v>
      </c>
      <c r="C1312" s="2" t="s">
        <v>176</v>
      </c>
      <c r="D1312">
        <v>17</v>
      </c>
    </row>
    <row r="1313" spans="1:4" hidden="1" x14ac:dyDescent="0.25">
      <c r="A1313" s="2" t="s">
        <v>99</v>
      </c>
      <c r="B1313">
        <v>17</v>
      </c>
      <c r="C1313" s="2" t="s">
        <v>177</v>
      </c>
      <c r="D1313">
        <v>17</v>
      </c>
    </row>
    <row r="1314" spans="1:4" hidden="1" x14ac:dyDescent="0.25">
      <c r="A1314" s="2" t="s">
        <v>99</v>
      </c>
      <c r="B1314">
        <v>17</v>
      </c>
      <c r="C1314" s="2" t="s">
        <v>178</v>
      </c>
      <c r="D1314">
        <v>17</v>
      </c>
    </row>
    <row r="1315" spans="1:4" hidden="1" x14ac:dyDescent="0.25">
      <c r="A1315" s="2" t="s">
        <v>99</v>
      </c>
      <c r="B1315">
        <v>17</v>
      </c>
      <c r="C1315" s="2" t="s">
        <v>179</v>
      </c>
      <c r="D1315">
        <v>17</v>
      </c>
    </row>
    <row r="1316" spans="1:4" hidden="1" x14ac:dyDescent="0.25">
      <c r="A1316" s="2" t="s">
        <v>55</v>
      </c>
      <c r="B1316">
        <v>17</v>
      </c>
      <c r="C1316" s="2" t="s">
        <v>183</v>
      </c>
      <c r="D1316">
        <v>13</v>
      </c>
    </row>
    <row r="1317" spans="1:4" hidden="1" x14ac:dyDescent="0.25">
      <c r="A1317" s="2" t="s">
        <v>55</v>
      </c>
      <c r="B1317">
        <v>17</v>
      </c>
      <c r="C1317" s="2" t="s">
        <v>184</v>
      </c>
      <c r="D1317">
        <v>14</v>
      </c>
    </row>
    <row r="1318" spans="1:4" hidden="1" x14ac:dyDescent="0.25">
      <c r="A1318" s="2" t="s">
        <v>55</v>
      </c>
      <c r="B1318">
        <v>17</v>
      </c>
      <c r="C1318" s="2" t="s">
        <v>185</v>
      </c>
      <c r="D1318">
        <v>24</v>
      </c>
    </row>
    <row r="1319" spans="1:4" hidden="1" x14ac:dyDescent="0.25">
      <c r="A1319" s="2" t="s">
        <v>55</v>
      </c>
      <c r="B1319">
        <v>17</v>
      </c>
      <c r="C1319" s="2" t="s">
        <v>186</v>
      </c>
      <c r="D1319">
        <v>9</v>
      </c>
    </row>
    <row r="1320" spans="1:4" hidden="1" x14ac:dyDescent="0.25">
      <c r="A1320" s="2" t="s">
        <v>55</v>
      </c>
      <c r="B1320">
        <v>17</v>
      </c>
      <c r="C1320" s="2" t="s">
        <v>187</v>
      </c>
      <c r="D1320">
        <v>9</v>
      </c>
    </row>
    <row r="1321" spans="1:4" hidden="1" x14ac:dyDescent="0.25">
      <c r="A1321" s="2" t="s">
        <v>55</v>
      </c>
      <c r="B1321">
        <v>17</v>
      </c>
      <c r="C1321" s="2" t="s">
        <v>188</v>
      </c>
      <c r="D1321">
        <v>9</v>
      </c>
    </row>
    <row r="1322" spans="1:4" hidden="1" x14ac:dyDescent="0.25">
      <c r="A1322" s="2" t="s">
        <v>55</v>
      </c>
      <c r="B1322">
        <v>17</v>
      </c>
      <c r="C1322" s="2" t="s">
        <v>189</v>
      </c>
      <c r="D1322">
        <v>5</v>
      </c>
    </row>
    <row r="1323" spans="1:4" hidden="1" x14ac:dyDescent="0.25">
      <c r="A1323" s="2" t="s">
        <v>55</v>
      </c>
      <c r="B1323">
        <v>17</v>
      </c>
      <c r="C1323" s="2" t="s">
        <v>190</v>
      </c>
      <c r="D1323">
        <v>4</v>
      </c>
    </row>
    <row r="1324" spans="1:4" hidden="1" x14ac:dyDescent="0.25">
      <c r="A1324" s="2" t="s">
        <v>55</v>
      </c>
      <c r="B1324">
        <v>17</v>
      </c>
      <c r="C1324" s="2" t="s">
        <v>191</v>
      </c>
      <c r="D1324">
        <v>6</v>
      </c>
    </row>
    <row r="1325" spans="1:4" hidden="1" x14ac:dyDescent="0.25">
      <c r="A1325" s="2" t="s">
        <v>55</v>
      </c>
      <c r="B1325">
        <v>17</v>
      </c>
      <c r="C1325" s="2" t="s">
        <v>116</v>
      </c>
      <c r="D1325">
        <v>7</v>
      </c>
    </row>
    <row r="1326" spans="1:4" hidden="1" x14ac:dyDescent="0.25">
      <c r="A1326" s="2" t="s">
        <v>55</v>
      </c>
      <c r="B1326">
        <v>17</v>
      </c>
      <c r="C1326" s="2" t="s">
        <v>117</v>
      </c>
      <c r="D1326">
        <v>6</v>
      </c>
    </row>
    <row r="1327" spans="1:4" hidden="1" x14ac:dyDescent="0.25">
      <c r="A1327" s="2" t="s">
        <v>55</v>
      </c>
      <c r="B1327">
        <v>17</v>
      </c>
      <c r="C1327" s="2" t="s">
        <v>118</v>
      </c>
      <c r="D1327">
        <v>9</v>
      </c>
    </row>
    <row r="1328" spans="1:4" hidden="1" x14ac:dyDescent="0.25">
      <c r="A1328" s="2" t="s">
        <v>55</v>
      </c>
      <c r="B1328">
        <v>17</v>
      </c>
      <c r="C1328" s="2" t="s">
        <v>119</v>
      </c>
      <c r="D1328">
        <v>26</v>
      </c>
    </row>
    <row r="1329" spans="1:4" hidden="1" x14ac:dyDescent="0.25">
      <c r="A1329" s="2" t="s">
        <v>55</v>
      </c>
      <c r="B1329">
        <v>17</v>
      </c>
      <c r="C1329" s="2" t="s">
        <v>120</v>
      </c>
      <c r="D1329">
        <v>19</v>
      </c>
    </row>
    <row r="1330" spans="1:4" hidden="1" x14ac:dyDescent="0.25">
      <c r="A1330" s="2" t="s">
        <v>55</v>
      </c>
      <c r="B1330">
        <v>17</v>
      </c>
      <c r="C1330" s="2" t="s">
        <v>121</v>
      </c>
      <c r="D1330">
        <v>20</v>
      </c>
    </row>
    <row r="1331" spans="1:4" hidden="1" x14ac:dyDescent="0.25">
      <c r="A1331" s="2" t="s">
        <v>55</v>
      </c>
      <c r="B1331">
        <v>17</v>
      </c>
      <c r="C1331" s="2" t="s">
        <v>122</v>
      </c>
      <c r="D1331">
        <v>24</v>
      </c>
    </row>
    <row r="1332" spans="1:4" hidden="1" x14ac:dyDescent="0.25">
      <c r="A1332" s="2" t="s">
        <v>55</v>
      </c>
      <c r="B1332">
        <v>17</v>
      </c>
      <c r="C1332" s="2" t="s">
        <v>123</v>
      </c>
      <c r="D1332">
        <v>28</v>
      </c>
    </row>
    <row r="1333" spans="1:4" hidden="1" x14ac:dyDescent="0.25">
      <c r="A1333" s="2" t="s">
        <v>55</v>
      </c>
      <c r="B1333">
        <v>17</v>
      </c>
      <c r="C1333" s="2" t="s">
        <v>124</v>
      </c>
      <c r="D1333">
        <v>34</v>
      </c>
    </row>
    <row r="1334" spans="1:4" hidden="1" x14ac:dyDescent="0.25">
      <c r="A1334" s="2" t="s">
        <v>55</v>
      </c>
      <c r="B1334">
        <v>17</v>
      </c>
      <c r="C1334" s="2" t="s">
        <v>125</v>
      </c>
      <c r="D1334">
        <v>35</v>
      </c>
    </row>
    <row r="1335" spans="1:4" hidden="1" x14ac:dyDescent="0.25">
      <c r="A1335" s="2" t="s">
        <v>55</v>
      </c>
      <c r="B1335">
        <v>17</v>
      </c>
      <c r="C1335" s="2" t="s">
        <v>126</v>
      </c>
      <c r="D1335">
        <v>10</v>
      </c>
    </row>
    <row r="1336" spans="1:4" hidden="1" x14ac:dyDescent="0.25">
      <c r="A1336" s="2" t="s">
        <v>55</v>
      </c>
      <c r="B1336">
        <v>17</v>
      </c>
      <c r="C1336" s="2" t="s">
        <v>127</v>
      </c>
      <c r="D1336">
        <v>13</v>
      </c>
    </row>
    <row r="1337" spans="1:4" hidden="1" x14ac:dyDescent="0.25">
      <c r="A1337" s="2" t="s">
        <v>55</v>
      </c>
      <c r="B1337">
        <v>17</v>
      </c>
      <c r="C1337" s="2" t="s">
        <v>128</v>
      </c>
      <c r="D1337">
        <v>6</v>
      </c>
    </row>
    <row r="1338" spans="1:4" hidden="1" x14ac:dyDescent="0.25">
      <c r="A1338" s="2" t="s">
        <v>55</v>
      </c>
      <c r="B1338">
        <v>17</v>
      </c>
      <c r="C1338" s="2" t="s">
        <v>129</v>
      </c>
      <c r="D1338">
        <v>6</v>
      </c>
    </row>
    <row r="1339" spans="1:4" hidden="1" x14ac:dyDescent="0.25">
      <c r="A1339" s="2" t="s">
        <v>55</v>
      </c>
      <c r="B1339">
        <v>17</v>
      </c>
      <c r="C1339" s="2" t="s">
        <v>130</v>
      </c>
      <c r="D1339">
        <v>11</v>
      </c>
    </row>
    <row r="1340" spans="1:4" hidden="1" x14ac:dyDescent="0.25">
      <c r="A1340" s="2" t="s">
        <v>55</v>
      </c>
      <c r="B1340">
        <v>17</v>
      </c>
      <c r="C1340" s="2" t="s">
        <v>131</v>
      </c>
      <c r="D1340">
        <v>14</v>
      </c>
    </row>
    <row r="1341" spans="1:4" hidden="1" x14ac:dyDescent="0.25">
      <c r="A1341" s="2" t="s">
        <v>55</v>
      </c>
      <c r="B1341">
        <v>17</v>
      </c>
      <c r="C1341" s="2" t="s">
        <v>132</v>
      </c>
      <c r="D1341">
        <v>15</v>
      </c>
    </row>
    <row r="1342" spans="1:4" hidden="1" x14ac:dyDescent="0.25">
      <c r="A1342" s="2" t="s">
        <v>55</v>
      </c>
      <c r="B1342">
        <v>17</v>
      </c>
      <c r="C1342" s="2" t="s">
        <v>133</v>
      </c>
      <c r="D1342">
        <v>15</v>
      </c>
    </row>
    <row r="1343" spans="1:4" hidden="1" x14ac:dyDescent="0.25">
      <c r="A1343" s="2" t="s">
        <v>55</v>
      </c>
      <c r="B1343">
        <v>17</v>
      </c>
      <c r="C1343" s="2" t="s">
        <v>134</v>
      </c>
      <c r="D1343">
        <v>15</v>
      </c>
    </row>
    <row r="1344" spans="1:4" hidden="1" x14ac:dyDescent="0.25">
      <c r="A1344" s="2" t="s">
        <v>55</v>
      </c>
      <c r="B1344">
        <v>17</v>
      </c>
      <c r="C1344" s="2" t="s">
        <v>135</v>
      </c>
      <c r="D1344">
        <v>17</v>
      </c>
    </row>
    <row r="1345" spans="1:4" hidden="1" x14ac:dyDescent="0.25">
      <c r="A1345" s="2" t="s">
        <v>55</v>
      </c>
      <c r="B1345">
        <v>17</v>
      </c>
      <c r="C1345" s="2" t="s">
        <v>136</v>
      </c>
      <c r="D1345">
        <v>17</v>
      </c>
    </row>
    <row r="1346" spans="1:4" hidden="1" x14ac:dyDescent="0.25">
      <c r="A1346" s="2" t="s">
        <v>55</v>
      </c>
      <c r="B1346">
        <v>17</v>
      </c>
      <c r="C1346" s="2" t="s">
        <v>137</v>
      </c>
      <c r="D1346">
        <v>17</v>
      </c>
    </row>
    <row r="1347" spans="1:4" hidden="1" x14ac:dyDescent="0.25">
      <c r="A1347" s="2" t="s">
        <v>55</v>
      </c>
      <c r="B1347">
        <v>17</v>
      </c>
      <c r="C1347" s="2" t="s">
        <v>138</v>
      </c>
      <c r="D1347">
        <v>17</v>
      </c>
    </row>
    <row r="1348" spans="1:4" hidden="1" x14ac:dyDescent="0.25">
      <c r="A1348" s="2" t="s">
        <v>55</v>
      </c>
      <c r="B1348">
        <v>17</v>
      </c>
      <c r="C1348" s="2" t="s">
        <v>139</v>
      </c>
      <c r="D1348">
        <v>17</v>
      </c>
    </row>
    <row r="1349" spans="1:4" hidden="1" x14ac:dyDescent="0.25">
      <c r="A1349" s="2" t="s">
        <v>55</v>
      </c>
      <c r="B1349">
        <v>17</v>
      </c>
      <c r="C1349" s="2" t="s">
        <v>140</v>
      </c>
      <c r="D1349">
        <v>17</v>
      </c>
    </row>
    <row r="1350" spans="1:4" hidden="1" x14ac:dyDescent="0.25">
      <c r="A1350" s="2" t="s">
        <v>55</v>
      </c>
      <c r="B1350">
        <v>17</v>
      </c>
      <c r="C1350" s="2" t="s">
        <v>141</v>
      </c>
      <c r="D1350">
        <v>17</v>
      </c>
    </row>
    <row r="1351" spans="1:4" hidden="1" x14ac:dyDescent="0.25">
      <c r="A1351" s="2" t="s">
        <v>55</v>
      </c>
      <c r="B1351">
        <v>17</v>
      </c>
      <c r="C1351" s="2" t="s">
        <v>142</v>
      </c>
      <c r="D1351">
        <v>17</v>
      </c>
    </row>
    <row r="1352" spans="1:4" hidden="1" x14ac:dyDescent="0.25">
      <c r="A1352" s="2" t="s">
        <v>55</v>
      </c>
      <c r="B1352">
        <v>17</v>
      </c>
      <c r="C1352" s="2" t="s">
        <v>143</v>
      </c>
      <c r="D1352">
        <v>17</v>
      </c>
    </row>
    <row r="1353" spans="1:4" hidden="1" x14ac:dyDescent="0.25">
      <c r="A1353" s="2" t="s">
        <v>55</v>
      </c>
      <c r="B1353">
        <v>17</v>
      </c>
      <c r="C1353" s="2" t="s">
        <v>144</v>
      </c>
      <c r="D1353">
        <v>17</v>
      </c>
    </row>
    <row r="1354" spans="1:4" hidden="1" x14ac:dyDescent="0.25">
      <c r="A1354" s="2" t="s">
        <v>55</v>
      </c>
      <c r="B1354">
        <v>17</v>
      </c>
      <c r="C1354" s="2" t="s">
        <v>145</v>
      </c>
      <c r="D1354">
        <v>17</v>
      </c>
    </row>
    <row r="1355" spans="1:4" hidden="1" x14ac:dyDescent="0.25">
      <c r="A1355" s="2" t="s">
        <v>55</v>
      </c>
      <c r="B1355">
        <v>17</v>
      </c>
      <c r="C1355" s="2" t="s">
        <v>146</v>
      </c>
      <c r="D1355">
        <v>17</v>
      </c>
    </row>
    <row r="1356" spans="1:4" hidden="1" x14ac:dyDescent="0.25">
      <c r="A1356" s="2" t="s">
        <v>55</v>
      </c>
      <c r="B1356">
        <v>17</v>
      </c>
      <c r="C1356" s="2" t="s">
        <v>147</v>
      </c>
      <c r="D1356">
        <v>17</v>
      </c>
    </row>
    <row r="1357" spans="1:4" hidden="1" x14ac:dyDescent="0.25">
      <c r="A1357" s="2" t="s">
        <v>55</v>
      </c>
      <c r="B1357">
        <v>17</v>
      </c>
      <c r="C1357" s="2" t="s">
        <v>148</v>
      </c>
      <c r="D1357">
        <v>17</v>
      </c>
    </row>
    <row r="1358" spans="1:4" hidden="1" x14ac:dyDescent="0.25">
      <c r="A1358" s="2" t="s">
        <v>55</v>
      </c>
      <c r="B1358">
        <v>17</v>
      </c>
      <c r="C1358" s="2" t="s">
        <v>149</v>
      </c>
      <c r="D1358">
        <v>17</v>
      </c>
    </row>
    <row r="1359" spans="1:4" hidden="1" x14ac:dyDescent="0.25">
      <c r="A1359" s="2" t="s">
        <v>55</v>
      </c>
      <c r="B1359">
        <v>17</v>
      </c>
      <c r="C1359" s="2" t="s">
        <v>150</v>
      </c>
      <c r="D1359">
        <v>17</v>
      </c>
    </row>
    <row r="1360" spans="1:4" hidden="1" x14ac:dyDescent="0.25">
      <c r="A1360" s="2" t="s">
        <v>55</v>
      </c>
      <c r="B1360">
        <v>17</v>
      </c>
      <c r="C1360" s="2" t="s">
        <v>151</v>
      </c>
      <c r="D1360">
        <v>17</v>
      </c>
    </row>
    <row r="1361" spans="1:4" hidden="1" x14ac:dyDescent="0.25">
      <c r="A1361" s="2" t="s">
        <v>55</v>
      </c>
      <c r="B1361">
        <v>17</v>
      </c>
      <c r="C1361" s="2" t="s">
        <v>152</v>
      </c>
      <c r="D1361">
        <v>17</v>
      </c>
    </row>
    <row r="1362" spans="1:4" hidden="1" x14ac:dyDescent="0.25">
      <c r="A1362" s="2" t="s">
        <v>55</v>
      </c>
      <c r="B1362">
        <v>17</v>
      </c>
      <c r="C1362" s="2" t="s">
        <v>153</v>
      </c>
      <c r="D1362">
        <v>17</v>
      </c>
    </row>
    <row r="1363" spans="1:4" hidden="1" x14ac:dyDescent="0.25">
      <c r="A1363" s="2" t="s">
        <v>55</v>
      </c>
      <c r="B1363">
        <v>17</v>
      </c>
      <c r="C1363" s="2" t="s">
        <v>154</v>
      </c>
      <c r="D1363">
        <v>17</v>
      </c>
    </row>
    <row r="1364" spans="1:4" hidden="1" x14ac:dyDescent="0.25">
      <c r="A1364" s="2" t="s">
        <v>55</v>
      </c>
      <c r="B1364">
        <v>17</v>
      </c>
      <c r="C1364" s="2" t="s">
        <v>155</v>
      </c>
      <c r="D1364">
        <v>17</v>
      </c>
    </row>
    <row r="1365" spans="1:4" hidden="1" x14ac:dyDescent="0.25">
      <c r="A1365" s="2" t="s">
        <v>55</v>
      </c>
      <c r="B1365">
        <v>17</v>
      </c>
      <c r="C1365" s="2" t="s">
        <v>156</v>
      </c>
      <c r="D1365">
        <v>17</v>
      </c>
    </row>
    <row r="1366" spans="1:4" hidden="1" x14ac:dyDescent="0.25">
      <c r="A1366" s="2" t="s">
        <v>55</v>
      </c>
      <c r="B1366">
        <v>17</v>
      </c>
      <c r="C1366" s="2" t="s">
        <v>157</v>
      </c>
      <c r="D1366">
        <v>17</v>
      </c>
    </row>
    <row r="1367" spans="1:4" hidden="1" x14ac:dyDescent="0.25">
      <c r="A1367" s="2" t="s">
        <v>55</v>
      </c>
      <c r="B1367">
        <v>17</v>
      </c>
      <c r="C1367" s="2" t="s">
        <v>158</v>
      </c>
      <c r="D1367">
        <v>17</v>
      </c>
    </row>
    <row r="1368" spans="1:4" hidden="1" x14ac:dyDescent="0.25">
      <c r="A1368" s="2" t="s">
        <v>55</v>
      </c>
      <c r="B1368">
        <v>17</v>
      </c>
      <c r="C1368" s="2" t="s">
        <v>159</v>
      </c>
      <c r="D1368">
        <v>17</v>
      </c>
    </row>
    <row r="1369" spans="1:4" hidden="1" x14ac:dyDescent="0.25">
      <c r="A1369" s="2" t="s">
        <v>55</v>
      </c>
      <c r="B1369">
        <v>17</v>
      </c>
      <c r="C1369" s="2" t="s">
        <v>160</v>
      </c>
      <c r="D1369">
        <v>17</v>
      </c>
    </row>
    <row r="1370" spans="1:4" hidden="1" x14ac:dyDescent="0.25">
      <c r="A1370" s="2" t="s">
        <v>55</v>
      </c>
      <c r="B1370">
        <v>17</v>
      </c>
      <c r="C1370" s="2" t="s">
        <v>161</v>
      </c>
      <c r="D1370">
        <v>17</v>
      </c>
    </row>
    <row r="1371" spans="1:4" hidden="1" x14ac:dyDescent="0.25">
      <c r="A1371" s="2" t="s">
        <v>55</v>
      </c>
      <c r="B1371">
        <v>17</v>
      </c>
      <c r="C1371" s="2" t="s">
        <v>162</v>
      </c>
      <c r="D1371">
        <v>17</v>
      </c>
    </row>
    <row r="1372" spans="1:4" hidden="1" x14ac:dyDescent="0.25">
      <c r="A1372" s="2" t="s">
        <v>55</v>
      </c>
      <c r="B1372">
        <v>17</v>
      </c>
      <c r="C1372" s="2" t="s">
        <v>163</v>
      </c>
      <c r="D1372">
        <v>17</v>
      </c>
    </row>
    <row r="1373" spans="1:4" hidden="1" x14ac:dyDescent="0.25">
      <c r="A1373" s="2" t="s">
        <v>55</v>
      </c>
      <c r="B1373">
        <v>17</v>
      </c>
      <c r="C1373" s="2" t="s">
        <v>164</v>
      </c>
      <c r="D1373">
        <v>17</v>
      </c>
    </row>
    <row r="1374" spans="1:4" hidden="1" x14ac:dyDescent="0.25">
      <c r="A1374" s="2" t="s">
        <v>55</v>
      </c>
      <c r="B1374">
        <v>17</v>
      </c>
      <c r="C1374" s="2" t="s">
        <v>165</v>
      </c>
      <c r="D1374">
        <v>17</v>
      </c>
    </row>
    <row r="1375" spans="1:4" hidden="1" x14ac:dyDescent="0.25">
      <c r="A1375" s="2" t="s">
        <v>55</v>
      </c>
      <c r="B1375">
        <v>17</v>
      </c>
      <c r="C1375" s="2" t="s">
        <v>166</v>
      </c>
      <c r="D1375">
        <v>17</v>
      </c>
    </row>
    <row r="1376" spans="1:4" hidden="1" x14ac:dyDescent="0.25">
      <c r="A1376" s="2" t="s">
        <v>55</v>
      </c>
      <c r="B1376">
        <v>17</v>
      </c>
      <c r="C1376" s="2" t="s">
        <v>167</v>
      </c>
      <c r="D1376">
        <v>17</v>
      </c>
    </row>
    <row r="1377" spans="1:4" hidden="1" x14ac:dyDescent="0.25">
      <c r="A1377" s="2" t="s">
        <v>55</v>
      </c>
      <c r="B1377">
        <v>17</v>
      </c>
      <c r="C1377" s="2" t="s">
        <v>168</v>
      </c>
      <c r="D1377">
        <v>17</v>
      </c>
    </row>
    <row r="1378" spans="1:4" hidden="1" x14ac:dyDescent="0.25">
      <c r="A1378" s="2" t="s">
        <v>55</v>
      </c>
      <c r="B1378">
        <v>17</v>
      </c>
      <c r="C1378" s="2" t="s">
        <v>169</v>
      </c>
      <c r="D1378">
        <v>17</v>
      </c>
    </row>
    <row r="1379" spans="1:4" hidden="1" x14ac:dyDescent="0.25">
      <c r="A1379" s="2" t="s">
        <v>55</v>
      </c>
      <c r="B1379">
        <v>17</v>
      </c>
      <c r="C1379" s="2" t="s">
        <v>170</v>
      </c>
      <c r="D1379">
        <v>17</v>
      </c>
    </row>
    <row r="1380" spans="1:4" hidden="1" x14ac:dyDescent="0.25">
      <c r="A1380" s="2" t="s">
        <v>55</v>
      </c>
      <c r="B1380">
        <v>17</v>
      </c>
      <c r="C1380" s="2" t="s">
        <v>171</v>
      </c>
      <c r="D1380">
        <v>17</v>
      </c>
    </row>
    <row r="1381" spans="1:4" hidden="1" x14ac:dyDescent="0.25">
      <c r="A1381" s="2" t="s">
        <v>55</v>
      </c>
      <c r="B1381">
        <v>17</v>
      </c>
      <c r="C1381" s="2" t="s">
        <v>172</v>
      </c>
      <c r="D1381">
        <v>17</v>
      </c>
    </row>
    <row r="1382" spans="1:4" hidden="1" x14ac:dyDescent="0.25">
      <c r="A1382" s="2" t="s">
        <v>55</v>
      </c>
      <c r="B1382">
        <v>17</v>
      </c>
      <c r="C1382" s="2" t="s">
        <v>173</v>
      </c>
      <c r="D1382">
        <v>17</v>
      </c>
    </row>
    <row r="1383" spans="1:4" hidden="1" x14ac:dyDescent="0.25">
      <c r="A1383" s="2" t="s">
        <v>55</v>
      </c>
      <c r="B1383">
        <v>17</v>
      </c>
      <c r="C1383" s="2" t="s">
        <v>174</v>
      </c>
      <c r="D1383">
        <v>17</v>
      </c>
    </row>
    <row r="1384" spans="1:4" hidden="1" x14ac:dyDescent="0.25">
      <c r="A1384" s="2" t="s">
        <v>55</v>
      </c>
      <c r="B1384">
        <v>17</v>
      </c>
      <c r="C1384" s="2" t="s">
        <v>175</v>
      </c>
      <c r="D1384">
        <v>17</v>
      </c>
    </row>
    <row r="1385" spans="1:4" hidden="1" x14ac:dyDescent="0.25">
      <c r="A1385" s="2" t="s">
        <v>55</v>
      </c>
      <c r="B1385">
        <v>17</v>
      </c>
      <c r="C1385" s="2" t="s">
        <v>176</v>
      </c>
      <c r="D1385">
        <v>17</v>
      </c>
    </row>
    <row r="1386" spans="1:4" hidden="1" x14ac:dyDescent="0.25">
      <c r="A1386" s="2" t="s">
        <v>55</v>
      </c>
      <c r="B1386">
        <v>17</v>
      </c>
      <c r="C1386" s="2" t="s">
        <v>177</v>
      </c>
      <c r="D1386">
        <v>17</v>
      </c>
    </row>
    <row r="1387" spans="1:4" hidden="1" x14ac:dyDescent="0.25">
      <c r="A1387" s="2" t="s">
        <v>55</v>
      </c>
      <c r="B1387">
        <v>17</v>
      </c>
      <c r="C1387" s="2" t="s">
        <v>178</v>
      </c>
      <c r="D1387">
        <v>17</v>
      </c>
    </row>
    <row r="1388" spans="1:4" hidden="1" x14ac:dyDescent="0.25">
      <c r="A1388" s="2" t="s">
        <v>55</v>
      </c>
      <c r="B1388">
        <v>17</v>
      </c>
      <c r="C1388" s="2" t="s">
        <v>179</v>
      </c>
      <c r="D1388">
        <v>17</v>
      </c>
    </row>
    <row r="1389" spans="1:4" hidden="1" x14ac:dyDescent="0.25">
      <c r="A1389" s="2" t="s">
        <v>0</v>
      </c>
      <c r="B1389">
        <v>20</v>
      </c>
      <c r="C1389" s="2" t="s">
        <v>183</v>
      </c>
      <c r="D1389">
        <v>1</v>
      </c>
    </row>
    <row r="1390" spans="1:4" hidden="1" x14ac:dyDescent="0.25">
      <c r="A1390" s="2" t="s">
        <v>0</v>
      </c>
      <c r="B1390">
        <v>20</v>
      </c>
      <c r="C1390" s="2" t="s">
        <v>184</v>
      </c>
      <c r="D1390">
        <v>1</v>
      </c>
    </row>
    <row r="1391" spans="1:4" hidden="1" x14ac:dyDescent="0.25">
      <c r="A1391" s="2" t="s">
        <v>0</v>
      </c>
      <c r="B1391">
        <v>20</v>
      </c>
      <c r="C1391" s="2" t="s">
        <v>185</v>
      </c>
      <c r="D1391">
        <v>3</v>
      </c>
    </row>
    <row r="1392" spans="1:4" hidden="1" x14ac:dyDescent="0.25">
      <c r="A1392" s="2" t="s">
        <v>0</v>
      </c>
      <c r="B1392">
        <v>20</v>
      </c>
      <c r="C1392" s="2" t="s">
        <v>186</v>
      </c>
      <c r="D1392">
        <v>38</v>
      </c>
    </row>
    <row r="1393" spans="1:4" hidden="1" x14ac:dyDescent="0.25">
      <c r="A1393" s="2" t="s">
        <v>0</v>
      </c>
      <c r="B1393">
        <v>20</v>
      </c>
      <c r="C1393" s="2" t="s">
        <v>187</v>
      </c>
      <c r="D1393">
        <v>39</v>
      </c>
    </row>
    <row r="1394" spans="1:4" hidden="1" x14ac:dyDescent="0.25">
      <c r="A1394" s="2" t="s">
        <v>0</v>
      </c>
      <c r="B1394">
        <v>20</v>
      </c>
      <c r="C1394" s="2" t="s">
        <v>188</v>
      </c>
      <c r="D1394">
        <v>41</v>
      </c>
    </row>
    <row r="1395" spans="1:4" hidden="1" x14ac:dyDescent="0.25">
      <c r="A1395" s="2" t="s">
        <v>0</v>
      </c>
      <c r="B1395">
        <v>20</v>
      </c>
      <c r="C1395" s="2" t="s">
        <v>189</v>
      </c>
      <c r="D1395">
        <v>49</v>
      </c>
    </row>
    <row r="1396" spans="1:4" hidden="1" x14ac:dyDescent="0.25">
      <c r="A1396" s="2" t="s">
        <v>0</v>
      </c>
      <c r="B1396">
        <v>20</v>
      </c>
      <c r="C1396" s="2" t="s">
        <v>190</v>
      </c>
      <c r="D1396">
        <v>39</v>
      </c>
    </row>
    <row r="1397" spans="1:4" hidden="1" x14ac:dyDescent="0.25">
      <c r="A1397" s="2" t="s">
        <v>0</v>
      </c>
      <c r="B1397">
        <v>20</v>
      </c>
      <c r="C1397" s="2" t="s">
        <v>191</v>
      </c>
      <c r="D1397">
        <v>41</v>
      </c>
    </row>
    <row r="1398" spans="1:4" hidden="1" x14ac:dyDescent="0.25">
      <c r="A1398" s="2" t="s">
        <v>0</v>
      </c>
      <c r="B1398">
        <v>20</v>
      </c>
      <c r="C1398" s="2" t="s">
        <v>116</v>
      </c>
      <c r="D1398">
        <v>42</v>
      </c>
    </row>
    <row r="1399" spans="1:4" hidden="1" x14ac:dyDescent="0.25">
      <c r="A1399" s="2" t="s">
        <v>0</v>
      </c>
      <c r="B1399">
        <v>20</v>
      </c>
      <c r="C1399" s="2" t="s">
        <v>117</v>
      </c>
      <c r="D1399">
        <v>40</v>
      </c>
    </row>
    <row r="1400" spans="1:4" hidden="1" x14ac:dyDescent="0.25">
      <c r="A1400" s="2" t="s">
        <v>0</v>
      </c>
      <c r="B1400">
        <v>20</v>
      </c>
      <c r="C1400" s="2" t="s">
        <v>118</v>
      </c>
      <c r="D1400">
        <v>41</v>
      </c>
    </row>
    <row r="1401" spans="1:4" hidden="1" x14ac:dyDescent="0.25">
      <c r="A1401" s="2" t="s">
        <v>0</v>
      </c>
      <c r="B1401">
        <v>20</v>
      </c>
      <c r="C1401" s="2" t="s">
        <v>119</v>
      </c>
      <c r="D1401">
        <v>37</v>
      </c>
    </row>
    <row r="1402" spans="1:4" hidden="1" x14ac:dyDescent="0.25">
      <c r="A1402" s="2" t="s">
        <v>0</v>
      </c>
      <c r="B1402">
        <v>20</v>
      </c>
      <c r="C1402" s="2" t="s">
        <v>120</v>
      </c>
      <c r="D1402">
        <v>39</v>
      </c>
    </row>
    <row r="1403" spans="1:4" hidden="1" x14ac:dyDescent="0.25">
      <c r="A1403" s="2" t="s">
        <v>0</v>
      </c>
      <c r="B1403">
        <v>20</v>
      </c>
      <c r="C1403" s="2" t="s">
        <v>121</v>
      </c>
      <c r="D1403">
        <v>39</v>
      </c>
    </row>
    <row r="1404" spans="1:4" hidden="1" x14ac:dyDescent="0.25">
      <c r="A1404" s="2" t="s">
        <v>0</v>
      </c>
      <c r="B1404">
        <v>20</v>
      </c>
      <c r="C1404" s="2" t="s">
        <v>122</v>
      </c>
      <c r="D1404">
        <v>30</v>
      </c>
    </row>
    <row r="1405" spans="1:4" hidden="1" x14ac:dyDescent="0.25">
      <c r="A1405" s="2" t="s">
        <v>0</v>
      </c>
      <c r="B1405">
        <v>20</v>
      </c>
      <c r="C1405" s="2" t="s">
        <v>123</v>
      </c>
      <c r="D1405">
        <v>38</v>
      </c>
    </row>
    <row r="1406" spans="1:4" hidden="1" x14ac:dyDescent="0.25">
      <c r="A1406" s="2" t="s">
        <v>0</v>
      </c>
      <c r="B1406">
        <v>20</v>
      </c>
      <c r="C1406" s="2" t="s">
        <v>124</v>
      </c>
      <c r="D1406">
        <v>43</v>
      </c>
    </row>
    <row r="1407" spans="1:4" hidden="1" x14ac:dyDescent="0.25">
      <c r="A1407" s="2" t="s">
        <v>0</v>
      </c>
      <c r="B1407">
        <v>20</v>
      </c>
      <c r="C1407" s="2" t="s">
        <v>125</v>
      </c>
      <c r="D1407">
        <v>54</v>
      </c>
    </row>
    <row r="1408" spans="1:4" hidden="1" x14ac:dyDescent="0.25">
      <c r="A1408" s="2" t="s">
        <v>0</v>
      </c>
      <c r="B1408">
        <v>20</v>
      </c>
      <c r="C1408" s="2" t="s">
        <v>126</v>
      </c>
      <c r="D1408">
        <v>54</v>
      </c>
    </row>
    <row r="1409" spans="1:4" hidden="1" x14ac:dyDescent="0.25">
      <c r="A1409" s="2" t="s">
        <v>0</v>
      </c>
      <c r="B1409">
        <v>20</v>
      </c>
      <c r="C1409" s="2" t="s">
        <v>127</v>
      </c>
      <c r="D1409">
        <v>53</v>
      </c>
    </row>
    <row r="1410" spans="1:4" hidden="1" x14ac:dyDescent="0.25">
      <c r="A1410" s="2" t="s">
        <v>0</v>
      </c>
      <c r="B1410">
        <v>20</v>
      </c>
      <c r="C1410" s="2" t="s">
        <v>128</v>
      </c>
      <c r="D1410">
        <v>25</v>
      </c>
    </row>
    <row r="1411" spans="1:4" hidden="1" x14ac:dyDescent="0.25">
      <c r="A1411" s="2" t="s">
        <v>0</v>
      </c>
      <c r="B1411">
        <v>20</v>
      </c>
      <c r="C1411" s="2" t="s">
        <v>129</v>
      </c>
      <c r="D1411">
        <v>20</v>
      </c>
    </row>
    <row r="1412" spans="1:4" hidden="1" x14ac:dyDescent="0.25">
      <c r="A1412" s="2" t="s">
        <v>0</v>
      </c>
      <c r="B1412">
        <v>20</v>
      </c>
      <c r="C1412" s="2" t="s">
        <v>130</v>
      </c>
      <c r="D1412">
        <v>23</v>
      </c>
    </row>
    <row r="1413" spans="1:4" hidden="1" x14ac:dyDescent="0.25">
      <c r="A1413" s="2" t="s">
        <v>0</v>
      </c>
      <c r="B1413">
        <v>20</v>
      </c>
      <c r="C1413" s="2" t="s">
        <v>131</v>
      </c>
      <c r="D1413">
        <v>22</v>
      </c>
    </row>
    <row r="1414" spans="1:4" hidden="1" x14ac:dyDescent="0.25">
      <c r="A1414" s="2" t="s">
        <v>0</v>
      </c>
      <c r="B1414">
        <v>20</v>
      </c>
      <c r="C1414" s="2" t="s">
        <v>132</v>
      </c>
      <c r="D1414">
        <v>27</v>
      </c>
    </row>
    <row r="1415" spans="1:4" hidden="1" x14ac:dyDescent="0.25">
      <c r="A1415" s="2" t="s">
        <v>0</v>
      </c>
      <c r="B1415">
        <v>20</v>
      </c>
      <c r="C1415" s="2" t="s">
        <v>133</v>
      </c>
      <c r="D1415">
        <v>27</v>
      </c>
    </row>
    <row r="1416" spans="1:4" hidden="1" x14ac:dyDescent="0.25">
      <c r="A1416" s="2" t="s">
        <v>0</v>
      </c>
      <c r="B1416">
        <v>20</v>
      </c>
      <c r="C1416" s="2" t="s">
        <v>134</v>
      </c>
      <c r="D1416">
        <v>35</v>
      </c>
    </row>
    <row r="1417" spans="1:4" hidden="1" x14ac:dyDescent="0.25">
      <c r="A1417" s="2" t="s">
        <v>0</v>
      </c>
      <c r="B1417">
        <v>20</v>
      </c>
      <c r="C1417" s="2" t="s">
        <v>135</v>
      </c>
      <c r="D1417">
        <v>20</v>
      </c>
    </row>
    <row r="1418" spans="1:4" hidden="1" x14ac:dyDescent="0.25">
      <c r="A1418" s="2" t="s">
        <v>0</v>
      </c>
      <c r="B1418">
        <v>20</v>
      </c>
      <c r="C1418" s="2" t="s">
        <v>136</v>
      </c>
      <c r="D1418">
        <v>20</v>
      </c>
    </row>
    <row r="1419" spans="1:4" hidden="1" x14ac:dyDescent="0.25">
      <c r="A1419" s="2" t="s">
        <v>0</v>
      </c>
      <c r="B1419">
        <v>20</v>
      </c>
      <c r="C1419" s="2" t="s">
        <v>137</v>
      </c>
      <c r="D1419">
        <v>20</v>
      </c>
    </row>
    <row r="1420" spans="1:4" hidden="1" x14ac:dyDescent="0.25">
      <c r="A1420" s="2" t="s">
        <v>0</v>
      </c>
      <c r="B1420">
        <v>20</v>
      </c>
      <c r="C1420" s="2" t="s">
        <v>138</v>
      </c>
      <c r="D1420">
        <v>20</v>
      </c>
    </row>
    <row r="1421" spans="1:4" hidden="1" x14ac:dyDescent="0.25">
      <c r="A1421" s="2" t="s">
        <v>0</v>
      </c>
      <c r="B1421">
        <v>20</v>
      </c>
      <c r="C1421" s="2" t="s">
        <v>139</v>
      </c>
      <c r="D1421">
        <v>20</v>
      </c>
    </row>
    <row r="1422" spans="1:4" hidden="1" x14ac:dyDescent="0.25">
      <c r="A1422" s="2" t="s">
        <v>0</v>
      </c>
      <c r="B1422">
        <v>20</v>
      </c>
      <c r="C1422" s="2" t="s">
        <v>140</v>
      </c>
      <c r="D1422">
        <v>20</v>
      </c>
    </row>
    <row r="1423" spans="1:4" hidden="1" x14ac:dyDescent="0.25">
      <c r="A1423" s="2" t="s">
        <v>0</v>
      </c>
      <c r="B1423">
        <v>20</v>
      </c>
      <c r="C1423" s="2" t="s">
        <v>141</v>
      </c>
      <c r="D1423">
        <v>20</v>
      </c>
    </row>
    <row r="1424" spans="1:4" hidden="1" x14ac:dyDescent="0.25">
      <c r="A1424" s="2" t="s">
        <v>0</v>
      </c>
      <c r="B1424">
        <v>20</v>
      </c>
      <c r="C1424" s="2" t="s">
        <v>142</v>
      </c>
      <c r="D1424">
        <v>20</v>
      </c>
    </row>
    <row r="1425" spans="1:4" hidden="1" x14ac:dyDescent="0.25">
      <c r="A1425" s="2" t="s">
        <v>0</v>
      </c>
      <c r="B1425">
        <v>20</v>
      </c>
      <c r="C1425" s="2" t="s">
        <v>143</v>
      </c>
      <c r="D1425">
        <v>20</v>
      </c>
    </row>
    <row r="1426" spans="1:4" hidden="1" x14ac:dyDescent="0.25">
      <c r="A1426" s="2" t="s">
        <v>0</v>
      </c>
      <c r="B1426">
        <v>20</v>
      </c>
      <c r="C1426" s="2" t="s">
        <v>144</v>
      </c>
      <c r="D1426">
        <v>20</v>
      </c>
    </row>
    <row r="1427" spans="1:4" hidden="1" x14ac:dyDescent="0.25">
      <c r="A1427" s="2" t="s">
        <v>0</v>
      </c>
      <c r="B1427">
        <v>20</v>
      </c>
      <c r="C1427" s="2" t="s">
        <v>145</v>
      </c>
      <c r="D1427">
        <v>20</v>
      </c>
    </row>
    <row r="1428" spans="1:4" hidden="1" x14ac:dyDescent="0.25">
      <c r="A1428" s="2" t="s">
        <v>0</v>
      </c>
      <c r="B1428">
        <v>20</v>
      </c>
      <c r="C1428" s="2" t="s">
        <v>146</v>
      </c>
      <c r="D1428">
        <v>20</v>
      </c>
    </row>
    <row r="1429" spans="1:4" hidden="1" x14ac:dyDescent="0.25">
      <c r="A1429" s="2" t="s">
        <v>0</v>
      </c>
      <c r="B1429">
        <v>20</v>
      </c>
      <c r="C1429" s="2" t="s">
        <v>147</v>
      </c>
      <c r="D1429">
        <v>20</v>
      </c>
    </row>
    <row r="1430" spans="1:4" hidden="1" x14ac:dyDescent="0.25">
      <c r="A1430" s="2" t="s">
        <v>0</v>
      </c>
      <c r="B1430">
        <v>20</v>
      </c>
      <c r="C1430" s="2" t="s">
        <v>148</v>
      </c>
      <c r="D1430">
        <v>20</v>
      </c>
    </row>
    <row r="1431" spans="1:4" hidden="1" x14ac:dyDescent="0.25">
      <c r="A1431" s="2" t="s">
        <v>0</v>
      </c>
      <c r="B1431">
        <v>20</v>
      </c>
      <c r="C1431" s="2" t="s">
        <v>149</v>
      </c>
      <c r="D1431">
        <v>20</v>
      </c>
    </row>
    <row r="1432" spans="1:4" hidden="1" x14ac:dyDescent="0.25">
      <c r="A1432" s="2" t="s">
        <v>0</v>
      </c>
      <c r="B1432">
        <v>20</v>
      </c>
      <c r="C1432" s="2" t="s">
        <v>150</v>
      </c>
      <c r="D1432">
        <v>20</v>
      </c>
    </row>
    <row r="1433" spans="1:4" hidden="1" x14ac:dyDescent="0.25">
      <c r="A1433" s="2" t="s">
        <v>0</v>
      </c>
      <c r="B1433">
        <v>20</v>
      </c>
      <c r="C1433" s="2" t="s">
        <v>151</v>
      </c>
      <c r="D1433">
        <v>20</v>
      </c>
    </row>
    <row r="1434" spans="1:4" hidden="1" x14ac:dyDescent="0.25">
      <c r="A1434" s="2" t="s">
        <v>0</v>
      </c>
      <c r="B1434">
        <v>20</v>
      </c>
      <c r="C1434" s="2" t="s">
        <v>152</v>
      </c>
      <c r="D1434">
        <v>20</v>
      </c>
    </row>
    <row r="1435" spans="1:4" hidden="1" x14ac:dyDescent="0.25">
      <c r="A1435" s="2" t="s">
        <v>0</v>
      </c>
      <c r="B1435">
        <v>20</v>
      </c>
      <c r="C1435" s="2" t="s">
        <v>153</v>
      </c>
      <c r="D1435">
        <v>20</v>
      </c>
    </row>
    <row r="1436" spans="1:4" hidden="1" x14ac:dyDescent="0.25">
      <c r="A1436" s="2" t="s">
        <v>0</v>
      </c>
      <c r="B1436">
        <v>20</v>
      </c>
      <c r="C1436" s="2" t="s">
        <v>154</v>
      </c>
      <c r="D1436">
        <v>20</v>
      </c>
    </row>
    <row r="1437" spans="1:4" hidden="1" x14ac:dyDescent="0.25">
      <c r="A1437" s="2" t="s">
        <v>0</v>
      </c>
      <c r="B1437">
        <v>20</v>
      </c>
      <c r="C1437" s="2" t="s">
        <v>155</v>
      </c>
      <c r="D1437">
        <v>20</v>
      </c>
    </row>
    <row r="1438" spans="1:4" hidden="1" x14ac:dyDescent="0.25">
      <c r="A1438" s="2" t="s">
        <v>0</v>
      </c>
      <c r="B1438">
        <v>20</v>
      </c>
      <c r="C1438" s="2" t="s">
        <v>156</v>
      </c>
      <c r="D1438">
        <v>20</v>
      </c>
    </row>
    <row r="1439" spans="1:4" hidden="1" x14ac:dyDescent="0.25">
      <c r="A1439" s="2" t="s">
        <v>0</v>
      </c>
      <c r="B1439">
        <v>20</v>
      </c>
      <c r="C1439" s="2" t="s">
        <v>157</v>
      </c>
      <c r="D1439">
        <v>20</v>
      </c>
    </row>
    <row r="1440" spans="1:4" hidden="1" x14ac:dyDescent="0.25">
      <c r="A1440" s="2" t="s">
        <v>0</v>
      </c>
      <c r="B1440">
        <v>20</v>
      </c>
      <c r="C1440" s="2" t="s">
        <v>158</v>
      </c>
      <c r="D1440">
        <v>20</v>
      </c>
    </row>
    <row r="1441" spans="1:4" hidden="1" x14ac:dyDescent="0.25">
      <c r="A1441" s="2" t="s">
        <v>0</v>
      </c>
      <c r="B1441">
        <v>20</v>
      </c>
      <c r="C1441" s="2" t="s">
        <v>159</v>
      </c>
      <c r="D1441">
        <v>20</v>
      </c>
    </row>
    <row r="1442" spans="1:4" hidden="1" x14ac:dyDescent="0.25">
      <c r="A1442" s="2" t="s">
        <v>0</v>
      </c>
      <c r="B1442">
        <v>20</v>
      </c>
      <c r="C1442" s="2" t="s">
        <v>160</v>
      </c>
      <c r="D1442">
        <v>20</v>
      </c>
    </row>
    <row r="1443" spans="1:4" hidden="1" x14ac:dyDescent="0.25">
      <c r="A1443" s="2" t="s">
        <v>0</v>
      </c>
      <c r="B1443">
        <v>20</v>
      </c>
      <c r="C1443" s="2" t="s">
        <v>161</v>
      </c>
      <c r="D1443">
        <v>20</v>
      </c>
    </row>
    <row r="1444" spans="1:4" hidden="1" x14ac:dyDescent="0.25">
      <c r="A1444" s="2" t="s">
        <v>0</v>
      </c>
      <c r="B1444">
        <v>20</v>
      </c>
      <c r="C1444" s="2" t="s">
        <v>162</v>
      </c>
      <c r="D1444">
        <v>20</v>
      </c>
    </row>
    <row r="1445" spans="1:4" hidden="1" x14ac:dyDescent="0.25">
      <c r="A1445" s="2" t="s">
        <v>0</v>
      </c>
      <c r="B1445">
        <v>20</v>
      </c>
      <c r="C1445" s="2" t="s">
        <v>163</v>
      </c>
      <c r="D1445">
        <v>20</v>
      </c>
    </row>
    <row r="1446" spans="1:4" hidden="1" x14ac:dyDescent="0.25">
      <c r="A1446" s="2" t="s">
        <v>0</v>
      </c>
      <c r="B1446">
        <v>20</v>
      </c>
      <c r="C1446" s="2" t="s">
        <v>164</v>
      </c>
      <c r="D1446">
        <v>20</v>
      </c>
    </row>
    <row r="1447" spans="1:4" hidden="1" x14ac:dyDescent="0.25">
      <c r="A1447" s="2" t="s">
        <v>0</v>
      </c>
      <c r="B1447">
        <v>20</v>
      </c>
      <c r="C1447" s="2" t="s">
        <v>165</v>
      </c>
      <c r="D1447">
        <v>20</v>
      </c>
    </row>
    <row r="1448" spans="1:4" hidden="1" x14ac:dyDescent="0.25">
      <c r="A1448" s="2" t="s">
        <v>0</v>
      </c>
      <c r="B1448">
        <v>20</v>
      </c>
      <c r="C1448" s="2" t="s">
        <v>166</v>
      </c>
      <c r="D1448">
        <v>20</v>
      </c>
    </row>
    <row r="1449" spans="1:4" hidden="1" x14ac:dyDescent="0.25">
      <c r="A1449" s="2" t="s">
        <v>0</v>
      </c>
      <c r="B1449">
        <v>20</v>
      </c>
      <c r="C1449" s="2" t="s">
        <v>167</v>
      </c>
      <c r="D1449">
        <v>20</v>
      </c>
    </row>
    <row r="1450" spans="1:4" hidden="1" x14ac:dyDescent="0.25">
      <c r="A1450" s="2" t="s">
        <v>0</v>
      </c>
      <c r="B1450">
        <v>20</v>
      </c>
      <c r="C1450" s="2" t="s">
        <v>168</v>
      </c>
      <c r="D1450">
        <v>20</v>
      </c>
    </row>
    <row r="1451" spans="1:4" hidden="1" x14ac:dyDescent="0.25">
      <c r="A1451" s="2" t="s">
        <v>0</v>
      </c>
      <c r="B1451">
        <v>20</v>
      </c>
      <c r="C1451" s="2" t="s">
        <v>169</v>
      </c>
      <c r="D1451">
        <v>20</v>
      </c>
    </row>
    <row r="1452" spans="1:4" hidden="1" x14ac:dyDescent="0.25">
      <c r="A1452" s="2" t="s">
        <v>0</v>
      </c>
      <c r="B1452">
        <v>20</v>
      </c>
      <c r="C1452" s="2" t="s">
        <v>170</v>
      </c>
      <c r="D1452">
        <v>20</v>
      </c>
    </row>
    <row r="1453" spans="1:4" hidden="1" x14ac:dyDescent="0.25">
      <c r="A1453" s="2" t="s">
        <v>0</v>
      </c>
      <c r="B1453">
        <v>20</v>
      </c>
      <c r="C1453" s="2" t="s">
        <v>171</v>
      </c>
      <c r="D1453">
        <v>20</v>
      </c>
    </row>
    <row r="1454" spans="1:4" hidden="1" x14ac:dyDescent="0.25">
      <c r="A1454" s="2" t="s">
        <v>0</v>
      </c>
      <c r="B1454">
        <v>20</v>
      </c>
      <c r="C1454" s="2" t="s">
        <v>172</v>
      </c>
      <c r="D1454">
        <v>20</v>
      </c>
    </row>
    <row r="1455" spans="1:4" hidden="1" x14ac:dyDescent="0.25">
      <c r="A1455" s="2" t="s">
        <v>0</v>
      </c>
      <c r="B1455">
        <v>20</v>
      </c>
      <c r="C1455" s="2" t="s">
        <v>173</v>
      </c>
      <c r="D1455">
        <v>20</v>
      </c>
    </row>
    <row r="1456" spans="1:4" hidden="1" x14ac:dyDescent="0.25">
      <c r="A1456" s="2" t="s">
        <v>0</v>
      </c>
      <c r="B1456">
        <v>20</v>
      </c>
      <c r="C1456" s="2" t="s">
        <v>174</v>
      </c>
      <c r="D1456">
        <v>20</v>
      </c>
    </row>
    <row r="1457" spans="1:4" hidden="1" x14ac:dyDescent="0.25">
      <c r="A1457" s="2" t="s">
        <v>0</v>
      </c>
      <c r="B1457">
        <v>20</v>
      </c>
      <c r="C1457" s="2" t="s">
        <v>175</v>
      </c>
      <c r="D1457">
        <v>20</v>
      </c>
    </row>
    <row r="1458" spans="1:4" hidden="1" x14ac:dyDescent="0.25">
      <c r="A1458" s="2" t="s">
        <v>0</v>
      </c>
      <c r="B1458">
        <v>20</v>
      </c>
      <c r="C1458" s="2" t="s">
        <v>176</v>
      </c>
      <c r="D1458">
        <v>20</v>
      </c>
    </row>
    <row r="1459" spans="1:4" hidden="1" x14ac:dyDescent="0.25">
      <c r="A1459" s="2" t="s">
        <v>0</v>
      </c>
      <c r="B1459">
        <v>20</v>
      </c>
      <c r="C1459" s="2" t="s">
        <v>177</v>
      </c>
      <c r="D1459">
        <v>20</v>
      </c>
    </row>
    <row r="1460" spans="1:4" hidden="1" x14ac:dyDescent="0.25">
      <c r="A1460" s="2" t="s">
        <v>0</v>
      </c>
      <c r="B1460">
        <v>20</v>
      </c>
      <c r="C1460" s="2" t="s">
        <v>178</v>
      </c>
      <c r="D1460">
        <v>20</v>
      </c>
    </row>
    <row r="1461" spans="1:4" hidden="1" x14ac:dyDescent="0.25">
      <c r="A1461" s="2" t="s">
        <v>0</v>
      </c>
      <c r="B1461">
        <v>20</v>
      </c>
      <c r="C1461" s="2" t="s">
        <v>179</v>
      </c>
      <c r="D1461">
        <v>20</v>
      </c>
    </row>
    <row r="1462" spans="1:4" hidden="1" x14ac:dyDescent="0.25">
      <c r="A1462" s="2" t="s">
        <v>10</v>
      </c>
      <c r="B1462">
        <v>20</v>
      </c>
      <c r="C1462" s="2" t="s">
        <v>183</v>
      </c>
      <c r="D1462">
        <v>13</v>
      </c>
    </row>
    <row r="1463" spans="1:4" hidden="1" x14ac:dyDescent="0.25">
      <c r="A1463" s="2" t="s">
        <v>10</v>
      </c>
      <c r="B1463">
        <v>20</v>
      </c>
      <c r="C1463" s="2" t="s">
        <v>184</v>
      </c>
      <c r="D1463">
        <v>14</v>
      </c>
    </row>
    <row r="1464" spans="1:4" hidden="1" x14ac:dyDescent="0.25">
      <c r="A1464" s="2" t="s">
        <v>10</v>
      </c>
      <c r="B1464">
        <v>20</v>
      </c>
      <c r="C1464" s="2" t="s">
        <v>185</v>
      </c>
      <c r="D1464">
        <v>24</v>
      </c>
    </row>
    <row r="1465" spans="1:4" hidden="1" x14ac:dyDescent="0.25">
      <c r="A1465" s="2" t="s">
        <v>10</v>
      </c>
      <c r="B1465">
        <v>20</v>
      </c>
      <c r="C1465" s="2" t="s">
        <v>186</v>
      </c>
      <c r="D1465">
        <v>9</v>
      </c>
    </row>
    <row r="1466" spans="1:4" hidden="1" x14ac:dyDescent="0.25">
      <c r="A1466" s="2" t="s">
        <v>10</v>
      </c>
      <c r="B1466">
        <v>20</v>
      </c>
      <c r="C1466" s="2" t="s">
        <v>187</v>
      </c>
      <c r="D1466">
        <v>9</v>
      </c>
    </row>
    <row r="1467" spans="1:4" hidden="1" x14ac:dyDescent="0.25">
      <c r="A1467" s="2" t="s">
        <v>10</v>
      </c>
      <c r="B1467">
        <v>20</v>
      </c>
      <c r="C1467" s="2" t="s">
        <v>188</v>
      </c>
      <c r="D1467">
        <v>9</v>
      </c>
    </row>
    <row r="1468" spans="1:4" hidden="1" x14ac:dyDescent="0.25">
      <c r="A1468" s="2" t="s">
        <v>10</v>
      </c>
      <c r="B1468">
        <v>20</v>
      </c>
      <c r="C1468" s="2" t="s">
        <v>189</v>
      </c>
      <c r="D1468">
        <v>24</v>
      </c>
    </row>
    <row r="1469" spans="1:4" hidden="1" x14ac:dyDescent="0.25">
      <c r="A1469" s="2" t="s">
        <v>10</v>
      </c>
      <c r="B1469">
        <v>20</v>
      </c>
      <c r="C1469" s="2" t="s">
        <v>190</v>
      </c>
      <c r="D1469">
        <v>25</v>
      </c>
    </row>
    <row r="1470" spans="1:4" hidden="1" x14ac:dyDescent="0.25">
      <c r="A1470" s="2" t="s">
        <v>10</v>
      </c>
      <c r="B1470">
        <v>20</v>
      </c>
      <c r="C1470" s="2" t="s">
        <v>191</v>
      </c>
      <c r="D1470">
        <v>27</v>
      </c>
    </row>
    <row r="1471" spans="1:4" hidden="1" x14ac:dyDescent="0.25">
      <c r="A1471" s="2" t="s">
        <v>10</v>
      </c>
      <c r="B1471">
        <v>20</v>
      </c>
      <c r="C1471" s="2" t="s">
        <v>116</v>
      </c>
      <c r="D1471">
        <v>31</v>
      </c>
    </row>
    <row r="1472" spans="1:4" hidden="1" x14ac:dyDescent="0.25">
      <c r="A1472" s="2" t="s">
        <v>10</v>
      </c>
      <c r="B1472">
        <v>20</v>
      </c>
      <c r="C1472" s="2" t="s">
        <v>117</v>
      </c>
      <c r="D1472">
        <v>30</v>
      </c>
    </row>
    <row r="1473" spans="1:4" hidden="1" x14ac:dyDescent="0.25">
      <c r="A1473" s="2" t="s">
        <v>10</v>
      </c>
      <c r="B1473">
        <v>20</v>
      </c>
      <c r="C1473" s="2" t="s">
        <v>118</v>
      </c>
      <c r="D1473">
        <v>29</v>
      </c>
    </row>
    <row r="1474" spans="1:4" hidden="1" x14ac:dyDescent="0.25">
      <c r="A1474" s="2" t="s">
        <v>10</v>
      </c>
      <c r="B1474">
        <v>20</v>
      </c>
      <c r="C1474" s="2" t="s">
        <v>119</v>
      </c>
      <c r="D1474">
        <v>19</v>
      </c>
    </row>
    <row r="1475" spans="1:4" hidden="1" x14ac:dyDescent="0.25">
      <c r="A1475" s="2" t="s">
        <v>10</v>
      </c>
      <c r="B1475">
        <v>20</v>
      </c>
      <c r="C1475" s="2" t="s">
        <v>120</v>
      </c>
      <c r="D1475">
        <v>23</v>
      </c>
    </row>
    <row r="1476" spans="1:4" hidden="1" x14ac:dyDescent="0.25">
      <c r="A1476" s="2" t="s">
        <v>10</v>
      </c>
      <c r="B1476">
        <v>20</v>
      </c>
      <c r="C1476" s="2" t="s">
        <v>121</v>
      </c>
      <c r="D1476">
        <v>25</v>
      </c>
    </row>
    <row r="1477" spans="1:4" hidden="1" x14ac:dyDescent="0.25">
      <c r="A1477" s="2" t="s">
        <v>10</v>
      </c>
      <c r="B1477">
        <v>20</v>
      </c>
      <c r="C1477" s="2" t="s">
        <v>122</v>
      </c>
      <c r="D1477">
        <v>30</v>
      </c>
    </row>
    <row r="1478" spans="1:4" hidden="1" x14ac:dyDescent="0.25">
      <c r="A1478" s="2" t="s">
        <v>10</v>
      </c>
      <c r="B1478">
        <v>20</v>
      </c>
      <c r="C1478" s="2" t="s">
        <v>123</v>
      </c>
      <c r="D1478">
        <v>13</v>
      </c>
    </row>
    <row r="1479" spans="1:4" hidden="1" x14ac:dyDescent="0.25">
      <c r="A1479" s="2" t="s">
        <v>10</v>
      </c>
      <c r="B1479">
        <v>20</v>
      </c>
      <c r="C1479" s="2" t="s">
        <v>124</v>
      </c>
      <c r="D1479">
        <v>18</v>
      </c>
    </row>
    <row r="1480" spans="1:4" hidden="1" x14ac:dyDescent="0.25">
      <c r="A1480" s="2" t="s">
        <v>10</v>
      </c>
      <c r="B1480">
        <v>20</v>
      </c>
      <c r="C1480" s="2" t="s">
        <v>125</v>
      </c>
      <c r="D1480">
        <v>20</v>
      </c>
    </row>
    <row r="1481" spans="1:4" hidden="1" x14ac:dyDescent="0.25">
      <c r="A1481" s="2" t="s">
        <v>10</v>
      </c>
      <c r="B1481">
        <v>20</v>
      </c>
      <c r="C1481" s="2" t="s">
        <v>126</v>
      </c>
      <c r="D1481">
        <v>22</v>
      </c>
    </row>
    <row r="1482" spans="1:4" hidden="1" x14ac:dyDescent="0.25">
      <c r="A1482" s="2" t="s">
        <v>10</v>
      </c>
      <c r="B1482">
        <v>20</v>
      </c>
      <c r="C1482" s="2" t="s">
        <v>127</v>
      </c>
      <c r="D1482">
        <v>20</v>
      </c>
    </row>
    <row r="1483" spans="1:4" hidden="1" x14ac:dyDescent="0.25">
      <c r="A1483" s="2" t="s">
        <v>10</v>
      </c>
      <c r="B1483">
        <v>20</v>
      </c>
      <c r="C1483" s="2" t="s">
        <v>128</v>
      </c>
      <c r="D1483">
        <v>9</v>
      </c>
    </row>
    <row r="1484" spans="1:4" hidden="1" x14ac:dyDescent="0.25">
      <c r="A1484" s="2" t="s">
        <v>10</v>
      </c>
      <c r="B1484">
        <v>20</v>
      </c>
      <c r="C1484" s="2" t="s">
        <v>129</v>
      </c>
      <c r="D1484">
        <v>6</v>
      </c>
    </row>
    <row r="1485" spans="1:4" hidden="1" x14ac:dyDescent="0.25">
      <c r="A1485" s="2" t="s">
        <v>10</v>
      </c>
      <c r="B1485">
        <v>20</v>
      </c>
      <c r="C1485" s="2" t="s">
        <v>130</v>
      </c>
      <c r="D1485">
        <v>11</v>
      </c>
    </row>
    <row r="1486" spans="1:4" hidden="1" x14ac:dyDescent="0.25">
      <c r="A1486" s="2" t="s">
        <v>10</v>
      </c>
      <c r="B1486">
        <v>20</v>
      </c>
      <c r="C1486" s="2" t="s">
        <v>131</v>
      </c>
      <c r="D1486">
        <v>25</v>
      </c>
    </row>
    <row r="1487" spans="1:4" hidden="1" x14ac:dyDescent="0.25">
      <c r="A1487" s="2" t="s">
        <v>10</v>
      </c>
      <c r="B1487">
        <v>20</v>
      </c>
      <c r="C1487" s="2" t="s">
        <v>132</v>
      </c>
      <c r="D1487">
        <v>22</v>
      </c>
    </row>
    <row r="1488" spans="1:4" hidden="1" x14ac:dyDescent="0.25">
      <c r="A1488" s="2" t="s">
        <v>10</v>
      </c>
      <c r="B1488">
        <v>20</v>
      </c>
      <c r="C1488" s="2" t="s">
        <v>133</v>
      </c>
      <c r="D1488">
        <v>22</v>
      </c>
    </row>
    <row r="1489" spans="1:4" hidden="1" x14ac:dyDescent="0.25">
      <c r="A1489" s="2" t="s">
        <v>10</v>
      </c>
      <c r="B1489">
        <v>20</v>
      </c>
      <c r="C1489" s="2" t="s">
        <v>134</v>
      </c>
      <c r="D1489">
        <v>20</v>
      </c>
    </row>
    <row r="1490" spans="1:4" hidden="1" x14ac:dyDescent="0.25">
      <c r="A1490" s="2" t="s">
        <v>10</v>
      </c>
      <c r="B1490">
        <v>20</v>
      </c>
      <c r="C1490" s="2" t="s">
        <v>135</v>
      </c>
      <c r="D1490">
        <v>20</v>
      </c>
    </row>
    <row r="1491" spans="1:4" hidden="1" x14ac:dyDescent="0.25">
      <c r="A1491" s="2" t="s">
        <v>10</v>
      </c>
      <c r="B1491">
        <v>20</v>
      </c>
      <c r="C1491" s="2" t="s">
        <v>136</v>
      </c>
      <c r="D1491">
        <v>20</v>
      </c>
    </row>
    <row r="1492" spans="1:4" hidden="1" x14ac:dyDescent="0.25">
      <c r="A1492" s="2" t="s">
        <v>10</v>
      </c>
      <c r="B1492">
        <v>20</v>
      </c>
      <c r="C1492" s="2" t="s">
        <v>137</v>
      </c>
      <c r="D1492">
        <v>20</v>
      </c>
    </row>
    <row r="1493" spans="1:4" hidden="1" x14ac:dyDescent="0.25">
      <c r="A1493" s="2" t="s">
        <v>10</v>
      </c>
      <c r="B1493">
        <v>20</v>
      </c>
      <c r="C1493" s="2" t="s">
        <v>138</v>
      </c>
      <c r="D1493">
        <v>20</v>
      </c>
    </row>
    <row r="1494" spans="1:4" hidden="1" x14ac:dyDescent="0.25">
      <c r="A1494" s="2" t="s">
        <v>10</v>
      </c>
      <c r="B1494">
        <v>20</v>
      </c>
      <c r="C1494" s="2" t="s">
        <v>139</v>
      </c>
      <c r="D1494">
        <v>20</v>
      </c>
    </row>
    <row r="1495" spans="1:4" hidden="1" x14ac:dyDescent="0.25">
      <c r="A1495" s="2" t="s">
        <v>10</v>
      </c>
      <c r="B1495">
        <v>20</v>
      </c>
      <c r="C1495" s="2" t="s">
        <v>140</v>
      </c>
      <c r="D1495">
        <v>20</v>
      </c>
    </row>
    <row r="1496" spans="1:4" hidden="1" x14ac:dyDescent="0.25">
      <c r="A1496" s="2" t="s">
        <v>10</v>
      </c>
      <c r="B1496">
        <v>20</v>
      </c>
      <c r="C1496" s="2" t="s">
        <v>141</v>
      </c>
      <c r="D1496">
        <v>20</v>
      </c>
    </row>
    <row r="1497" spans="1:4" hidden="1" x14ac:dyDescent="0.25">
      <c r="A1497" s="2" t="s">
        <v>10</v>
      </c>
      <c r="B1497">
        <v>20</v>
      </c>
      <c r="C1497" s="2" t="s">
        <v>142</v>
      </c>
      <c r="D1497">
        <v>20</v>
      </c>
    </row>
    <row r="1498" spans="1:4" hidden="1" x14ac:dyDescent="0.25">
      <c r="A1498" s="2" t="s">
        <v>10</v>
      </c>
      <c r="B1498">
        <v>20</v>
      </c>
      <c r="C1498" s="2" t="s">
        <v>143</v>
      </c>
      <c r="D1498">
        <v>20</v>
      </c>
    </row>
    <row r="1499" spans="1:4" hidden="1" x14ac:dyDescent="0.25">
      <c r="A1499" s="2" t="s">
        <v>10</v>
      </c>
      <c r="B1499">
        <v>20</v>
      </c>
      <c r="C1499" s="2" t="s">
        <v>144</v>
      </c>
      <c r="D1499">
        <v>20</v>
      </c>
    </row>
    <row r="1500" spans="1:4" hidden="1" x14ac:dyDescent="0.25">
      <c r="A1500" s="2" t="s">
        <v>10</v>
      </c>
      <c r="B1500">
        <v>20</v>
      </c>
      <c r="C1500" s="2" t="s">
        <v>145</v>
      </c>
      <c r="D1500">
        <v>20</v>
      </c>
    </row>
    <row r="1501" spans="1:4" hidden="1" x14ac:dyDescent="0.25">
      <c r="A1501" s="2" t="s">
        <v>10</v>
      </c>
      <c r="B1501">
        <v>20</v>
      </c>
      <c r="C1501" s="2" t="s">
        <v>146</v>
      </c>
      <c r="D1501">
        <v>20</v>
      </c>
    </row>
    <row r="1502" spans="1:4" hidden="1" x14ac:dyDescent="0.25">
      <c r="A1502" s="2" t="s">
        <v>10</v>
      </c>
      <c r="B1502">
        <v>20</v>
      </c>
      <c r="C1502" s="2" t="s">
        <v>147</v>
      </c>
      <c r="D1502">
        <v>20</v>
      </c>
    </row>
    <row r="1503" spans="1:4" hidden="1" x14ac:dyDescent="0.25">
      <c r="A1503" s="2" t="s">
        <v>10</v>
      </c>
      <c r="B1503">
        <v>20</v>
      </c>
      <c r="C1503" s="2" t="s">
        <v>148</v>
      </c>
      <c r="D1503">
        <v>20</v>
      </c>
    </row>
    <row r="1504" spans="1:4" hidden="1" x14ac:dyDescent="0.25">
      <c r="A1504" s="2" t="s">
        <v>10</v>
      </c>
      <c r="B1504">
        <v>20</v>
      </c>
      <c r="C1504" s="2" t="s">
        <v>149</v>
      </c>
      <c r="D1504">
        <v>20</v>
      </c>
    </row>
    <row r="1505" spans="1:4" hidden="1" x14ac:dyDescent="0.25">
      <c r="A1505" s="2" t="s">
        <v>10</v>
      </c>
      <c r="B1505">
        <v>20</v>
      </c>
      <c r="C1505" s="2" t="s">
        <v>150</v>
      </c>
      <c r="D1505">
        <v>20</v>
      </c>
    </row>
    <row r="1506" spans="1:4" hidden="1" x14ac:dyDescent="0.25">
      <c r="A1506" s="2" t="s">
        <v>10</v>
      </c>
      <c r="B1506">
        <v>20</v>
      </c>
      <c r="C1506" s="2" t="s">
        <v>151</v>
      </c>
      <c r="D1506">
        <v>20</v>
      </c>
    </row>
    <row r="1507" spans="1:4" hidden="1" x14ac:dyDescent="0.25">
      <c r="A1507" s="2" t="s">
        <v>10</v>
      </c>
      <c r="B1507">
        <v>20</v>
      </c>
      <c r="C1507" s="2" t="s">
        <v>152</v>
      </c>
      <c r="D1507">
        <v>20</v>
      </c>
    </row>
    <row r="1508" spans="1:4" hidden="1" x14ac:dyDescent="0.25">
      <c r="A1508" s="2" t="s">
        <v>10</v>
      </c>
      <c r="B1508">
        <v>20</v>
      </c>
      <c r="C1508" s="2" t="s">
        <v>153</v>
      </c>
      <c r="D1508">
        <v>20</v>
      </c>
    </row>
    <row r="1509" spans="1:4" hidden="1" x14ac:dyDescent="0.25">
      <c r="A1509" s="2" t="s">
        <v>10</v>
      </c>
      <c r="B1509">
        <v>20</v>
      </c>
      <c r="C1509" s="2" t="s">
        <v>154</v>
      </c>
      <c r="D1509">
        <v>20</v>
      </c>
    </row>
    <row r="1510" spans="1:4" hidden="1" x14ac:dyDescent="0.25">
      <c r="A1510" s="2" t="s">
        <v>10</v>
      </c>
      <c r="B1510">
        <v>20</v>
      </c>
      <c r="C1510" s="2" t="s">
        <v>155</v>
      </c>
      <c r="D1510">
        <v>20</v>
      </c>
    </row>
    <row r="1511" spans="1:4" hidden="1" x14ac:dyDescent="0.25">
      <c r="A1511" s="2" t="s">
        <v>10</v>
      </c>
      <c r="B1511">
        <v>20</v>
      </c>
      <c r="C1511" s="2" t="s">
        <v>156</v>
      </c>
      <c r="D1511">
        <v>20</v>
      </c>
    </row>
    <row r="1512" spans="1:4" hidden="1" x14ac:dyDescent="0.25">
      <c r="A1512" s="2" t="s">
        <v>10</v>
      </c>
      <c r="B1512">
        <v>20</v>
      </c>
      <c r="C1512" s="2" t="s">
        <v>157</v>
      </c>
      <c r="D1512">
        <v>20</v>
      </c>
    </row>
    <row r="1513" spans="1:4" hidden="1" x14ac:dyDescent="0.25">
      <c r="A1513" s="2" t="s">
        <v>10</v>
      </c>
      <c r="B1513">
        <v>20</v>
      </c>
      <c r="C1513" s="2" t="s">
        <v>158</v>
      </c>
      <c r="D1513">
        <v>20</v>
      </c>
    </row>
    <row r="1514" spans="1:4" hidden="1" x14ac:dyDescent="0.25">
      <c r="A1514" s="2" t="s">
        <v>10</v>
      </c>
      <c r="B1514">
        <v>20</v>
      </c>
      <c r="C1514" s="2" t="s">
        <v>159</v>
      </c>
      <c r="D1514">
        <v>20</v>
      </c>
    </row>
    <row r="1515" spans="1:4" hidden="1" x14ac:dyDescent="0.25">
      <c r="A1515" s="2" t="s">
        <v>10</v>
      </c>
      <c r="B1515">
        <v>20</v>
      </c>
      <c r="C1515" s="2" t="s">
        <v>160</v>
      </c>
      <c r="D1515">
        <v>20</v>
      </c>
    </row>
    <row r="1516" spans="1:4" hidden="1" x14ac:dyDescent="0.25">
      <c r="A1516" s="2" t="s">
        <v>10</v>
      </c>
      <c r="B1516">
        <v>20</v>
      </c>
      <c r="C1516" s="2" t="s">
        <v>161</v>
      </c>
      <c r="D1516">
        <v>20</v>
      </c>
    </row>
    <row r="1517" spans="1:4" hidden="1" x14ac:dyDescent="0.25">
      <c r="A1517" s="2" t="s">
        <v>10</v>
      </c>
      <c r="B1517">
        <v>20</v>
      </c>
      <c r="C1517" s="2" t="s">
        <v>162</v>
      </c>
      <c r="D1517">
        <v>20</v>
      </c>
    </row>
    <row r="1518" spans="1:4" hidden="1" x14ac:dyDescent="0.25">
      <c r="A1518" s="2" t="s">
        <v>10</v>
      </c>
      <c r="B1518">
        <v>20</v>
      </c>
      <c r="C1518" s="2" t="s">
        <v>163</v>
      </c>
      <c r="D1518">
        <v>20</v>
      </c>
    </row>
    <row r="1519" spans="1:4" hidden="1" x14ac:dyDescent="0.25">
      <c r="A1519" s="2" t="s">
        <v>10</v>
      </c>
      <c r="B1519">
        <v>20</v>
      </c>
      <c r="C1519" s="2" t="s">
        <v>164</v>
      </c>
      <c r="D1519">
        <v>20</v>
      </c>
    </row>
    <row r="1520" spans="1:4" hidden="1" x14ac:dyDescent="0.25">
      <c r="A1520" s="2" t="s">
        <v>10</v>
      </c>
      <c r="B1520">
        <v>20</v>
      </c>
      <c r="C1520" s="2" t="s">
        <v>165</v>
      </c>
      <c r="D1520">
        <v>20</v>
      </c>
    </row>
    <row r="1521" spans="1:4" hidden="1" x14ac:dyDescent="0.25">
      <c r="A1521" s="2" t="s">
        <v>10</v>
      </c>
      <c r="B1521">
        <v>20</v>
      </c>
      <c r="C1521" s="2" t="s">
        <v>166</v>
      </c>
      <c r="D1521">
        <v>20</v>
      </c>
    </row>
    <row r="1522" spans="1:4" hidden="1" x14ac:dyDescent="0.25">
      <c r="A1522" s="2" t="s">
        <v>10</v>
      </c>
      <c r="B1522">
        <v>20</v>
      </c>
      <c r="C1522" s="2" t="s">
        <v>167</v>
      </c>
      <c r="D1522">
        <v>20</v>
      </c>
    </row>
    <row r="1523" spans="1:4" hidden="1" x14ac:dyDescent="0.25">
      <c r="A1523" s="2" t="s">
        <v>10</v>
      </c>
      <c r="B1523">
        <v>20</v>
      </c>
      <c r="C1523" s="2" t="s">
        <v>168</v>
      </c>
      <c r="D1523">
        <v>20</v>
      </c>
    </row>
    <row r="1524" spans="1:4" hidden="1" x14ac:dyDescent="0.25">
      <c r="A1524" s="2" t="s">
        <v>10</v>
      </c>
      <c r="B1524">
        <v>20</v>
      </c>
      <c r="C1524" s="2" t="s">
        <v>169</v>
      </c>
      <c r="D1524">
        <v>20</v>
      </c>
    </row>
    <row r="1525" spans="1:4" hidden="1" x14ac:dyDescent="0.25">
      <c r="A1525" s="2" t="s">
        <v>10</v>
      </c>
      <c r="B1525">
        <v>20</v>
      </c>
      <c r="C1525" s="2" t="s">
        <v>170</v>
      </c>
      <c r="D1525">
        <v>20</v>
      </c>
    </row>
    <row r="1526" spans="1:4" hidden="1" x14ac:dyDescent="0.25">
      <c r="A1526" s="2" t="s">
        <v>10</v>
      </c>
      <c r="B1526">
        <v>20</v>
      </c>
      <c r="C1526" s="2" t="s">
        <v>171</v>
      </c>
      <c r="D1526">
        <v>20</v>
      </c>
    </row>
    <row r="1527" spans="1:4" hidden="1" x14ac:dyDescent="0.25">
      <c r="A1527" s="2" t="s">
        <v>10</v>
      </c>
      <c r="B1527">
        <v>20</v>
      </c>
      <c r="C1527" s="2" t="s">
        <v>172</v>
      </c>
      <c r="D1527">
        <v>20</v>
      </c>
    </row>
    <row r="1528" spans="1:4" hidden="1" x14ac:dyDescent="0.25">
      <c r="A1528" s="2" t="s">
        <v>10</v>
      </c>
      <c r="B1528">
        <v>20</v>
      </c>
      <c r="C1528" s="2" t="s">
        <v>173</v>
      </c>
      <c r="D1528">
        <v>20</v>
      </c>
    </row>
    <row r="1529" spans="1:4" hidden="1" x14ac:dyDescent="0.25">
      <c r="A1529" s="2" t="s">
        <v>10</v>
      </c>
      <c r="B1529">
        <v>20</v>
      </c>
      <c r="C1529" s="2" t="s">
        <v>174</v>
      </c>
      <c r="D1529">
        <v>20</v>
      </c>
    </row>
    <row r="1530" spans="1:4" hidden="1" x14ac:dyDescent="0.25">
      <c r="A1530" s="2" t="s">
        <v>10</v>
      </c>
      <c r="B1530">
        <v>20</v>
      </c>
      <c r="C1530" s="2" t="s">
        <v>175</v>
      </c>
      <c r="D1530">
        <v>20</v>
      </c>
    </row>
    <row r="1531" spans="1:4" hidden="1" x14ac:dyDescent="0.25">
      <c r="A1531" s="2" t="s">
        <v>10</v>
      </c>
      <c r="B1531">
        <v>20</v>
      </c>
      <c r="C1531" s="2" t="s">
        <v>176</v>
      </c>
      <c r="D1531">
        <v>20</v>
      </c>
    </row>
    <row r="1532" spans="1:4" hidden="1" x14ac:dyDescent="0.25">
      <c r="A1532" s="2" t="s">
        <v>10</v>
      </c>
      <c r="B1532">
        <v>20</v>
      </c>
      <c r="C1532" s="2" t="s">
        <v>177</v>
      </c>
      <c r="D1532">
        <v>20</v>
      </c>
    </row>
    <row r="1533" spans="1:4" hidden="1" x14ac:dyDescent="0.25">
      <c r="A1533" s="2" t="s">
        <v>10</v>
      </c>
      <c r="B1533">
        <v>20</v>
      </c>
      <c r="C1533" s="2" t="s">
        <v>178</v>
      </c>
      <c r="D1533">
        <v>20</v>
      </c>
    </row>
    <row r="1534" spans="1:4" hidden="1" x14ac:dyDescent="0.25">
      <c r="A1534" s="2" t="s">
        <v>10</v>
      </c>
      <c r="B1534">
        <v>20</v>
      </c>
      <c r="C1534" s="2" t="s">
        <v>179</v>
      </c>
      <c r="D1534">
        <v>20</v>
      </c>
    </row>
    <row r="1535" spans="1:4" hidden="1" x14ac:dyDescent="0.25">
      <c r="A1535" s="2" t="s">
        <v>12</v>
      </c>
      <c r="B1535">
        <v>22</v>
      </c>
      <c r="C1535" s="2" t="s">
        <v>183</v>
      </c>
      <c r="D1535">
        <v>1</v>
      </c>
    </row>
    <row r="1536" spans="1:4" hidden="1" x14ac:dyDescent="0.25">
      <c r="A1536" s="2" t="s">
        <v>12</v>
      </c>
      <c r="B1536">
        <v>22</v>
      </c>
      <c r="C1536" s="2" t="s">
        <v>184</v>
      </c>
      <c r="D1536">
        <v>1</v>
      </c>
    </row>
    <row r="1537" spans="1:4" hidden="1" x14ac:dyDescent="0.25">
      <c r="A1537" s="2" t="s">
        <v>12</v>
      </c>
      <c r="B1537">
        <v>22</v>
      </c>
      <c r="C1537" s="2" t="s">
        <v>185</v>
      </c>
      <c r="D1537">
        <v>3</v>
      </c>
    </row>
    <row r="1538" spans="1:4" hidden="1" x14ac:dyDescent="0.25">
      <c r="A1538" s="2" t="s">
        <v>12</v>
      </c>
      <c r="B1538">
        <v>22</v>
      </c>
      <c r="C1538" s="2" t="s">
        <v>186</v>
      </c>
      <c r="D1538">
        <v>27</v>
      </c>
    </row>
    <row r="1539" spans="1:4" hidden="1" x14ac:dyDescent="0.25">
      <c r="A1539" s="2" t="s">
        <v>12</v>
      </c>
      <c r="B1539">
        <v>22</v>
      </c>
      <c r="C1539" s="2" t="s">
        <v>187</v>
      </c>
      <c r="D1539">
        <v>27</v>
      </c>
    </row>
    <row r="1540" spans="1:4" hidden="1" x14ac:dyDescent="0.25">
      <c r="A1540" s="2" t="s">
        <v>12</v>
      </c>
      <c r="B1540">
        <v>22</v>
      </c>
      <c r="C1540" s="2" t="s">
        <v>188</v>
      </c>
      <c r="D1540">
        <v>39</v>
      </c>
    </row>
    <row r="1541" spans="1:4" hidden="1" x14ac:dyDescent="0.25">
      <c r="A1541" s="2" t="s">
        <v>12</v>
      </c>
      <c r="B1541">
        <v>22</v>
      </c>
      <c r="C1541" s="2" t="s">
        <v>189</v>
      </c>
      <c r="D1541">
        <v>49</v>
      </c>
    </row>
    <row r="1542" spans="1:4" hidden="1" x14ac:dyDescent="0.25">
      <c r="A1542" s="2" t="s">
        <v>12</v>
      </c>
      <c r="B1542">
        <v>22</v>
      </c>
      <c r="C1542" s="2" t="s">
        <v>190</v>
      </c>
      <c r="D1542">
        <v>49</v>
      </c>
    </row>
    <row r="1543" spans="1:4" hidden="1" x14ac:dyDescent="0.25">
      <c r="A1543" s="2" t="s">
        <v>12</v>
      </c>
      <c r="B1543">
        <v>22</v>
      </c>
      <c r="C1543" s="2" t="s">
        <v>191</v>
      </c>
      <c r="D1543">
        <v>64</v>
      </c>
    </row>
    <row r="1544" spans="1:4" hidden="1" x14ac:dyDescent="0.25">
      <c r="A1544" s="2" t="s">
        <v>12</v>
      </c>
      <c r="B1544">
        <v>22</v>
      </c>
      <c r="C1544" s="2" t="s">
        <v>116</v>
      </c>
      <c r="D1544">
        <v>65</v>
      </c>
    </row>
    <row r="1545" spans="1:4" hidden="1" x14ac:dyDescent="0.25">
      <c r="A1545" s="2" t="s">
        <v>12</v>
      </c>
      <c r="B1545">
        <v>22</v>
      </c>
      <c r="C1545" s="2" t="s">
        <v>117</v>
      </c>
      <c r="D1545">
        <v>61</v>
      </c>
    </row>
    <row r="1546" spans="1:4" hidden="1" x14ac:dyDescent="0.25">
      <c r="A1546" s="2" t="s">
        <v>12</v>
      </c>
      <c r="B1546">
        <v>22</v>
      </c>
      <c r="C1546" s="2" t="s">
        <v>118</v>
      </c>
      <c r="D1546">
        <v>54</v>
      </c>
    </row>
    <row r="1547" spans="1:4" hidden="1" x14ac:dyDescent="0.25">
      <c r="A1547" s="2" t="s">
        <v>12</v>
      </c>
      <c r="B1547">
        <v>22</v>
      </c>
      <c r="C1547" s="2" t="s">
        <v>119</v>
      </c>
      <c r="D1547">
        <v>59</v>
      </c>
    </row>
    <row r="1548" spans="1:4" hidden="1" x14ac:dyDescent="0.25">
      <c r="A1548" s="2" t="s">
        <v>12</v>
      </c>
      <c r="B1548">
        <v>22</v>
      </c>
      <c r="C1548" s="2" t="s">
        <v>120</v>
      </c>
      <c r="D1548">
        <v>59</v>
      </c>
    </row>
    <row r="1549" spans="1:4" hidden="1" x14ac:dyDescent="0.25">
      <c r="A1549" s="2" t="s">
        <v>12</v>
      </c>
      <c r="B1549">
        <v>22</v>
      </c>
      <c r="C1549" s="2" t="s">
        <v>121</v>
      </c>
      <c r="D1549">
        <v>55</v>
      </c>
    </row>
    <row r="1550" spans="1:4" hidden="1" x14ac:dyDescent="0.25">
      <c r="A1550" s="2" t="s">
        <v>12</v>
      </c>
      <c r="B1550">
        <v>22</v>
      </c>
      <c r="C1550" s="2" t="s">
        <v>122</v>
      </c>
      <c r="D1550">
        <v>41</v>
      </c>
    </row>
    <row r="1551" spans="1:4" hidden="1" x14ac:dyDescent="0.25">
      <c r="A1551" s="2" t="s">
        <v>12</v>
      </c>
      <c r="B1551">
        <v>22</v>
      </c>
      <c r="C1551" s="2" t="s">
        <v>123</v>
      </c>
      <c r="D1551">
        <v>50</v>
      </c>
    </row>
    <row r="1552" spans="1:4" hidden="1" x14ac:dyDescent="0.25">
      <c r="A1552" s="2" t="s">
        <v>12</v>
      </c>
      <c r="B1552">
        <v>22</v>
      </c>
      <c r="C1552" s="2" t="s">
        <v>124</v>
      </c>
      <c r="D1552">
        <v>54</v>
      </c>
    </row>
    <row r="1553" spans="1:4" hidden="1" x14ac:dyDescent="0.25">
      <c r="A1553" s="2" t="s">
        <v>12</v>
      </c>
      <c r="B1553">
        <v>22</v>
      </c>
      <c r="C1553" s="2" t="s">
        <v>125</v>
      </c>
      <c r="D1553">
        <v>51</v>
      </c>
    </row>
    <row r="1554" spans="1:4" hidden="1" x14ac:dyDescent="0.25">
      <c r="A1554" s="2" t="s">
        <v>12</v>
      </c>
      <c r="B1554">
        <v>22</v>
      </c>
      <c r="C1554" s="2" t="s">
        <v>126</v>
      </c>
      <c r="D1554">
        <v>50</v>
      </c>
    </row>
    <row r="1555" spans="1:4" hidden="1" x14ac:dyDescent="0.25">
      <c r="A1555" s="2" t="s">
        <v>12</v>
      </c>
      <c r="B1555">
        <v>22</v>
      </c>
      <c r="C1555" s="2" t="s">
        <v>127</v>
      </c>
      <c r="D1555">
        <v>53</v>
      </c>
    </row>
    <row r="1556" spans="1:4" hidden="1" x14ac:dyDescent="0.25">
      <c r="A1556" s="2" t="s">
        <v>12</v>
      </c>
      <c r="B1556">
        <v>22</v>
      </c>
      <c r="C1556" s="2" t="s">
        <v>128</v>
      </c>
      <c r="D1556">
        <v>59</v>
      </c>
    </row>
    <row r="1557" spans="1:4" hidden="1" x14ac:dyDescent="0.25">
      <c r="A1557" s="2" t="s">
        <v>12</v>
      </c>
      <c r="B1557">
        <v>22</v>
      </c>
      <c r="C1557" s="2" t="s">
        <v>129</v>
      </c>
      <c r="D1557">
        <v>60</v>
      </c>
    </row>
    <row r="1558" spans="1:4" hidden="1" x14ac:dyDescent="0.25">
      <c r="A1558" s="2" t="s">
        <v>12</v>
      </c>
      <c r="B1558">
        <v>22</v>
      </c>
      <c r="C1558" s="2" t="s">
        <v>130</v>
      </c>
      <c r="D1558">
        <v>40</v>
      </c>
    </row>
    <row r="1559" spans="1:4" hidden="1" x14ac:dyDescent="0.25">
      <c r="A1559" s="2" t="s">
        <v>12</v>
      </c>
      <c r="B1559">
        <v>22</v>
      </c>
      <c r="C1559" s="2" t="s">
        <v>131</v>
      </c>
      <c r="D1559">
        <v>42</v>
      </c>
    </row>
    <row r="1560" spans="1:4" hidden="1" x14ac:dyDescent="0.25">
      <c r="A1560" s="2" t="s">
        <v>12</v>
      </c>
      <c r="B1560">
        <v>22</v>
      </c>
      <c r="C1560" s="2" t="s">
        <v>132</v>
      </c>
      <c r="D1560">
        <v>41</v>
      </c>
    </row>
    <row r="1561" spans="1:4" hidden="1" x14ac:dyDescent="0.25">
      <c r="A1561" s="2" t="s">
        <v>12</v>
      </c>
      <c r="B1561">
        <v>22</v>
      </c>
      <c r="C1561" s="2" t="s">
        <v>133</v>
      </c>
      <c r="D1561">
        <v>41</v>
      </c>
    </row>
    <row r="1562" spans="1:4" hidden="1" x14ac:dyDescent="0.25">
      <c r="A1562" s="2" t="s">
        <v>12</v>
      </c>
      <c r="B1562">
        <v>22</v>
      </c>
      <c r="C1562" s="2" t="s">
        <v>134</v>
      </c>
      <c r="D1562">
        <v>36</v>
      </c>
    </row>
    <row r="1563" spans="1:4" hidden="1" x14ac:dyDescent="0.25">
      <c r="A1563" s="2" t="s">
        <v>12</v>
      </c>
      <c r="B1563">
        <v>22</v>
      </c>
      <c r="C1563" s="2" t="s">
        <v>135</v>
      </c>
      <c r="D1563">
        <v>22</v>
      </c>
    </row>
    <row r="1564" spans="1:4" hidden="1" x14ac:dyDescent="0.25">
      <c r="A1564" s="2" t="s">
        <v>12</v>
      </c>
      <c r="B1564">
        <v>22</v>
      </c>
      <c r="C1564" s="2" t="s">
        <v>136</v>
      </c>
      <c r="D1564">
        <v>22</v>
      </c>
    </row>
    <row r="1565" spans="1:4" hidden="1" x14ac:dyDescent="0.25">
      <c r="A1565" s="2" t="s">
        <v>12</v>
      </c>
      <c r="B1565">
        <v>22</v>
      </c>
      <c r="C1565" s="2" t="s">
        <v>137</v>
      </c>
      <c r="D1565">
        <v>22</v>
      </c>
    </row>
    <row r="1566" spans="1:4" hidden="1" x14ac:dyDescent="0.25">
      <c r="A1566" s="2" t="s">
        <v>12</v>
      </c>
      <c r="B1566">
        <v>22</v>
      </c>
      <c r="C1566" s="2" t="s">
        <v>138</v>
      </c>
      <c r="D1566">
        <v>22</v>
      </c>
    </row>
    <row r="1567" spans="1:4" hidden="1" x14ac:dyDescent="0.25">
      <c r="A1567" s="2" t="s">
        <v>12</v>
      </c>
      <c r="B1567">
        <v>22</v>
      </c>
      <c r="C1567" s="2" t="s">
        <v>139</v>
      </c>
      <c r="D1567">
        <v>22</v>
      </c>
    </row>
    <row r="1568" spans="1:4" hidden="1" x14ac:dyDescent="0.25">
      <c r="A1568" s="2" t="s">
        <v>12</v>
      </c>
      <c r="B1568">
        <v>22</v>
      </c>
      <c r="C1568" s="2" t="s">
        <v>140</v>
      </c>
      <c r="D1568">
        <v>22</v>
      </c>
    </row>
    <row r="1569" spans="1:4" hidden="1" x14ac:dyDescent="0.25">
      <c r="A1569" s="2" t="s">
        <v>12</v>
      </c>
      <c r="B1569">
        <v>22</v>
      </c>
      <c r="C1569" s="2" t="s">
        <v>141</v>
      </c>
      <c r="D1569">
        <v>22</v>
      </c>
    </row>
    <row r="1570" spans="1:4" hidden="1" x14ac:dyDescent="0.25">
      <c r="A1570" s="2" t="s">
        <v>12</v>
      </c>
      <c r="B1570">
        <v>22</v>
      </c>
      <c r="C1570" s="2" t="s">
        <v>142</v>
      </c>
      <c r="D1570">
        <v>22</v>
      </c>
    </row>
    <row r="1571" spans="1:4" hidden="1" x14ac:dyDescent="0.25">
      <c r="A1571" s="2" t="s">
        <v>12</v>
      </c>
      <c r="B1571">
        <v>22</v>
      </c>
      <c r="C1571" s="2" t="s">
        <v>143</v>
      </c>
      <c r="D1571">
        <v>22</v>
      </c>
    </row>
    <row r="1572" spans="1:4" hidden="1" x14ac:dyDescent="0.25">
      <c r="A1572" s="2" t="s">
        <v>12</v>
      </c>
      <c r="B1572">
        <v>22</v>
      </c>
      <c r="C1572" s="2" t="s">
        <v>144</v>
      </c>
      <c r="D1572">
        <v>22</v>
      </c>
    </row>
    <row r="1573" spans="1:4" hidden="1" x14ac:dyDescent="0.25">
      <c r="A1573" s="2" t="s">
        <v>12</v>
      </c>
      <c r="B1573">
        <v>22</v>
      </c>
      <c r="C1573" s="2" t="s">
        <v>145</v>
      </c>
      <c r="D1573">
        <v>22</v>
      </c>
    </row>
    <row r="1574" spans="1:4" hidden="1" x14ac:dyDescent="0.25">
      <c r="A1574" s="2" t="s">
        <v>12</v>
      </c>
      <c r="B1574">
        <v>22</v>
      </c>
      <c r="C1574" s="2" t="s">
        <v>146</v>
      </c>
      <c r="D1574">
        <v>22</v>
      </c>
    </row>
    <row r="1575" spans="1:4" hidden="1" x14ac:dyDescent="0.25">
      <c r="A1575" s="2" t="s">
        <v>12</v>
      </c>
      <c r="B1575">
        <v>22</v>
      </c>
      <c r="C1575" s="2" t="s">
        <v>147</v>
      </c>
      <c r="D1575">
        <v>22</v>
      </c>
    </row>
    <row r="1576" spans="1:4" hidden="1" x14ac:dyDescent="0.25">
      <c r="A1576" s="2" t="s">
        <v>12</v>
      </c>
      <c r="B1576">
        <v>22</v>
      </c>
      <c r="C1576" s="2" t="s">
        <v>148</v>
      </c>
      <c r="D1576">
        <v>22</v>
      </c>
    </row>
    <row r="1577" spans="1:4" hidden="1" x14ac:dyDescent="0.25">
      <c r="A1577" s="2" t="s">
        <v>12</v>
      </c>
      <c r="B1577">
        <v>22</v>
      </c>
      <c r="C1577" s="2" t="s">
        <v>149</v>
      </c>
      <c r="D1577">
        <v>22</v>
      </c>
    </row>
    <row r="1578" spans="1:4" hidden="1" x14ac:dyDescent="0.25">
      <c r="A1578" s="2" t="s">
        <v>12</v>
      </c>
      <c r="B1578">
        <v>22</v>
      </c>
      <c r="C1578" s="2" t="s">
        <v>150</v>
      </c>
      <c r="D1578">
        <v>22</v>
      </c>
    </row>
    <row r="1579" spans="1:4" hidden="1" x14ac:dyDescent="0.25">
      <c r="A1579" s="2" t="s">
        <v>12</v>
      </c>
      <c r="B1579">
        <v>22</v>
      </c>
      <c r="C1579" s="2" t="s">
        <v>151</v>
      </c>
      <c r="D1579">
        <v>22</v>
      </c>
    </row>
    <row r="1580" spans="1:4" hidden="1" x14ac:dyDescent="0.25">
      <c r="A1580" s="2" t="s">
        <v>12</v>
      </c>
      <c r="B1580">
        <v>22</v>
      </c>
      <c r="C1580" s="2" t="s">
        <v>152</v>
      </c>
      <c r="D1580">
        <v>22</v>
      </c>
    </row>
    <row r="1581" spans="1:4" hidden="1" x14ac:dyDescent="0.25">
      <c r="A1581" s="2" t="s">
        <v>12</v>
      </c>
      <c r="B1581">
        <v>22</v>
      </c>
      <c r="C1581" s="2" t="s">
        <v>153</v>
      </c>
      <c r="D1581">
        <v>22</v>
      </c>
    </row>
    <row r="1582" spans="1:4" hidden="1" x14ac:dyDescent="0.25">
      <c r="A1582" s="2" t="s">
        <v>12</v>
      </c>
      <c r="B1582">
        <v>22</v>
      </c>
      <c r="C1582" s="2" t="s">
        <v>154</v>
      </c>
      <c r="D1582">
        <v>22</v>
      </c>
    </row>
    <row r="1583" spans="1:4" hidden="1" x14ac:dyDescent="0.25">
      <c r="A1583" s="2" t="s">
        <v>12</v>
      </c>
      <c r="B1583">
        <v>22</v>
      </c>
      <c r="C1583" s="2" t="s">
        <v>155</v>
      </c>
      <c r="D1583">
        <v>22</v>
      </c>
    </row>
    <row r="1584" spans="1:4" hidden="1" x14ac:dyDescent="0.25">
      <c r="A1584" s="2" t="s">
        <v>12</v>
      </c>
      <c r="B1584">
        <v>22</v>
      </c>
      <c r="C1584" s="2" t="s">
        <v>156</v>
      </c>
      <c r="D1584">
        <v>22</v>
      </c>
    </row>
    <row r="1585" spans="1:4" hidden="1" x14ac:dyDescent="0.25">
      <c r="A1585" s="2" t="s">
        <v>12</v>
      </c>
      <c r="B1585">
        <v>22</v>
      </c>
      <c r="C1585" s="2" t="s">
        <v>157</v>
      </c>
      <c r="D1585">
        <v>22</v>
      </c>
    </row>
    <row r="1586" spans="1:4" hidden="1" x14ac:dyDescent="0.25">
      <c r="A1586" s="2" t="s">
        <v>12</v>
      </c>
      <c r="B1586">
        <v>22</v>
      </c>
      <c r="C1586" s="2" t="s">
        <v>158</v>
      </c>
      <c r="D1586">
        <v>22</v>
      </c>
    </row>
    <row r="1587" spans="1:4" hidden="1" x14ac:dyDescent="0.25">
      <c r="A1587" s="2" t="s">
        <v>12</v>
      </c>
      <c r="B1587">
        <v>22</v>
      </c>
      <c r="C1587" s="2" t="s">
        <v>159</v>
      </c>
      <c r="D1587">
        <v>22</v>
      </c>
    </row>
    <row r="1588" spans="1:4" hidden="1" x14ac:dyDescent="0.25">
      <c r="A1588" s="2" t="s">
        <v>12</v>
      </c>
      <c r="B1588">
        <v>22</v>
      </c>
      <c r="C1588" s="2" t="s">
        <v>160</v>
      </c>
      <c r="D1588">
        <v>22</v>
      </c>
    </row>
    <row r="1589" spans="1:4" hidden="1" x14ac:dyDescent="0.25">
      <c r="A1589" s="2" t="s">
        <v>12</v>
      </c>
      <c r="B1589">
        <v>22</v>
      </c>
      <c r="C1589" s="2" t="s">
        <v>161</v>
      </c>
      <c r="D1589">
        <v>22</v>
      </c>
    </row>
    <row r="1590" spans="1:4" hidden="1" x14ac:dyDescent="0.25">
      <c r="A1590" s="2" t="s">
        <v>12</v>
      </c>
      <c r="B1590">
        <v>22</v>
      </c>
      <c r="C1590" s="2" t="s">
        <v>162</v>
      </c>
      <c r="D1590">
        <v>22</v>
      </c>
    </row>
    <row r="1591" spans="1:4" hidden="1" x14ac:dyDescent="0.25">
      <c r="A1591" s="2" t="s">
        <v>12</v>
      </c>
      <c r="B1591">
        <v>22</v>
      </c>
      <c r="C1591" s="2" t="s">
        <v>163</v>
      </c>
      <c r="D1591">
        <v>22</v>
      </c>
    </row>
    <row r="1592" spans="1:4" hidden="1" x14ac:dyDescent="0.25">
      <c r="A1592" s="2" t="s">
        <v>12</v>
      </c>
      <c r="B1592">
        <v>22</v>
      </c>
      <c r="C1592" s="2" t="s">
        <v>164</v>
      </c>
      <c r="D1592">
        <v>22</v>
      </c>
    </row>
    <row r="1593" spans="1:4" hidden="1" x14ac:dyDescent="0.25">
      <c r="A1593" s="2" t="s">
        <v>12</v>
      </c>
      <c r="B1593">
        <v>22</v>
      </c>
      <c r="C1593" s="2" t="s">
        <v>165</v>
      </c>
      <c r="D1593">
        <v>22</v>
      </c>
    </row>
    <row r="1594" spans="1:4" hidden="1" x14ac:dyDescent="0.25">
      <c r="A1594" s="2" t="s">
        <v>12</v>
      </c>
      <c r="B1594">
        <v>22</v>
      </c>
      <c r="C1594" s="2" t="s">
        <v>166</v>
      </c>
      <c r="D1594">
        <v>22</v>
      </c>
    </row>
    <row r="1595" spans="1:4" hidden="1" x14ac:dyDescent="0.25">
      <c r="A1595" s="2" t="s">
        <v>12</v>
      </c>
      <c r="B1595">
        <v>22</v>
      </c>
      <c r="C1595" s="2" t="s">
        <v>167</v>
      </c>
      <c r="D1595">
        <v>22</v>
      </c>
    </row>
    <row r="1596" spans="1:4" hidden="1" x14ac:dyDescent="0.25">
      <c r="A1596" s="2" t="s">
        <v>12</v>
      </c>
      <c r="B1596">
        <v>22</v>
      </c>
      <c r="C1596" s="2" t="s">
        <v>168</v>
      </c>
      <c r="D1596">
        <v>22</v>
      </c>
    </row>
    <row r="1597" spans="1:4" hidden="1" x14ac:dyDescent="0.25">
      <c r="A1597" s="2" t="s">
        <v>12</v>
      </c>
      <c r="B1597">
        <v>22</v>
      </c>
      <c r="C1597" s="2" t="s">
        <v>169</v>
      </c>
      <c r="D1597">
        <v>22</v>
      </c>
    </row>
    <row r="1598" spans="1:4" hidden="1" x14ac:dyDescent="0.25">
      <c r="A1598" s="2" t="s">
        <v>12</v>
      </c>
      <c r="B1598">
        <v>22</v>
      </c>
      <c r="C1598" s="2" t="s">
        <v>170</v>
      </c>
      <c r="D1598">
        <v>22</v>
      </c>
    </row>
    <row r="1599" spans="1:4" hidden="1" x14ac:dyDescent="0.25">
      <c r="A1599" s="2" t="s">
        <v>12</v>
      </c>
      <c r="B1599">
        <v>22</v>
      </c>
      <c r="C1599" s="2" t="s">
        <v>171</v>
      </c>
      <c r="D1599">
        <v>22</v>
      </c>
    </row>
    <row r="1600" spans="1:4" hidden="1" x14ac:dyDescent="0.25">
      <c r="A1600" s="2" t="s">
        <v>12</v>
      </c>
      <c r="B1600">
        <v>22</v>
      </c>
      <c r="C1600" s="2" t="s">
        <v>172</v>
      </c>
      <c r="D1600">
        <v>22</v>
      </c>
    </row>
    <row r="1601" spans="1:4" hidden="1" x14ac:dyDescent="0.25">
      <c r="A1601" s="2" t="s">
        <v>12</v>
      </c>
      <c r="B1601">
        <v>22</v>
      </c>
      <c r="C1601" s="2" t="s">
        <v>173</v>
      </c>
      <c r="D1601">
        <v>22</v>
      </c>
    </row>
    <row r="1602" spans="1:4" hidden="1" x14ac:dyDescent="0.25">
      <c r="A1602" s="2" t="s">
        <v>12</v>
      </c>
      <c r="B1602">
        <v>22</v>
      </c>
      <c r="C1602" s="2" t="s">
        <v>174</v>
      </c>
      <c r="D1602">
        <v>22</v>
      </c>
    </row>
    <row r="1603" spans="1:4" hidden="1" x14ac:dyDescent="0.25">
      <c r="A1603" s="2" t="s">
        <v>12</v>
      </c>
      <c r="B1603">
        <v>22</v>
      </c>
      <c r="C1603" s="2" t="s">
        <v>175</v>
      </c>
      <c r="D1603">
        <v>22</v>
      </c>
    </row>
    <row r="1604" spans="1:4" hidden="1" x14ac:dyDescent="0.25">
      <c r="A1604" s="2" t="s">
        <v>12</v>
      </c>
      <c r="B1604">
        <v>22</v>
      </c>
      <c r="C1604" s="2" t="s">
        <v>176</v>
      </c>
      <c r="D1604">
        <v>22</v>
      </c>
    </row>
    <row r="1605" spans="1:4" hidden="1" x14ac:dyDescent="0.25">
      <c r="A1605" s="2" t="s">
        <v>12</v>
      </c>
      <c r="B1605">
        <v>22</v>
      </c>
      <c r="C1605" s="2" t="s">
        <v>177</v>
      </c>
      <c r="D1605">
        <v>22</v>
      </c>
    </row>
    <row r="1606" spans="1:4" hidden="1" x14ac:dyDescent="0.25">
      <c r="A1606" s="2" t="s">
        <v>12</v>
      </c>
      <c r="B1606">
        <v>22</v>
      </c>
      <c r="C1606" s="2" t="s">
        <v>178</v>
      </c>
      <c r="D1606">
        <v>22</v>
      </c>
    </row>
    <row r="1607" spans="1:4" hidden="1" x14ac:dyDescent="0.25">
      <c r="A1607" s="2" t="s">
        <v>12</v>
      </c>
      <c r="B1607">
        <v>22</v>
      </c>
      <c r="C1607" s="2" t="s">
        <v>179</v>
      </c>
      <c r="D1607">
        <v>22</v>
      </c>
    </row>
    <row r="1608" spans="1:4" hidden="1" x14ac:dyDescent="0.25">
      <c r="A1608" s="2" t="s">
        <v>30</v>
      </c>
      <c r="B1608">
        <v>22</v>
      </c>
      <c r="C1608" s="2" t="s">
        <v>183</v>
      </c>
      <c r="D1608">
        <v>13</v>
      </c>
    </row>
    <row r="1609" spans="1:4" hidden="1" x14ac:dyDescent="0.25">
      <c r="A1609" s="2" t="s">
        <v>30</v>
      </c>
      <c r="B1609">
        <v>22</v>
      </c>
      <c r="C1609" s="2" t="s">
        <v>184</v>
      </c>
      <c r="D1609">
        <v>14</v>
      </c>
    </row>
    <row r="1610" spans="1:4" hidden="1" x14ac:dyDescent="0.25">
      <c r="A1610" s="2" t="s">
        <v>30</v>
      </c>
      <c r="B1610">
        <v>22</v>
      </c>
      <c r="C1610" s="2" t="s">
        <v>185</v>
      </c>
      <c r="D1610">
        <v>3</v>
      </c>
    </row>
    <row r="1611" spans="1:4" hidden="1" x14ac:dyDescent="0.25">
      <c r="A1611" s="2" t="s">
        <v>30</v>
      </c>
      <c r="B1611">
        <v>22</v>
      </c>
      <c r="C1611" s="2" t="s">
        <v>186</v>
      </c>
      <c r="D1611">
        <v>38</v>
      </c>
    </row>
    <row r="1612" spans="1:4" hidden="1" x14ac:dyDescent="0.25">
      <c r="A1612" s="2" t="s">
        <v>30</v>
      </c>
      <c r="B1612">
        <v>22</v>
      </c>
      <c r="C1612" s="2" t="s">
        <v>187</v>
      </c>
      <c r="D1612">
        <v>39</v>
      </c>
    </row>
    <row r="1613" spans="1:4" hidden="1" x14ac:dyDescent="0.25">
      <c r="A1613" s="2" t="s">
        <v>30</v>
      </c>
      <c r="B1613">
        <v>22</v>
      </c>
      <c r="C1613" s="2" t="s">
        <v>188</v>
      </c>
      <c r="D1613">
        <v>23</v>
      </c>
    </row>
    <row r="1614" spans="1:4" hidden="1" x14ac:dyDescent="0.25">
      <c r="A1614" s="2" t="s">
        <v>30</v>
      </c>
      <c r="B1614">
        <v>22</v>
      </c>
      <c r="C1614" s="2" t="s">
        <v>189</v>
      </c>
      <c r="D1614">
        <v>27</v>
      </c>
    </row>
    <row r="1615" spans="1:4" hidden="1" x14ac:dyDescent="0.25">
      <c r="A1615" s="2" t="s">
        <v>30</v>
      </c>
      <c r="B1615">
        <v>22</v>
      </c>
      <c r="C1615" s="2" t="s">
        <v>190</v>
      </c>
      <c r="D1615">
        <v>27</v>
      </c>
    </row>
    <row r="1616" spans="1:4" hidden="1" x14ac:dyDescent="0.25">
      <c r="A1616" s="2" t="s">
        <v>30</v>
      </c>
      <c r="B1616">
        <v>22</v>
      </c>
      <c r="C1616" s="2" t="s">
        <v>191</v>
      </c>
      <c r="D1616">
        <v>27</v>
      </c>
    </row>
    <row r="1617" spans="1:4" hidden="1" x14ac:dyDescent="0.25">
      <c r="A1617" s="2" t="s">
        <v>30</v>
      </c>
      <c r="B1617">
        <v>22</v>
      </c>
      <c r="C1617" s="2" t="s">
        <v>116</v>
      </c>
      <c r="D1617">
        <v>25</v>
      </c>
    </row>
    <row r="1618" spans="1:4" hidden="1" x14ac:dyDescent="0.25">
      <c r="A1618" s="2" t="s">
        <v>30</v>
      </c>
      <c r="B1618">
        <v>22</v>
      </c>
      <c r="C1618" s="2" t="s">
        <v>117</v>
      </c>
      <c r="D1618">
        <v>23</v>
      </c>
    </row>
    <row r="1619" spans="1:4" hidden="1" x14ac:dyDescent="0.25">
      <c r="A1619" s="2" t="s">
        <v>30</v>
      </c>
      <c r="B1619">
        <v>22</v>
      </c>
      <c r="C1619" s="2" t="s">
        <v>118</v>
      </c>
      <c r="D1619">
        <v>22</v>
      </c>
    </row>
    <row r="1620" spans="1:4" hidden="1" x14ac:dyDescent="0.25">
      <c r="A1620" s="2" t="s">
        <v>30</v>
      </c>
      <c r="B1620">
        <v>22</v>
      </c>
      <c r="C1620" s="2" t="s">
        <v>119</v>
      </c>
      <c r="D1620">
        <v>16</v>
      </c>
    </row>
    <row r="1621" spans="1:4" hidden="1" x14ac:dyDescent="0.25">
      <c r="A1621" s="2" t="s">
        <v>30</v>
      </c>
      <c r="B1621">
        <v>22</v>
      </c>
      <c r="C1621" s="2" t="s">
        <v>120</v>
      </c>
      <c r="D1621">
        <v>15</v>
      </c>
    </row>
    <row r="1622" spans="1:4" hidden="1" x14ac:dyDescent="0.25">
      <c r="A1622" s="2" t="s">
        <v>30</v>
      </c>
      <c r="B1622">
        <v>22</v>
      </c>
      <c r="C1622" s="2" t="s">
        <v>121</v>
      </c>
      <c r="D1622">
        <v>16</v>
      </c>
    </row>
    <row r="1623" spans="1:4" hidden="1" x14ac:dyDescent="0.25">
      <c r="A1623" s="2" t="s">
        <v>30</v>
      </c>
      <c r="B1623">
        <v>22</v>
      </c>
      <c r="C1623" s="2" t="s">
        <v>122</v>
      </c>
      <c r="D1623">
        <v>19</v>
      </c>
    </row>
    <row r="1624" spans="1:4" hidden="1" x14ac:dyDescent="0.25">
      <c r="A1624" s="2" t="s">
        <v>30</v>
      </c>
      <c r="B1624">
        <v>22</v>
      </c>
      <c r="C1624" s="2" t="s">
        <v>123</v>
      </c>
      <c r="D1624">
        <v>23</v>
      </c>
    </row>
    <row r="1625" spans="1:4" hidden="1" x14ac:dyDescent="0.25">
      <c r="A1625" s="2" t="s">
        <v>30</v>
      </c>
      <c r="B1625">
        <v>22</v>
      </c>
      <c r="C1625" s="2" t="s">
        <v>124</v>
      </c>
      <c r="D1625">
        <v>29</v>
      </c>
    </row>
    <row r="1626" spans="1:4" hidden="1" x14ac:dyDescent="0.25">
      <c r="A1626" s="2" t="s">
        <v>30</v>
      </c>
      <c r="B1626">
        <v>22</v>
      </c>
      <c r="C1626" s="2" t="s">
        <v>125</v>
      </c>
      <c r="D1626">
        <v>31</v>
      </c>
    </row>
    <row r="1627" spans="1:4" hidden="1" x14ac:dyDescent="0.25">
      <c r="A1627" s="2" t="s">
        <v>30</v>
      </c>
      <c r="B1627">
        <v>22</v>
      </c>
      <c r="C1627" s="2" t="s">
        <v>126</v>
      </c>
      <c r="D1627">
        <v>31</v>
      </c>
    </row>
    <row r="1628" spans="1:4" hidden="1" x14ac:dyDescent="0.25">
      <c r="A1628" s="2" t="s">
        <v>30</v>
      </c>
      <c r="B1628">
        <v>22</v>
      </c>
      <c r="C1628" s="2" t="s">
        <v>127</v>
      </c>
      <c r="D1628">
        <v>32</v>
      </c>
    </row>
    <row r="1629" spans="1:4" hidden="1" x14ac:dyDescent="0.25">
      <c r="A1629" s="2" t="s">
        <v>30</v>
      </c>
      <c r="B1629">
        <v>22</v>
      </c>
      <c r="C1629" s="2" t="s">
        <v>128</v>
      </c>
      <c r="D1629">
        <v>16</v>
      </c>
    </row>
    <row r="1630" spans="1:4" hidden="1" x14ac:dyDescent="0.25">
      <c r="A1630" s="2" t="s">
        <v>30</v>
      </c>
      <c r="B1630">
        <v>22</v>
      </c>
      <c r="C1630" s="2" t="s">
        <v>129</v>
      </c>
      <c r="D1630">
        <v>17</v>
      </c>
    </row>
    <row r="1631" spans="1:4" hidden="1" x14ac:dyDescent="0.25">
      <c r="A1631" s="2" t="s">
        <v>30</v>
      </c>
      <c r="B1631">
        <v>22</v>
      </c>
      <c r="C1631" s="2" t="s">
        <v>130</v>
      </c>
      <c r="D1631">
        <v>17</v>
      </c>
    </row>
    <row r="1632" spans="1:4" hidden="1" x14ac:dyDescent="0.25">
      <c r="A1632" s="2" t="s">
        <v>30</v>
      </c>
      <c r="B1632">
        <v>22</v>
      </c>
      <c r="C1632" s="2" t="s">
        <v>131</v>
      </c>
      <c r="D1632">
        <v>11</v>
      </c>
    </row>
    <row r="1633" spans="1:4" hidden="1" x14ac:dyDescent="0.25">
      <c r="A1633" s="2" t="s">
        <v>30</v>
      </c>
      <c r="B1633">
        <v>22</v>
      </c>
      <c r="C1633" s="2" t="s">
        <v>132</v>
      </c>
      <c r="D1633">
        <v>16</v>
      </c>
    </row>
    <row r="1634" spans="1:4" hidden="1" x14ac:dyDescent="0.25">
      <c r="A1634" s="2" t="s">
        <v>30</v>
      </c>
      <c r="B1634">
        <v>22</v>
      </c>
      <c r="C1634" s="2" t="s">
        <v>133</v>
      </c>
      <c r="D1634">
        <v>16</v>
      </c>
    </row>
    <row r="1635" spans="1:4" hidden="1" x14ac:dyDescent="0.25">
      <c r="A1635" s="2" t="s">
        <v>30</v>
      </c>
      <c r="B1635">
        <v>22</v>
      </c>
      <c r="C1635" s="2" t="s">
        <v>134</v>
      </c>
      <c r="D1635">
        <v>22</v>
      </c>
    </row>
    <row r="1636" spans="1:4" hidden="1" x14ac:dyDescent="0.25">
      <c r="A1636" s="2" t="s">
        <v>30</v>
      </c>
      <c r="B1636">
        <v>22</v>
      </c>
      <c r="C1636" s="2" t="s">
        <v>135</v>
      </c>
      <c r="D1636">
        <v>22</v>
      </c>
    </row>
    <row r="1637" spans="1:4" hidden="1" x14ac:dyDescent="0.25">
      <c r="A1637" s="2" t="s">
        <v>30</v>
      </c>
      <c r="B1637">
        <v>22</v>
      </c>
      <c r="C1637" s="2" t="s">
        <v>136</v>
      </c>
      <c r="D1637">
        <v>22</v>
      </c>
    </row>
    <row r="1638" spans="1:4" hidden="1" x14ac:dyDescent="0.25">
      <c r="A1638" s="2" t="s">
        <v>30</v>
      </c>
      <c r="B1638">
        <v>22</v>
      </c>
      <c r="C1638" s="2" t="s">
        <v>137</v>
      </c>
      <c r="D1638">
        <v>22</v>
      </c>
    </row>
    <row r="1639" spans="1:4" hidden="1" x14ac:dyDescent="0.25">
      <c r="A1639" s="2" t="s">
        <v>30</v>
      </c>
      <c r="B1639">
        <v>22</v>
      </c>
      <c r="C1639" s="2" t="s">
        <v>138</v>
      </c>
      <c r="D1639">
        <v>22</v>
      </c>
    </row>
    <row r="1640" spans="1:4" hidden="1" x14ac:dyDescent="0.25">
      <c r="A1640" s="2" t="s">
        <v>30</v>
      </c>
      <c r="B1640">
        <v>22</v>
      </c>
      <c r="C1640" s="2" t="s">
        <v>139</v>
      </c>
      <c r="D1640">
        <v>22</v>
      </c>
    </row>
    <row r="1641" spans="1:4" hidden="1" x14ac:dyDescent="0.25">
      <c r="A1641" s="2" t="s">
        <v>30</v>
      </c>
      <c r="B1641">
        <v>22</v>
      </c>
      <c r="C1641" s="2" t="s">
        <v>140</v>
      </c>
      <c r="D1641">
        <v>22</v>
      </c>
    </row>
    <row r="1642" spans="1:4" hidden="1" x14ac:dyDescent="0.25">
      <c r="A1642" s="2" t="s">
        <v>30</v>
      </c>
      <c r="B1642">
        <v>22</v>
      </c>
      <c r="C1642" s="2" t="s">
        <v>141</v>
      </c>
      <c r="D1642">
        <v>22</v>
      </c>
    </row>
    <row r="1643" spans="1:4" hidden="1" x14ac:dyDescent="0.25">
      <c r="A1643" s="2" t="s">
        <v>30</v>
      </c>
      <c r="B1643">
        <v>22</v>
      </c>
      <c r="C1643" s="2" t="s">
        <v>142</v>
      </c>
      <c r="D1643">
        <v>22</v>
      </c>
    </row>
    <row r="1644" spans="1:4" hidden="1" x14ac:dyDescent="0.25">
      <c r="A1644" s="2" t="s">
        <v>30</v>
      </c>
      <c r="B1644">
        <v>22</v>
      </c>
      <c r="C1644" s="2" t="s">
        <v>143</v>
      </c>
      <c r="D1644">
        <v>22</v>
      </c>
    </row>
    <row r="1645" spans="1:4" hidden="1" x14ac:dyDescent="0.25">
      <c r="A1645" s="2" t="s">
        <v>30</v>
      </c>
      <c r="B1645">
        <v>22</v>
      </c>
      <c r="C1645" s="2" t="s">
        <v>144</v>
      </c>
      <c r="D1645">
        <v>22</v>
      </c>
    </row>
    <row r="1646" spans="1:4" hidden="1" x14ac:dyDescent="0.25">
      <c r="A1646" s="2" t="s">
        <v>30</v>
      </c>
      <c r="B1646">
        <v>22</v>
      </c>
      <c r="C1646" s="2" t="s">
        <v>145</v>
      </c>
      <c r="D1646">
        <v>22</v>
      </c>
    </row>
    <row r="1647" spans="1:4" hidden="1" x14ac:dyDescent="0.25">
      <c r="A1647" s="2" t="s">
        <v>30</v>
      </c>
      <c r="B1647">
        <v>22</v>
      </c>
      <c r="C1647" s="2" t="s">
        <v>146</v>
      </c>
      <c r="D1647">
        <v>22</v>
      </c>
    </row>
    <row r="1648" spans="1:4" hidden="1" x14ac:dyDescent="0.25">
      <c r="A1648" s="2" t="s">
        <v>30</v>
      </c>
      <c r="B1648">
        <v>22</v>
      </c>
      <c r="C1648" s="2" t="s">
        <v>147</v>
      </c>
      <c r="D1648">
        <v>22</v>
      </c>
    </row>
    <row r="1649" spans="1:4" hidden="1" x14ac:dyDescent="0.25">
      <c r="A1649" s="2" t="s">
        <v>30</v>
      </c>
      <c r="B1649">
        <v>22</v>
      </c>
      <c r="C1649" s="2" t="s">
        <v>148</v>
      </c>
      <c r="D1649">
        <v>22</v>
      </c>
    </row>
    <row r="1650" spans="1:4" hidden="1" x14ac:dyDescent="0.25">
      <c r="A1650" s="2" t="s">
        <v>30</v>
      </c>
      <c r="B1650">
        <v>22</v>
      </c>
      <c r="C1650" s="2" t="s">
        <v>149</v>
      </c>
      <c r="D1650">
        <v>22</v>
      </c>
    </row>
    <row r="1651" spans="1:4" hidden="1" x14ac:dyDescent="0.25">
      <c r="A1651" s="2" t="s">
        <v>30</v>
      </c>
      <c r="B1651">
        <v>22</v>
      </c>
      <c r="C1651" s="2" t="s">
        <v>150</v>
      </c>
      <c r="D1651">
        <v>22</v>
      </c>
    </row>
    <row r="1652" spans="1:4" hidden="1" x14ac:dyDescent="0.25">
      <c r="A1652" s="2" t="s">
        <v>30</v>
      </c>
      <c r="B1652">
        <v>22</v>
      </c>
      <c r="C1652" s="2" t="s">
        <v>151</v>
      </c>
      <c r="D1652">
        <v>22</v>
      </c>
    </row>
    <row r="1653" spans="1:4" hidden="1" x14ac:dyDescent="0.25">
      <c r="A1653" s="2" t="s">
        <v>30</v>
      </c>
      <c r="B1653">
        <v>22</v>
      </c>
      <c r="C1653" s="2" t="s">
        <v>152</v>
      </c>
      <c r="D1653">
        <v>22</v>
      </c>
    </row>
    <row r="1654" spans="1:4" hidden="1" x14ac:dyDescent="0.25">
      <c r="A1654" s="2" t="s">
        <v>30</v>
      </c>
      <c r="B1654">
        <v>22</v>
      </c>
      <c r="C1654" s="2" t="s">
        <v>153</v>
      </c>
      <c r="D1654">
        <v>22</v>
      </c>
    </row>
    <row r="1655" spans="1:4" hidden="1" x14ac:dyDescent="0.25">
      <c r="A1655" s="2" t="s">
        <v>30</v>
      </c>
      <c r="B1655">
        <v>22</v>
      </c>
      <c r="C1655" s="2" t="s">
        <v>154</v>
      </c>
      <c r="D1655">
        <v>22</v>
      </c>
    </row>
    <row r="1656" spans="1:4" hidden="1" x14ac:dyDescent="0.25">
      <c r="A1656" s="2" t="s">
        <v>30</v>
      </c>
      <c r="B1656">
        <v>22</v>
      </c>
      <c r="C1656" s="2" t="s">
        <v>155</v>
      </c>
      <c r="D1656">
        <v>22</v>
      </c>
    </row>
    <row r="1657" spans="1:4" hidden="1" x14ac:dyDescent="0.25">
      <c r="A1657" s="2" t="s">
        <v>30</v>
      </c>
      <c r="B1657">
        <v>22</v>
      </c>
      <c r="C1657" s="2" t="s">
        <v>156</v>
      </c>
      <c r="D1657">
        <v>22</v>
      </c>
    </row>
    <row r="1658" spans="1:4" hidden="1" x14ac:dyDescent="0.25">
      <c r="A1658" s="2" t="s">
        <v>30</v>
      </c>
      <c r="B1658">
        <v>22</v>
      </c>
      <c r="C1658" s="2" t="s">
        <v>157</v>
      </c>
      <c r="D1658">
        <v>22</v>
      </c>
    </row>
    <row r="1659" spans="1:4" hidden="1" x14ac:dyDescent="0.25">
      <c r="A1659" s="2" t="s">
        <v>30</v>
      </c>
      <c r="B1659">
        <v>22</v>
      </c>
      <c r="C1659" s="2" t="s">
        <v>158</v>
      </c>
      <c r="D1659">
        <v>22</v>
      </c>
    </row>
    <row r="1660" spans="1:4" hidden="1" x14ac:dyDescent="0.25">
      <c r="A1660" s="2" t="s">
        <v>30</v>
      </c>
      <c r="B1660">
        <v>22</v>
      </c>
      <c r="C1660" s="2" t="s">
        <v>159</v>
      </c>
      <c r="D1660">
        <v>22</v>
      </c>
    </row>
    <row r="1661" spans="1:4" hidden="1" x14ac:dyDescent="0.25">
      <c r="A1661" s="2" t="s">
        <v>30</v>
      </c>
      <c r="B1661">
        <v>22</v>
      </c>
      <c r="C1661" s="2" t="s">
        <v>160</v>
      </c>
      <c r="D1661">
        <v>22</v>
      </c>
    </row>
    <row r="1662" spans="1:4" hidden="1" x14ac:dyDescent="0.25">
      <c r="A1662" s="2" t="s">
        <v>30</v>
      </c>
      <c r="B1662">
        <v>22</v>
      </c>
      <c r="C1662" s="2" t="s">
        <v>161</v>
      </c>
      <c r="D1662">
        <v>22</v>
      </c>
    </row>
    <row r="1663" spans="1:4" hidden="1" x14ac:dyDescent="0.25">
      <c r="A1663" s="2" t="s">
        <v>30</v>
      </c>
      <c r="B1663">
        <v>22</v>
      </c>
      <c r="C1663" s="2" t="s">
        <v>162</v>
      </c>
      <c r="D1663">
        <v>22</v>
      </c>
    </row>
    <row r="1664" spans="1:4" hidden="1" x14ac:dyDescent="0.25">
      <c r="A1664" s="2" t="s">
        <v>30</v>
      </c>
      <c r="B1664">
        <v>22</v>
      </c>
      <c r="C1664" s="2" t="s">
        <v>163</v>
      </c>
      <c r="D1664">
        <v>22</v>
      </c>
    </row>
    <row r="1665" spans="1:4" hidden="1" x14ac:dyDescent="0.25">
      <c r="A1665" s="2" t="s">
        <v>30</v>
      </c>
      <c r="B1665">
        <v>22</v>
      </c>
      <c r="C1665" s="2" t="s">
        <v>164</v>
      </c>
      <c r="D1665">
        <v>22</v>
      </c>
    </row>
    <row r="1666" spans="1:4" hidden="1" x14ac:dyDescent="0.25">
      <c r="A1666" s="2" t="s">
        <v>30</v>
      </c>
      <c r="B1666">
        <v>22</v>
      </c>
      <c r="C1666" s="2" t="s">
        <v>165</v>
      </c>
      <c r="D1666">
        <v>22</v>
      </c>
    </row>
    <row r="1667" spans="1:4" hidden="1" x14ac:dyDescent="0.25">
      <c r="A1667" s="2" t="s">
        <v>30</v>
      </c>
      <c r="B1667">
        <v>22</v>
      </c>
      <c r="C1667" s="2" t="s">
        <v>166</v>
      </c>
      <c r="D1667">
        <v>22</v>
      </c>
    </row>
    <row r="1668" spans="1:4" hidden="1" x14ac:dyDescent="0.25">
      <c r="A1668" s="2" t="s">
        <v>30</v>
      </c>
      <c r="B1668">
        <v>22</v>
      </c>
      <c r="C1668" s="2" t="s">
        <v>167</v>
      </c>
      <c r="D1668">
        <v>22</v>
      </c>
    </row>
    <row r="1669" spans="1:4" hidden="1" x14ac:dyDescent="0.25">
      <c r="A1669" s="2" t="s">
        <v>30</v>
      </c>
      <c r="B1669">
        <v>22</v>
      </c>
      <c r="C1669" s="2" t="s">
        <v>168</v>
      </c>
      <c r="D1669">
        <v>22</v>
      </c>
    </row>
    <row r="1670" spans="1:4" hidden="1" x14ac:dyDescent="0.25">
      <c r="A1670" s="2" t="s">
        <v>30</v>
      </c>
      <c r="B1670">
        <v>22</v>
      </c>
      <c r="C1670" s="2" t="s">
        <v>169</v>
      </c>
      <c r="D1670">
        <v>22</v>
      </c>
    </row>
    <row r="1671" spans="1:4" hidden="1" x14ac:dyDescent="0.25">
      <c r="A1671" s="2" t="s">
        <v>30</v>
      </c>
      <c r="B1671">
        <v>22</v>
      </c>
      <c r="C1671" s="2" t="s">
        <v>170</v>
      </c>
      <c r="D1671">
        <v>22</v>
      </c>
    </row>
    <row r="1672" spans="1:4" hidden="1" x14ac:dyDescent="0.25">
      <c r="A1672" s="2" t="s">
        <v>30</v>
      </c>
      <c r="B1672">
        <v>22</v>
      </c>
      <c r="C1672" s="2" t="s">
        <v>171</v>
      </c>
      <c r="D1672">
        <v>22</v>
      </c>
    </row>
    <row r="1673" spans="1:4" hidden="1" x14ac:dyDescent="0.25">
      <c r="A1673" s="2" t="s">
        <v>30</v>
      </c>
      <c r="B1673">
        <v>22</v>
      </c>
      <c r="C1673" s="2" t="s">
        <v>172</v>
      </c>
      <c r="D1673">
        <v>22</v>
      </c>
    </row>
    <row r="1674" spans="1:4" hidden="1" x14ac:dyDescent="0.25">
      <c r="A1674" s="2" t="s">
        <v>30</v>
      </c>
      <c r="B1674">
        <v>22</v>
      </c>
      <c r="C1674" s="2" t="s">
        <v>173</v>
      </c>
      <c r="D1674">
        <v>22</v>
      </c>
    </row>
    <row r="1675" spans="1:4" hidden="1" x14ac:dyDescent="0.25">
      <c r="A1675" s="2" t="s">
        <v>30</v>
      </c>
      <c r="B1675">
        <v>22</v>
      </c>
      <c r="C1675" s="2" t="s">
        <v>174</v>
      </c>
      <c r="D1675">
        <v>22</v>
      </c>
    </row>
    <row r="1676" spans="1:4" hidden="1" x14ac:dyDescent="0.25">
      <c r="A1676" s="2" t="s">
        <v>30</v>
      </c>
      <c r="B1676">
        <v>22</v>
      </c>
      <c r="C1676" s="2" t="s">
        <v>175</v>
      </c>
      <c r="D1676">
        <v>22</v>
      </c>
    </row>
    <row r="1677" spans="1:4" hidden="1" x14ac:dyDescent="0.25">
      <c r="A1677" s="2" t="s">
        <v>30</v>
      </c>
      <c r="B1677">
        <v>22</v>
      </c>
      <c r="C1677" s="2" t="s">
        <v>176</v>
      </c>
      <c r="D1677">
        <v>22</v>
      </c>
    </row>
    <row r="1678" spans="1:4" hidden="1" x14ac:dyDescent="0.25">
      <c r="A1678" s="2" t="s">
        <v>30</v>
      </c>
      <c r="B1678">
        <v>22</v>
      </c>
      <c r="C1678" s="2" t="s">
        <v>177</v>
      </c>
      <c r="D1678">
        <v>22</v>
      </c>
    </row>
    <row r="1679" spans="1:4" hidden="1" x14ac:dyDescent="0.25">
      <c r="A1679" s="2" t="s">
        <v>30</v>
      </c>
      <c r="B1679">
        <v>22</v>
      </c>
      <c r="C1679" s="2" t="s">
        <v>178</v>
      </c>
      <c r="D1679">
        <v>22</v>
      </c>
    </row>
    <row r="1680" spans="1:4" hidden="1" x14ac:dyDescent="0.25">
      <c r="A1680" s="2" t="s">
        <v>30</v>
      </c>
      <c r="B1680">
        <v>22</v>
      </c>
      <c r="C1680" s="2" t="s">
        <v>179</v>
      </c>
      <c r="D1680">
        <v>22</v>
      </c>
    </row>
    <row r="1681" spans="1:4" hidden="1" x14ac:dyDescent="0.25">
      <c r="A1681" s="2" t="s">
        <v>71</v>
      </c>
      <c r="B1681">
        <v>22</v>
      </c>
      <c r="C1681" s="2" t="s">
        <v>183</v>
      </c>
      <c r="D1681">
        <v>13</v>
      </c>
    </row>
    <row r="1682" spans="1:4" hidden="1" x14ac:dyDescent="0.25">
      <c r="A1682" s="2" t="s">
        <v>71</v>
      </c>
      <c r="B1682">
        <v>22</v>
      </c>
      <c r="C1682" s="2" t="s">
        <v>184</v>
      </c>
      <c r="D1682">
        <v>14</v>
      </c>
    </row>
    <row r="1683" spans="1:4" hidden="1" x14ac:dyDescent="0.25">
      <c r="A1683" s="2" t="s">
        <v>71</v>
      </c>
      <c r="B1683">
        <v>22</v>
      </c>
      <c r="C1683" s="2" t="s">
        <v>185</v>
      </c>
      <c r="D1683">
        <v>3</v>
      </c>
    </row>
    <row r="1684" spans="1:4" hidden="1" x14ac:dyDescent="0.25">
      <c r="A1684" s="2" t="s">
        <v>71</v>
      </c>
      <c r="B1684">
        <v>22</v>
      </c>
      <c r="C1684" s="2" t="s">
        <v>186</v>
      </c>
      <c r="D1684">
        <v>38</v>
      </c>
    </row>
    <row r="1685" spans="1:4" hidden="1" x14ac:dyDescent="0.25">
      <c r="A1685" s="2" t="s">
        <v>71</v>
      </c>
      <c r="B1685">
        <v>22</v>
      </c>
      <c r="C1685" s="2" t="s">
        <v>187</v>
      </c>
      <c r="D1685">
        <v>39</v>
      </c>
    </row>
    <row r="1686" spans="1:4" hidden="1" x14ac:dyDescent="0.25">
      <c r="A1686" s="2" t="s">
        <v>71</v>
      </c>
      <c r="B1686">
        <v>22</v>
      </c>
      <c r="C1686" s="2" t="s">
        <v>188</v>
      </c>
      <c r="D1686">
        <v>41</v>
      </c>
    </row>
    <row r="1687" spans="1:4" hidden="1" x14ac:dyDescent="0.25">
      <c r="A1687" s="2" t="s">
        <v>71</v>
      </c>
      <c r="B1687">
        <v>22</v>
      </c>
      <c r="C1687" s="2" t="s">
        <v>189</v>
      </c>
      <c r="D1687">
        <v>61</v>
      </c>
    </row>
    <row r="1688" spans="1:4" hidden="1" x14ac:dyDescent="0.25">
      <c r="A1688" s="2" t="s">
        <v>71</v>
      </c>
      <c r="B1688">
        <v>22</v>
      </c>
      <c r="C1688" s="2" t="s">
        <v>190</v>
      </c>
      <c r="D1688">
        <v>65</v>
      </c>
    </row>
    <row r="1689" spans="1:4" hidden="1" x14ac:dyDescent="0.25">
      <c r="A1689" s="2" t="s">
        <v>71</v>
      </c>
      <c r="B1689">
        <v>22</v>
      </c>
      <c r="C1689" s="2" t="s">
        <v>191</v>
      </c>
      <c r="D1689">
        <v>64</v>
      </c>
    </row>
    <row r="1690" spans="1:4" hidden="1" x14ac:dyDescent="0.25">
      <c r="A1690" s="2" t="s">
        <v>71</v>
      </c>
      <c r="B1690">
        <v>22</v>
      </c>
      <c r="C1690" s="2" t="s">
        <v>116</v>
      </c>
      <c r="D1690">
        <v>65</v>
      </c>
    </row>
    <row r="1691" spans="1:4" hidden="1" x14ac:dyDescent="0.25">
      <c r="A1691" s="2" t="s">
        <v>71</v>
      </c>
      <c r="B1691">
        <v>22</v>
      </c>
      <c r="C1691" s="2" t="s">
        <v>117</v>
      </c>
      <c r="D1691">
        <v>61</v>
      </c>
    </row>
    <row r="1692" spans="1:4" hidden="1" x14ac:dyDescent="0.25">
      <c r="A1692" s="2" t="s">
        <v>71</v>
      </c>
      <c r="B1692">
        <v>22</v>
      </c>
      <c r="C1692" s="2" t="s">
        <v>118</v>
      </c>
      <c r="D1692">
        <v>54</v>
      </c>
    </row>
    <row r="1693" spans="1:4" hidden="1" x14ac:dyDescent="0.25">
      <c r="A1693" s="2" t="s">
        <v>71</v>
      </c>
      <c r="B1693">
        <v>22</v>
      </c>
      <c r="C1693" s="2" t="s">
        <v>119</v>
      </c>
      <c r="D1693">
        <v>59</v>
      </c>
    </row>
    <row r="1694" spans="1:4" hidden="1" x14ac:dyDescent="0.25">
      <c r="A1694" s="2" t="s">
        <v>71</v>
      </c>
      <c r="B1694">
        <v>22</v>
      </c>
      <c r="C1694" s="2" t="s">
        <v>120</v>
      </c>
      <c r="D1694">
        <v>70</v>
      </c>
    </row>
    <row r="1695" spans="1:4" hidden="1" x14ac:dyDescent="0.25">
      <c r="A1695" s="2" t="s">
        <v>71</v>
      </c>
      <c r="B1695">
        <v>22</v>
      </c>
      <c r="C1695" s="2" t="s">
        <v>121</v>
      </c>
      <c r="D1695">
        <v>69</v>
      </c>
    </row>
    <row r="1696" spans="1:4" hidden="1" x14ac:dyDescent="0.25">
      <c r="A1696" s="2" t="s">
        <v>71</v>
      </c>
      <c r="B1696">
        <v>22</v>
      </c>
      <c r="C1696" s="2" t="s">
        <v>122</v>
      </c>
      <c r="D1696">
        <v>59</v>
      </c>
    </row>
    <row r="1697" spans="1:4" hidden="1" x14ac:dyDescent="0.25">
      <c r="A1697" s="2" t="s">
        <v>71</v>
      </c>
      <c r="B1697">
        <v>22</v>
      </c>
      <c r="C1697" s="2" t="s">
        <v>123</v>
      </c>
      <c r="D1697">
        <v>43</v>
      </c>
    </row>
    <row r="1698" spans="1:4" hidden="1" x14ac:dyDescent="0.25">
      <c r="A1698" s="2" t="s">
        <v>71</v>
      </c>
      <c r="B1698">
        <v>22</v>
      </c>
      <c r="C1698" s="2" t="s">
        <v>124</v>
      </c>
      <c r="D1698">
        <v>48</v>
      </c>
    </row>
    <row r="1699" spans="1:4" hidden="1" x14ac:dyDescent="0.25">
      <c r="A1699" s="2" t="s">
        <v>71</v>
      </c>
      <c r="B1699">
        <v>22</v>
      </c>
      <c r="C1699" s="2" t="s">
        <v>125</v>
      </c>
      <c r="D1699">
        <v>49</v>
      </c>
    </row>
    <row r="1700" spans="1:4" hidden="1" x14ac:dyDescent="0.25">
      <c r="A1700" s="2" t="s">
        <v>71</v>
      </c>
      <c r="B1700">
        <v>22</v>
      </c>
      <c r="C1700" s="2" t="s">
        <v>126</v>
      </c>
      <c r="D1700">
        <v>48</v>
      </c>
    </row>
    <row r="1701" spans="1:4" hidden="1" x14ac:dyDescent="0.25">
      <c r="A1701" s="2" t="s">
        <v>71</v>
      </c>
      <c r="B1701">
        <v>22</v>
      </c>
      <c r="C1701" s="2" t="s">
        <v>127</v>
      </c>
      <c r="D1701">
        <v>46</v>
      </c>
    </row>
    <row r="1702" spans="1:4" hidden="1" x14ac:dyDescent="0.25">
      <c r="A1702" s="2" t="s">
        <v>71</v>
      </c>
      <c r="B1702">
        <v>22</v>
      </c>
      <c r="C1702" s="2" t="s">
        <v>128</v>
      </c>
      <c r="D1702">
        <v>52</v>
      </c>
    </row>
    <row r="1703" spans="1:4" hidden="1" x14ac:dyDescent="0.25">
      <c r="A1703" s="2" t="s">
        <v>71</v>
      </c>
      <c r="B1703">
        <v>22</v>
      </c>
      <c r="C1703" s="2" t="s">
        <v>129</v>
      </c>
      <c r="D1703">
        <v>39</v>
      </c>
    </row>
    <row r="1704" spans="1:4" hidden="1" x14ac:dyDescent="0.25">
      <c r="A1704" s="2" t="s">
        <v>71</v>
      </c>
      <c r="B1704">
        <v>22</v>
      </c>
      <c r="C1704" s="2" t="s">
        <v>130</v>
      </c>
      <c r="D1704">
        <v>27</v>
      </c>
    </row>
    <row r="1705" spans="1:4" hidden="1" x14ac:dyDescent="0.25">
      <c r="A1705" s="2" t="s">
        <v>71</v>
      </c>
      <c r="B1705">
        <v>22</v>
      </c>
      <c r="C1705" s="2" t="s">
        <v>131</v>
      </c>
      <c r="D1705">
        <v>17</v>
      </c>
    </row>
    <row r="1706" spans="1:4" hidden="1" x14ac:dyDescent="0.25">
      <c r="A1706" s="2" t="s">
        <v>71</v>
      </c>
      <c r="B1706">
        <v>22</v>
      </c>
      <c r="C1706" s="2" t="s">
        <v>132</v>
      </c>
      <c r="D1706">
        <v>18</v>
      </c>
    </row>
    <row r="1707" spans="1:4" hidden="1" x14ac:dyDescent="0.25">
      <c r="A1707" s="2" t="s">
        <v>71</v>
      </c>
      <c r="B1707">
        <v>22</v>
      </c>
      <c r="C1707" s="2" t="s">
        <v>133</v>
      </c>
      <c r="D1707">
        <v>18</v>
      </c>
    </row>
    <row r="1708" spans="1:4" hidden="1" x14ac:dyDescent="0.25">
      <c r="A1708" s="2" t="s">
        <v>71</v>
      </c>
      <c r="B1708">
        <v>22</v>
      </c>
      <c r="C1708" s="2" t="s">
        <v>134</v>
      </c>
      <c r="D1708">
        <v>17</v>
      </c>
    </row>
    <row r="1709" spans="1:4" hidden="1" x14ac:dyDescent="0.25">
      <c r="A1709" s="2" t="s">
        <v>71</v>
      </c>
      <c r="B1709">
        <v>22</v>
      </c>
      <c r="C1709" s="2" t="s">
        <v>135</v>
      </c>
      <c r="D1709">
        <v>22</v>
      </c>
    </row>
    <row r="1710" spans="1:4" hidden="1" x14ac:dyDescent="0.25">
      <c r="A1710" s="2" t="s">
        <v>71</v>
      </c>
      <c r="B1710">
        <v>22</v>
      </c>
      <c r="C1710" s="2" t="s">
        <v>136</v>
      </c>
      <c r="D1710">
        <v>22</v>
      </c>
    </row>
    <row r="1711" spans="1:4" hidden="1" x14ac:dyDescent="0.25">
      <c r="A1711" s="2" t="s">
        <v>71</v>
      </c>
      <c r="B1711">
        <v>22</v>
      </c>
      <c r="C1711" s="2" t="s">
        <v>137</v>
      </c>
      <c r="D1711">
        <v>22</v>
      </c>
    </row>
    <row r="1712" spans="1:4" hidden="1" x14ac:dyDescent="0.25">
      <c r="A1712" s="2" t="s">
        <v>71</v>
      </c>
      <c r="B1712">
        <v>22</v>
      </c>
      <c r="C1712" s="2" t="s">
        <v>138</v>
      </c>
      <c r="D1712">
        <v>22</v>
      </c>
    </row>
    <row r="1713" spans="1:4" hidden="1" x14ac:dyDescent="0.25">
      <c r="A1713" s="2" t="s">
        <v>71</v>
      </c>
      <c r="B1713">
        <v>22</v>
      </c>
      <c r="C1713" s="2" t="s">
        <v>139</v>
      </c>
      <c r="D1713">
        <v>22</v>
      </c>
    </row>
    <row r="1714" spans="1:4" hidden="1" x14ac:dyDescent="0.25">
      <c r="A1714" s="2" t="s">
        <v>71</v>
      </c>
      <c r="B1714">
        <v>22</v>
      </c>
      <c r="C1714" s="2" t="s">
        <v>140</v>
      </c>
      <c r="D1714">
        <v>22</v>
      </c>
    </row>
    <row r="1715" spans="1:4" hidden="1" x14ac:dyDescent="0.25">
      <c r="A1715" s="2" t="s">
        <v>71</v>
      </c>
      <c r="B1715">
        <v>22</v>
      </c>
      <c r="C1715" s="2" t="s">
        <v>141</v>
      </c>
      <c r="D1715">
        <v>22</v>
      </c>
    </row>
    <row r="1716" spans="1:4" hidden="1" x14ac:dyDescent="0.25">
      <c r="A1716" s="2" t="s">
        <v>71</v>
      </c>
      <c r="B1716">
        <v>22</v>
      </c>
      <c r="C1716" s="2" t="s">
        <v>142</v>
      </c>
      <c r="D1716">
        <v>22</v>
      </c>
    </row>
    <row r="1717" spans="1:4" hidden="1" x14ac:dyDescent="0.25">
      <c r="A1717" s="2" t="s">
        <v>71</v>
      </c>
      <c r="B1717">
        <v>22</v>
      </c>
      <c r="C1717" s="2" t="s">
        <v>143</v>
      </c>
      <c r="D1717">
        <v>22</v>
      </c>
    </row>
    <row r="1718" spans="1:4" hidden="1" x14ac:dyDescent="0.25">
      <c r="A1718" s="2" t="s">
        <v>71</v>
      </c>
      <c r="B1718">
        <v>22</v>
      </c>
      <c r="C1718" s="2" t="s">
        <v>144</v>
      </c>
      <c r="D1718">
        <v>22</v>
      </c>
    </row>
    <row r="1719" spans="1:4" hidden="1" x14ac:dyDescent="0.25">
      <c r="A1719" s="2" t="s">
        <v>71</v>
      </c>
      <c r="B1719">
        <v>22</v>
      </c>
      <c r="C1719" s="2" t="s">
        <v>145</v>
      </c>
      <c r="D1719">
        <v>22</v>
      </c>
    </row>
    <row r="1720" spans="1:4" hidden="1" x14ac:dyDescent="0.25">
      <c r="A1720" s="2" t="s">
        <v>71</v>
      </c>
      <c r="B1720">
        <v>22</v>
      </c>
      <c r="C1720" s="2" t="s">
        <v>146</v>
      </c>
      <c r="D1720">
        <v>22</v>
      </c>
    </row>
    <row r="1721" spans="1:4" hidden="1" x14ac:dyDescent="0.25">
      <c r="A1721" s="2" t="s">
        <v>71</v>
      </c>
      <c r="B1721">
        <v>22</v>
      </c>
      <c r="C1721" s="2" t="s">
        <v>147</v>
      </c>
      <c r="D1721">
        <v>22</v>
      </c>
    </row>
    <row r="1722" spans="1:4" hidden="1" x14ac:dyDescent="0.25">
      <c r="A1722" s="2" t="s">
        <v>71</v>
      </c>
      <c r="B1722">
        <v>22</v>
      </c>
      <c r="C1722" s="2" t="s">
        <v>148</v>
      </c>
      <c r="D1722">
        <v>22</v>
      </c>
    </row>
    <row r="1723" spans="1:4" hidden="1" x14ac:dyDescent="0.25">
      <c r="A1723" s="2" t="s">
        <v>71</v>
      </c>
      <c r="B1723">
        <v>22</v>
      </c>
      <c r="C1723" s="2" t="s">
        <v>149</v>
      </c>
      <c r="D1723">
        <v>22</v>
      </c>
    </row>
    <row r="1724" spans="1:4" hidden="1" x14ac:dyDescent="0.25">
      <c r="A1724" s="2" t="s">
        <v>71</v>
      </c>
      <c r="B1724">
        <v>22</v>
      </c>
      <c r="C1724" s="2" t="s">
        <v>150</v>
      </c>
      <c r="D1724">
        <v>22</v>
      </c>
    </row>
    <row r="1725" spans="1:4" hidden="1" x14ac:dyDescent="0.25">
      <c r="A1725" s="2" t="s">
        <v>71</v>
      </c>
      <c r="B1725">
        <v>22</v>
      </c>
      <c r="C1725" s="2" t="s">
        <v>151</v>
      </c>
      <c r="D1725">
        <v>22</v>
      </c>
    </row>
    <row r="1726" spans="1:4" hidden="1" x14ac:dyDescent="0.25">
      <c r="A1726" s="2" t="s">
        <v>71</v>
      </c>
      <c r="B1726">
        <v>22</v>
      </c>
      <c r="C1726" s="2" t="s">
        <v>152</v>
      </c>
      <c r="D1726">
        <v>22</v>
      </c>
    </row>
    <row r="1727" spans="1:4" hidden="1" x14ac:dyDescent="0.25">
      <c r="A1727" s="2" t="s">
        <v>71</v>
      </c>
      <c r="B1727">
        <v>22</v>
      </c>
      <c r="C1727" s="2" t="s">
        <v>153</v>
      </c>
      <c r="D1727">
        <v>22</v>
      </c>
    </row>
    <row r="1728" spans="1:4" hidden="1" x14ac:dyDescent="0.25">
      <c r="A1728" s="2" t="s">
        <v>71</v>
      </c>
      <c r="B1728">
        <v>22</v>
      </c>
      <c r="C1728" s="2" t="s">
        <v>154</v>
      </c>
      <c r="D1728">
        <v>22</v>
      </c>
    </row>
    <row r="1729" spans="1:4" hidden="1" x14ac:dyDescent="0.25">
      <c r="A1729" s="2" t="s">
        <v>71</v>
      </c>
      <c r="B1729">
        <v>22</v>
      </c>
      <c r="C1729" s="2" t="s">
        <v>155</v>
      </c>
      <c r="D1729">
        <v>22</v>
      </c>
    </row>
    <row r="1730" spans="1:4" hidden="1" x14ac:dyDescent="0.25">
      <c r="A1730" s="2" t="s">
        <v>71</v>
      </c>
      <c r="B1730">
        <v>22</v>
      </c>
      <c r="C1730" s="2" t="s">
        <v>156</v>
      </c>
      <c r="D1730">
        <v>22</v>
      </c>
    </row>
    <row r="1731" spans="1:4" hidden="1" x14ac:dyDescent="0.25">
      <c r="A1731" s="2" t="s">
        <v>71</v>
      </c>
      <c r="B1731">
        <v>22</v>
      </c>
      <c r="C1731" s="2" t="s">
        <v>157</v>
      </c>
      <c r="D1731">
        <v>22</v>
      </c>
    </row>
    <row r="1732" spans="1:4" hidden="1" x14ac:dyDescent="0.25">
      <c r="A1732" s="2" t="s">
        <v>71</v>
      </c>
      <c r="B1732">
        <v>22</v>
      </c>
      <c r="C1732" s="2" t="s">
        <v>158</v>
      </c>
      <c r="D1732">
        <v>22</v>
      </c>
    </row>
    <row r="1733" spans="1:4" hidden="1" x14ac:dyDescent="0.25">
      <c r="A1733" s="2" t="s">
        <v>71</v>
      </c>
      <c r="B1733">
        <v>22</v>
      </c>
      <c r="C1733" s="2" t="s">
        <v>159</v>
      </c>
      <c r="D1733">
        <v>22</v>
      </c>
    </row>
    <row r="1734" spans="1:4" hidden="1" x14ac:dyDescent="0.25">
      <c r="A1734" s="2" t="s">
        <v>71</v>
      </c>
      <c r="B1734">
        <v>22</v>
      </c>
      <c r="C1734" s="2" t="s">
        <v>160</v>
      </c>
      <c r="D1734">
        <v>22</v>
      </c>
    </row>
    <row r="1735" spans="1:4" hidden="1" x14ac:dyDescent="0.25">
      <c r="A1735" s="2" t="s">
        <v>71</v>
      </c>
      <c r="B1735">
        <v>22</v>
      </c>
      <c r="C1735" s="2" t="s">
        <v>161</v>
      </c>
      <c r="D1735">
        <v>22</v>
      </c>
    </row>
    <row r="1736" spans="1:4" hidden="1" x14ac:dyDescent="0.25">
      <c r="A1736" s="2" t="s">
        <v>71</v>
      </c>
      <c r="B1736">
        <v>22</v>
      </c>
      <c r="C1736" s="2" t="s">
        <v>162</v>
      </c>
      <c r="D1736">
        <v>22</v>
      </c>
    </row>
    <row r="1737" spans="1:4" hidden="1" x14ac:dyDescent="0.25">
      <c r="A1737" s="2" t="s">
        <v>71</v>
      </c>
      <c r="B1737">
        <v>22</v>
      </c>
      <c r="C1737" s="2" t="s">
        <v>163</v>
      </c>
      <c r="D1737">
        <v>22</v>
      </c>
    </row>
    <row r="1738" spans="1:4" hidden="1" x14ac:dyDescent="0.25">
      <c r="A1738" s="2" t="s">
        <v>71</v>
      </c>
      <c r="B1738">
        <v>22</v>
      </c>
      <c r="C1738" s="2" t="s">
        <v>164</v>
      </c>
      <c r="D1738">
        <v>22</v>
      </c>
    </row>
    <row r="1739" spans="1:4" hidden="1" x14ac:dyDescent="0.25">
      <c r="A1739" s="2" t="s">
        <v>71</v>
      </c>
      <c r="B1739">
        <v>22</v>
      </c>
      <c r="C1739" s="2" t="s">
        <v>165</v>
      </c>
      <c r="D1739">
        <v>22</v>
      </c>
    </row>
    <row r="1740" spans="1:4" hidden="1" x14ac:dyDescent="0.25">
      <c r="A1740" s="2" t="s">
        <v>71</v>
      </c>
      <c r="B1740">
        <v>22</v>
      </c>
      <c r="C1740" s="2" t="s">
        <v>166</v>
      </c>
      <c r="D1740">
        <v>22</v>
      </c>
    </row>
    <row r="1741" spans="1:4" hidden="1" x14ac:dyDescent="0.25">
      <c r="A1741" s="2" t="s">
        <v>71</v>
      </c>
      <c r="B1741">
        <v>22</v>
      </c>
      <c r="C1741" s="2" t="s">
        <v>167</v>
      </c>
      <c r="D1741">
        <v>22</v>
      </c>
    </row>
    <row r="1742" spans="1:4" hidden="1" x14ac:dyDescent="0.25">
      <c r="A1742" s="2" t="s">
        <v>71</v>
      </c>
      <c r="B1742">
        <v>22</v>
      </c>
      <c r="C1742" s="2" t="s">
        <v>168</v>
      </c>
      <c r="D1742">
        <v>22</v>
      </c>
    </row>
    <row r="1743" spans="1:4" hidden="1" x14ac:dyDescent="0.25">
      <c r="A1743" s="2" t="s">
        <v>71</v>
      </c>
      <c r="B1743">
        <v>22</v>
      </c>
      <c r="C1743" s="2" t="s">
        <v>169</v>
      </c>
      <c r="D1743">
        <v>22</v>
      </c>
    </row>
    <row r="1744" spans="1:4" hidden="1" x14ac:dyDescent="0.25">
      <c r="A1744" s="2" t="s">
        <v>71</v>
      </c>
      <c r="B1744">
        <v>22</v>
      </c>
      <c r="C1744" s="2" t="s">
        <v>170</v>
      </c>
      <c r="D1744">
        <v>22</v>
      </c>
    </row>
    <row r="1745" spans="1:4" hidden="1" x14ac:dyDescent="0.25">
      <c r="A1745" s="2" t="s">
        <v>71</v>
      </c>
      <c r="B1745">
        <v>22</v>
      </c>
      <c r="C1745" s="2" t="s">
        <v>171</v>
      </c>
      <c r="D1745">
        <v>22</v>
      </c>
    </row>
    <row r="1746" spans="1:4" hidden="1" x14ac:dyDescent="0.25">
      <c r="A1746" s="2" t="s">
        <v>71</v>
      </c>
      <c r="B1746">
        <v>22</v>
      </c>
      <c r="C1746" s="2" t="s">
        <v>172</v>
      </c>
      <c r="D1746">
        <v>22</v>
      </c>
    </row>
    <row r="1747" spans="1:4" hidden="1" x14ac:dyDescent="0.25">
      <c r="A1747" s="2" t="s">
        <v>71</v>
      </c>
      <c r="B1747">
        <v>22</v>
      </c>
      <c r="C1747" s="2" t="s">
        <v>173</v>
      </c>
      <c r="D1747">
        <v>22</v>
      </c>
    </row>
    <row r="1748" spans="1:4" hidden="1" x14ac:dyDescent="0.25">
      <c r="A1748" s="2" t="s">
        <v>71</v>
      </c>
      <c r="B1748">
        <v>22</v>
      </c>
      <c r="C1748" s="2" t="s">
        <v>174</v>
      </c>
      <c r="D1748">
        <v>22</v>
      </c>
    </row>
    <row r="1749" spans="1:4" hidden="1" x14ac:dyDescent="0.25">
      <c r="A1749" s="2" t="s">
        <v>71</v>
      </c>
      <c r="B1749">
        <v>22</v>
      </c>
      <c r="C1749" s="2" t="s">
        <v>175</v>
      </c>
      <c r="D1749">
        <v>22</v>
      </c>
    </row>
    <row r="1750" spans="1:4" hidden="1" x14ac:dyDescent="0.25">
      <c r="A1750" s="2" t="s">
        <v>71</v>
      </c>
      <c r="B1750">
        <v>22</v>
      </c>
      <c r="C1750" s="2" t="s">
        <v>176</v>
      </c>
      <c r="D1750">
        <v>22</v>
      </c>
    </row>
    <row r="1751" spans="1:4" hidden="1" x14ac:dyDescent="0.25">
      <c r="A1751" s="2" t="s">
        <v>71</v>
      </c>
      <c r="B1751">
        <v>22</v>
      </c>
      <c r="C1751" s="2" t="s">
        <v>177</v>
      </c>
      <c r="D1751">
        <v>22</v>
      </c>
    </row>
    <row r="1752" spans="1:4" hidden="1" x14ac:dyDescent="0.25">
      <c r="A1752" s="2" t="s">
        <v>71</v>
      </c>
      <c r="B1752">
        <v>22</v>
      </c>
      <c r="C1752" s="2" t="s">
        <v>178</v>
      </c>
      <c r="D1752">
        <v>22</v>
      </c>
    </row>
    <row r="1753" spans="1:4" hidden="1" x14ac:dyDescent="0.25">
      <c r="A1753" s="2" t="s">
        <v>71</v>
      </c>
      <c r="B1753">
        <v>22</v>
      </c>
      <c r="C1753" s="2" t="s">
        <v>179</v>
      </c>
      <c r="D1753">
        <v>22</v>
      </c>
    </row>
    <row r="1754" spans="1:4" hidden="1" x14ac:dyDescent="0.25">
      <c r="A1754" s="2" t="s">
        <v>109</v>
      </c>
      <c r="B1754">
        <v>25</v>
      </c>
      <c r="C1754" s="2" t="s">
        <v>183</v>
      </c>
      <c r="D1754">
        <v>13</v>
      </c>
    </row>
    <row r="1755" spans="1:4" hidden="1" x14ac:dyDescent="0.25">
      <c r="A1755" s="2" t="s">
        <v>109</v>
      </c>
      <c r="B1755">
        <v>25</v>
      </c>
      <c r="C1755" s="2" t="s">
        <v>184</v>
      </c>
      <c r="D1755">
        <v>62</v>
      </c>
    </row>
    <row r="1756" spans="1:4" hidden="1" x14ac:dyDescent="0.25">
      <c r="A1756" s="2" t="s">
        <v>109</v>
      </c>
      <c r="B1756">
        <v>25</v>
      </c>
      <c r="C1756" s="2" t="s">
        <v>185</v>
      </c>
      <c r="D1756">
        <v>82</v>
      </c>
    </row>
    <row r="1757" spans="1:4" hidden="1" x14ac:dyDescent="0.25">
      <c r="A1757" s="2" t="s">
        <v>109</v>
      </c>
      <c r="B1757">
        <v>25</v>
      </c>
      <c r="C1757" s="2" t="s">
        <v>186</v>
      </c>
      <c r="D1757">
        <v>54</v>
      </c>
    </row>
    <row r="1758" spans="1:4" hidden="1" x14ac:dyDescent="0.25">
      <c r="A1758" s="2" t="s">
        <v>109</v>
      </c>
      <c r="B1758">
        <v>25</v>
      </c>
      <c r="C1758" s="2" t="s">
        <v>187</v>
      </c>
      <c r="D1758">
        <v>55</v>
      </c>
    </row>
    <row r="1759" spans="1:4" hidden="1" x14ac:dyDescent="0.25">
      <c r="A1759" s="2" t="s">
        <v>109</v>
      </c>
      <c r="B1759">
        <v>25</v>
      </c>
      <c r="C1759" s="2" t="s">
        <v>188</v>
      </c>
      <c r="D1759">
        <v>53</v>
      </c>
    </row>
    <row r="1760" spans="1:4" hidden="1" x14ac:dyDescent="0.25">
      <c r="A1760" s="2" t="s">
        <v>109</v>
      </c>
      <c r="B1760">
        <v>25</v>
      </c>
      <c r="C1760" s="2" t="s">
        <v>189</v>
      </c>
      <c r="D1760">
        <v>71</v>
      </c>
    </row>
    <row r="1761" spans="1:4" hidden="1" x14ac:dyDescent="0.25">
      <c r="A1761" s="2" t="s">
        <v>109</v>
      </c>
      <c r="B1761">
        <v>25</v>
      </c>
      <c r="C1761" s="2" t="s">
        <v>190</v>
      </c>
      <c r="D1761">
        <v>76</v>
      </c>
    </row>
    <row r="1762" spans="1:4" hidden="1" x14ac:dyDescent="0.25">
      <c r="A1762" s="2" t="s">
        <v>109</v>
      </c>
      <c r="B1762">
        <v>25</v>
      </c>
      <c r="C1762" s="2" t="s">
        <v>191</v>
      </c>
      <c r="D1762">
        <v>52</v>
      </c>
    </row>
    <row r="1763" spans="1:4" hidden="1" x14ac:dyDescent="0.25">
      <c r="A1763" s="2" t="s">
        <v>109</v>
      </c>
      <c r="B1763">
        <v>25</v>
      </c>
      <c r="C1763" s="2" t="s">
        <v>116</v>
      </c>
      <c r="D1763">
        <v>42</v>
      </c>
    </row>
    <row r="1764" spans="1:4" hidden="1" x14ac:dyDescent="0.25">
      <c r="A1764" s="2" t="s">
        <v>109</v>
      </c>
      <c r="B1764">
        <v>25</v>
      </c>
      <c r="C1764" s="2" t="s">
        <v>117</v>
      </c>
      <c r="D1764">
        <v>40</v>
      </c>
    </row>
    <row r="1765" spans="1:4" hidden="1" x14ac:dyDescent="0.25">
      <c r="A1765" s="2" t="s">
        <v>109</v>
      </c>
      <c r="B1765">
        <v>25</v>
      </c>
      <c r="C1765" s="2" t="s">
        <v>118</v>
      </c>
      <c r="D1765">
        <v>41</v>
      </c>
    </row>
    <row r="1766" spans="1:4" hidden="1" x14ac:dyDescent="0.25">
      <c r="A1766" s="2" t="s">
        <v>109</v>
      </c>
      <c r="B1766">
        <v>25</v>
      </c>
      <c r="C1766" s="2" t="s">
        <v>119</v>
      </c>
      <c r="D1766">
        <v>22</v>
      </c>
    </row>
    <row r="1767" spans="1:4" hidden="1" x14ac:dyDescent="0.25">
      <c r="A1767" s="2" t="s">
        <v>109</v>
      </c>
      <c r="B1767">
        <v>25</v>
      </c>
      <c r="C1767" s="2" t="s">
        <v>120</v>
      </c>
      <c r="D1767">
        <v>23</v>
      </c>
    </row>
    <row r="1768" spans="1:4" hidden="1" x14ac:dyDescent="0.25">
      <c r="A1768" s="2" t="s">
        <v>109</v>
      </c>
      <c r="B1768">
        <v>25</v>
      </c>
      <c r="C1768" s="2" t="s">
        <v>121</v>
      </c>
      <c r="D1768">
        <v>21</v>
      </c>
    </row>
    <row r="1769" spans="1:4" hidden="1" x14ac:dyDescent="0.25">
      <c r="A1769" s="2" t="s">
        <v>109</v>
      </c>
      <c r="B1769">
        <v>25</v>
      </c>
      <c r="C1769" s="2" t="s">
        <v>122</v>
      </c>
      <c r="D1769">
        <v>26</v>
      </c>
    </row>
    <row r="1770" spans="1:4" hidden="1" x14ac:dyDescent="0.25">
      <c r="A1770" s="2" t="s">
        <v>109</v>
      </c>
      <c r="B1770">
        <v>25</v>
      </c>
      <c r="C1770" s="2" t="s">
        <v>123</v>
      </c>
      <c r="D1770">
        <v>9</v>
      </c>
    </row>
    <row r="1771" spans="1:4" hidden="1" x14ac:dyDescent="0.25">
      <c r="A1771" s="2" t="s">
        <v>109</v>
      </c>
      <c r="B1771">
        <v>25</v>
      </c>
      <c r="C1771" s="2" t="s">
        <v>124</v>
      </c>
      <c r="D1771">
        <v>5</v>
      </c>
    </row>
    <row r="1772" spans="1:4" hidden="1" x14ac:dyDescent="0.25">
      <c r="A1772" s="2" t="s">
        <v>109</v>
      </c>
      <c r="B1772">
        <v>25</v>
      </c>
      <c r="C1772" s="2" t="s">
        <v>125</v>
      </c>
      <c r="D1772">
        <v>10</v>
      </c>
    </row>
    <row r="1773" spans="1:4" hidden="1" x14ac:dyDescent="0.25">
      <c r="A1773" s="2" t="s">
        <v>109</v>
      </c>
      <c r="B1773">
        <v>25</v>
      </c>
      <c r="C1773" s="2" t="s">
        <v>126</v>
      </c>
      <c r="D1773">
        <v>16</v>
      </c>
    </row>
    <row r="1774" spans="1:4" hidden="1" x14ac:dyDescent="0.25">
      <c r="A1774" s="2" t="s">
        <v>109</v>
      </c>
      <c r="B1774">
        <v>25</v>
      </c>
      <c r="C1774" s="2" t="s">
        <v>127</v>
      </c>
      <c r="D1774">
        <v>17</v>
      </c>
    </row>
    <row r="1775" spans="1:4" hidden="1" x14ac:dyDescent="0.25">
      <c r="A1775" s="2" t="s">
        <v>109</v>
      </c>
      <c r="B1775">
        <v>25</v>
      </c>
      <c r="C1775" s="2" t="s">
        <v>128</v>
      </c>
      <c r="D1775">
        <v>8</v>
      </c>
    </row>
    <row r="1776" spans="1:4" hidden="1" x14ac:dyDescent="0.25">
      <c r="A1776" s="2" t="s">
        <v>109</v>
      </c>
      <c r="B1776">
        <v>25</v>
      </c>
      <c r="C1776" s="2" t="s">
        <v>129</v>
      </c>
      <c r="D1776">
        <v>20</v>
      </c>
    </row>
    <row r="1777" spans="1:4" hidden="1" x14ac:dyDescent="0.25">
      <c r="A1777" s="2" t="s">
        <v>109</v>
      </c>
      <c r="B1777">
        <v>25</v>
      </c>
      <c r="C1777" s="2" t="s">
        <v>130</v>
      </c>
      <c r="D1777">
        <v>32</v>
      </c>
    </row>
    <row r="1778" spans="1:4" hidden="1" x14ac:dyDescent="0.25">
      <c r="A1778" s="2" t="s">
        <v>109</v>
      </c>
      <c r="B1778">
        <v>25</v>
      </c>
      <c r="C1778" s="2" t="s">
        <v>131</v>
      </c>
      <c r="D1778">
        <v>20</v>
      </c>
    </row>
    <row r="1779" spans="1:4" hidden="1" x14ac:dyDescent="0.25">
      <c r="A1779" s="2" t="s">
        <v>109</v>
      </c>
      <c r="B1779">
        <v>25</v>
      </c>
      <c r="C1779" s="2" t="s">
        <v>132</v>
      </c>
      <c r="D1779">
        <v>22</v>
      </c>
    </row>
    <row r="1780" spans="1:4" hidden="1" x14ac:dyDescent="0.25">
      <c r="A1780" s="2" t="s">
        <v>109</v>
      </c>
      <c r="B1780">
        <v>25</v>
      </c>
      <c r="C1780" s="2" t="s">
        <v>133</v>
      </c>
      <c r="D1780">
        <v>22</v>
      </c>
    </row>
    <row r="1781" spans="1:4" hidden="1" x14ac:dyDescent="0.25">
      <c r="A1781" s="2" t="s">
        <v>109</v>
      </c>
      <c r="B1781">
        <v>25</v>
      </c>
      <c r="C1781" s="2" t="s">
        <v>134</v>
      </c>
      <c r="D1781">
        <v>25</v>
      </c>
    </row>
    <row r="1782" spans="1:4" hidden="1" x14ac:dyDescent="0.25">
      <c r="A1782" s="2" t="s">
        <v>109</v>
      </c>
      <c r="B1782">
        <v>25</v>
      </c>
      <c r="C1782" s="2" t="s">
        <v>135</v>
      </c>
      <c r="D1782">
        <v>25</v>
      </c>
    </row>
    <row r="1783" spans="1:4" hidden="1" x14ac:dyDescent="0.25">
      <c r="A1783" s="2" t="s">
        <v>109</v>
      </c>
      <c r="B1783">
        <v>25</v>
      </c>
      <c r="C1783" s="2" t="s">
        <v>136</v>
      </c>
      <c r="D1783">
        <v>25</v>
      </c>
    </row>
    <row r="1784" spans="1:4" hidden="1" x14ac:dyDescent="0.25">
      <c r="A1784" s="2" t="s">
        <v>109</v>
      </c>
      <c r="B1784">
        <v>25</v>
      </c>
      <c r="C1784" s="2" t="s">
        <v>137</v>
      </c>
      <c r="D1784">
        <v>25</v>
      </c>
    </row>
    <row r="1785" spans="1:4" hidden="1" x14ac:dyDescent="0.25">
      <c r="A1785" s="2" t="s">
        <v>109</v>
      </c>
      <c r="B1785">
        <v>25</v>
      </c>
      <c r="C1785" s="2" t="s">
        <v>138</v>
      </c>
      <c r="D1785">
        <v>25</v>
      </c>
    </row>
    <row r="1786" spans="1:4" hidden="1" x14ac:dyDescent="0.25">
      <c r="A1786" s="2" t="s">
        <v>109</v>
      </c>
      <c r="B1786">
        <v>25</v>
      </c>
      <c r="C1786" s="2" t="s">
        <v>139</v>
      </c>
      <c r="D1786">
        <v>25</v>
      </c>
    </row>
    <row r="1787" spans="1:4" hidden="1" x14ac:dyDescent="0.25">
      <c r="A1787" s="2" t="s">
        <v>109</v>
      </c>
      <c r="B1787">
        <v>25</v>
      </c>
      <c r="C1787" s="2" t="s">
        <v>140</v>
      </c>
      <c r="D1787">
        <v>25</v>
      </c>
    </row>
    <row r="1788" spans="1:4" hidden="1" x14ac:dyDescent="0.25">
      <c r="A1788" s="2" t="s">
        <v>109</v>
      </c>
      <c r="B1788">
        <v>25</v>
      </c>
      <c r="C1788" s="2" t="s">
        <v>141</v>
      </c>
      <c r="D1788">
        <v>25</v>
      </c>
    </row>
    <row r="1789" spans="1:4" hidden="1" x14ac:dyDescent="0.25">
      <c r="A1789" s="2" t="s">
        <v>109</v>
      </c>
      <c r="B1789">
        <v>25</v>
      </c>
      <c r="C1789" s="2" t="s">
        <v>142</v>
      </c>
      <c r="D1789">
        <v>25</v>
      </c>
    </row>
    <row r="1790" spans="1:4" hidden="1" x14ac:dyDescent="0.25">
      <c r="A1790" s="2" t="s">
        <v>109</v>
      </c>
      <c r="B1790">
        <v>25</v>
      </c>
      <c r="C1790" s="2" t="s">
        <v>143</v>
      </c>
      <c r="D1790">
        <v>25</v>
      </c>
    </row>
    <row r="1791" spans="1:4" hidden="1" x14ac:dyDescent="0.25">
      <c r="A1791" s="2" t="s">
        <v>109</v>
      </c>
      <c r="B1791">
        <v>25</v>
      </c>
      <c r="C1791" s="2" t="s">
        <v>144</v>
      </c>
      <c r="D1791">
        <v>25</v>
      </c>
    </row>
    <row r="1792" spans="1:4" hidden="1" x14ac:dyDescent="0.25">
      <c r="A1792" s="2" t="s">
        <v>109</v>
      </c>
      <c r="B1792">
        <v>25</v>
      </c>
      <c r="C1792" s="2" t="s">
        <v>145</v>
      </c>
      <c r="D1792">
        <v>25</v>
      </c>
    </row>
    <row r="1793" spans="1:4" hidden="1" x14ac:dyDescent="0.25">
      <c r="A1793" s="2" t="s">
        <v>109</v>
      </c>
      <c r="B1793">
        <v>25</v>
      </c>
      <c r="C1793" s="2" t="s">
        <v>146</v>
      </c>
      <c r="D1793">
        <v>25</v>
      </c>
    </row>
    <row r="1794" spans="1:4" hidden="1" x14ac:dyDescent="0.25">
      <c r="A1794" s="2" t="s">
        <v>109</v>
      </c>
      <c r="B1794">
        <v>25</v>
      </c>
      <c r="C1794" s="2" t="s">
        <v>147</v>
      </c>
      <c r="D1794">
        <v>25</v>
      </c>
    </row>
    <row r="1795" spans="1:4" hidden="1" x14ac:dyDescent="0.25">
      <c r="A1795" s="2" t="s">
        <v>109</v>
      </c>
      <c r="B1795">
        <v>25</v>
      </c>
      <c r="C1795" s="2" t="s">
        <v>148</v>
      </c>
      <c r="D1795">
        <v>25</v>
      </c>
    </row>
    <row r="1796" spans="1:4" hidden="1" x14ac:dyDescent="0.25">
      <c r="A1796" s="2" t="s">
        <v>109</v>
      </c>
      <c r="B1796">
        <v>25</v>
      </c>
      <c r="C1796" s="2" t="s">
        <v>149</v>
      </c>
      <c r="D1796">
        <v>25</v>
      </c>
    </row>
    <row r="1797" spans="1:4" hidden="1" x14ac:dyDescent="0.25">
      <c r="A1797" s="2" t="s">
        <v>109</v>
      </c>
      <c r="B1797">
        <v>25</v>
      </c>
      <c r="C1797" s="2" t="s">
        <v>150</v>
      </c>
      <c r="D1797">
        <v>25</v>
      </c>
    </row>
    <row r="1798" spans="1:4" hidden="1" x14ac:dyDescent="0.25">
      <c r="A1798" s="2" t="s">
        <v>109</v>
      </c>
      <c r="B1798">
        <v>25</v>
      </c>
      <c r="C1798" s="2" t="s">
        <v>151</v>
      </c>
      <c r="D1798">
        <v>25</v>
      </c>
    </row>
    <row r="1799" spans="1:4" hidden="1" x14ac:dyDescent="0.25">
      <c r="A1799" s="2" t="s">
        <v>109</v>
      </c>
      <c r="B1799">
        <v>25</v>
      </c>
      <c r="C1799" s="2" t="s">
        <v>152</v>
      </c>
      <c r="D1799">
        <v>25</v>
      </c>
    </row>
    <row r="1800" spans="1:4" hidden="1" x14ac:dyDescent="0.25">
      <c r="A1800" s="2" t="s">
        <v>109</v>
      </c>
      <c r="B1800">
        <v>25</v>
      </c>
      <c r="C1800" s="2" t="s">
        <v>153</v>
      </c>
      <c r="D1800">
        <v>25</v>
      </c>
    </row>
    <row r="1801" spans="1:4" hidden="1" x14ac:dyDescent="0.25">
      <c r="A1801" s="2" t="s">
        <v>109</v>
      </c>
      <c r="B1801">
        <v>25</v>
      </c>
      <c r="C1801" s="2" t="s">
        <v>154</v>
      </c>
      <c r="D1801">
        <v>25</v>
      </c>
    </row>
    <row r="1802" spans="1:4" hidden="1" x14ac:dyDescent="0.25">
      <c r="A1802" s="2" t="s">
        <v>109</v>
      </c>
      <c r="B1802">
        <v>25</v>
      </c>
      <c r="C1802" s="2" t="s">
        <v>155</v>
      </c>
      <c r="D1802">
        <v>25</v>
      </c>
    </row>
    <row r="1803" spans="1:4" hidden="1" x14ac:dyDescent="0.25">
      <c r="A1803" s="2" t="s">
        <v>109</v>
      </c>
      <c r="B1803">
        <v>25</v>
      </c>
      <c r="C1803" s="2" t="s">
        <v>156</v>
      </c>
      <c r="D1803">
        <v>25</v>
      </c>
    </row>
    <row r="1804" spans="1:4" hidden="1" x14ac:dyDescent="0.25">
      <c r="A1804" s="2" t="s">
        <v>109</v>
      </c>
      <c r="B1804">
        <v>25</v>
      </c>
      <c r="C1804" s="2" t="s">
        <v>157</v>
      </c>
      <c r="D1804">
        <v>25</v>
      </c>
    </row>
    <row r="1805" spans="1:4" hidden="1" x14ac:dyDescent="0.25">
      <c r="A1805" s="2" t="s">
        <v>109</v>
      </c>
      <c r="B1805">
        <v>25</v>
      </c>
      <c r="C1805" s="2" t="s">
        <v>158</v>
      </c>
      <c r="D1805">
        <v>25</v>
      </c>
    </row>
    <row r="1806" spans="1:4" hidden="1" x14ac:dyDescent="0.25">
      <c r="A1806" s="2" t="s">
        <v>109</v>
      </c>
      <c r="B1806">
        <v>25</v>
      </c>
      <c r="C1806" s="2" t="s">
        <v>159</v>
      </c>
      <c r="D1806">
        <v>25</v>
      </c>
    </row>
    <row r="1807" spans="1:4" hidden="1" x14ac:dyDescent="0.25">
      <c r="A1807" s="2" t="s">
        <v>109</v>
      </c>
      <c r="B1807">
        <v>25</v>
      </c>
      <c r="C1807" s="2" t="s">
        <v>160</v>
      </c>
      <c r="D1807">
        <v>25</v>
      </c>
    </row>
    <row r="1808" spans="1:4" hidden="1" x14ac:dyDescent="0.25">
      <c r="A1808" s="2" t="s">
        <v>109</v>
      </c>
      <c r="B1808">
        <v>25</v>
      </c>
      <c r="C1808" s="2" t="s">
        <v>161</v>
      </c>
      <c r="D1808">
        <v>25</v>
      </c>
    </row>
    <row r="1809" spans="1:4" hidden="1" x14ac:dyDescent="0.25">
      <c r="A1809" s="2" t="s">
        <v>109</v>
      </c>
      <c r="B1809">
        <v>25</v>
      </c>
      <c r="C1809" s="2" t="s">
        <v>162</v>
      </c>
      <c r="D1809">
        <v>25</v>
      </c>
    </row>
    <row r="1810" spans="1:4" hidden="1" x14ac:dyDescent="0.25">
      <c r="A1810" s="2" t="s">
        <v>109</v>
      </c>
      <c r="B1810">
        <v>25</v>
      </c>
      <c r="C1810" s="2" t="s">
        <v>163</v>
      </c>
      <c r="D1810">
        <v>25</v>
      </c>
    </row>
    <row r="1811" spans="1:4" hidden="1" x14ac:dyDescent="0.25">
      <c r="A1811" s="2" t="s">
        <v>109</v>
      </c>
      <c r="B1811">
        <v>25</v>
      </c>
      <c r="C1811" s="2" t="s">
        <v>164</v>
      </c>
      <c r="D1811">
        <v>25</v>
      </c>
    </row>
    <row r="1812" spans="1:4" hidden="1" x14ac:dyDescent="0.25">
      <c r="A1812" s="2" t="s">
        <v>109</v>
      </c>
      <c r="B1812">
        <v>25</v>
      </c>
      <c r="C1812" s="2" t="s">
        <v>165</v>
      </c>
      <c r="D1812">
        <v>25</v>
      </c>
    </row>
    <row r="1813" spans="1:4" hidden="1" x14ac:dyDescent="0.25">
      <c r="A1813" s="2" t="s">
        <v>109</v>
      </c>
      <c r="B1813">
        <v>25</v>
      </c>
      <c r="C1813" s="2" t="s">
        <v>166</v>
      </c>
      <c r="D1813">
        <v>25</v>
      </c>
    </row>
    <row r="1814" spans="1:4" hidden="1" x14ac:dyDescent="0.25">
      <c r="A1814" s="2" t="s">
        <v>109</v>
      </c>
      <c r="B1814">
        <v>25</v>
      </c>
      <c r="C1814" s="2" t="s">
        <v>167</v>
      </c>
      <c r="D1814">
        <v>25</v>
      </c>
    </row>
    <row r="1815" spans="1:4" hidden="1" x14ac:dyDescent="0.25">
      <c r="A1815" s="2" t="s">
        <v>109</v>
      </c>
      <c r="B1815">
        <v>25</v>
      </c>
      <c r="C1815" s="2" t="s">
        <v>168</v>
      </c>
      <c r="D1815">
        <v>25</v>
      </c>
    </row>
    <row r="1816" spans="1:4" hidden="1" x14ac:dyDescent="0.25">
      <c r="A1816" s="2" t="s">
        <v>109</v>
      </c>
      <c r="B1816">
        <v>25</v>
      </c>
      <c r="C1816" s="2" t="s">
        <v>169</v>
      </c>
      <c r="D1816">
        <v>25</v>
      </c>
    </row>
    <row r="1817" spans="1:4" hidden="1" x14ac:dyDescent="0.25">
      <c r="A1817" s="2" t="s">
        <v>109</v>
      </c>
      <c r="B1817">
        <v>25</v>
      </c>
      <c r="C1817" s="2" t="s">
        <v>170</v>
      </c>
      <c r="D1817">
        <v>25</v>
      </c>
    </row>
    <row r="1818" spans="1:4" hidden="1" x14ac:dyDescent="0.25">
      <c r="A1818" s="2" t="s">
        <v>109</v>
      </c>
      <c r="B1818">
        <v>25</v>
      </c>
      <c r="C1818" s="2" t="s">
        <v>171</v>
      </c>
      <c r="D1818">
        <v>25</v>
      </c>
    </row>
    <row r="1819" spans="1:4" hidden="1" x14ac:dyDescent="0.25">
      <c r="A1819" s="2" t="s">
        <v>109</v>
      </c>
      <c r="B1819">
        <v>25</v>
      </c>
      <c r="C1819" s="2" t="s">
        <v>172</v>
      </c>
      <c r="D1819">
        <v>25</v>
      </c>
    </row>
    <row r="1820" spans="1:4" hidden="1" x14ac:dyDescent="0.25">
      <c r="A1820" s="2" t="s">
        <v>109</v>
      </c>
      <c r="B1820">
        <v>25</v>
      </c>
      <c r="C1820" s="2" t="s">
        <v>173</v>
      </c>
      <c r="D1820">
        <v>25</v>
      </c>
    </row>
    <row r="1821" spans="1:4" hidden="1" x14ac:dyDescent="0.25">
      <c r="A1821" s="2" t="s">
        <v>109</v>
      </c>
      <c r="B1821">
        <v>25</v>
      </c>
      <c r="C1821" s="2" t="s">
        <v>174</v>
      </c>
      <c r="D1821">
        <v>25</v>
      </c>
    </row>
    <row r="1822" spans="1:4" hidden="1" x14ac:dyDescent="0.25">
      <c r="A1822" s="2" t="s">
        <v>109</v>
      </c>
      <c r="B1822">
        <v>25</v>
      </c>
      <c r="C1822" s="2" t="s">
        <v>175</v>
      </c>
      <c r="D1822">
        <v>25</v>
      </c>
    </row>
    <row r="1823" spans="1:4" hidden="1" x14ac:dyDescent="0.25">
      <c r="A1823" s="2" t="s">
        <v>109</v>
      </c>
      <c r="B1823">
        <v>25</v>
      </c>
      <c r="C1823" s="2" t="s">
        <v>176</v>
      </c>
      <c r="D1823">
        <v>25</v>
      </c>
    </row>
    <row r="1824" spans="1:4" hidden="1" x14ac:dyDescent="0.25">
      <c r="A1824" s="2" t="s">
        <v>109</v>
      </c>
      <c r="B1824">
        <v>25</v>
      </c>
      <c r="C1824" s="2" t="s">
        <v>177</v>
      </c>
      <c r="D1824">
        <v>25</v>
      </c>
    </row>
    <row r="1825" spans="1:4" hidden="1" x14ac:dyDescent="0.25">
      <c r="A1825" s="2" t="s">
        <v>109</v>
      </c>
      <c r="B1825">
        <v>25</v>
      </c>
      <c r="C1825" s="2" t="s">
        <v>178</v>
      </c>
      <c r="D1825">
        <v>25</v>
      </c>
    </row>
    <row r="1826" spans="1:4" hidden="1" x14ac:dyDescent="0.25">
      <c r="A1826" s="2" t="s">
        <v>109</v>
      </c>
      <c r="B1826">
        <v>25</v>
      </c>
      <c r="C1826" s="2" t="s">
        <v>179</v>
      </c>
      <c r="D1826">
        <v>25</v>
      </c>
    </row>
    <row r="1827" spans="1:4" hidden="1" x14ac:dyDescent="0.25">
      <c r="A1827" s="2" t="s">
        <v>9</v>
      </c>
      <c r="B1827">
        <v>26</v>
      </c>
      <c r="C1827" s="2" t="s">
        <v>183</v>
      </c>
      <c r="D1827">
        <v>13</v>
      </c>
    </row>
    <row r="1828" spans="1:4" hidden="1" x14ac:dyDescent="0.25">
      <c r="A1828" s="2" t="s">
        <v>9</v>
      </c>
      <c r="B1828">
        <v>26</v>
      </c>
      <c r="C1828" s="2" t="s">
        <v>184</v>
      </c>
      <c r="D1828">
        <v>14</v>
      </c>
    </row>
    <row r="1829" spans="1:4" hidden="1" x14ac:dyDescent="0.25">
      <c r="A1829" s="2" t="s">
        <v>9</v>
      </c>
      <c r="B1829">
        <v>26</v>
      </c>
      <c r="C1829" s="2" t="s">
        <v>185</v>
      </c>
      <c r="D1829">
        <v>24</v>
      </c>
    </row>
    <row r="1830" spans="1:4" hidden="1" x14ac:dyDescent="0.25">
      <c r="A1830" s="2" t="s">
        <v>9</v>
      </c>
      <c r="B1830">
        <v>26</v>
      </c>
      <c r="C1830" s="2" t="s">
        <v>186</v>
      </c>
      <c r="D1830">
        <v>9</v>
      </c>
    </row>
    <row r="1831" spans="1:4" hidden="1" x14ac:dyDescent="0.25">
      <c r="A1831" s="2" t="s">
        <v>9</v>
      </c>
      <c r="B1831">
        <v>26</v>
      </c>
      <c r="C1831" s="2" t="s">
        <v>187</v>
      </c>
      <c r="D1831">
        <v>9</v>
      </c>
    </row>
    <row r="1832" spans="1:4" hidden="1" x14ac:dyDescent="0.25">
      <c r="A1832" s="2" t="s">
        <v>9</v>
      </c>
      <c r="B1832">
        <v>26</v>
      </c>
      <c r="C1832" s="2" t="s">
        <v>188</v>
      </c>
      <c r="D1832">
        <v>9</v>
      </c>
    </row>
    <row r="1833" spans="1:4" hidden="1" x14ac:dyDescent="0.25">
      <c r="A1833" s="2" t="s">
        <v>9</v>
      </c>
      <c r="B1833">
        <v>26</v>
      </c>
      <c r="C1833" s="2" t="s">
        <v>189</v>
      </c>
      <c r="D1833">
        <v>27</v>
      </c>
    </row>
    <row r="1834" spans="1:4" hidden="1" x14ac:dyDescent="0.25">
      <c r="A1834" s="2" t="s">
        <v>9</v>
      </c>
      <c r="B1834">
        <v>26</v>
      </c>
      <c r="C1834" s="2" t="s">
        <v>190</v>
      </c>
      <c r="D1834">
        <v>27</v>
      </c>
    </row>
    <row r="1835" spans="1:4" hidden="1" x14ac:dyDescent="0.25">
      <c r="A1835" s="2" t="s">
        <v>9</v>
      </c>
      <c r="B1835">
        <v>26</v>
      </c>
      <c r="C1835" s="2" t="s">
        <v>191</v>
      </c>
      <c r="D1835">
        <v>27</v>
      </c>
    </row>
    <row r="1836" spans="1:4" hidden="1" x14ac:dyDescent="0.25">
      <c r="A1836" s="2" t="s">
        <v>9</v>
      </c>
      <c r="B1836">
        <v>26</v>
      </c>
      <c r="C1836" s="2" t="s">
        <v>116</v>
      </c>
      <c r="D1836">
        <v>31</v>
      </c>
    </row>
    <row r="1837" spans="1:4" hidden="1" x14ac:dyDescent="0.25">
      <c r="A1837" s="2" t="s">
        <v>9</v>
      </c>
      <c r="B1837">
        <v>26</v>
      </c>
      <c r="C1837" s="2" t="s">
        <v>117</v>
      </c>
      <c r="D1837">
        <v>30</v>
      </c>
    </row>
    <row r="1838" spans="1:4" hidden="1" x14ac:dyDescent="0.25">
      <c r="A1838" s="2" t="s">
        <v>9</v>
      </c>
      <c r="B1838">
        <v>26</v>
      </c>
      <c r="C1838" s="2" t="s">
        <v>118</v>
      </c>
      <c r="D1838">
        <v>29</v>
      </c>
    </row>
    <row r="1839" spans="1:4" hidden="1" x14ac:dyDescent="0.25">
      <c r="A1839" s="2" t="s">
        <v>9</v>
      </c>
      <c r="B1839">
        <v>26</v>
      </c>
      <c r="C1839" s="2" t="s">
        <v>119</v>
      </c>
      <c r="D1839">
        <v>37</v>
      </c>
    </row>
    <row r="1840" spans="1:4" hidden="1" x14ac:dyDescent="0.25">
      <c r="A1840" s="2" t="s">
        <v>9</v>
      </c>
      <c r="B1840">
        <v>26</v>
      </c>
      <c r="C1840" s="2" t="s">
        <v>120</v>
      </c>
      <c r="D1840">
        <v>39</v>
      </c>
    </row>
    <row r="1841" spans="1:4" hidden="1" x14ac:dyDescent="0.25">
      <c r="A1841" s="2" t="s">
        <v>9</v>
      </c>
      <c r="B1841">
        <v>26</v>
      </c>
      <c r="C1841" s="2" t="s">
        <v>121</v>
      </c>
      <c r="D1841">
        <v>39</v>
      </c>
    </row>
    <row r="1842" spans="1:4" hidden="1" x14ac:dyDescent="0.25">
      <c r="A1842" s="2" t="s">
        <v>9</v>
      </c>
      <c r="B1842">
        <v>26</v>
      </c>
      <c r="C1842" s="2" t="s">
        <v>122</v>
      </c>
      <c r="D1842">
        <v>46</v>
      </c>
    </row>
    <row r="1843" spans="1:4" hidden="1" x14ac:dyDescent="0.25">
      <c r="A1843" s="2" t="s">
        <v>9</v>
      </c>
      <c r="B1843">
        <v>26</v>
      </c>
      <c r="C1843" s="2" t="s">
        <v>123</v>
      </c>
      <c r="D1843">
        <v>53</v>
      </c>
    </row>
    <row r="1844" spans="1:4" hidden="1" x14ac:dyDescent="0.25">
      <c r="A1844" s="2" t="s">
        <v>9</v>
      </c>
      <c r="B1844">
        <v>26</v>
      </c>
      <c r="C1844" s="2" t="s">
        <v>124</v>
      </c>
      <c r="D1844">
        <v>56</v>
      </c>
    </row>
    <row r="1845" spans="1:4" hidden="1" x14ac:dyDescent="0.25">
      <c r="A1845" s="2" t="s">
        <v>9</v>
      </c>
      <c r="B1845">
        <v>26</v>
      </c>
      <c r="C1845" s="2" t="s">
        <v>125</v>
      </c>
      <c r="D1845">
        <v>57</v>
      </c>
    </row>
    <row r="1846" spans="1:4" hidden="1" x14ac:dyDescent="0.25">
      <c r="A1846" s="2" t="s">
        <v>9</v>
      </c>
      <c r="B1846">
        <v>26</v>
      </c>
      <c r="C1846" s="2" t="s">
        <v>126</v>
      </c>
      <c r="D1846">
        <v>61</v>
      </c>
    </row>
    <row r="1847" spans="1:4" hidden="1" x14ac:dyDescent="0.25">
      <c r="A1847" s="2" t="s">
        <v>9</v>
      </c>
      <c r="B1847">
        <v>26</v>
      </c>
      <c r="C1847" s="2" t="s">
        <v>127</v>
      </c>
      <c r="D1847">
        <v>62</v>
      </c>
    </row>
    <row r="1848" spans="1:4" hidden="1" x14ac:dyDescent="0.25">
      <c r="A1848" s="2" t="s">
        <v>9</v>
      </c>
      <c r="B1848">
        <v>26</v>
      </c>
      <c r="C1848" s="2" t="s">
        <v>128</v>
      </c>
      <c r="D1848">
        <v>67</v>
      </c>
    </row>
    <row r="1849" spans="1:4" hidden="1" x14ac:dyDescent="0.25">
      <c r="A1849" s="2" t="s">
        <v>9</v>
      </c>
      <c r="B1849">
        <v>26</v>
      </c>
      <c r="C1849" s="2" t="s">
        <v>129</v>
      </c>
      <c r="D1849">
        <v>56</v>
      </c>
    </row>
    <row r="1850" spans="1:4" hidden="1" x14ac:dyDescent="0.25">
      <c r="A1850" s="2" t="s">
        <v>9</v>
      </c>
      <c r="B1850">
        <v>26</v>
      </c>
      <c r="C1850" s="2" t="s">
        <v>130</v>
      </c>
      <c r="D1850">
        <v>37</v>
      </c>
    </row>
    <row r="1851" spans="1:4" hidden="1" x14ac:dyDescent="0.25">
      <c r="A1851" s="2" t="s">
        <v>9</v>
      </c>
      <c r="B1851">
        <v>26</v>
      </c>
      <c r="C1851" s="2" t="s">
        <v>131</v>
      </c>
      <c r="D1851">
        <v>37</v>
      </c>
    </row>
    <row r="1852" spans="1:4" hidden="1" x14ac:dyDescent="0.25">
      <c r="A1852" s="2" t="s">
        <v>9</v>
      </c>
      <c r="B1852">
        <v>26</v>
      </c>
      <c r="C1852" s="2" t="s">
        <v>132</v>
      </c>
      <c r="D1852">
        <v>41</v>
      </c>
    </row>
    <row r="1853" spans="1:4" hidden="1" x14ac:dyDescent="0.25">
      <c r="A1853" s="2" t="s">
        <v>9</v>
      </c>
      <c r="B1853">
        <v>26</v>
      </c>
      <c r="C1853" s="2" t="s">
        <v>133</v>
      </c>
      <c r="D1853">
        <v>41</v>
      </c>
    </row>
    <row r="1854" spans="1:4" hidden="1" x14ac:dyDescent="0.25">
      <c r="A1854" s="2" t="s">
        <v>9</v>
      </c>
      <c r="B1854">
        <v>26</v>
      </c>
      <c r="C1854" s="2" t="s">
        <v>134</v>
      </c>
      <c r="D1854">
        <v>42</v>
      </c>
    </row>
    <row r="1855" spans="1:4" hidden="1" x14ac:dyDescent="0.25">
      <c r="A1855" s="2" t="s">
        <v>9</v>
      </c>
      <c r="B1855">
        <v>26</v>
      </c>
      <c r="C1855" s="2" t="s">
        <v>135</v>
      </c>
      <c r="D1855">
        <v>26</v>
      </c>
    </row>
    <row r="1856" spans="1:4" hidden="1" x14ac:dyDescent="0.25">
      <c r="A1856" s="2" t="s">
        <v>9</v>
      </c>
      <c r="B1856">
        <v>26</v>
      </c>
      <c r="C1856" s="2" t="s">
        <v>136</v>
      </c>
      <c r="D1856">
        <v>26</v>
      </c>
    </row>
    <row r="1857" spans="1:4" hidden="1" x14ac:dyDescent="0.25">
      <c r="A1857" s="2" t="s">
        <v>9</v>
      </c>
      <c r="B1857">
        <v>26</v>
      </c>
      <c r="C1857" s="2" t="s">
        <v>137</v>
      </c>
      <c r="D1857">
        <v>26</v>
      </c>
    </row>
    <row r="1858" spans="1:4" hidden="1" x14ac:dyDescent="0.25">
      <c r="A1858" s="2" t="s">
        <v>9</v>
      </c>
      <c r="B1858">
        <v>26</v>
      </c>
      <c r="C1858" s="2" t="s">
        <v>138</v>
      </c>
      <c r="D1858">
        <v>26</v>
      </c>
    </row>
    <row r="1859" spans="1:4" hidden="1" x14ac:dyDescent="0.25">
      <c r="A1859" s="2" t="s">
        <v>9</v>
      </c>
      <c r="B1859">
        <v>26</v>
      </c>
      <c r="C1859" s="2" t="s">
        <v>139</v>
      </c>
      <c r="D1859">
        <v>26</v>
      </c>
    </row>
    <row r="1860" spans="1:4" hidden="1" x14ac:dyDescent="0.25">
      <c r="A1860" s="2" t="s">
        <v>9</v>
      </c>
      <c r="B1860">
        <v>26</v>
      </c>
      <c r="C1860" s="2" t="s">
        <v>140</v>
      </c>
      <c r="D1860">
        <v>26</v>
      </c>
    </row>
    <row r="1861" spans="1:4" hidden="1" x14ac:dyDescent="0.25">
      <c r="A1861" s="2" t="s">
        <v>9</v>
      </c>
      <c r="B1861">
        <v>26</v>
      </c>
      <c r="C1861" s="2" t="s">
        <v>141</v>
      </c>
      <c r="D1861">
        <v>26</v>
      </c>
    </row>
    <row r="1862" spans="1:4" hidden="1" x14ac:dyDescent="0.25">
      <c r="A1862" s="2" t="s">
        <v>9</v>
      </c>
      <c r="B1862">
        <v>26</v>
      </c>
      <c r="C1862" s="2" t="s">
        <v>142</v>
      </c>
      <c r="D1862">
        <v>26</v>
      </c>
    </row>
    <row r="1863" spans="1:4" hidden="1" x14ac:dyDescent="0.25">
      <c r="A1863" s="2" t="s">
        <v>9</v>
      </c>
      <c r="B1863">
        <v>26</v>
      </c>
      <c r="C1863" s="2" t="s">
        <v>143</v>
      </c>
      <c r="D1863">
        <v>26</v>
      </c>
    </row>
    <row r="1864" spans="1:4" hidden="1" x14ac:dyDescent="0.25">
      <c r="A1864" s="2" t="s">
        <v>9</v>
      </c>
      <c r="B1864">
        <v>26</v>
      </c>
      <c r="C1864" s="2" t="s">
        <v>144</v>
      </c>
      <c r="D1864">
        <v>26</v>
      </c>
    </row>
    <row r="1865" spans="1:4" hidden="1" x14ac:dyDescent="0.25">
      <c r="A1865" s="2" t="s">
        <v>9</v>
      </c>
      <c r="B1865">
        <v>26</v>
      </c>
      <c r="C1865" s="2" t="s">
        <v>145</v>
      </c>
      <c r="D1865">
        <v>26</v>
      </c>
    </row>
    <row r="1866" spans="1:4" hidden="1" x14ac:dyDescent="0.25">
      <c r="A1866" s="2" t="s">
        <v>9</v>
      </c>
      <c r="B1866">
        <v>26</v>
      </c>
      <c r="C1866" s="2" t="s">
        <v>146</v>
      </c>
      <c r="D1866">
        <v>26</v>
      </c>
    </row>
    <row r="1867" spans="1:4" hidden="1" x14ac:dyDescent="0.25">
      <c r="A1867" s="2" t="s">
        <v>9</v>
      </c>
      <c r="B1867">
        <v>26</v>
      </c>
      <c r="C1867" s="2" t="s">
        <v>147</v>
      </c>
      <c r="D1867">
        <v>26</v>
      </c>
    </row>
    <row r="1868" spans="1:4" hidden="1" x14ac:dyDescent="0.25">
      <c r="A1868" s="2" t="s">
        <v>9</v>
      </c>
      <c r="B1868">
        <v>26</v>
      </c>
      <c r="C1868" s="2" t="s">
        <v>148</v>
      </c>
      <c r="D1868">
        <v>26</v>
      </c>
    </row>
    <row r="1869" spans="1:4" hidden="1" x14ac:dyDescent="0.25">
      <c r="A1869" s="2" t="s">
        <v>9</v>
      </c>
      <c r="B1869">
        <v>26</v>
      </c>
      <c r="C1869" s="2" t="s">
        <v>149</v>
      </c>
      <c r="D1869">
        <v>26</v>
      </c>
    </row>
    <row r="1870" spans="1:4" hidden="1" x14ac:dyDescent="0.25">
      <c r="A1870" s="2" t="s">
        <v>9</v>
      </c>
      <c r="B1870">
        <v>26</v>
      </c>
      <c r="C1870" s="2" t="s">
        <v>150</v>
      </c>
      <c r="D1870">
        <v>26</v>
      </c>
    </row>
    <row r="1871" spans="1:4" hidden="1" x14ac:dyDescent="0.25">
      <c r="A1871" s="2" t="s">
        <v>9</v>
      </c>
      <c r="B1871">
        <v>26</v>
      </c>
      <c r="C1871" s="2" t="s">
        <v>151</v>
      </c>
      <c r="D1871">
        <v>26</v>
      </c>
    </row>
    <row r="1872" spans="1:4" hidden="1" x14ac:dyDescent="0.25">
      <c r="A1872" s="2" t="s">
        <v>9</v>
      </c>
      <c r="B1872">
        <v>26</v>
      </c>
      <c r="C1872" s="2" t="s">
        <v>152</v>
      </c>
      <c r="D1872">
        <v>26</v>
      </c>
    </row>
    <row r="1873" spans="1:4" hidden="1" x14ac:dyDescent="0.25">
      <c r="A1873" s="2" t="s">
        <v>9</v>
      </c>
      <c r="B1873">
        <v>26</v>
      </c>
      <c r="C1873" s="2" t="s">
        <v>153</v>
      </c>
      <c r="D1873">
        <v>26</v>
      </c>
    </row>
    <row r="1874" spans="1:4" hidden="1" x14ac:dyDescent="0.25">
      <c r="A1874" s="2" t="s">
        <v>9</v>
      </c>
      <c r="B1874">
        <v>26</v>
      </c>
      <c r="C1874" s="2" t="s">
        <v>154</v>
      </c>
      <c r="D1874">
        <v>26</v>
      </c>
    </row>
    <row r="1875" spans="1:4" hidden="1" x14ac:dyDescent="0.25">
      <c r="A1875" s="2" t="s">
        <v>9</v>
      </c>
      <c r="B1875">
        <v>26</v>
      </c>
      <c r="C1875" s="2" t="s">
        <v>155</v>
      </c>
      <c r="D1875">
        <v>26</v>
      </c>
    </row>
    <row r="1876" spans="1:4" hidden="1" x14ac:dyDescent="0.25">
      <c r="A1876" s="2" t="s">
        <v>9</v>
      </c>
      <c r="B1876">
        <v>26</v>
      </c>
      <c r="C1876" s="2" t="s">
        <v>156</v>
      </c>
      <c r="D1876">
        <v>26</v>
      </c>
    </row>
    <row r="1877" spans="1:4" hidden="1" x14ac:dyDescent="0.25">
      <c r="A1877" s="2" t="s">
        <v>9</v>
      </c>
      <c r="B1877">
        <v>26</v>
      </c>
      <c r="C1877" s="2" t="s">
        <v>157</v>
      </c>
      <c r="D1877">
        <v>26</v>
      </c>
    </row>
    <row r="1878" spans="1:4" hidden="1" x14ac:dyDescent="0.25">
      <c r="A1878" s="2" t="s">
        <v>9</v>
      </c>
      <c r="B1878">
        <v>26</v>
      </c>
      <c r="C1878" s="2" t="s">
        <v>158</v>
      </c>
      <c r="D1878">
        <v>26</v>
      </c>
    </row>
    <row r="1879" spans="1:4" hidden="1" x14ac:dyDescent="0.25">
      <c r="A1879" s="2" t="s">
        <v>9</v>
      </c>
      <c r="B1879">
        <v>26</v>
      </c>
      <c r="C1879" s="2" t="s">
        <v>159</v>
      </c>
      <c r="D1879">
        <v>26</v>
      </c>
    </row>
    <row r="1880" spans="1:4" hidden="1" x14ac:dyDescent="0.25">
      <c r="A1880" s="2" t="s">
        <v>9</v>
      </c>
      <c r="B1880">
        <v>26</v>
      </c>
      <c r="C1880" s="2" t="s">
        <v>160</v>
      </c>
      <c r="D1880">
        <v>26</v>
      </c>
    </row>
    <row r="1881" spans="1:4" hidden="1" x14ac:dyDescent="0.25">
      <c r="A1881" s="2" t="s">
        <v>9</v>
      </c>
      <c r="B1881">
        <v>26</v>
      </c>
      <c r="C1881" s="2" t="s">
        <v>161</v>
      </c>
      <c r="D1881">
        <v>26</v>
      </c>
    </row>
    <row r="1882" spans="1:4" hidden="1" x14ac:dyDescent="0.25">
      <c r="A1882" s="2" t="s">
        <v>9</v>
      </c>
      <c r="B1882">
        <v>26</v>
      </c>
      <c r="C1882" s="2" t="s">
        <v>162</v>
      </c>
      <c r="D1882">
        <v>26</v>
      </c>
    </row>
    <row r="1883" spans="1:4" hidden="1" x14ac:dyDescent="0.25">
      <c r="A1883" s="2" t="s">
        <v>9</v>
      </c>
      <c r="B1883">
        <v>26</v>
      </c>
      <c r="C1883" s="2" t="s">
        <v>163</v>
      </c>
      <c r="D1883">
        <v>26</v>
      </c>
    </row>
    <row r="1884" spans="1:4" hidden="1" x14ac:dyDescent="0.25">
      <c r="A1884" s="2" t="s">
        <v>9</v>
      </c>
      <c r="B1884">
        <v>26</v>
      </c>
      <c r="C1884" s="2" t="s">
        <v>164</v>
      </c>
      <c r="D1884">
        <v>26</v>
      </c>
    </row>
    <row r="1885" spans="1:4" hidden="1" x14ac:dyDescent="0.25">
      <c r="A1885" s="2" t="s">
        <v>9</v>
      </c>
      <c r="B1885">
        <v>26</v>
      </c>
      <c r="C1885" s="2" t="s">
        <v>165</v>
      </c>
      <c r="D1885">
        <v>26</v>
      </c>
    </row>
    <row r="1886" spans="1:4" hidden="1" x14ac:dyDescent="0.25">
      <c r="A1886" s="2" t="s">
        <v>9</v>
      </c>
      <c r="B1886">
        <v>26</v>
      </c>
      <c r="C1886" s="2" t="s">
        <v>166</v>
      </c>
      <c r="D1886">
        <v>26</v>
      </c>
    </row>
    <row r="1887" spans="1:4" hidden="1" x14ac:dyDescent="0.25">
      <c r="A1887" s="2" t="s">
        <v>9</v>
      </c>
      <c r="B1887">
        <v>26</v>
      </c>
      <c r="C1887" s="2" t="s">
        <v>167</v>
      </c>
      <c r="D1887">
        <v>26</v>
      </c>
    </row>
    <row r="1888" spans="1:4" hidden="1" x14ac:dyDescent="0.25">
      <c r="A1888" s="2" t="s">
        <v>9</v>
      </c>
      <c r="B1888">
        <v>26</v>
      </c>
      <c r="C1888" s="2" t="s">
        <v>168</v>
      </c>
      <c r="D1888">
        <v>26</v>
      </c>
    </row>
    <row r="1889" spans="1:4" hidden="1" x14ac:dyDescent="0.25">
      <c r="A1889" s="2" t="s">
        <v>9</v>
      </c>
      <c r="B1889">
        <v>26</v>
      </c>
      <c r="C1889" s="2" t="s">
        <v>169</v>
      </c>
      <c r="D1889">
        <v>26</v>
      </c>
    </row>
    <row r="1890" spans="1:4" hidden="1" x14ac:dyDescent="0.25">
      <c r="A1890" s="2" t="s">
        <v>9</v>
      </c>
      <c r="B1890">
        <v>26</v>
      </c>
      <c r="C1890" s="2" t="s">
        <v>170</v>
      </c>
      <c r="D1890">
        <v>26</v>
      </c>
    </row>
    <row r="1891" spans="1:4" hidden="1" x14ac:dyDescent="0.25">
      <c r="A1891" s="2" t="s">
        <v>9</v>
      </c>
      <c r="B1891">
        <v>26</v>
      </c>
      <c r="C1891" s="2" t="s">
        <v>171</v>
      </c>
      <c r="D1891">
        <v>26</v>
      </c>
    </row>
    <row r="1892" spans="1:4" hidden="1" x14ac:dyDescent="0.25">
      <c r="A1892" s="2" t="s">
        <v>9</v>
      </c>
      <c r="B1892">
        <v>26</v>
      </c>
      <c r="C1892" s="2" t="s">
        <v>172</v>
      </c>
      <c r="D1892">
        <v>26</v>
      </c>
    </row>
    <row r="1893" spans="1:4" hidden="1" x14ac:dyDescent="0.25">
      <c r="A1893" s="2" t="s">
        <v>9</v>
      </c>
      <c r="B1893">
        <v>26</v>
      </c>
      <c r="C1893" s="2" t="s">
        <v>173</v>
      </c>
      <c r="D1893">
        <v>26</v>
      </c>
    </row>
    <row r="1894" spans="1:4" hidden="1" x14ac:dyDescent="0.25">
      <c r="A1894" s="2" t="s">
        <v>9</v>
      </c>
      <c r="B1894">
        <v>26</v>
      </c>
      <c r="C1894" s="2" t="s">
        <v>174</v>
      </c>
      <c r="D1894">
        <v>26</v>
      </c>
    </row>
    <row r="1895" spans="1:4" hidden="1" x14ac:dyDescent="0.25">
      <c r="A1895" s="2" t="s">
        <v>9</v>
      </c>
      <c r="B1895">
        <v>26</v>
      </c>
      <c r="C1895" s="2" t="s">
        <v>175</v>
      </c>
      <c r="D1895">
        <v>26</v>
      </c>
    </row>
    <row r="1896" spans="1:4" hidden="1" x14ac:dyDescent="0.25">
      <c r="A1896" s="2" t="s">
        <v>9</v>
      </c>
      <c r="B1896">
        <v>26</v>
      </c>
      <c r="C1896" s="2" t="s">
        <v>176</v>
      </c>
      <c r="D1896">
        <v>26</v>
      </c>
    </row>
    <row r="1897" spans="1:4" hidden="1" x14ac:dyDescent="0.25">
      <c r="A1897" s="2" t="s">
        <v>9</v>
      </c>
      <c r="B1897">
        <v>26</v>
      </c>
      <c r="C1897" s="2" t="s">
        <v>177</v>
      </c>
      <c r="D1897">
        <v>26</v>
      </c>
    </row>
    <row r="1898" spans="1:4" hidden="1" x14ac:dyDescent="0.25">
      <c r="A1898" s="2" t="s">
        <v>9</v>
      </c>
      <c r="B1898">
        <v>26</v>
      </c>
      <c r="C1898" s="2" t="s">
        <v>178</v>
      </c>
      <c r="D1898">
        <v>26</v>
      </c>
    </row>
    <row r="1899" spans="1:4" hidden="1" x14ac:dyDescent="0.25">
      <c r="A1899" s="2" t="s">
        <v>9</v>
      </c>
      <c r="B1899">
        <v>26</v>
      </c>
      <c r="C1899" s="2" t="s">
        <v>179</v>
      </c>
      <c r="D1899">
        <v>26</v>
      </c>
    </row>
    <row r="1900" spans="1:4" hidden="1" x14ac:dyDescent="0.25">
      <c r="A1900" s="2" t="s">
        <v>20</v>
      </c>
      <c r="B1900">
        <v>26</v>
      </c>
      <c r="C1900" s="2" t="s">
        <v>183</v>
      </c>
      <c r="D1900">
        <v>13</v>
      </c>
    </row>
    <row r="1901" spans="1:4" hidden="1" x14ac:dyDescent="0.25">
      <c r="A1901" s="2" t="s">
        <v>20</v>
      </c>
      <c r="B1901">
        <v>26</v>
      </c>
      <c r="C1901" s="2" t="s">
        <v>184</v>
      </c>
      <c r="D1901">
        <v>14</v>
      </c>
    </row>
    <row r="1902" spans="1:4" hidden="1" x14ac:dyDescent="0.25">
      <c r="A1902" s="2" t="s">
        <v>20</v>
      </c>
      <c r="B1902">
        <v>26</v>
      </c>
      <c r="C1902" s="2" t="s">
        <v>185</v>
      </c>
      <c r="D1902">
        <v>24</v>
      </c>
    </row>
    <row r="1903" spans="1:4" hidden="1" x14ac:dyDescent="0.25">
      <c r="A1903" s="2" t="s">
        <v>20</v>
      </c>
      <c r="B1903">
        <v>26</v>
      </c>
      <c r="C1903" s="2" t="s">
        <v>186</v>
      </c>
      <c r="D1903">
        <v>71</v>
      </c>
    </row>
    <row r="1904" spans="1:4" hidden="1" x14ac:dyDescent="0.25">
      <c r="A1904" s="2" t="s">
        <v>20</v>
      </c>
      <c r="B1904">
        <v>26</v>
      </c>
      <c r="C1904" s="2" t="s">
        <v>187</v>
      </c>
      <c r="D1904">
        <v>71</v>
      </c>
    </row>
    <row r="1905" spans="1:4" hidden="1" x14ac:dyDescent="0.25">
      <c r="A1905" s="2" t="s">
        <v>20</v>
      </c>
      <c r="B1905">
        <v>26</v>
      </c>
      <c r="C1905" s="2" t="s">
        <v>188</v>
      </c>
      <c r="D1905">
        <v>71</v>
      </c>
    </row>
    <row r="1906" spans="1:4" hidden="1" x14ac:dyDescent="0.25">
      <c r="A1906" s="2" t="s">
        <v>20</v>
      </c>
      <c r="B1906">
        <v>26</v>
      </c>
      <c r="C1906" s="2" t="s">
        <v>189</v>
      </c>
      <c r="D1906">
        <v>82</v>
      </c>
    </row>
    <row r="1907" spans="1:4" hidden="1" x14ac:dyDescent="0.25">
      <c r="A1907" s="2" t="s">
        <v>20</v>
      </c>
      <c r="B1907">
        <v>26</v>
      </c>
      <c r="C1907" s="2" t="s">
        <v>190</v>
      </c>
      <c r="D1907">
        <v>86</v>
      </c>
    </row>
    <row r="1908" spans="1:4" hidden="1" x14ac:dyDescent="0.25">
      <c r="A1908" s="2" t="s">
        <v>20</v>
      </c>
      <c r="B1908">
        <v>26</v>
      </c>
      <c r="C1908" s="2" t="s">
        <v>191</v>
      </c>
      <c r="D1908">
        <v>85</v>
      </c>
    </row>
    <row r="1909" spans="1:4" hidden="1" x14ac:dyDescent="0.25">
      <c r="A1909" s="2" t="s">
        <v>20</v>
      </c>
      <c r="B1909">
        <v>26</v>
      </c>
      <c r="C1909" s="2" t="s">
        <v>116</v>
      </c>
      <c r="D1909">
        <v>83</v>
      </c>
    </row>
    <row r="1910" spans="1:4" hidden="1" x14ac:dyDescent="0.25">
      <c r="A1910" s="2" t="s">
        <v>20</v>
      </c>
      <c r="B1910">
        <v>26</v>
      </c>
      <c r="C1910" s="2" t="s">
        <v>117</v>
      </c>
      <c r="D1910">
        <v>80</v>
      </c>
    </row>
    <row r="1911" spans="1:4" hidden="1" x14ac:dyDescent="0.25">
      <c r="A1911" s="2" t="s">
        <v>20</v>
      </c>
      <c r="B1911">
        <v>26</v>
      </c>
      <c r="C1911" s="2" t="s">
        <v>118</v>
      </c>
      <c r="D1911">
        <v>73</v>
      </c>
    </row>
    <row r="1912" spans="1:4" hidden="1" x14ac:dyDescent="0.25">
      <c r="A1912" s="2" t="s">
        <v>20</v>
      </c>
      <c r="B1912">
        <v>26</v>
      </c>
      <c r="C1912" s="2" t="s">
        <v>119</v>
      </c>
      <c r="D1912">
        <v>46</v>
      </c>
    </row>
    <row r="1913" spans="1:4" hidden="1" x14ac:dyDescent="0.25">
      <c r="A1913" s="2" t="s">
        <v>20</v>
      </c>
      <c r="B1913">
        <v>26</v>
      </c>
      <c r="C1913" s="2" t="s">
        <v>120</v>
      </c>
      <c r="D1913">
        <v>45</v>
      </c>
    </row>
    <row r="1914" spans="1:4" hidden="1" x14ac:dyDescent="0.25">
      <c r="A1914" s="2" t="s">
        <v>20</v>
      </c>
      <c r="B1914">
        <v>26</v>
      </c>
      <c r="C1914" s="2" t="s">
        <v>121</v>
      </c>
      <c r="D1914">
        <v>45</v>
      </c>
    </row>
    <row r="1915" spans="1:4" hidden="1" x14ac:dyDescent="0.25">
      <c r="A1915" s="2" t="s">
        <v>20</v>
      </c>
      <c r="B1915">
        <v>26</v>
      </c>
      <c r="C1915" s="2" t="s">
        <v>122</v>
      </c>
      <c r="D1915">
        <v>55</v>
      </c>
    </row>
    <row r="1916" spans="1:4" hidden="1" x14ac:dyDescent="0.25">
      <c r="A1916" s="2" t="s">
        <v>20</v>
      </c>
      <c r="B1916">
        <v>26</v>
      </c>
      <c r="C1916" s="2" t="s">
        <v>123</v>
      </c>
      <c r="D1916">
        <v>61</v>
      </c>
    </row>
    <row r="1917" spans="1:4" hidden="1" x14ac:dyDescent="0.25">
      <c r="A1917" s="2" t="s">
        <v>20</v>
      </c>
      <c r="B1917">
        <v>26</v>
      </c>
      <c r="C1917" s="2" t="s">
        <v>124</v>
      </c>
      <c r="D1917">
        <v>63</v>
      </c>
    </row>
    <row r="1918" spans="1:4" hidden="1" x14ac:dyDescent="0.25">
      <c r="A1918" s="2" t="s">
        <v>20</v>
      </c>
      <c r="B1918">
        <v>26</v>
      </c>
      <c r="C1918" s="2" t="s">
        <v>125</v>
      </c>
      <c r="D1918">
        <v>62</v>
      </c>
    </row>
    <row r="1919" spans="1:4" hidden="1" x14ac:dyDescent="0.25">
      <c r="A1919" s="2" t="s">
        <v>20</v>
      </c>
      <c r="B1919">
        <v>26</v>
      </c>
      <c r="C1919" s="2" t="s">
        <v>126</v>
      </c>
      <c r="D1919">
        <v>61</v>
      </c>
    </row>
    <row r="1920" spans="1:4" hidden="1" x14ac:dyDescent="0.25">
      <c r="A1920" s="2" t="s">
        <v>20</v>
      </c>
      <c r="B1920">
        <v>26</v>
      </c>
      <c r="C1920" s="2" t="s">
        <v>127</v>
      </c>
      <c r="D1920">
        <v>62</v>
      </c>
    </row>
    <row r="1921" spans="1:4" hidden="1" x14ac:dyDescent="0.25">
      <c r="A1921" s="2" t="s">
        <v>20</v>
      </c>
      <c r="B1921">
        <v>26</v>
      </c>
      <c r="C1921" s="2" t="s">
        <v>128</v>
      </c>
      <c r="D1921">
        <v>67</v>
      </c>
    </row>
    <row r="1922" spans="1:4" hidden="1" x14ac:dyDescent="0.25">
      <c r="A1922" s="2" t="s">
        <v>20</v>
      </c>
      <c r="B1922">
        <v>26</v>
      </c>
      <c r="C1922" s="2" t="s">
        <v>129</v>
      </c>
      <c r="D1922">
        <v>68</v>
      </c>
    </row>
    <row r="1923" spans="1:4" hidden="1" x14ac:dyDescent="0.25">
      <c r="A1923" s="2" t="s">
        <v>20</v>
      </c>
      <c r="B1923">
        <v>26</v>
      </c>
      <c r="C1923" s="2" t="s">
        <v>130</v>
      </c>
      <c r="D1923">
        <v>49</v>
      </c>
    </row>
    <row r="1924" spans="1:4" hidden="1" x14ac:dyDescent="0.25">
      <c r="A1924" s="2" t="s">
        <v>20</v>
      </c>
      <c r="B1924">
        <v>26</v>
      </c>
      <c r="C1924" s="2" t="s">
        <v>131</v>
      </c>
      <c r="D1924">
        <v>37</v>
      </c>
    </row>
    <row r="1925" spans="1:4" hidden="1" x14ac:dyDescent="0.25">
      <c r="A1925" s="2" t="s">
        <v>20</v>
      </c>
      <c r="B1925">
        <v>26</v>
      </c>
      <c r="C1925" s="2" t="s">
        <v>132</v>
      </c>
      <c r="D1925">
        <v>41</v>
      </c>
    </row>
    <row r="1926" spans="1:4" hidden="1" x14ac:dyDescent="0.25">
      <c r="A1926" s="2" t="s">
        <v>20</v>
      </c>
      <c r="B1926">
        <v>26</v>
      </c>
      <c r="C1926" s="2" t="s">
        <v>133</v>
      </c>
      <c r="D1926">
        <v>41</v>
      </c>
    </row>
    <row r="1927" spans="1:4" hidden="1" x14ac:dyDescent="0.25">
      <c r="A1927" s="2" t="s">
        <v>20</v>
      </c>
      <c r="B1927">
        <v>26</v>
      </c>
      <c r="C1927" s="2" t="s">
        <v>134</v>
      </c>
      <c r="D1927">
        <v>42</v>
      </c>
    </row>
    <row r="1928" spans="1:4" hidden="1" x14ac:dyDescent="0.25">
      <c r="A1928" s="2" t="s">
        <v>20</v>
      </c>
      <c r="B1928">
        <v>26</v>
      </c>
      <c r="C1928" s="2" t="s">
        <v>135</v>
      </c>
      <c r="D1928">
        <v>26</v>
      </c>
    </row>
    <row r="1929" spans="1:4" hidden="1" x14ac:dyDescent="0.25">
      <c r="A1929" s="2" t="s">
        <v>20</v>
      </c>
      <c r="B1929">
        <v>26</v>
      </c>
      <c r="C1929" s="2" t="s">
        <v>136</v>
      </c>
      <c r="D1929">
        <v>26</v>
      </c>
    </row>
    <row r="1930" spans="1:4" hidden="1" x14ac:dyDescent="0.25">
      <c r="A1930" s="2" t="s">
        <v>20</v>
      </c>
      <c r="B1930">
        <v>26</v>
      </c>
      <c r="C1930" s="2" t="s">
        <v>137</v>
      </c>
      <c r="D1930">
        <v>26</v>
      </c>
    </row>
    <row r="1931" spans="1:4" hidden="1" x14ac:dyDescent="0.25">
      <c r="A1931" s="2" t="s">
        <v>20</v>
      </c>
      <c r="B1931">
        <v>26</v>
      </c>
      <c r="C1931" s="2" t="s">
        <v>138</v>
      </c>
      <c r="D1931">
        <v>26</v>
      </c>
    </row>
    <row r="1932" spans="1:4" hidden="1" x14ac:dyDescent="0.25">
      <c r="A1932" s="2" t="s">
        <v>20</v>
      </c>
      <c r="B1932">
        <v>26</v>
      </c>
      <c r="C1932" s="2" t="s">
        <v>139</v>
      </c>
      <c r="D1932">
        <v>26</v>
      </c>
    </row>
    <row r="1933" spans="1:4" hidden="1" x14ac:dyDescent="0.25">
      <c r="A1933" s="2" t="s">
        <v>20</v>
      </c>
      <c r="B1933">
        <v>26</v>
      </c>
      <c r="C1933" s="2" t="s">
        <v>140</v>
      </c>
      <c r="D1933">
        <v>26</v>
      </c>
    </row>
    <row r="1934" spans="1:4" hidden="1" x14ac:dyDescent="0.25">
      <c r="A1934" s="2" t="s">
        <v>20</v>
      </c>
      <c r="B1934">
        <v>26</v>
      </c>
      <c r="C1934" s="2" t="s">
        <v>141</v>
      </c>
      <c r="D1934">
        <v>26</v>
      </c>
    </row>
    <row r="1935" spans="1:4" hidden="1" x14ac:dyDescent="0.25">
      <c r="A1935" s="2" t="s">
        <v>20</v>
      </c>
      <c r="B1935">
        <v>26</v>
      </c>
      <c r="C1935" s="2" t="s">
        <v>142</v>
      </c>
      <c r="D1935">
        <v>26</v>
      </c>
    </row>
    <row r="1936" spans="1:4" hidden="1" x14ac:dyDescent="0.25">
      <c r="A1936" s="2" t="s">
        <v>20</v>
      </c>
      <c r="B1936">
        <v>26</v>
      </c>
      <c r="C1936" s="2" t="s">
        <v>143</v>
      </c>
      <c r="D1936">
        <v>26</v>
      </c>
    </row>
    <row r="1937" spans="1:4" hidden="1" x14ac:dyDescent="0.25">
      <c r="A1937" s="2" t="s">
        <v>20</v>
      </c>
      <c r="B1937">
        <v>26</v>
      </c>
      <c r="C1937" s="2" t="s">
        <v>144</v>
      </c>
      <c r="D1937">
        <v>26</v>
      </c>
    </row>
    <row r="1938" spans="1:4" hidden="1" x14ac:dyDescent="0.25">
      <c r="A1938" s="2" t="s">
        <v>20</v>
      </c>
      <c r="B1938">
        <v>26</v>
      </c>
      <c r="C1938" s="2" t="s">
        <v>145</v>
      </c>
      <c r="D1938">
        <v>26</v>
      </c>
    </row>
    <row r="1939" spans="1:4" hidden="1" x14ac:dyDescent="0.25">
      <c r="A1939" s="2" t="s">
        <v>20</v>
      </c>
      <c r="B1939">
        <v>26</v>
      </c>
      <c r="C1939" s="2" t="s">
        <v>146</v>
      </c>
      <c r="D1939">
        <v>26</v>
      </c>
    </row>
    <row r="1940" spans="1:4" hidden="1" x14ac:dyDescent="0.25">
      <c r="A1940" s="2" t="s">
        <v>20</v>
      </c>
      <c r="B1940">
        <v>26</v>
      </c>
      <c r="C1940" s="2" t="s">
        <v>147</v>
      </c>
      <c r="D1940">
        <v>26</v>
      </c>
    </row>
    <row r="1941" spans="1:4" hidden="1" x14ac:dyDescent="0.25">
      <c r="A1941" s="2" t="s">
        <v>20</v>
      </c>
      <c r="B1941">
        <v>26</v>
      </c>
      <c r="C1941" s="2" t="s">
        <v>148</v>
      </c>
      <c r="D1941">
        <v>26</v>
      </c>
    </row>
    <row r="1942" spans="1:4" hidden="1" x14ac:dyDescent="0.25">
      <c r="A1942" s="2" t="s">
        <v>20</v>
      </c>
      <c r="B1942">
        <v>26</v>
      </c>
      <c r="C1942" s="2" t="s">
        <v>149</v>
      </c>
      <c r="D1942">
        <v>26</v>
      </c>
    </row>
    <row r="1943" spans="1:4" hidden="1" x14ac:dyDescent="0.25">
      <c r="A1943" s="2" t="s">
        <v>20</v>
      </c>
      <c r="B1943">
        <v>26</v>
      </c>
      <c r="C1943" s="2" t="s">
        <v>150</v>
      </c>
      <c r="D1943">
        <v>26</v>
      </c>
    </row>
    <row r="1944" spans="1:4" hidden="1" x14ac:dyDescent="0.25">
      <c r="A1944" s="2" t="s">
        <v>20</v>
      </c>
      <c r="B1944">
        <v>26</v>
      </c>
      <c r="C1944" s="2" t="s">
        <v>151</v>
      </c>
      <c r="D1944">
        <v>26</v>
      </c>
    </row>
    <row r="1945" spans="1:4" hidden="1" x14ac:dyDescent="0.25">
      <c r="A1945" s="2" t="s">
        <v>20</v>
      </c>
      <c r="B1945">
        <v>26</v>
      </c>
      <c r="C1945" s="2" t="s">
        <v>152</v>
      </c>
      <c r="D1945">
        <v>26</v>
      </c>
    </row>
    <row r="1946" spans="1:4" hidden="1" x14ac:dyDescent="0.25">
      <c r="A1946" s="2" t="s">
        <v>20</v>
      </c>
      <c r="B1946">
        <v>26</v>
      </c>
      <c r="C1946" s="2" t="s">
        <v>153</v>
      </c>
      <c r="D1946">
        <v>26</v>
      </c>
    </row>
    <row r="1947" spans="1:4" hidden="1" x14ac:dyDescent="0.25">
      <c r="A1947" s="2" t="s">
        <v>20</v>
      </c>
      <c r="B1947">
        <v>26</v>
      </c>
      <c r="C1947" s="2" t="s">
        <v>154</v>
      </c>
      <c r="D1947">
        <v>26</v>
      </c>
    </row>
    <row r="1948" spans="1:4" hidden="1" x14ac:dyDescent="0.25">
      <c r="A1948" s="2" t="s">
        <v>20</v>
      </c>
      <c r="B1948">
        <v>26</v>
      </c>
      <c r="C1948" s="2" t="s">
        <v>155</v>
      </c>
      <c r="D1948">
        <v>26</v>
      </c>
    </row>
    <row r="1949" spans="1:4" hidden="1" x14ac:dyDescent="0.25">
      <c r="A1949" s="2" t="s">
        <v>20</v>
      </c>
      <c r="B1949">
        <v>26</v>
      </c>
      <c r="C1949" s="2" t="s">
        <v>156</v>
      </c>
      <c r="D1949">
        <v>26</v>
      </c>
    </row>
    <row r="1950" spans="1:4" hidden="1" x14ac:dyDescent="0.25">
      <c r="A1950" s="2" t="s">
        <v>20</v>
      </c>
      <c r="B1950">
        <v>26</v>
      </c>
      <c r="C1950" s="2" t="s">
        <v>157</v>
      </c>
      <c r="D1950">
        <v>26</v>
      </c>
    </row>
    <row r="1951" spans="1:4" hidden="1" x14ac:dyDescent="0.25">
      <c r="A1951" s="2" t="s">
        <v>20</v>
      </c>
      <c r="B1951">
        <v>26</v>
      </c>
      <c r="C1951" s="2" t="s">
        <v>158</v>
      </c>
      <c r="D1951">
        <v>26</v>
      </c>
    </row>
    <row r="1952" spans="1:4" hidden="1" x14ac:dyDescent="0.25">
      <c r="A1952" s="2" t="s">
        <v>20</v>
      </c>
      <c r="B1952">
        <v>26</v>
      </c>
      <c r="C1952" s="2" t="s">
        <v>159</v>
      </c>
      <c r="D1952">
        <v>26</v>
      </c>
    </row>
    <row r="1953" spans="1:4" hidden="1" x14ac:dyDescent="0.25">
      <c r="A1953" s="2" t="s">
        <v>20</v>
      </c>
      <c r="B1953">
        <v>26</v>
      </c>
      <c r="C1953" s="2" t="s">
        <v>160</v>
      </c>
      <c r="D1953">
        <v>26</v>
      </c>
    </row>
    <row r="1954" spans="1:4" hidden="1" x14ac:dyDescent="0.25">
      <c r="A1954" s="2" t="s">
        <v>20</v>
      </c>
      <c r="B1954">
        <v>26</v>
      </c>
      <c r="C1954" s="2" t="s">
        <v>161</v>
      </c>
      <c r="D1954">
        <v>26</v>
      </c>
    </row>
    <row r="1955" spans="1:4" hidden="1" x14ac:dyDescent="0.25">
      <c r="A1955" s="2" t="s">
        <v>20</v>
      </c>
      <c r="B1955">
        <v>26</v>
      </c>
      <c r="C1955" s="2" t="s">
        <v>162</v>
      </c>
      <c r="D1955">
        <v>26</v>
      </c>
    </row>
    <row r="1956" spans="1:4" hidden="1" x14ac:dyDescent="0.25">
      <c r="A1956" s="2" t="s">
        <v>20</v>
      </c>
      <c r="B1956">
        <v>26</v>
      </c>
      <c r="C1956" s="2" t="s">
        <v>163</v>
      </c>
      <c r="D1956">
        <v>26</v>
      </c>
    </row>
    <row r="1957" spans="1:4" hidden="1" x14ac:dyDescent="0.25">
      <c r="A1957" s="2" t="s">
        <v>20</v>
      </c>
      <c r="B1957">
        <v>26</v>
      </c>
      <c r="C1957" s="2" t="s">
        <v>164</v>
      </c>
      <c r="D1957">
        <v>26</v>
      </c>
    </row>
    <row r="1958" spans="1:4" hidden="1" x14ac:dyDescent="0.25">
      <c r="A1958" s="2" t="s">
        <v>20</v>
      </c>
      <c r="B1958">
        <v>26</v>
      </c>
      <c r="C1958" s="2" t="s">
        <v>165</v>
      </c>
      <c r="D1958">
        <v>26</v>
      </c>
    </row>
    <row r="1959" spans="1:4" hidden="1" x14ac:dyDescent="0.25">
      <c r="A1959" s="2" t="s">
        <v>20</v>
      </c>
      <c r="B1959">
        <v>26</v>
      </c>
      <c r="C1959" s="2" t="s">
        <v>166</v>
      </c>
      <c r="D1959">
        <v>26</v>
      </c>
    </row>
    <row r="1960" spans="1:4" hidden="1" x14ac:dyDescent="0.25">
      <c r="A1960" s="2" t="s">
        <v>20</v>
      </c>
      <c r="B1960">
        <v>26</v>
      </c>
      <c r="C1960" s="2" t="s">
        <v>167</v>
      </c>
      <c r="D1960">
        <v>26</v>
      </c>
    </row>
    <row r="1961" spans="1:4" hidden="1" x14ac:dyDescent="0.25">
      <c r="A1961" s="2" t="s">
        <v>20</v>
      </c>
      <c r="B1961">
        <v>26</v>
      </c>
      <c r="C1961" s="2" t="s">
        <v>168</v>
      </c>
      <c r="D1961">
        <v>26</v>
      </c>
    </row>
    <row r="1962" spans="1:4" hidden="1" x14ac:dyDescent="0.25">
      <c r="A1962" s="2" t="s">
        <v>20</v>
      </c>
      <c r="B1962">
        <v>26</v>
      </c>
      <c r="C1962" s="2" t="s">
        <v>169</v>
      </c>
      <c r="D1962">
        <v>26</v>
      </c>
    </row>
    <row r="1963" spans="1:4" hidden="1" x14ac:dyDescent="0.25">
      <c r="A1963" s="2" t="s">
        <v>20</v>
      </c>
      <c r="B1963">
        <v>26</v>
      </c>
      <c r="C1963" s="2" t="s">
        <v>170</v>
      </c>
      <c r="D1963">
        <v>26</v>
      </c>
    </row>
    <row r="1964" spans="1:4" hidden="1" x14ac:dyDescent="0.25">
      <c r="A1964" s="2" t="s">
        <v>20</v>
      </c>
      <c r="B1964">
        <v>26</v>
      </c>
      <c r="C1964" s="2" t="s">
        <v>171</v>
      </c>
      <c r="D1964">
        <v>26</v>
      </c>
    </row>
    <row r="1965" spans="1:4" hidden="1" x14ac:dyDescent="0.25">
      <c r="A1965" s="2" t="s">
        <v>20</v>
      </c>
      <c r="B1965">
        <v>26</v>
      </c>
      <c r="C1965" s="2" t="s">
        <v>172</v>
      </c>
      <c r="D1965">
        <v>26</v>
      </c>
    </row>
    <row r="1966" spans="1:4" hidden="1" x14ac:dyDescent="0.25">
      <c r="A1966" s="2" t="s">
        <v>20</v>
      </c>
      <c r="B1966">
        <v>26</v>
      </c>
      <c r="C1966" s="2" t="s">
        <v>173</v>
      </c>
      <c r="D1966">
        <v>26</v>
      </c>
    </row>
    <row r="1967" spans="1:4" hidden="1" x14ac:dyDescent="0.25">
      <c r="A1967" s="2" t="s">
        <v>20</v>
      </c>
      <c r="B1967">
        <v>26</v>
      </c>
      <c r="C1967" s="2" t="s">
        <v>174</v>
      </c>
      <c r="D1967">
        <v>26</v>
      </c>
    </row>
    <row r="1968" spans="1:4" hidden="1" x14ac:dyDescent="0.25">
      <c r="A1968" s="2" t="s">
        <v>20</v>
      </c>
      <c r="B1968">
        <v>26</v>
      </c>
      <c r="C1968" s="2" t="s">
        <v>175</v>
      </c>
      <c r="D1968">
        <v>26</v>
      </c>
    </row>
    <row r="1969" spans="1:4" hidden="1" x14ac:dyDescent="0.25">
      <c r="A1969" s="2" t="s">
        <v>20</v>
      </c>
      <c r="B1969">
        <v>26</v>
      </c>
      <c r="C1969" s="2" t="s">
        <v>176</v>
      </c>
      <c r="D1969">
        <v>26</v>
      </c>
    </row>
    <row r="1970" spans="1:4" hidden="1" x14ac:dyDescent="0.25">
      <c r="A1970" s="2" t="s">
        <v>20</v>
      </c>
      <c r="B1970">
        <v>26</v>
      </c>
      <c r="C1970" s="2" t="s">
        <v>177</v>
      </c>
      <c r="D1970">
        <v>26</v>
      </c>
    </row>
    <row r="1971" spans="1:4" hidden="1" x14ac:dyDescent="0.25">
      <c r="A1971" s="2" t="s">
        <v>20</v>
      </c>
      <c r="B1971">
        <v>26</v>
      </c>
      <c r="C1971" s="2" t="s">
        <v>178</v>
      </c>
      <c r="D1971">
        <v>26</v>
      </c>
    </row>
    <row r="1972" spans="1:4" hidden="1" x14ac:dyDescent="0.25">
      <c r="A1972" s="2" t="s">
        <v>20</v>
      </c>
      <c r="B1972">
        <v>26</v>
      </c>
      <c r="C1972" s="2" t="s">
        <v>179</v>
      </c>
      <c r="D1972">
        <v>26</v>
      </c>
    </row>
    <row r="1973" spans="1:4" hidden="1" x14ac:dyDescent="0.25">
      <c r="A1973" s="2" t="s">
        <v>95</v>
      </c>
      <c r="B1973">
        <v>26</v>
      </c>
      <c r="C1973" s="2" t="s">
        <v>183</v>
      </c>
      <c r="D1973">
        <v>13</v>
      </c>
    </row>
    <row r="1974" spans="1:4" hidden="1" x14ac:dyDescent="0.25">
      <c r="A1974" s="2" t="s">
        <v>95</v>
      </c>
      <c r="B1974">
        <v>26</v>
      </c>
      <c r="C1974" s="2" t="s">
        <v>184</v>
      </c>
      <c r="D1974">
        <v>14</v>
      </c>
    </row>
    <row r="1975" spans="1:4" hidden="1" x14ac:dyDescent="0.25">
      <c r="A1975" s="2" t="s">
        <v>95</v>
      </c>
      <c r="B1975">
        <v>26</v>
      </c>
      <c r="C1975" s="2" t="s">
        <v>185</v>
      </c>
      <c r="D1975">
        <v>24</v>
      </c>
    </row>
    <row r="1976" spans="1:4" hidden="1" x14ac:dyDescent="0.25">
      <c r="A1976" s="2" t="s">
        <v>95</v>
      </c>
      <c r="B1976">
        <v>26</v>
      </c>
      <c r="C1976" s="2" t="s">
        <v>186</v>
      </c>
      <c r="D1976">
        <v>9</v>
      </c>
    </row>
    <row r="1977" spans="1:4" hidden="1" x14ac:dyDescent="0.25">
      <c r="A1977" s="2" t="s">
        <v>95</v>
      </c>
      <c r="B1977">
        <v>26</v>
      </c>
      <c r="C1977" s="2" t="s">
        <v>187</v>
      </c>
      <c r="D1977">
        <v>9</v>
      </c>
    </row>
    <row r="1978" spans="1:4" hidden="1" x14ac:dyDescent="0.25">
      <c r="A1978" s="2" t="s">
        <v>95</v>
      </c>
      <c r="B1978">
        <v>26</v>
      </c>
      <c r="C1978" s="2" t="s">
        <v>188</v>
      </c>
      <c r="D1978">
        <v>9</v>
      </c>
    </row>
    <row r="1979" spans="1:4" hidden="1" x14ac:dyDescent="0.25">
      <c r="A1979" s="2" t="s">
        <v>95</v>
      </c>
      <c r="B1979">
        <v>26</v>
      </c>
      <c r="C1979" s="2" t="s">
        <v>189</v>
      </c>
      <c r="D1979">
        <v>24</v>
      </c>
    </row>
    <row r="1980" spans="1:4" hidden="1" x14ac:dyDescent="0.25">
      <c r="A1980" s="2" t="s">
        <v>95</v>
      </c>
      <c r="B1980">
        <v>26</v>
      </c>
      <c r="C1980" s="2" t="s">
        <v>190</v>
      </c>
      <c r="D1980">
        <v>25</v>
      </c>
    </row>
    <row r="1981" spans="1:4" hidden="1" x14ac:dyDescent="0.25">
      <c r="A1981" s="2" t="s">
        <v>95</v>
      </c>
      <c r="B1981">
        <v>26</v>
      </c>
      <c r="C1981" s="2" t="s">
        <v>191</v>
      </c>
      <c r="D1981">
        <v>27</v>
      </c>
    </row>
    <row r="1982" spans="1:4" hidden="1" x14ac:dyDescent="0.25">
      <c r="A1982" s="2" t="s">
        <v>95</v>
      </c>
      <c r="B1982">
        <v>26</v>
      </c>
      <c r="C1982" s="2" t="s">
        <v>116</v>
      </c>
      <c r="D1982">
        <v>31</v>
      </c>
    </row>
    <row r="1983" spans="1:4" hidden="1" x14ac:dyDescent="0.25">
      <c r="A1983" s="2" t="s">
        <v>95</v>
      </c>
      <c r="B1983">
        <v>26</v>
      </c>
      <c r="C1983" s="2" t="s">
        <v>117</v>
      </c>
      <c r="D1983">
        <v>30</v>
      </c>
    </row>
    <row r="1984" spans="1:4" hidden="1" x14ac:dyDescent="0.25">
      <c r="A1984" s="2" t="s">
        <v>95</v>
      </c>
      <c r="B1984">
        <v>26</v>
      </c>
      <c r="C1984" s="2" t="s">
        <v>118</v>
      </c>
      <c r="D1984">
        <v>29</v>
      </c>
    </row>
    <row r="1985" spans="1:4" hidden="1" x14ac:dyDescent="0.25">
      <c r="A1985" s="2" t="s">
        <v>95</v>
      </c>
      <c r="B1985">
        <v>26</v>
      </c>
      <c r="C1985" s="2" t="s">
        <v>119</v>
      </c>
      <c r="D1985">
        <v>37</v>
      </c>
    </row>
    <row r="1986" spans="1:4" hidden="1" x14ac:dyDescent="0.25">
      <c r="A1986" s="2" t="s">
        <v>95</v>
      </c>
      <c r="B1986">
        <v>26</v>
      </c>
      <c r="C1986" s="2" t="s">
        <v>120</v>
      </c>
      <c r="D1986">
        <v>45</v>
      </c>
    </row>
    <row r="1987" spans="1:4" hidden="1" x14ac:dyDescent="0.25">
      <c r="A1987" s="2" t="s">
        <v>95</v>
      </c>
      <c r="B1987">
        <v>26</v>
      </c>
      <c r="C1987" s="2" t="s">
        <v>121</v>
      </c>
      <c r="D1987">
        <v>45</v>
      </c>
    </row>
    <row r="1988" spans="1:4" hidden="1" x14ac:dyDescent="0.25">
      <c r="A1988" s="2" t="s">
        <v>95</v>
      </c>
      <c r="B1988">
        <v>26</v>
      </c>
      <c r="C1988" s="2" t="s">
        <v>122</v>
      </c>
      <c r="D1988">
        <v>55</v>
      </c>
    </row>
    <row r="1989" spans="1:4" hidden="1" x14ac:dyDescent="0.25">
      <c r="A1989" s="2" t="s">
        <v>95</v>
      </c>
      <c r="B1989">
        <v>26</v>
      </c>
      <c r="C1989" s="2" t="s">
        <v>123</v>
      </c>
      <c r="D1989">
        <v>38</v>
      </c>
    </row>
    <row r="1990" spans="1:4" hidden="1" x14ac:dyDescent="0.25">
      <c r="A1990" s="2" t="s">
        <v>95</v>
      </c>
      <c r="B1990">
        <v>26</v>
      </c>
      <c r="C1990" s="2" t="s">
        <v>124</v>
      </c>
      <c r="D1990">
        <v>43</v>
      </c>
    </row>
    <row r="1991" spans="1:4" hidden="1" x14ac:dyDescent="0.25">
      <c r="A1991" s="2" t="s">
        <v>95</v>
      </c>
      <c r="B1991">
        <v>26</v>
      </c>
      <c r="C1991" s="2" t="s">
        <v>125</v>
      </c>
      <c r="D1991">
        <v>38</v>
      </c>
    </row>
    <row r="1992" spans="1:4" hidden="1" x14ac:dyDescent="0.25">
      <c r="A1992" s="2" t="s">
        <v>95</v>
      </c>
      <c r="B1992">
        <v>26</v>
      </c>
      <c r="C1992" s="2" t="s">
        <v>126</v>
      </c>
      <c r="D1992">
        <v>39</v>
      </c>
    </row>
    <row r="1993" spans="1:4" hidden="1" x14ac:dyDescent="0.25">
      <c r="A1993" s="2" t="s">
        <v>95</v>
      </c>
      <c r="B1993">
        <v>26</v>
      </c>
      <c r="C1993" s="2" t="s">
        <v>127</v>
      </c>
      <c r="D1993">
        <v>32</v>
      </c>
    </row>
    <row r="1994" spans="1:4" hidden="1" x14ac:dyDescent="0.25">
      <c r="A1994" s="2" t="s">
        <v>95</v>
      </c>
      <c r="B1994">
        <v>26</v>
      </c>
      <c r="C1994" s="2" t="s">
        <v>128</v>
      </c>
      <c r="D1994">
        <v>48</v>
      </c>
    </row>
    <row r="1995" spans="1:4" hidden="1" x14ac:dyDescent="0.25">
      <c r="A1995" s="2" t="s">
        <v>95</v>
      </c>
      <c r="B1995">
        <v>26</v>
      </c>
      <c r="C1995" s="2" t="s">
        <v>129</v>
      </c>
      <c r="D1995">
        <v>36</v>
      </c>
    </row>
    <row r="1996" spans="1:4" hidden="1" x14ac:dyDescent="0.25">
      <c r="A1996" s="2" t="s">
        <v>95</v>
      </c>
      <c r="B1996">
        <v>26</v>
      </c>
      <c r="C1996" s="2" t="s">
        <v>130</v>
      </c>
      <c r="D1996">
        <v>23</v>
      </c>
    </row>
    <row r="1997" spans="1:4" hidden="1" x14ac:dyDescent="0.25">
      <c r="A1997" s="2" t="s">
        <v>95</v>
      </c>
      <c r="B1997">
        <v>26</v>
      </c>
      <c r="C1997" s="2" t="s">
        <v>131</v>
      </c>
      <c r="D1997">
        <v>22</v>
      </c>
    </row>
    <row r="1998" spans="1:4" hidden="1" x14ac:dyDescent="0.25">
      <c r="A1998" s="2" t="s">
        <v>95</v>
      </c>
      <c r="B1998">
        <v>26</v>
      </c>
      <c r="C1998" s="2" t="s">
        <v>132</v>
      </c>
      <c r="D1998">
        <v>27</v>
      </c>
    </row>
    <row r="1999" spans="1:4" hidden="1" x14ac:dyDescent="0.25">
      <c r="A1999" s="2" t="s">
        <v>95</v>
      </c>
      <c r="B1999">
        <v>26</v>
      </c>
      <c r="C1999" s="2" t="s">
        <v>133</v>
      </c>
      <c r="D1999">
        <v>27</v>
      </c>
    </row>
    <row r="2000" spans="1:4" hidden="1" x14ac:dyDescent="0.25">
      <c r="A2000" s="2" t="s">
        <v>95</v>
      </c>
      <c r="B2000">
        <v>26</v>
      </c>
      <c r="C2000" s="2" t="s">
        <v>134</v>
      </c>
      <c r="D2000">
        <v>28</v>
      </c>
    </row>
    <row r="2001" spans="1:4" hidden="1" x14ac:dyDescent="0.25">
      <c r="A2001" s="2" t="s">
        <v>95</v>
      </c>
      <c r="B2001">
        <v>26</v>
      </c>
      <c r="C2001" s="2" t="s">
        <v>135</v>
      </c>
      <c r="D2001">
        <v>26</v>
      </c>
    </row>
    <row r="2002" spans="1:4" hidden="1" x14ac:dyDescent="0.25">
      <c r="A2002" s="2" t="s">
        <v>95</v>
      </c>
      <c r="B2002">
        <v>26</v>
      </c>
      <c r="C2002" s="2" t="s">
        <v>136</v>
      </c>
      <c r="D2002">
        <v>26</v>
      </c>
    </row>
    <row r="2003" spans="1:4" hidden="1" x14ac:dyDescent="0.25">
      <c r="A2003" s="2" t="s">
        <v>95</v>
      </c>
      <c r="B2003">
        <v>26</v>
      </c>
      <c r="C2003" s="2" t="s">
        <v>137</v>
      </c>
      <c r="D2003">
        <v>26</v>
      </c>
    </row>
    <row r="2004" spans="1:4" hidden="1" x14ac:dyDescent="0.25">
      <c r="A2004" s="2" t="s">
        <v>95</v>
      </c>
      <c r="B2004">
        <v>26</v>
      </c>
      <c r="C2004" s="2" t="s">
        <v>138</v>
      </c>
      <c r="D2004">
        <v>26</v>
      </c>
    </row>
    <row r="2005" spans="1:4" hidden="1" x14ac:dyDescent="0.25">
      <c r="A2005" s="2" t="s">
        <v>95</v>
      </c>
      <c r="B2005">
        <v>26</v>
      </c>
      <c r="C2005" s="2" t="s">
        <v>139</v>
      </c>
      <c r="D2005">
        <v>26</v>
      </c>
    </row>
    <row r="2006" spans="1:4" hidden="1" x14ac:dyDescent="0.25">
      <c r="A2006" s="2" t="s">
        <v>95</v>
      </c>
      <c r="B2006">
        <v>26</v>
      </c>
      <c r="C2006" s="2" t="s">
        <v>140</v>
      </c>
      <c r="D2006">
        <v>26</v>
      </c>
    </row>
    <row r="2007" spans="1:4" hidden="1" x14ac:dyDescent="0.25">
      <c r="A2007" s="2" t="s">
        <v>95</v>
      </c>
      <c r="B2007">
        <v>26</v>
      </c>
      <c r="C2007" s="2" t="s">
        <v>141</v>
      </c>
      <c r="D2007">
        <v>26</v>
      </c>
    </row>
    <row r="2008" spans="1:4" hidden="1" x14ac:dyDescent="0.25">
      <c r="A2008" s="2" t="s">
        <v>95</v>
      </c>
      <c r="B2008">
        <v>26</v>
      </c>
      <c r="C2008" s="2" t="s">
        <v>142</v>
      </c>
      <c r="D2008">
        <v>26</v>
      </c>
    </row>
    <row r="2009" spans="1:4" hidden="1" x14ac:dyDescent="0.25">
      <c r="A2009" s="2" t="s">
        <v>95</v>
      </c>
      <c r="B2009">
        <v>26</v>
      </c>
      <c r="C2009" s="2" t="s">
        <v>143</v>
      </c>
      <c r="D2009">
        <v>26</v>
      </c>
    </row>
    <row r="2010" spans="1:4" hidden="1" x14ac:dyDescent="0.25">
      <c r="A2010" s="2" t="s">
        <v>95</v>
      </c>
      <c r="B2010">
        <v>26</v>
      </c>
      <c r="C2010" s="2" t="s">
        <v>144</v>
      </c>
      <c r="D2010">
        <v>26</v>
      </c>
    </row>
    <row r="2011" spans="1:4" hidden="1" x14ac:dyDescent="0.25">
      <c r="A2011" s="2" t="s">
        <v>95</v>
      </c>
      <c r="B2011">
        <v>26</v>
      </c>
      <c r="C2011" s="2" t="s">
        <v>145</v>
      </c>
      <c r="D2011">
        <v>26</v>
      </c>
    </row>
    <row r="2012" spans="1:4" hidden="1" x14ac:dyDescent="0.25">
      <c r="A2012" s="2" t="s">
        <v>95</v>
      </c>
      <c r="B2012">
        <v>26</v>
      </c>
      <c r="C2012" s="2" t="s">
        <v>146</v>
      </c>
      <c r="D2012">
        <v>26</v>
      </c>
    </row>
    <row r="2013" spans="1:4" hidden="1" x14ac:dyDescent="0.25">
      <c r="A2013" s="2" t="s">
        <v>95</v>
      </c>
      <c r="B2013">
        <v>26</v>
      </c>
      <c r="C2013" s="2" t="s">
        <v>147</v>
      </c>
      <c r="D2013">
        <v>26</v>
      </c>
    </row>
    <row r="2014" spans="1:4" hidden="1" x14ac:dyDescent="0.25">
      <c r="A2014" s="2" t="s">
        <v>95</v>
      </c>
      <c r="B2014">
        <v>26</v>
      </c>
      <c r="C2014" s="2" t="s">
        <v>148</v>
      </c>
      <c r="D2014">
        <v>26</v>
      </c>
    </row>
    <row r="2015" spans="1:4" hidden="1" x14ac:dyDescent="0.25">
      <c r="A2015" s="2" t="s">
        <v>95</v>
      </c>
      <c r="B2015">
        <v>26</v>
      </c>
      <c r="C2015" s="2" t="s">
        <v>149</v>
      </c>
      <c r="D2015">
        <v>26</v>
      </c>
    </row>
    <row r="2016" spans="1:4" hidden="1" x14ac:dyDescent="0.25">
      <c r="A2016" s="2" t="s">
        <v>95</v>
      </c>
      <c r="B2016">
        <v>26</v>
      </c>
      <c r="C2016" s="2" t="s">
        <v>150</v>
      </c>
      <c r="D2016">
        <v>26</v>
      </c>
    </row>
    <row r="2017" spans="1:4" hidden="1" x14ac:dyDescent="0.25">
      <c r="A2017" s="2" t="s">
        <v>95</v>
      </c>
      <c r="B2017">
        <v>26</v>
      </c>
      <c r="C2017" s="2" t="s">
        <v>151</v>
      </c>
      <c r="D2017">
        <v>26</v>
      </c>
    </row>
    <row r="2018" spans="1:4" hidden="1" x14ac:dyDescent="0.25">
      <c r="A2018" s="2" t="s">
        <v>95</v>
      </c>
      <c r="B2018">
        <v>26</v>
      </c>
      <c r="C2018" s="2" t="s">
        <v>152</v>
      </c>
      <c r="D2018">
        <v>26</v>
      </c>
    </row>
    <row r="2019" spans="1:4" hidden="1" x14ac:dyDescent="0.25">
      <c r="A2019" s="2" t="s">
        <v>95</v>
      </c>
      <c r="B2019">
        <v>26</v>
      </c>
      <c r="C2019" s="2" t="s">
        <v>153</v>
      </c>
      <c r="D2019">
        <v>26</v>
      </c>
    </row>
    <row r="2020" spans="1:4" hidden="1" x14ac:dyDescent="0.25">
      <c r="A2020" s="2" t="s">
        <v>95</v>
      </c>
      <c r="B2020">
        <v>26</v>
      </c>
      <c r="C2020" s="2" t="s">
        <v>154</v>
      </c>
      <c r="D2020">
        <v>26</v>
      </c>
    </row>
    <row r="2021" spans="1:4" hidden="1" x14ac:dyDescent="0.25">
      <c r="A2021" s="2" t="s">
        <v>95</v>
      </c>
      <c r="B2021">
        <v>26</v>
      </c>
      <c r="C2021" s="2" t="s">
        <v>155</v>
      </c>
      <c r="D2021">
        <v>26</v>
      </c>
    </row>
    <row r="2022" spans="1:4" hidden="1" x14ac:dyDescent="0.25">
      <c r="A2022" s="2" t="s">
        <v>95</v>
      </c>
      <c r="B2022">
        <v>26</v>
      </c>
      <c r="C2022" s="2" t="s">
        <v>156</v>
      </c>
      <c r="D2022">
        <v>26</v>
      </c>
    </row>
    <row r="2023" spans="1:4" hidden="1" x14ac:dyDescent="0.25">
      <c r="A2023" s="2" t="s">
        <v>95</v>
      </c>
      <c r="B2023">
        <v>26</v>
      </c>
      <c r="C2023" s="2" t="s">
        <v>157</v>
      </c>
      <c r="D2023">
        <v>26</v>
      </c>
    </row>
    <row r="2024" spans="1:4" hidden="1" x14ac:dyDescent="0.25">
      <c r="A2024" s="2" t="s">
        <v>95</v>
      </c>
      <c r="B2024">
        <v>26</v>
      </c>
      <c r="C2024" s="2" t="s">
        <v>158</v>
      </c>
      <c r="D2024">
        <v>26</v>
      </c>
    </row>
    <row r="2025" spans="1:4" hidden="1" x14ac:dyDescent="0.25">
      <c r="A2025" s="2" t="s">
        <v>95</v>
      </c>
      <c r="B2025">
        <v>26</v>
      </c>
      <c r="C2025" s="2" t="s">
        <v>159</v>
      </c>
      <c r="D2025">
        <v>26</v>
      </c>
    </row>
    <row r="2026" spans="1:4" hidden="1" x14ac:dyDescent="0.25">
      <c r="A2026" s="2" t="s">
        <v>95</v>
      </c>
      <c r="B2026">
        <v>26</v>
      </c>
      <c r="C2026" s="2" t="s">
        <v>160</v>
      </c>
      <c r="D2026">
        <v>26</v>
      </c>
    </row>
    <row r="2027" spans="1:4" hidden="1" x14ac:dyDescent="0.25">
      <c r="A2027" s="2" t="s">
        <v>95</v>
      </c>
      <c r="B2027">
        <v>26</v>
      </c>
      <c r="C2027" s="2" t="s">
        <v>161</v>
      </c>
      <c r="D2027">
        <v>26</v>
      </c>
    </row>
    <row r="2028" spans="1:4" hidden="1" x14ac:dyDescent="0.25">
      <c r="A2028" s="2" t="s">
        <v>95</v>
      </c>
      <c r="B2028">
        <v>26</v>
      </c>
      <c r="C2028" s="2" t="s">
        <v>162</v>
      </c>
      <c r="D2028">
        <v>26</v>
      </c>
    </row>
    <row r="2029" spans="1:4" hidden="1" x14ac:dyDescent="0.25">
      <c r="A2029" s="2" t="s">
        <v>95</v>
      </c>
      <c r="B2029">
        <v>26</v>
      </c>
      <c r="C2029" s="2" t="s">
        <v>163</v>
      </c>
      <c r="D2029">
        <v>26</v>
      </c>
    </row>
    <row r="2030" spans="1:4" hidden="1" x14ac:dyDescent="0.25">
      <c r="A2030" s="2" t="s">
        <v>95</v>
      </c>
      <c r="B2030">
        <v>26</v>
      </c>
      <c r="C2030" s="2" t="s">
        <v>164</v>
      </c>
      <c r="D2030">
        <v>26</v>
      </c>
    </row>
    <row r="2031" spans="1:4" hidden="1" x14ac:dyDescent="0.25">
      <c r="A2031" s="2" t="s">
        <v>95</v>
      </c>
      <c r="B2031">
        <v>26</v>
      </c>
      <c r="C2031" s="2" t="s">
        <v>165</v>
      </c>
      <c r="D2031">
        <v>26</v>
      </c>
    </row>
    <row r="2032" spans="1:4" hidden="1" x14ac:dyDescent="0.25">
      <c r="A2032" s="2" t="s">
        <v>95</v>
      </c>
      <c r="B2032">
        <v>26</v>
      </c>
      <c r="C2032" s="2" t="s">
        <v>166</v>
      </c>
      <c r="D2032">
        <v>26</v>
      </c>
    </row>
    <row r="2033" spans="1:4" hidden="1" x14ac:dyDescent="0.25">
      <c r="A2033" s="2" t="s">
        <v>95</v>
      </c>
      <c r="B2033">
        <v>26</v>
      </c>
      <c r="C2033" s="2" t="s">
        <v>167</v>
      </c>
      <c r="D2033">
        <v>26</v>
      </c>
    </row>
    <row r="2034" spans="1:4" hidden="1" x14ac:dyDescent="0.25">
      <c r="A2034" s="2" t="s">
        <v>95</v>
      </c>
      <c r="B2034">
        <v>26</v>
      </c>
      <c r="C2034" s="2" t="s">
        <v>168</v>
      </c>
      <c r="D2034">
        <v>26</v>
      </c>
    </row>
    <row r="2035" spans="1:4" hidden="1" x14ac:dyDescent="0.25">
      <c r="A2035" s="2" t="s">
        <v>95</v>
      </c>
      <c r="B2035">
        <v>26</v>
      </c>
      <c r="C2035" s="2" t="s">
        <v>169</v>
      </c>
      <c r="D2035">
        <v>26</v>
      </c>
    </row>
    <row r="2036" spans="1:4" hidden="1" x14ac:dyDescent="0.25">
      <c r="A2036" s="2" t="s">
        <v>95</v>
      </c>
      <c r="B2036">
        <v>26</v>
      </c>
      <c r="C2036" s="2" t="s">
        <v>170</v>
      </c>
      <c r="D2036">
        <v>26</v>
      </c>
    </row>
    <row r="2037" spans="1:4" hidden="1" x14ac:dyDescent="0.25">
      <c r="A2037" s="2" t="s">
        <v>95</v>
      </c>
      <c r="B2037">
        <v>26</v>
      </c>
      <c r="C2037" s="2" t="s">
        <v>171</v>
      </c>
      <c r="D2037">
        <v>26</v>
      </c>
    </row>
    <row r="2038" spans="1:4" hidden="1" x14ac:dyDescent="0.25">
      <c r="A2038" s="2" t="s">
        <v>95</v>
      </c>
      <c r="B2038">
        <v>26</v>
      </c>
      <c r="C2038" s="2" t="s">
        <v>172</v>
      </c>
      <c r="D2038">
        <v>26</v>
      </c>
    </row>
    <row r="2039" spans="1:4" hidden="1" x14ac:dyDescent="0.25">
      <c r="A2039" s="2" t="s">
        <v>95</v>
      </c>
      <c r="B2039">
        <v>26</v>
      </c>
      <c r="C2039" s="2" t="s">
        <v>173</v>
      </c>
      <c r="D2039">
        <v>26</v>
      </c>
    </row>
    <row r="2040" spans="1:4" hidden="1" x14ac:dyDescent="0.25">
      <c r="A2040" s="2" t="s">
        <v>95</v>
      </c>
      <c r="B2040">
        <v>26</v>
      </c>
      <c r="C2040" s="2" t="s">
        <v>174</v>
      </c>
      <c r="D2040">
        <v>26</v>
      </c>
    </row>
    <row r="2041" spans="1:4" hidden="1" x14ac:dyDescent="0.25">
      <c r="A2041" s="2" t="s">
        <v>95</v>
      </c>
      <c r="B2041">
        <v>26</v>
      </c>
      <c r="C2041" s="2" t="s">
        <v>175</v>
      </c>
      <c r="D2041">
        <v>26</v>
      </c>
    </row>
    <row r="2042" spans="1:4" hidden="1" x14ac:dyDescent="0.25">
      <c r="A2042" s="2" t="s">
        <v>95</v>
      </c>
      <c r="B2042">
        <v>26</v>
      </c>
      <c r="C2042" s="2" t="s">
        <v>176</v>
      </c>
      <c r="D2042">
        <v>26</v>
      </c>
    </row>
    <row r="2043" spans="1:4" hidden="1" x14ac:dyDescent="0.25">
      <c r="A2043" s="2" t="s">
        <v>95</v>
      </c>
      <c r="B2043">
        <v>26</v>
      </c>
      <c r="C2043" s="2" t="s">
        <v>177</v>
      </c>
      <c r="D2043">
        <v>26</v>
      </c>
    </row>
    <row r="2044" spans="1:4" hidden="1" x14ac:dyDescent="0.25">
      <c r="A2044" s="2" t="s">
        <v>95</v>
      </c>
      <c r="B2044">
        <v>26</v>
      </c>
      <c r="C2044" s="2" t="s">
        <v>178</v>
      </c>
      <c r="D2044">
        <v>26</v>
      </c>
    </row>
    <row r="2045" spans="1:4" hidden="1" x14ac:dyDescent="0.25">
      <c r="A2045" s="2" t="s">
        <v>95</v>
      </c>
      <c r="B2045">
        <v>26</v>
      </c>
      <c r="C2045" s="2" t="s">
        <v>179</v>
      </c>
      <c r="D2045">
        <v>26</v>
      </c>
    </row>
    <row r="2046" spans="1:4" hidden="1" x14ac:dyDescent="0.25">
      <c r="A2046" s="2" t="s">
        <v>66</v>
      </c>
      <c r="B2046">
        <v>29</v>
      </c>
      <c r="C2046" s="2" t="s">
        <v>183</v>
      </c>
      <c r="D2046">
        <v>13</v>
      </c>
    </row>
    <row r="2047" spans="1:4" hidden="1" x14ac:dyDescent="0.25">
      <c r="A2047" s="2" t="s">
        <v>66</v>
      </c>
      <c r="B2047">
        <v>29</v>
      </c>
      <c r="C2047" s="2" t="s">
        <v>184</v>
      </c>
      <c r="D2047">
        <v>14</v>
      </c>
    </row>
    <row r="2048" spans="1:4" hidden="1" x14ac:dyDescent="0.25">
      <c r="A2048" s="2" t="s">
        <v>66</v>
      </c>
      <c r="B2048">
        <v>29</v>
      </c>
      <c r="C2048" s="2" t="s">
        <v>185</v>
      </c>
      <c r="D2048">
        <v>24</v>
      </c>
    </row>
    <row r="2049" spans="1:4" hidden="1" x14ac:dyDescent="0.25">
      <c r="A2049" s="2" t="s">
        <v>66</v>
      </c>
      <c r="B2049">
        <v>29</v>
      </c>
      <c r="C2049" s="2" t="s">
        <v>186</v>
      </c>
      <c r="D2049">
        <v>9</v>
      </c>
    </row>
    <row r="2050" spans="1:4" hidden="1" x14ac:dyDescent="0.25">
      <c r="A2050" s="2" t="s">
        <v>66</v>
      </c>
      <c r="B2050">
        <v>29</v>
      </c>
      <c r="C2050" s="2" t="s">
        <v>187</v>
      </c>
      <c r="D2050">
        <v>9</v>
      </c>
    </row>
    <row r="2051" spans="1:4" hidden="1" x14ac:dyDescent="0.25">
      <c r="A2051" s="2" t="s">
        <v>66</v>
      </c>
      <c r="B2051">
        <v>29</v>
      </c>
      <c r="C2051" s="2" t="s">
        <v>188</v>
      </c>
      <c r="D2051">
        <v>23</v>
      </c>
    </row>
    <row r="2052" spans="1:4" hidden="1" x14ac:dyDescent="0.25">
      <c r="A2052" s="2" t="s">
        <v>66</v>
      </c>
      <c r="B2052">
        <v>29</v>
      </c>
      <c r="C2052" s="2" t="s">
        <v>189</v>
      </c>
      <c r="D2052">
        <v>37</v>
      </c>
    </row>
    <row r="2053" spans="1:4" hidden="1" x14ac:dyDescent="0.25">
      <c r="A2053" s="2" t="s">
        <v>66</v>
      </c>
      <c r="B2053">
        <v>29</v>
      </c>
      <c r="C2053" s="2" t="s">
        <v>190</v>
      </c>
      <c r="D2053">
        <v>39</v>
      </c>
    </row>
    <row r="2054" spans="1:4" hidden="1" x14ac:dyDescent="0.25">
      <c r="A2054" s="2" t="s">
        <v>66</v>
      </c>
      <c r="B2054">
        <v>29</v>
      </c>
      <c r="C2054" s="2" t="s">
        <v>191</v>
      </c>
      <c r="D2054">
        <v>41</v>
      </c>
    </row>
    <row r="2055" spans="1:4" hidden="1" x14ac:dyDescent="0.25">
      <c r="A2055" s="2" t="s">
        <v>66</v>
      </c>
      <c r="B2055">
        <v>29</v>
      </c>
      <c r="C2055" s="2" t="s">
        <v>116</v>
      </c>
      <c r="D2055">
        <v>42</v>
      </c>
    </row>
    <row r="2056" spans="1:4" hidden="1" x14ac:dyDescent="0.25">
      <c r="A2056" s="2" t="s">
        <v>66</v>
      </c>
      <c r="B2056">
        <v>29</v>
      </c>
      <c r="C2056" s="2" t="s">
        <v>117</v>
      </c>
      <c r="D2056">
        <v>40</v>
      </c>
    </row>
    <row r="2057" spans="1:4" hidden="1" x14ac:dyDescent="0.25">
      <c r="A2057" s="2" t="s">
        <v>66</v>
      </c>
      <c r="B2057">
        <v>29</v>
      </c>
      <c r="C2057" s="2" t="s">
        <v>118</v>
      </c>
      <c r="D2057">
        <v>50</v>
      </c>
    </row>
    <row r="2058" spans="1:4" hidden="1" x14ac:dyDescent="0.25">
      <c r="A2058" s="2" t="s">
        <v>66</v>
      </c>
      <c r="B2058">
        <v>29</v>
      </c>
      <c r="C2058" s="2" t="s">
        <v>119</v>
      </c>
      <c r="D2058">
        <v>73</v>
      </c>
    </row>
    <row r="2059" spans="1:4" hidden="1" x14ac:dyDescent="0.25">
      <c r="A2059" s="2" t="s">
        <v>66</v>
      </c>
      <c r="B2059">
        <v>29</v>
      </c>
      <c r="C2059" s="2" t="s">
        <v>120</v>
      </c>
      <c r="D2059">
        <v>77</v>
      </c>
    </row>
    <row r="2060" spans="1:4" hidden="1" x14ac:dyDescent="0.25">
      <c r="A2060" s="2" t="s">
        <v>66</v>
      </c>
      <c r="B2060">
        <v>29</v>
      </c>
      <c r="C2060" s="2" t="s">
        <v>121</v>
      </c>
      <c r="D2060">
        <v>76</v>
      </c>
    </row>
    <row r="2061" spans="1:4" hidden="1" x14ac:dyDescent="0.25">
      <c r="A2061" s="2" t="s">
        <v>66</v>
      </c>
      <c r="B2061">
        <v>29</v>
      </c>
      <c r="C2061" s="2" t="s">
        <v>122</v>
      </c>
      <c r="D2061">
        <v>65</v>
      </c>
    </row>
    <row r="2062" spans="1:4" hidden="1" x14ac:dyDescent="0.25">
      <c r="A2062" s="2" t="s">
        <v>66</v>
      </c>
      <c r="B2062">
        <v>29</v>
      </c>
      <c r="C2062" s="2" t="s">
        <v>123</v>
      </c>
      <c r="D2062">
        <v>46</v>
      </c>
    </row>
    <row r="2063" spans="1:4" hidden="1" x14ac:dyDescent="0.25">
      <c r="A2063" s="2" t="s">
        <v>66</v>
      </c>
      <c r="B2063">
        <v>29</v>
      </c>
      <c r="C2063" s="2" t="s">
        <v>124</v>
      </c>
      <c r="D2063">
        <v>24</v>
      </c>
    </row>
    <row r="2064" spans="1:4" hidden="1" x14ac:dyDescent="0.25">
      <c r="A2064" s="2" t="s">
        <v>66</v>
      </c>
      <c r="B2064">
        <v>29</v>
      </c>
      <c r="C2064" s="2" t="s">
        <v>125</v>
      </c>
      <c r="D2064">
        <v>9</v>
      </c>
    </row>
    <row r="2065" spans="1:4" hidden="1" x14ac:dyDescent="0.25">
      <c r="A2065" s="2" t="s">
        <v>66</v>
      </c>
      <c r="B2065">
        <v>29</v>
      </c>
      <c r="C2065" s="2" t="s">
        <v>126</v>
      </c>
      <c r="D2065">
        <v>13</v>
      </c>
    </row>
    <row r="2066" spans="1:4" hidden="1" x14ac:dyDescent="0.25">
      <c r="A2066" s="2" t="s">
        <v>66</v>
      </c>
      <c r="B2066">
        <v>29</v>
      </c>
      <c r="C2066" s="2" t="s">
        <v>127</v>
      </c>
      <c r="D2066">
        <v>13</v>
      </c>
    </row>
    <row r="2067" spans="1:4" hidden="1" x14ac:dyDescent="0.25">
      <c r="A2067" s="2" t="s">
        <v>66</v>
      </c>
      <c r="B2067">
        <v>29</v>
      </c>
      <c r="C2067" s="2" t="s">
        <v>128</v>
      </c>
      <c r="D2067">
        <v>19</v>
      </c>
    </row>
    <row r="2068" spans="1:4" hidden="1" x14ac:dyDescent="0.25">
      <c r="A2068" s="2" t="s">
        <v>66</v>
      </c>
      <c r="B2068">
        <v>29</v>
      </c>
      <c r="C2068" s="2" t="s">
        <v>129</v>
      </c>
      <c r="D2068">
        <v>12</v>
      </c>
    </row>
    <row r="2069" spans="1:4" hidden="1" x14ac:dyDescent="0.25">
      <c r="A2069" s="2" t="s">
        <v>66</v>
      </c>
      <c r="B2069">
        <v>29</v>
      </c>
      <c r="C2069" s="2" t="s">
        <v>130</v>
      </c>
      <c r="D2069">
        <v>20</v>
      </c>
    </row>
    <row r="2070" spans="1:4" hidden="1" x14ac:dyDescent="0.25">
      <c r="A2070" s="2" t="s">
        <v>66</v>
      </c>
      <c r="B2070">
        <v>29</v>
      </c>
      <c r="C2070" s="2" t="s">
        <v>131</v>
      </c>
      <c r="D2070">
        <v>25</v>
      </c>
    </row>
    <row r="2071" spans="1:4" hidden="1" x14ac:dyDescent="0.25">
      <c r="A2071" s="2" t="s">
        <v>66</v>
      </c>
      <c r="B2071">
        <v>29</v>
      </c>
      <c r="C2071" s="2" t="s">
        <v>132</v>
      </c>
      <c r="D2071">
        <v>22</v>
      </c>
    </row>
    <row r="2072" spans="1:4" hidden="1" x14ac:dyDescent="0.25">
      <c r="A2072" s="2" t="s">
        <v>66</v>
      </c>
      <c r="B2072">
        <v>29</v>
      </c>
      <c r="C2072" s="2" t="s">
        <v>133</v>
      </c>
      <c r="D2072">
        <v>22</v>
      </c>
    </row>
    <row r="2073" spans="1:4" hidden="1" x14ac:dyDescent="0.25">
      <c r="A2073" s="2" t="s">
        <v>66</v>
      </c>
      <c r="B2073">
        <v>29</v>
      </c>
      <c r="C2073" s="2" t="s">
        <v>134</v>
      </c>
      <c r="D2073">
        <v>20</v>
      </c>
    </row>
    <row r="2074" spans="1:4" hidden="1" x14ac:dyDescent="0.25">
      <c r="A2074" s="2" t="s">
        <v>66</v>
      </c>
      <c r="B2074">
        <v>29</v>
      </c>
      <c r="C2074" s="2" t="s">
        <v>135</v>
      </c>
      <c r="D2074">
        <v>29</v>
      </c>
    </row>
    <row r="2075" spans="1:4" hidden="1" x14ac:dyDescent="0.25">
      <c r="A2075" s="2" t="s">
        <v>66</v>
      </c>
      <c r="B2075">
        <v>29</v>
      </c>
      <c r="C2075" s="2" t="s">
        <v>136</v>
      </c>
      <c r="D2075">
        <v>29</v>
      </c>
    </row>
    <row r="2076" spans="1:4" hidden="1" x14ac:dyDescent="0.25">
      <c r="A2076" s="2" t="s">
        <v>66</v>
      </c>
      <c r="B2076">
        <v>29</v>
      </c>
      <c r="C2076" s="2" t="s">
        <v>137</v>
      </c>
      <c r="D2076">
        <v>29</v>
      </c>
    </row>
    <row r="2077" spans="1:4" hidden="1" x14ac:dyDescent="0.25">
      <c r="A2077" s="2" t="s">
        <v>66</v>
      </c>
      <c r="B2077">
        <v>29</v>
      </c>
      <c r="C2077" s="2" t="s">
        <v>138</v>
      </c>
      <c r="D2077">
        <v>29</v>
      </c>
    </row>
    <row r="2078" spans="1:4" hidden="1" x14ac:dyDescent="0.25">
      <c r="A2078" s="2" t="s">
        <v>66</v>
      </c>
      <c r="B2078">
        <v>29</v>
      </c>
      <c r="C2078" s="2" t="s">
        <v>139</v>
      </c>
      <c r="D2078">
        <v>29</v>
      </c>
    </row>
    <row r="2079" spans="1:4" hidden="1" x14ac:dyDescent="0.25">
      <c r="A2079" s="2" t="s">
        <v>66</v>
      </c>
      <c r="B2079">
        <v>29</v>
      </c>
      <c r="C2079" s="2" t="s">
        <v>140</v>
      </c>
      <c r="D2079">
        <v>29</v>
      </c>
    </row>
    <row r="2080" spans="1:4" hidden="1" x14ac:dyDescent="0.25">
      <c r="A2080" s="2" t="s">
        <v>66</v>
      </c>
      <c r="B2080">
        <v>29</v>
      </c>
      <c r="C2080" s="2" t="s">
        <v>141</v>
      </c>
      <c r="D2080">
        <v>29</v>
      </c>
    </row>
    <row r="2081" spans="1:4" hidden="1" x14ac:dyDescent="0.25">
      <c r="A2081" s="2" t="s">
        <v>66</v>
      </c>
      <c r="B2081">
        <v>29</v>
      </c>
      <c r="C2081" s="2" t="s">
        <v>142</v>
      </c>
      <c r="D2081">
        <v>29</v>
      </c>
    </row>
    <row r="2082" spans="1:4" hidden="1" x14ac:dyDescent="0.25">
      <c r="A2082" s="2" t="s">
        <v>66</v>
      </c>
      <c r="B2082">
        <v>29</v>
      </c>
      <c r="C2082" s="2" t="s">
        <v>143</v>
      </c>
      <c r="D2082">
        <v>29</v>
      </c>
    </row>
    <row r="2083" spans="1:4" hidden="1" x14ac:dyDescent="0.25">
      <c r="A2083" s="2" t="s">
        <v>66</v>
      </c>
      <c r="B2083">
        <v>29</v>
      </c>
      <c r="C2083" s="2" t="s">
        <v>144</v>
      </c>
      <c r="D2083">
        <v>29</v>
      </c>
    </row>
    <row r="2084" spans="1:4" hidden="1" x14ac:dyDescent="0.25">
      <c r="A2084" s="2" t="s">
        <v>66</v>
      </c>
      <c r="B2084">
        <v>29</v>
      </c>
      <c r="C2084" s="2" t="s">
        <v>145</v>
      </c>
      <c r="D2084">
        <v>29</v>
      </c>
    </row>
    <row r="2085" spans="1:4" hidden="1" x14ac:dyDescent="0.25">
      <c r="A2085" s="2" t="s">
        <v>66</v>
      </c>
      <c r="B2085">
        <v>29</v>
      </c>
      <c r="C2085" s="2" t="s">
        <v>146</v>
      </c>
      <c r="D2085">
        <v>29</v>
      </c>
    </row>
    <row r="2086" spans="1:4" hidden="1" x14ac:dyDescent="0.25">
      <c r="A2086" s="2" t="s">
        <v>66</v>
      </c>
      <c r="B2086">
        <v>29</v>
      </c>
      <c r="C2086" s="2" t="s">
        <v>147</v>
      </c>
      <c r="D2086">
        <v>29</v>
      </c>
    </row>
    <row r="2087" spans="1:4" hidden="1" x14ac:dyDescent="0.25">
      <c r="A2087" s="2" t="s">
        <v>66</v>
      </c>
      <c r="B2087">
        <v>29</v>
      </c>
      <c r="C2087" s="2" t="s">
        <v>148</v>
      </c>
      <c r="D2087">
        <v>29</v>
      </c>
    </row>
    <row r="2088" spans="1:4" hidden="1" x14ac:dyDescent="0.25">
      <c r="A2088" s="2" t="s">
        <v>66</v>
      </c>
      <c r="B2088">
        <v>29</v>
      </c>
      <c r="C2088" s="2" t="s">
        <v>149</v>
      </c>
      <c r="D2088">
        <v>29</v>
      </c>
    </row>
    <row r="2089" spans="1:4" hidden="1" x14ac:dyDescent="0.25">
      <c r="A2089" s="2" t="s">
        <v>66</v>
      </c>
      <c r="B2089">
        <v>29</v>
      </c>
      <c r="C2089" s="2" t="s">
        <v>150</v>
      </c>
      <c r="D2089">
        <v>29</v>
      </c>
    </row>
    <row r="2090" spans="1:4" hidden="1" x14ac:dyDescent="0.25">
      <c r="A2090" s="2" t="s">
        <v>66</v>
      </c>
      <c r="B2090">
        <v>29</v>
      </c>
      <c r="C2090" s="2" t="s">
        <v>151</v>
      </c>
      <c r="D2090">
        <v>29</v>
      </c>
    </row>
    <row r="2091" spans="1:4" hidden="1" x14ac:dyDescent="0.25">
      <c r="A2091" s="2" t="s">
        <v>66</v>
      </c>
      <c r="B2091">
        <v>29</v>
      </c>
      <c r="C2091" s="2" t="s">
        <v>152</v>
      </c>
      <c r="D2091">
        <v>29</v>
      </c>
    </row>
    <row r="2092" spans="1:4" hidden="1" x14ac:dyDescent="0.25">
      <c r="A2092" s="2" t="s">
        <v>66</v>
      </c>
      <c r="B2092">
        <v>29</v>
      </c>
      <c r="C2092" s="2" t="s">
        <v>153</v>
      </c>
      <c r="D2092">
        <v>29</v>
      </c>
    </row>
    <row r="2093" spans="1:4" hidden="1" x14ac:dyDescent="0.25">
      <c r="A2093" s="2" t="s">
        <v>66</v>
      </c>
      <c r="B2093">
        <v>29</v>
      </c>
      <c r="C2093" s="2" t="s">
        <v>154</v>
      </c>
      <c r="D2093">
        <v>29</v>
      </c>
    </row>
    <row r="2094" spans="1:4" hidden="1" x14ac:dyDescent="0.25">
      <c r="A2094" s="2" t="s">
        <v>66</v>
      </c>
      <c r="B2094">
        <v>29</v>
      </c>
      <c r="C2094" s="2" t="s">
        <v>155</v>
      </c>
      <c r="D2094">
        <v>29</v>
      </c>
    </row>
    <row r="2095" spans="1:4" hidden="1" x14ac:dyDescent="0.25">
      <c r="A2095" s="2" t="s">
        <v>66</v>
      </c>
      <c r="B2095">
        <v>29</v>
      </c>
      <c r="C2095" s="2" t="s">
        <v>156</v>
      </c>
      <c r="D2095">
        <v>29</v>
      </c>
    </row>
    <row r="2096" spans="1:4" hidden="1" x14ac:dyDescent="0.25">
      <c r="A2096" s="2" t="s">
        <v>66</v>
      </c>
      <c r="B2096">
        <v>29</v>
      </c>
      <c r="C2096" s="2" t="s">
        <v>157</v>
      </c>
      <c r="D2096">
        <v>29</v>
      </c>
    </row>
    <row r="2097" spans="1:4" hidden="1" x14ac:dyDescent="0.25">
      <c r="A2097" s="2" t="s">
        <v>66</v>
      </c>
      <c r="B2097">
        <v>29</v>
      </c>
      <c r="C2097" s="2" t="s">
        <v>158</v>
      </c>
      <c r="D2097">
        <v>29</v>
      </c>
    </row>
    <row r="2098" spans="1:4" hidden="1" x14ac:dyDescent="0.25">
      <c r="A2098" s="2" t="s">
        <v>66</v>
      </c>
      <c r="B2098">
        <v>29</v>
      </c>
      <c r="C2098" s="2" t="s">
        <v>159</v>
      </c>
      <c r="D2098">
        <v>29</v>
      </c>
    </row>
    <row r="2099" spans="1:4" hidden="1" x14ac:dyDescent="0.25">
      <c r="A2099" s="2" t="s">
        <v>66</v>
      </c>
      <c r="B2099">
        <v>29</v>
      </c>
      <c r="C2099" s="2" t="s">
        <v>160</v>
      </c>
      <c r="D2099">
        <v>29</v>
      </c>
    </row>
    <row r="2100" spans="1:4" hidden="1" x14ac:dyDescent="0.25">
      <c r="A2100" s="2" t="s">
        <v>66</v>
      </c>
      <c r="B2100">
        <v>29</v>
      </c>
      <c r="C2100" s="2" t="s">
        <v>161</v>
      </c>
      <c r="D2100">
        <v>29</v>
      </c>
    </row>
    <row r="2101" spans="1:4" hidden="1" x14ac:dyDescent="0.25">
      <c r="A2101" s="2" t="s">
        <v>66</v>
      </c>
      <c r="B2101">
        <v>29</v>
      </c>
      <c r="C2101" s="2" t="s">
        <v>162</v>
      </c>
      <c r="D2101">
        <v>29</v>
      </c>
    </row>
    <row r="2102" spans="1:4" hidden="1" x14ac:dyDescent="0.25">
      <c r="A2102" s="2" t="s">
        <v>66</v>
      </c>
      <c r="B2102">
        <v>29</v>
      </c>
      <c r="C2102" s="2" t="s">
        <v>163</v>
      </c>
      <c r="D2102">
        <v>29</v>
      </c>
    </row>
    <row r="2103" spans="1:4" hidden="1" x14ac:dyDescent="0.25">
      <c r="A2103" s="2" t="s">
        <v>66</v>
      </c>
      <c r="B2103">
        <v>29</v>
      </c>
      <c r="C2103" s="2" t="s">
        <v>164</v>
      </c>
      <c r="D2103">
        <v>29</v>
      </c>
    </row>
    <row r="2104" spans="1:4" hidden="1" x14ac:dyDescent="0.25">
      <c r="A2104" s="2" t="s">
        <v>66</v>
      </c>
      <c r="B2104">
        <v>29</v>
      </c>
      <c r="C2104" s="2" t="s">
        <v>165</v>
      </c>
      <c r="D2104">
        <v>29</v>
      </c>
    </row>
    <row r="2105" spans="1:4" hidden="1" x14ac:dyDescent="0.25">
      <c r="A2105" s="2" t="s">
        <v>66</v>
      </c>
      <c r="B2105">
        <v>29</v>
      </c>
      <c r="C2105" s="2" t="s">
        <v>166</v>
      </c>
      <c r="D2105">
        <v>29</v>
      </c>
    </row>
    <row r="2106" spans="1:4" hidden="1" x14ac:dyDescent="0.25">
      <c r="A2106" s="2" t="s">
        <v>66</v>
      </c>
      <c r="B2106">
        <v>29</v>
      </c>
      <c r="C2106" s="2" t="s">
        <v>167</v>
      </c>
      <c r="D2106">
        <v>29</v>
      </c>
    </row>
    <row r="2107" spans="1:4" hidden="1" x14ac:dyDescent="0.25">
      <c r="A2107" s="2" t="s">
        <v>66</v>
      </c>
      <c r="B2107">
        <v>29</v>
      </c>
      <c r="C2107" s="2" t="s">
        <v>168</v>
      </c>
      <c r="D2107">
        <v>29</v>
      </c>
    </row>
    <row r="2108" spans="1:4" hidden="1" x14ac:dyDescent="0.25">
      <c r="A2108" s="2" t="s">
        <v>66</v>
      </c>
      <c r="B2108">
        <v>29</v>
      </c>
      <c r="C2108" s="2" t="s">
        <v>169</v>
      </c>
      <c r="D2108">
        <v>29</v>
      </c>
    </row>
    <row r="2109" spans="1:4" hidden="1" x14ac:dyDescent="0.25">
      <c r="A2109" s="2" t="s">
        <v>66</v>
      </c>
      <c r="B2109">
        <v>29</v>
      </c>
      <c r="C2109" s="2" t="s">
        <v>170</v>
      </c>
      <c r="D2109">
        <v>29</v>
      </c>
    </row>
    <row r="2110" spans="1:4" hidden="1" x14ac:dyDescent="0.25">
      <c r="A2110" s="2" t="s">
        <v>66</v>
      </c>
      <c r="B2110">
        <v>29</v>
      </c>
      <c r="C2110" s="2" t="s">
        <v>171</v>
      </c>
      <c r="D2110">
        <v>29</v>
      </c>
    </row>
    <row r="2111" spans="1:4" hidden="1" x14ac:dyDescent="0.25">
      <c r="A2111" s="2" t="s">
        <v>66</v>
      </c>
      <c r="B2111">
        <v>29</v>
      </c>
      <c r="C2111" s="2" t="s">
        <v>172</v>
      </c>
      <c r="D2111">
        <v>29</v>
      </c>
    </row>
    <row r="2112" spans="1:4" hidden="1" x14ac:dyDescent="0.25">
      <c r="A2112" s="2" t="s">
        <v>66</v>
      </c>
      <c r="B2112">
        <v>29</v>
      </c>
      <c r="C2112" s="2" t="s">
        <v>173</v>
      </c>
      <c r="D2112">
        <v>29</v>
      </c>
    </row>
    <row r="2113" spans="1:4" hidden="1" x14ac:dyDescent="0.25">
      <c r="A2113" s="2" t="s">
        <v>66</v>
      </c>
      <c r="B2113">
        <v>29</v>
      </c>
      <c r="C2113" s="2" t="s">
        <v>174</v>
      </c>
      <c r="D2113">
        <v>29</v>
      </c>
    </row>
    <row r="2114" spans="1:4" hidden="1" x14ac:dyDescent="0.25">
      <c r="A2114" s="2" t="s">
        <v>66</v>
      </c>
      <c r="B2114">
        <v>29</v>
      </c>
      <c r="C2114" s="2" t="s">
        <v>175</v>
      </c>
      <c r="D2114">
        <v>29</v>
      </c>
    </row>
    <row r="2115" spans="1:4" hidden="1" x14ac:dyDescent="0.25">
      <c r="A2115" s="2" t="s">
        <v>66</v>
      </c>
      <c r="B2115">
        <v>29</v>
      </c>
      <c r="C2115" s="2" t="s">
        <v>176</v>
      </c>
      <c r="D2115">
        <v>29</v>
      </c>
    </row>
    <row r="2116" spans="1:4" hidden="1" x14ac:dyDescent="0.25">
      <c r="A2116" s="2" t="s">
        <v>66</v>
      </c>
      <c r="B2116">
        <v>29</v>
      </c>
      <c r="C2116" s="2" t="s">
        <v>177</v>
      </c>
      <c r="D2116">
        <v>29</v>
      </c>
    </row>
    <row r="2117" spans="1:4" hidden="1" x14ac:dyDescent="0.25">
      <c r="A2117" s="2" t="s">
        <v>66</v>
      </c>
      <c r="B2117">
        <v>29</v>
      </c>
      <c r="C2117" s="2" t="s">
        <v>178</v>
      </c>
      <c r="D2117">
        <v>29</v>
      </c>
    </row>
    <row r="2118" spans="1:4" hidden="1" x14ac:dyDescent="0.25">
      <c r="A2118" s="2" t="s">
        <v>66</v>
      </c>
      <c r="B2118">
        <v>29</v>
      </c>
      <c r="C2118" s="2" t="s">
        <v>179</v>
      </c>
      <c r="D2118">
        <v>29</v>
      </c>
    </row>
    <row r="2119" spans="1:4" hidden="1" x14ac:dyDescent="0.25">
      <c r="A2119" s="2" t="s">
        <v>54</v>
      </c>
      <c r="B2119">
        <v>30</v>
      </c>
      <c r="C2119" s="2" t="s">
        <v>183</v>
      </c>
      <c r="D2119">
        <v>13</v>
      </c>
    </row>
    <row r="2120" spans="1:4" hidden="1" x14ac:dyDescent="0.25">
      <c r="A2120" s="2" t="s">
        <v>54</v>
      </c>
      <c r="B2120">
        <v>30</v>
      </c>
      <c r="C2120" s="2" t="s">
        <v>184</v>
      </c>
      <c r="D2120">
        <v>14</v>
      </c>
    </row>
    <row r="2121" spans="1:4" hidden="1" x14ac:dyDescent="0.25">
      <c r="A2121" s="2" t="s">
        <v>54</v>
      </c>
      <c r="B2121">
        <v>30</v>
      </c>
      <c r="C2121" s="2" t="s">
        <v>185</v>
      </c>
      <c r="D2121">
        <v>3</v>
      </c>
    </row>
    <row r="2122" spans="1:4" hidden="1" x14ac:dyDescent="0.25">
      <c r="A2122" s="2" t="s">
        <v>54</v>
      </c>
      <c r="B2122">
        <v>30</v>
      </c>
      <c r="C2122" s="2" t="s">
        <v>186</v>
      </c>
      <c r="D2122">
        <v>1</v>
      </c>
    </row>
    <row r="2123" spans="1:4" hidden="1" x14ac:dyDescent="0.25">
      <c r="A2123" s="2" t="s">
        <v>54</v>
      </c>
      <c r="B2123">
        <v>30</v>
      </c>
      <c r="C2123" s="2" t="s">
        <v>187</v>
      </c>
      <c r="D2123">
        <v>1</v>
      </c>
    </row>
    <row r="2124" spans="1:4" hidden="1" x14ac:dyDescent="0.25">
      <c r="A2124" s="2" t="s">
        <v>54</v>
      </c>
      <c r="B2124">
        <v>30</v>
      </c>
      <c r="C2124" s="2" t="s">
        <v>188</v>
      </c>
      <c r="D2124">
        <v>1</v>
      </c>
    </row>
    <row r="2125" spans="1:4" hidden="1" x14ac:dyDescent="0.25">
      <c r="A2125" s="2" t="s">
        <v>54</v>
      </c>
      <c r="B2125">
        <v>30</v>
      </c>
      <c r="C2125" s="2" t="s">
        <v>189</v>
      </c>
      <c r="D2125">
        <v>4</v>
      </c>
    </row>
    <row r="2126" spans="1:4" hidden="1" x14ac:dyDescent="0.25">
      <c r="A2126" s="2" t="s">
        <v>54</v>
      </c>
      <c r="B2126">
        <v>30</v>
      </c>
      <c r="C2126" s="2" t="s">
        <v>190</v>
      </c>
      <c r="D2126">
        <v>6</v>
      </c>
    </row>
    <row r="2127" spans="1:4" hidden="1" x14ac:dyDescent="0.25">
      <c r="A2127" s="2" t="s">
        <v>54</v>
      </c>
      <c r="B2127">
        <v>30</v>
      </c>
      <c r="C2127" s="2" t="s">
        <v>191</v>
      </c>
      <c r="D2127">
        <v>8</v>
      </c>
    </row>
    <row r="2128" spans="1:4" hidden="1" x14ac:dyDescent="0.25">
      <c r="A2128" s="2" t="s">
        <v>54</v>
      </c>
      <c r="B2128">
        <v>30</v>
      </c>
      <c r="C2128" s="2" t="s">
        <v>116</v>
      </c>
      <c r="D2128">
        <v>10</v>
      </c>
    </row>
    <row r="2129" spans="1:4" hidden="1" x14ac:dyDescent="0.25">
      <c r="A2129" s="2" t="s">
        <v>54</v>
      </c>
      <c r="B2129">
        <v>30</v>
      </c>
      <c r="C2129" s="2" t="s">
        <v>117</v>
      </c>
      <c r="D2129">
        <v>9</v>
      </c>
    </row>
    <row r="2130" spans="1:4" hidden="1" x14ac:dyDescent="0.25">
      <c r="A2130" s="2" t="s">
        <v>54</v>
      </c>
      <c r="B2130">
        <v>30</v>
      </c>
      <c r="C2130" s="2" t="s">
        <v>118</v>
      </c>
      <c r="D2130">
        <v>12</v>
      </c>
    </row>
    <row r="2131" spans="1:4" hidden="1" x14ac:dyDescent="0.25">
      <c r="A2131" s="2" t="s">
        <v>54</v>
      </c>
      <c r="B2131">
        <v>30</v>
      </c>
      <c r="C2131" s="2" t="s">
        <v>119</v>
      </c>
      <c r="D2131">
        <v>7</v>
      </c>
    </row>
    <row r="2132" spans="1:4" hidden="1" x14ac:dyDescent="0.25">
      <c r="A2132" s="2" t="s">
        <v>54</v>
      </c>
      <c r="B2132">
        <v>30</v>
      </c>
      <c r="C2132" s="2" t="s">
        <v>120</v>
      </c>
      <c r="D2132">
        <v>6</v>
      </c>
    </row>
    <row r="2133" spans="1:4" hidden="1" x14ac:dyDescent="0.25">
      <c r="A2133" s="2" t="s">
        <v>54</v>
      </c>
      <c r="B2133">
        <v>30</v>
      </c>
      <c r="C2133" s="2" t="s">
        <v>121</v>
      </c>
      <c r="D2133">
        <v>5</v>
      </c>
    </row>
    <row r="2134" spans="1:4" hidden="1" x14ac:dyDescent="0.25">
      <c r="A2134" s="2" t="s">
        <v>54</v>
      </c>
      <c r="B2134">
        <v>30</v>
      </c>
      <c r="C2134" s="2" t="s">
        <v>122</v>
      </c>
      <c r="D2134">
        <v>5</v>
      </c>
    </row>
    <row r="2135" spans="1:4" hidden="1" x14ac:dyDescent="0.25">
      <c r="A2135" s="2" t="s">
        <v>54</v>
      </c>
      <c r="B2135">
        <v>30</v>
      </c>
      <c r="C2135" s="2" t="s">
        <v>123</v>
      </c>
      <c r="D2135">
        <v>4</v>
      </c>
    </row>
    <row r="2136" spans="1:4" hidden="1" x14ac:dyDescent="0.25">
      <c r="A2136" s="2" t="s">
        <v>54</v>
      </c>
      <c r="B2136">
        <v>30</v>
      </c>
      <c r="C2136" s="2" t="s">
        <v>124</v>
      </c>
      <c r="D2136">
        <v>3</v>
      </c>
    </row>
    <row r="2137" spans="1:4" hidden="1" x14ac:dyDescent="0.25">
      <c r="A2137" s="2" t="s">
        <v>54</v>
      </c>
      <c r="B2137">
        <v>30</v>
      </c>
      <c r="C2137" s="2" t="s">
        <v>125</v>
      </c>
      <c r="D2137">
        <v>2</v>
      </c>
    </row>
    <row r="2138" spans="1:4" hidden="1" x14ac:dyDescent="0.25">
      <c r="A2138" s="2" t="s">
        <v>54</v>
      </c>
      <c r="B2138">
        <v>30</v>
      </c>
      <c r="C2138" s="2" t="s">
        <v>126</v>
      </c>
      <c r="D2138">
        <v>2</v>
      </c>
    </row>
    <row r="2139" spans="1:4" hidden="1" x14ac:dyDescent="0.25">
      <c r="A2139" s="2" t="s">
        <v>54</v>
      </c>
      <c r="B2139">
        <v>30</v>
      </c>
      <c r="C2139" s="2" t="s">
        <v>127</v>
      </c>
      <c r="D2139">
        <v>2</v>
      </c>
    </row>
    <row r="2140" spans="1:4" hidden="1" x14ac:dyDescent="0.25">
      <c r="A2140" s="2" t="s">
        <v>54</v>
      </c>
      <c r="B2140">
        <v>30</v>
      </c>
      <c r="C2140" s="2" t="s">
        <v>128</v>
      </c>
      <c r="D2140">
        <v>9</v>
      </c>
    </row>
    <row r="2141" spans="1:4" hidden="1" x14ac:dyDescent="0.25">
      <c r="A2141" s="2" t="s">
        <v>54</v>
      </c>
      <c r="B2141">
        <v>30</v>
      </c>
      <c r="C2141" s="2" t="s">
        <v>129</v>
      </c>
      <c r="D2141">
        <v>13</v>
      </c>
    </row>
    <row r="2142" spans="1:4" hidden="1" x14ac:dyDescent="0.25">
      <c r="A2142" s="2" t="s">
        <v>54</v>
      </c>
      <c r="B2142">
        <v>30</v>
      </c>
      <c r="C2142" s="2" t="s">
        <v>130</v>
      </c>
      <c r="D2142">
        <v>23</v>
      </c>
    </row>
    <row r="2143" spans="1:4" hidden="1" x14ac:dyDescent="0.25">
      <c r="A2143" s="2" t="s">
        <v>54</v>
      </c>
      <c r="B2143">
        <v>30</v>
      </c>
      <c r="C2143" s="2" t="s">
        <v>131</v>
      </c>
      <c r="D2143">
        <v>22</v>
      </c>
    </row>
    <row r="2144" spans="1:4" hidden="1" x14ac:dyDescent="0.25">
      <c r="A2144" s="2" t="s">
        <v>54</v>
      </c>
      <c r="B2144">
        <v>30</v>
      </c>
      <c r="C2144" s="2" t="s">
        <v>132</v>
      </c>
      <c r="D2144">
        <v>27</v>
      </c>
    </row>
    <row r="2145" spans="1:4" hidden="1" x14ac:dyDescent="0.25">
      <c r="A2145" s="2" t="s">
        <v>54</v>
      </c>
      <c r="B2145">
        <v>30</v>
      </c>
      <c r="C2145" s="2" t="s">
        <v>133</v>
      </c>
      <c r="D2145">
        <v>27</v>
      </c>
    </row>
    <row r="2146" spans="1:4" hidden="1" x14ac:dyDescent="0.25">
      <c r="A2146" s="2" t="s">
        <v>54</v>
      </c>
      <c r="B2146">
        <v>30</v>
      </c>
      <c r="C2146" s="2" t="s">
        <v>134</v>
      </c>
      <c r="D2146">
        <v>22</v>
      </c>
    </row>
    <row r="2147" spans="1:4" hidden="1" x14ac:dyDescent="0.25">
      <c r="A2147" s="2" t="s">
        <v>54</v>
      </c>
      <c r="B2147">
        <v>30</v>
      </c>
      <c r="C2147" s="2" t="s">
        <v>135</v>
      </c>
      <c r="D2147">
        <v>30</v>
      </c>
    </row>
    <row r="2148" spans="1:4" hidden="1" x14ac:dyDescent="0.25">
      <c r="A2148" s="2" t="s">
        <v>54</v>
      </c>
      <c r="B2148">
        <v>30</v>
      </c>
      <c r="C2148" s="2" t="s">
        <v>136</v>
      </c>
      <c r="D2148">
        <v>30</v>
      </c>
    </row>
    <row r="2149" spans="1:4" hidden="1" x14ac:dyDescent="0.25">
      <c r="A2149" s="2" t="s">
        <v>54</v>
      </c>
      <c r="B2149">
        <v>30</v>
      </c>
      <c r="C2149" s="2" t="s">
        <v>137</v>
      </c>
      <c r="D2149">
        <v>30</v>
      </c>
    </row>
    <row r="2150" spans="1:4" hidden="1" x14ac:dyDescent="0.25">
      <c r="A2150" s="2" t="s">
        <v>54</v>
      </c>
      <c r="B2150">
        <v>30</v>
      </c>
      <c r="C2150" s="2" t="s">
        <v>138</v>
      </c>
      <c r="D2150">
        <v>30</v>
      </c>
    </row>
    <row r="2151" spans="1:4" hidden="1" x14ac:dyDescent="0.25">
      <c r="A2151" s="2" t="s">
        <v>54</v>
      </c>
      <c r="B2151">
        <v>30</v>
      </c>
      <c r="C2151" s="2" t="s">
        <v>139</v>
      </c>
      <c r="D2151">
        <v>30</v>
      </c>
    </row>
    <row r="2152" spans="1:4" hidden="1" x14ac:dyDescent="0.25">
      <c r="A2152" s="2" t="s">
        <v>54</v>
      </c>
      <c r="B2152">
        <v>30</v>
      </c>
      <c r="C2152" s="2" t="s">
        <v>140</v>
      </c>
      <c r="D2152">
        <v>30</v>
      </c>
    </row>
    <row r="2153" spans="1:4" hidden="1" x14ac:dyDescent="0.25">
      <c r="A2153" s="2" t="s">
        <v>54</v>
      </c>
      <c r="B2153">
        <v>30</v>
      </c>
      <c r="C2153" s="2" t="s">
        <v>141</v>
      </c>
      <c r="D2153">
        <v>30</v>
      </c>
    </row>
    <row r="2154" spans="1:4" hidden="1" x14ac:dyDescent="0.25">
      <c r="A2154" s="2" t="s">
        <v>54</v>
      </c>
      <c r="B2154">
        <v>30</v>
      </c>
      <c r="C2154" s="2" t="s">
        <v>142</v>
      </c>
      <c r="D2154">
        <v>30</v>
      </c>
    </row>
    <row r="2155" spans="1:4" hidden="1" x14ac:dyDescent="0.25">
      <c r="A2155" s="2" t="s">
        <v>54</v>
      </c>
      <c r="B2155">
        <v>30</v>
      </c>
      <c r="C2155" s="2" t="s">
        <v>143</v>
      </c>
      <c r="D2155">
        <v>30</v>
      </c>
    </row>
    <row r="2156" spans="1:4" hidden="1" x14ac:dyDescent="0.25">
      <c r="A2156" s="2" t="s">
        <v>54</v>
      </c>
      <c r="B2156">
        <v>30</v>
      </c>
      <c r="C2156" s="2" t="s">
        <v>144</v>
      </c>
      <c r="D2156">
        <v>30</v>
      </c>
    </row>
    <row r="2157" spans="1:4" hidden="1" x14ac:dyDescent="0.25">
      <c r="A2157" s="2" t="s">
        <v>54</v>
      </c>
      <c r="B2157">
        <v>30</v>
      </c>
      <c r="C2157" s="2" t="s">
        <v>145</v>
      </c>
      <c r="D2157">
        <v>30</v>
      </c>
    </row>
    <row r="2158" spans="1:4" hidden="1" x14ac:dyDescent="0.25">
      <c r="A2158" s="2" t="s">
        <v>54</v>
      </c>
      <c r="B2158">
        <v>30</v>
      </c>
      <c r="C2158" s="2" t="s">
        <v>146</v>
      </c>
      <c r="D2158">
        <v>30</v>
      </c>
    </row>
    <row r="2159" spans="1:4" hidden="1" x14ac:dyDescent="0.25">
      <c r="A2159" s="2" t="s">
        <v>54</v>
      </c>
      <c r="B2159">
        <v>30</v>
      </c>
      <c r="C2159" s="2" t="s">
        <v>147</v>
      </c>
      <c r="D2159">
        <v>30</v>
      </c>
    </row>
    <row r="2160" spans="1:4" hidden="1" x14ac:dyDescent="0.25">
      <c r="A2160" s="2" t="s">
        <v>54</v>
      </c>
      <c r="B2160">
        <v>30</v>
      </c>
      <c r="C2160" s="2" t="s">
        <v>148</v>
      </c>
      <c r="D2160">
        <v>30</v>
      </c>
    </row>
    <row r="2161" spans="1:4" hidden="1" x14ac:dyDescent="0.25">
      <c r="A2161" s="2" t="s">
        <v>54</v>
      </c>
      <c r="B2161">
        <v>30</v>
      </c>
      <c r="C2161" s="2" t="s">
        <v>149</v>
      </c>
      <c r="D2161">
        <v>30</v>
      </c>
    </row>
    <row r="2162" spans="1:4" hidden="1" x14ac:dyDescent="0.25">
      <c r="A2162" s="2" t="s">
        <v>54</v>
      </c>
      <c r="B2162">
        <v>30</v>
      </c>
      <c r="C2162" s="2" t="s">
        <v>150</v>
      </c>
      <c r="D2162">
        <v>30</v>
      </c>
    </row>
    <row r="2163" spans="1:4" hidden="1" x14ac:dyDescent="0.25">
      <c r="A2163" s="2" t="s">
        <v>54</v>
      </c>
      <c r="B2163">
        <v>30</v>
      </c>
      <c r="C2163" s="2" t="s">
        <v>151</v>
      </c>
      <c r="D2163">
        <v>30</v>
      </c>
    </row>
    <row r="2164" spans="1:4" hidden="1" x14ac:dyDescent="0.25">
      <c r="A2164" s="2" t="s">
        <v>54</v>
      </c>
      <c r="B2164">
        <v>30</v>
      </c>
      <c r="C2164" s="2" t="s">
        <v>152</v>
      </c>
      <c r="D2164">
        <v>30</v>
      </c>
    </row>
    <row r="2165" spans="1:4" hidden="1" x14ac:dyDescent="0.25">
      <c r="A2165" s="2" t="s">
        <v>54</v>
      </c>
      <c r="B2165">
        <v>30</v>
      </c>
      <c r="C2165" s="2" t="s">
        <v>153</v>
      </c>
      <c r="D2165">
        <v>30</v>
      </c>
    </row>
    <row r="2166" spans="1:4" hidden="1" x14ac:dyDescent="0.25">
      <c r="A2166" s="2" t="s">
        <v>54</v>
      </c>
      <c r="B2166">
        <v>30</v>
      </c>
      <c r="C2166" s="2" t="s">
        <v>154</v>
      </c>
      <c r="D2166">
        <v>30</v>
      </c>
    </row>
    <row r="2167" spans="1:4" hidden="1" x14ac:dyDescent="0.25">
      <c r="A2167" s="2" t="s">
        <v>54</v>
      </c>
      <c r="B2167">
        <v>30</v>
      </c>
      <c r="C2167" s="2" t="s">
        <v>155</v>
      </c>
      <c r="D2167">
        <v>30</v>
      </c>
    </row>
    <row r="2168" spans="1:4" hidden="1" x14ac:dyDescent="0.25">
      <c r="A2168" s="2" t="s">
        <v>54</v>
      </c>
      <c r="B2168">
        <v>30</v>
      </c>
      <c r="C2168" s="2" t="s">
        <v>156</v>
      </c>
      <c r="D2168">
        <v>30</v>
      </c>
    </row>
    <row r="2169" spans="1:4" hidden="1" x14ac:dyDescent="0.25">
      <c r="A2169" s="2" t="s">
        <v>54</v>
      </c>
      <c r="B2169">
        <v>30</v>
      </c>
      <c r="C2169" s="2" t="s">
        <v>157</v>
      </c>
      <c r="D2169">
        <v>30</v>
      </c>
    </row>
    <row r="2170" spans="1:4" hidden="1" x14ac:dyDescent="0.25">
      <c r="A2170" s="2" t="s">
        <v>54</v>
      </c>
      <c r="B2170">
        <v>30</v>
      </c>
      <c r="C2170" s="2" t="s">
        <v>158</v>
      </c>
      <c r="D2170">
        <v>30</v>
      </c>
    </row>
    <row r="2171" spans="1:4" hidden="1" x14ac:dyDescent="0.25">
      <c r="A2171" s="2" t="s">
        <v>54</v>
      </c>
      <c r="B2171">
        <v>30</v>
      </c>
      <c r="C2171" s="2" t="s">
        <v>159</v>
      </c>
      <c r="D2171">
        <v>30</v>
      </c>
    </row>
    <row r="2172" spans="1:4" hidden="1" x14ac:dyDescent="0.25">
      <c r="A2172" s="2" t="s">
        <v>54</v>
      </c>
      <c r="B2172">
        <v>30</v>
      </c>
      <c r="C2172" s="2" t="s">
        <v>160</v>
      </c>
      <c r="D2172">
        <v>30</v>
      </c>
    </row>
    <row r="2173" spans="1:4" hidden="1" x14ac:dyDescent="0.25">
      <c r="A2173" s="2" t="s">
        <v>54</v>
      </c>
      <c r="B2173">
        <v>30</v>
      </c>
      <c r="C2173" s="2" t="s">
        <v>161</v>
      </c>
      <c r="D2173">
        <v>30</v>
      </c>
    </row>
    <row r="2174" spans="1:4" hidden="1" x14ac:dyDescent="0.25">
      <c r="A2174" s="2" t="s">
        <v>54</v>
      </c>
      <c r="B2174">
        <v>30</v>
      </c>
      <c r="C2174" s="2" t="s">
        <v>162</v>
      </c>
      <c r="D2174">
        <v>30</v>
      </c>
    </row>
    <row r="2175" spans="1:4" hidden="1" x14ac:dyDescent="0.25">
      <c r="A2175" s="2" t="s">
        <v>54</v>
      </c>
      <c r="B2175">
        <v>30</v>
      </c>
      <c r="C2175" s="2" t="s">
        <v>163</v>
      </c>
      <c r="D2175">
        <v>30</v>
      </c>
    </row>
    <row r="2176" spans="1:4" hidden="1" x14ac:dyDescent="0.25">
      <c r="A2176" s="2" t="s">
        <v>54</v>
      </c>
      <c r="B2176">
        <v>30</v>
      </c>
      <c r="C2176" s="2" t="s">
        <v>164</v>
      </c>
      <c r="D2176">
        <v>30</v>
      </c>
    </row>
    <row r="2177" spans="1:4" hidden="1" x14ac:dyDescent="0.25">
      <c r="A2177" s="2" t="s">
        <v>54</v>
      </c>
      <c r="B2177">
        <v>30</v>
      </c>
      <c r="C2177" s="2" t="s">
        <v>165</v>
      </c>
      <c r="D2177">
        <v>30</v>
      </c>
    </row>
    <row r="2178" spans="1:4" hidden="1" x14ac:dyDescent="0.25">
      <c r="A2178" s="2" t="s">
        <v>54</v>
      </c>
      <c r="B2178">
        <v>30</v>
      </c>
      <c r="C2178" s="2" t="s">
        <v>166</v>
      </c>
      <c r="D2178">
        <v>30</v>
      </c>
    </row>
    <row r="2179" spans="1:4" hidden="1" x14ac:dyDescent="0.25">
      <c r="A2179" s="2" t="s">
        <v>54</v>
      </c>
      <c r="B2179">
        <v>30</v>
      </c>
      <c r="C2179" s="2" t="s">
        <v>167</v>
      </c>
      <c r="D2179">
        <v>30</v>
      </c>
    </row>
    <row r="2180" spans="1:4" hidden="1" x14ac:dyDescent="0.25">
      <c r="A2180" s="2" t="s">
        <v>54</v>
      </c>
      <c r="B2180">
        <v>30</v>
      </c>
      <c r="C2180" s="2" t="s">
        <v>168</v>
      </c>
      <c r="D2180">
        <v>30</v>
      </c>
    </row>
    <row r="2181" spans="1:4" hidden="1" x14ac:dyDescent="0.25">
      <c r="A2181" s="2" t="s">
        <v>54</v>
      </c>
      <c r="B2181">
        <v>30</v>
      </c>
      <c r="C2181" s="2" t="s">
        <v>169</v>
      </c>
      <c r="D2181">
        <v>30</v>
      </c>
    </row>
    <row r="2182" spans="1:4" hidden="1" x14ac:dyDescent="0.25">
      <c r="A2182" s="2" t="s">
        <v>54</v>
      </c>
      <c r="B2182">
        <v>30</v>
      </c>
      <c r="C2182" s="2" t="s">
        <v>170</v>
      </c>
      <c r="D2182">
        <v>30</v>
      </c>
    </row>
    <row r="2183" spans="1:4" hidden="1" x14ac:dyDescent="0.25">
      <c r="A2183" s="2" t="s">
        <v>54</v>
      </c>
      <c r="B2183">
        <v>30</v>
      </c>
      <c r="C2183" s="2" t="s">
        <v>171</v>
      </c>
      <c r="D2183">
        <v>30</v>
      </c>
    </row>
    <row r="2184" spans="1:4" hidden="1" x14ac:dyDescent="0.25">
      <c r="A2184" s="2" t="s">
        <v>54</v>
      </c>
      <c r="B2184">
        <v>30</v>
      </c>
      <c r="C2184" s="2" t="s">
        <v>172</v>
      </c>
      <c r="D2184">
        <v>30</v>
      </c>
    </row>
    <row r="2185" spans="1:4" hidden="1" x14ac:dyDescent="0.25">
      <c r="A2185" s="2" t="s">
        <v>54</v>
      </c>
      <c r="B2185">
        <v>30</v>
      </c>
      <c r="C2185" s="2" t="s">
        <v>173</v>
      </c>
      <c r="D2185">
        <v>30</v>
      </c>
    </row>
    <row r="2186" spans="1:4" hidden="1" x14ac:dyDescent="0.25">
      <c r="A2186" s="2" t="s">
        <v>54</v>
      </c>
      <c r="B2186">
        <v>30</v>
      </c>
      <c r="C2186" s="2" t="s">
        <v>174</v>
      </c>
      <c r="D2186">
        <v>30</v>
      </c>
    </row>
    <row r="2187" spans="1:4" hidden="1" x14ac:dyDescent="0.25">
      <c r="A2187" s="2" t="s">
        <v>54</v>
      </c>
      <c r="B2187">
        <v>30</v>
      </c>
      <c r="C2187" s="2" t="s">
        <v>175</v>
      </c>
      <c r="D2187">
        <v>30</v>
      </c>
    </row>
    <row r="2188" spans="1:4" hidden="1" x14ac:dyDescent="0.25">
      <c r="A2188" s="2" t="s">
        <v>54</v>
      </c>
      <c r="B2188">
        <v>30</v>
      </c>
      <c r="C2188" s="2" t="s">
        <v>176</v>
      </c>
      <c r="D2188">
        <v>30</v>
      </c>
    </row>
    <row r="2189" spans="1:4" hidden="1" x14ac:dyDescent="0.25">
      <c r="A2189" s="2" t="s">
        <v>54</v>
      </c>
      <c r="B2189">
        <v>30</v>
      </c>
      <c r="C2189" s="2" t="s">
        <v>177</v>
      </c>
      <c r="D2189">
        <v>30</v>
      </c>
    </row>
    <row r="2190" spans="1:4" hidden="1" x14ac:dyDescent="0.25">
      <c r="A2190" s="2" t="s">
        <v>54</v>
      </c>
      <c r="B2190">
        <v>30</v>
      </c>
      <c r="C2190" s="2" t="s">
        <v>178</v>
      </c>
      <c r="D2190">
        <v>30</v>
      </c>
    </row>
    <row r="2191" spans="1:4" hidden="1" x14ac:dyDescent="0.25">
      <c r="A2191" s="2" t="s">
        <v>54</v>
      </c>
      <c r="B2191">
        <v>30</v>
      </c>
      <c r="C2191" s="2" t="s">
        <v>179</v>
      </c>
      <c r="D2191">
        <v>30</v>
      </c>
    </row>
    <row r="2192" spans="1:4" hidden="1" x14ac:dyDescent="0.25">
      <c r="A2192" s="2" t="s">
        <v>75</v>
      </c>
      <c r="B2192">
        <v>30</v>
      </c>
      <c r="C2192" s="2" t="s">
        <v>183</v>
      </c>
      <c r="D2192">
        <v>13</v>
      </c>
    </row>
    <row r="2193" spans="1:4" hidden="1" x14ac:dyDescent="0.25">
      <c r="A2193" s="2" t="s">
        <v>75</v>
      </c>
      <c r="B2193">
        <v>30</v>
      </c>
      <c r="C2193" s="2" t="s">
        <v>184</v>
      </c>
      <c r="D2193">
        <v>62</v>
      </c>
    </row>
    <row r="2194" spans="1:4" hidden="1" x14ac:dyDescent="0.25">
      <c r="A2194" s="2" t="s">
        <v>75</v>
      </c>
      <c r="B2194">
        <v>30</v>
      </c>
      <c r="C2194" s="2" t="s">
        <v>185</v>
      </c>
      <c r="D2194">
        <v>50</v>
      </c>
    </row>
    <row r="2195" spans="1:4" hidden="1" x14ac:dyDescent="0.25">
      <c r="A2195" s="2" t="s">
        <v>75</v>
      </c>
      <c r="B2195">
        <v>30</v>
      </c>
      <c r="C2195" s="2" t="s">
        <v>186</v>
      </c>
      <c r="D2195">
        <v>54</v>
      </c>
    </row>
    <row r="2196" spans="1:4" hidden="1" x14ac:dyDescent="0.25">
      <c r="A2196" s="2" t="s">
        <v>75</v>
      </c>
      <c r="B2196">
        <v>30</v>
      </c>
      <c r="C2196" s="2" t="s">
        <v>187</v>
      </c>
      <c r="D2196">
        <v>55</v>
      </c>
    </row>
    <row r="2197" spans="1:4" hidden="1" x14ac:dyDescent="0.25">
      <c r="A2197" s="2" t="s">
        <v>75</v>
      </c>
      <c r="B2197">
        <v>30</v>
      </c>
      <c r="C2197" s="2" t="s">
        <v>188</v>
      </c>
      <c r="D2197">
        <v>53</v>
      </c>
    </row>
    <row r="2198" spans="1:4" hidden="1" x14ac:dyDescent="0.25">
      <c r="A2198" s="2" t="s">
        <v>75</v>
      </c>
      <c r="B2198">
        <v>30</v>
      </c>
      <c r="C2198" s="2" t="s">
        <v>189</v>
      </c>
      <c r="D2198">
        <v>61</v>
      </c>
    </row>
    <row r="2199" spans="1:4" hidden="1" x14ac:dyDescent="0.25">
      <c r="A2199" s="2" t="s">
        <v>75</v>
      </c>
      <c r="B2199">
        <v>30</v>
      </c>
      <c r="C2199" s="2" t="s">
        <v>190</v>
      </c>
      <c r="D2199">
        <v>65</v>
      </c>
    </row>
    <row r="2200" spans="1:4" hidden="1" x14ac:dyDescent="0.25">
      <c r="A2200" s="2" t="s">
        <v>75</v>
      </c>
      <c r="B2200">
        <v>30</v>
      </c>
      <c r="C2200" s="2" t="s">
        <v>191</v>
      </c>
      <c r="D2200">
        <v>64</v>
      </c>
    </row>
    <row r="2201" spans="1:4" hidden="1" x14ac:dyDescent="0.25">
      <c r="A2201" s="2" t="s">
        <v>75</v>
      </c>
      <c r="B2201">
        <v>30</v>
      </c>
      <c r="C2201" s="2" t="s">
        <v>116</v>
      </c>
      <c r="D2201">
        <v>65</v>
      </c>
    </row>
    <row r="2202" spans="1:4" hidden="1" x14ac:dyDescent="0.25">
      <c r="A2202" s="2" t="s">
        <v>75</v>
      </c>
      <c r="B2202">
        <v>30</v>
      </c>
      <c r="C2202" s="2" t="s">
        <v>117</v>
      </c>
      <c r="D2202">
        <v>75</v>
      </c>
    </row>
    <row r="2203" spans="1:4" hidden="1" x14ac:dyDescent="0.25">
      <c r="A2203" s="2" t="s">
        <v>75</v>
      </c>
      <c r="B2203">
        <v>30</v>
      </c>
      <c r="C2203" s="2" t="s">
        <v>118</v>
      </c>
      <c r="D2203">
        <v>76</v>
      </c>
    </row>
    <row r="2204" spans="1:4" hidden="1" x14ac:dyDescent="0.25">
      <c r="A2204" s="2" t="s">
        <v>75</v>
      </c>
      <c r="B2204">
        <v>30</v>
      </c>
      <c r="C2204" s="2" t="s">
        <v>119</v>
      </c>
      <c r="D2204">
        <v>50</v>
      </c>
    </row>
    <row r="2205" spans="1:4" hidden="1" x14ac:dyDescent="0.25">
      <c r="A2205" s="2" t="s">
        <v>75</v>
      </c>
      <c r="B2205">
        <v>30</v>
      </c>
      <c r="C2205" s="2" t="s">
        <v>120</v>
      </c>
      <c r="D2205">
        <v>35</v>
      </c>
    </row>
    <row r="2206" spans="1:4" hidden="1" x14ac:dyDescent="0.25">
      <c r="A2206" s="2" t="s">
        <v>75</v>
      </c>
      <c r="B2206">
        <v>30</v>
      </c>
      <c r="C2206" s="2" t="s">
        <v>121</v>
      </c>
      <c r="D2206">
        <v>36</v>
      </c>
    </row>
    <row r="2207" spans="1:4" hidden="1" x14ac:dyDescent="0.25">
      <c r="A2207" s="2" t="s">
        <v>75</v>
      </c>
      <c r="B2207">
        <v>30</v>
      </c>
      <c r="C2207" s="2" t="s">
        <v>122</v>
      </c>
      <c r="D2207">
        <v>27</v>
      </c>
    </row>
    <row r="2208" spans="1:4" hidden="1" x14ac:dyDescent="0.25">
      <c r="A2208" s="2" t="s">
        <v>75</v>
      </c>
      <c r="B2208">
        <v>30</v>
      </c>
      <c r="C2208" s="2" t="s">
        <v>123</v>
      </c>
      <c r="D2208">
        <v>32</v>
      </c>
    </row>
    <row r="2209" spans="1:4" hidden="1" x14ac:dyDescent="0.25">
      <c r="A2209" s="2" t="s">
        <v>75</v>
      </c>
      <c r="B2209">
        <v>30</v>
      </c>
      <c r="C2209" s="2" t="s">
        <v>124</v>
      </c>
      <c r="D2209">
        <v>37</v>
      </c>
    </row>
    <row r="2210" spans="1:4" hidden="1" x14ac:dyDescent="0.25">
      <c r="A2210" s="2" t="s">
        <v>75</v>
      </c>
      <c r="B2210">
        <v>30</v>
      </c>
      <c r="C2210" s="2" t="s">
        <v>125</v>
      </c>
      <c r="D2210">
        <v>42</v>
      </c>
    </row>
    <row r="2211" spans="1:4" hidden="1" x14ac:dyDescent="0.25">
      <c r="A2211" s="2" t="s">
        <v>75</v>
      </c>
      <c r="B2211">
        <v>30</v>
      </c>
      <c r="C2211" s="2" t="s">
        <v>126</v>
      </c>
      <c r="D2211">
        <v>41</v>
      </c>
    </row>
    <row r="2212" spans="1:4" hidden="1" x14ac:dyDescent="0.25">
      <c r="A2212" s="2" t="s">
        <v>75</v>
      </c>
      <c r="B2212">
        <v>30</v>
      </c>
      <c r="C2212" s="2" t="s">
        <v>127</v>
      </c>
      <c r="D2212">
        <v>36</v>
      </c>
    </row>
    <row r="2213" spans="1:4" hidden="1" x14ac:dyDescent="0.25">
      <c r="A2213" s="2" t="s">
        <v>75</v>
      </c>
      <c r="B2213">
        <v>30</v>
      </c>
      <c r="C2213" s="2" t="s">
        <v>128</v>
      </c>
      <c r="D2213">
        <v>40</v>
      </c>
    </row>
    <row r="2214" spans="1:4" hidden="1" x14ac:dyDescent="0.25">
      <c r="A2214" s="2" t="s">
        <v>75</v>
      </c>
      <c r="B2214">
        <v>30</v>
      </c>
      <c r="C2214" s="2" t="s">
        <v>129</v>
      </c>
      <c r="D2214">
        <v>32</v>
      </c>
    </row>
    <row r="2215" spans="1:4" hidden="1" x14ac:dyDescent="0.25">
      <c r="A2215" s="2" t="s">
        <v>75</v>
      </c>
      <c r="B2215">
        <v>30</v>
      </c>
      <c r="C2215" s="2" t="s">
        <v>130</v>
      </c>
      <c r="D2215">
        <v>20</v>
      </c>
    </row>
    <row r="2216" spans="1:4" hidden="1" x14ac:dyDescent="0.25">
      <c r="A2216" s="2" t="s">
        <v>75</v>
      </c>
      <c r="B2216">
        <v>30</v>
      </c>
      <c r="C2216" s="2" t="s">
        <v>131</v>
      </c>
      <c r="D2216">
        <v>15</v>
      </c>
    </row>
    <row r="2217" spans="1:4" hidden="1" x14ac:dyDescent="0.25">
      <c r="A2217" s="2" t="s">
        <v>75</v>
      </c>
      <c r="B2217">
        <v>30</v>
      </c>
      <c r="C2217" s="2" t="s">
        <v>132</v>
      </c>
      <c r="D2217">
        <v>18</v>
      </c>
    </row>
    <row r="2218" spans="1:4" hidden="1" x14ac:dyDescent="0.25">
      <c r="A2218" s="2" t="s">
        <v>75</v>
      </c>
      <c r="B2218">
        <v>30</v>
      </c>
      <c r="C2218" s="2" t="s">
        <v>133</v>
      </c>
      <c r="D2218">
        <v>18</v>
      </c>
    </row>
    <row r="2219" spans="1:4" hidden="1" x14ac:dyDescent="0.25">
      <c r="A2219" s="2" t="s">
        <v>75</v>
      </c>
      <c r="B2219">
        <v>30</v>
      </c>
      <c r="C2219" s="2" t="s">
        <v>134</v>
      </c>
      <c r="D2219">
        <v>22</v>
      </c>
    </row>
    <row r="2220" spans="1:4" hidden="1" x14ac:dyDescent="0.25">
      <c r="A2220" s="2" t="s">
        <v>75</v>
      </c>
      <c r="B2220">
        <v>30</v>
      </c>
      <c r="C2220" s="2" t="s">
        <v>135</v>
      </c>
      <c r="D2220">
        <v>30</v>
      </c>
    </row>
    <row r="2221" spans="1:4" hidden="1" x14ac:dyDescent="0.25">
      <c r="A2221" s="2" t="s">
        <v>75</v>
      </c>
      <c r="B2221">
        <v>30</v>
      </c>
      <c r="C2221" s="2" t="s">
        <v>136</v>
      </c>
      <c r="D2221">
        <v>30</v>
      </c>
    </row>
    <row r="2222" spans="1:4" hidden="1" x14ac:dyDescent="0.25">
      <c r="A2222" s="2" t="s">
        <v>75</v>
      </c>
      <c r="B2222">
        <v>30</v>
      </c>
      <c r="C2222" s="2" t="s">
        <v>137</v>
      </c>
      <c r="D2222">
        <v>30</v>
      </c>
    </row>
    <row r="2223" spans="1:4" hidden="1" x14ac:dyDescent="0.25">
      <c r="A2223" s="2" t="s">
        <v>75</v>
      </c>
      <c r="B2223">
        <v>30</v>
      </c>
      <c r="C2223" s="2" t="s">
        <v>138</v>
      </c>
      <c r="D2223">
        <v>30</v>
      </c>
    </row>
    <row r="2224" spans="1:4" hidden="1" x14ac:dyDescent="0.25">
      <c r="A2224" s="2" t="s">
        <v>75</v>
      </c>
      <c r="B2224">
        <v>30</v>
      </c>
      <c r="C2224" s="2" t="s">
        <v>139</v>
      </c>
      <c r="D2224">
        <v>30</v>
      </c>
    </row>
    <row r="2225" spans="1:4" hidden="1" x14ac:dyDescent="0.25">
      <c r="A2225" s="2" t="s">
        <v>75</v>
      </c>
      <c r="B2225">
        <v>30</v>
      </c>
      <c r="C2225" s="2" t="s">
        <v>140</v>
      </c>
      <c r="D2225">
        <v>30</v>
      </c>
    </row>
    <row r="2226" spans="1:4" hidden="1" x14ac:dyDescent="0.25">
      <c r="A2226" s="2" t="s">
        <v>75</v>
      </c>
      <c r="B2226">
        <v>30</v>
      </c>
      <c r="C2226" s="2" t="s">
        <v>141</v>
      </c>
      <c r="D2226">
        <v>30</v>
      </c>
    </row>
    <row r="2227" spans="1:4" hidden="1" x14ac:dyDescent="0.25">
      <c r="A2227" s="2" t="s">
        <v>75</v>
      </c>
      <c r="B2227">
        <v>30</v>
      </c>
      <c r="C2227" s="2" t="s">
        <v>142</v>
      </c>
      <c r="D2227">
        <v>30</v>
      </c>
    </row>
    <row r="2228" spans="1:4" hidden="1" x14ac:dyDescent="0.25">
      <c r="A2228" s="2" t="s">
        <v>75</v>
      </c>
      <c r="B2228">
        <v>30</v>
      </c>
      <c r="C2228" s="2" t="s">
        <v>143</v>
      </c>
      <c r="D2228">
        <v>30</v>
      </c>
    </row>
    <row r="2229" spans="1:4" hidden="1" x14ac:dyDescent="0.25">
      <c r="A2229" s="2" t="s">
        <v>75</v>
      </c>
      <c r="B2229">
        <v>30</v>
      </c>
      <c r="C2229" s="2" t="s">
        <v>144</v>
      </c>
      <c r="D2229">
        <v>30</v>
      </c>
    </row>
    <row r="2230" spans="1:4" hidden="1" x14ac:dyDescent="0.25">
      <c r="A2230" s="2" t="s">
        <v>75</v>
      </c>
      <c r="B2230">
        <v>30</v>
      </c>
      <c r="C2230" s="2" t="s">
        <v>145</v>
      </c>
      <c r="D2230">
        <v>30</v>
      </c>
    </row>
    <row r="2231" spans="1:4" hidden="1" x14ac:dyDescent="0.25">
      <c r="A2231" s="2" t="s">
        <v>75</v>
      </c>
      <c r="B2231">
        <v>30</v>
      </c>
      <c r="C2231" s="2" t="s">
        <v>146</v>
      </c>
      <c r="D2231">
        <v>30</v>
      </c>
    </row>
    <row r="2232" spans="1:4" hidden="1" x14ac:dyDescent="0.25">
      <c r="A2232" s="2" t="s">
        <v>75</v>
      </c>
      <c r="B2232">
        <v>30</v>
      </c>
      <c r="C2232" s="2" t="s">
        <v>147</v>
      </c>
      <c r="D2232">
        <v>30</v>
      </c>
    </row>
    <row r="2233" spans="1:4" hidden="1" x14ac:dyDescent="0.25">
      <c r="A2233" s="2" t="s">
        <v>75</v>
      </c>
      <c r="B2233">
        <v>30</v>
      </c>
      <c r="C2233" s="2" t="s">
        <v>148</v>
      </c>
      <c r="D2233">
        <v>30</v>
      </c>
    </row>
    <row r="2234" spans="1:4" hidden="1" x14ac:dyDescent="0.25">
      <c r="A2234" s="2" t="s">
        <v>75</v>
      </c>
      <c r="B2234">
        <v>30</v>
      </c>
      <c r="C2234" s="2" t="s">
        <v>149</v>
      </c>
      <c r="D2234">
        <v>30</v>
      </c>
    </row>
    <row r="2235" spans="1:4" hidden="1" x14ac:dyDescent="0.25">
      <c r="A2235" s="2" t="s">
        <v>75</v>
      </c>
      <c r="B2235">
        <v>30</v>
      </c>
      <c r="C2235" s="2" t="s">
        <v>150</v>
      </c>
      <c r="D2235">
        <v>30</v>
      </c>
    </row>
    <row r="2236" spans="1:4" hidden="1" x14ac:dyDescent="0.25">
      <c r="A2236" s="2" t="s">
        <v>75</v>
      </c>
      <c r="B2236">
        <v>30</v>
      </c>
      <c r="C2236" s="2" t="s">
        <v>151</v>
      </c>
      <c r="D2236">
        <v>30</v>
      </c>
    </row>
    <row r="2237" spans="1:4" hidden="1" x14ac:dyDescent="0.25">
      <c r="A2237" s="2" t="s">
        <v>75</v>
      </c>
      <c r="B2237">
        <v>30</v>
      </c>
      <c r="C2237" s="2" t="s">
        <v>152</v>
      </c>
      <c r="D2237">
        <v>30</v>
      </c>
    </row>
    <row r="2238" spans="1:4" hidden="1" x14ac:dyDescent="0.25">
      <c r="A2238" s="2" t="s">
        <v>75</v>
      </c>
      <c r="B2238">
        <v>30</v>
      </c>
      <c r="C2238" s="2" t="s">
        <v>153</v>
      </c>
      <c r="D2238">
        <v>30</v>
      </c>
    </row>
    <row r="2239" spans="1:4" hidden="1" x14ac:dyDescent="0.25">
      <c r="A2239" s="2" t="s">
        <v>75</v>
      </c>
      <c r="B2239">
        <v>30</v>
      </c>
      <c r="C2239" s="2" t="s">
        <v>154</v>
      </c>
      <c r="D2239">
        <v>30</v>
      </c>
    </row>
    <row r="2240" spans="1:4" hidden="1" x14ac:dyDescent="0.25">
      <c r="A2240" s="2" t="s">
        <v>75</v>
      </c>
      <c r="B2240">
        <v>30</v>
      </c>
      <c r="C2240" s="2" t="s">
        <v>155</v>
      </c>
      <c r="D2240">
        <v>30</v>
      </c>
    </row>
    <row r="2241" spans="1:4" hidden="1" x14ac:dyDescent="0.25">
      <c r="A2241" s="2" t="s">
        <v>75</v>
      </c>
      <c r="B2241">
        <v>30</v>
      </c>
      <c r="C2241" s="2" t="s">
        <v>156</v>
      </c>
      <c r="D2241">
        <v>30</v>
      </c>
    </row>
    <row r="2242" spans="1:4" hidden="1" x14ac:dyDescent="0.25">
      <c r="A2242" s="2" t="s">
        <v>75</v>
      </c>
      <c r="B2242">
        <v>30</v>
      </c>
      <c r="C2242" s="2" t="s">
        <v>157</v>
      </c>
      <c r="D2242">
        <v>30</v>
      </c>
    </row>
    <row r="2243" spans="1:4" hidden="1" x14ac:dyDescent="0.25">
      <c r="A2243" s="2" t="s">
        <v>75</v>
      </c>
      <c r="B2243">
        <v>30</v>
      </c>
      <c r="C2243" s="2" t="s">
        <v>158</v>
      </c>
      <c r="D2243">
        <v>30</v>
      </c>
    </row>
    <row r="2244" spans="1:4" hidden="1" x14ac:dyDescent="0.25">
      <c r="A2244" s="2" t="s">
        <v>75</v>
      </c>
      <c r="B2244">
        <v>30</v>
      </c>
      <c r="C2244" s="2" t="s">
        <v>159</v>
      </c>
      <c r="D2244">
        <v>30</v>
      </c>
    </row>
    <row r="2245" spans="1:4" hidden="1" x14ac:dyDescent="0.25">
      <c r="A2245" s="2" t="s">
        <v>75</v>
      </c>
      <c r="B2245">
        <v>30</v>
      </c>
      <c r="C2245" s="2" t="s">
        <v>160</v>
      </c>
      <c r="D2245">
        <v>30</v>
      </c>
    </row>
    <row r="2246" spans="1:4" hidden="1" x14ac:dyDescent="0.25">
      <c r="A2246" s="2" t="s">
        <v>75</v>
      </c>
      <c r="B2246">
        <v>30</v>
      </c>
      <c r="C2246" s="2" t="s">
        <v>161</v>
      </c>
      <c r="D2246">
        <v>30</v>
      </c>
    </row>
    <row r="2247" spans="1:4" hidden="1" x14ac:dyDescent="0.25">
      <c r="A2247" s="2" t="s">
        <v>75</v>
      </c>
      <c r="B2247">
        <v>30</v>
      </c>
      <c r="C2247" s="2" t="s">
        <v>162</v>
      </c>
      <c r="D2247">
        <v>30</v>
      </c>
    </row>
    <row r="2248" spans="1:4" hidden="1" x14ac:dyDescent="0.25">
      <c r="A2248" s="2" t="s">
        <v>75</v>
      </c>
      <c r="B2248">
        <v>30</v>
      </c>
      <c r="C2248" s="2" t="s">
        <v>163</v>
      </c>
      <c r="D2248">
        <v>30</v>
      </c>
    </row>
    <row r="2249" spans="1:4" hidden="1" x14ac:dyDescent="0.25">
      <c r="A2249" s="2" t="s">
        <v>75</v>
      </c>
      <c r="B2249">
        <v>30</v>
      </c>
      <c r="C2249" s="2" t="s">
        <v>164</v>
      </c>
      <c r="D2249">
        <v>30</v>
      </c>
    </row>
    <row r="2250" spans="1:4" hidden="1" x14ac:dyDescent="0.25">
      <c r="A2250" s="2" t="s">
        <v>75</v>
      </c>
      <c r="B2250">
        <v>30</v>
      </c>
      <c r="C2250" s="2" t="s">
        <v>165</v>
      </c>
      <c r="D2250">
        <v>30</v>
      </c>
    </row>
    <row r="2251" spans="1:4" hidden="1" x14ac:dyDescent="0.25">
      <c r="A2251" s="2" t="s">
        <v>75</v>
      </c>
      <c r="B2251">
        <v>30</v>
      </c>
      <c r="C2251" s="2" t="s">
        <v>166</v>
      </c>
      <c r="D2251">
        <v>30</v>
      </c>
    </row>
    <row r="2252" spans="1:4" hidden="1" x14ac:dyDescent="0.25">
      <c r="A2252" s="2" t="s">
        <v>75</v>
      </c>
      <c r="B2252">
        <v>30</v>
      </c>
      <c r="C2252" s="2" t="s">
        <v>167</v>
      </c>
      <c r="D2252">
        <v>30</v>
      </c>
    </row>
    <row r="2253" spans="1:4" hidden="1" x14ac:dyDescent="0.25">
      <c r="A2253" s="2" t="s">
        <v>75</v>
      </c>
      <c r="B2253">
        <v>30</v>
      </c>
      <c r="C2253" s="2" t="s">
        <v>168</v>
      </c>
      <c r="D2253">
        <v>30</v>
      </c>
    </row>
    <row r="2254" spans="1:4" hidden="1" x14ac:dyDescent="0.25">
      <c r="A2254" s="2" t="s">
        <v>75</v>
      </c>
      <c r="B2254">
        <v>30</v>
      </c>
      <c r="C2254" s="2" t="s">
        <v>169</v>
      </c>
      <c r="D2254">
        <v>30</v>
      </c>
    </row>
    <row r="2255" spans="1:4" hidden="1" x14ac:dyDescent="0.25">
      <c r="A2255" s="2" t="s">
        <v>75</v>
      </c>
      <c r="B2255">
        <v>30</v>
      </c>
      <c r="C2255" s="2" t="s">
        <v>170</v>
      </c>
      <c r="D2255">
        <v>30</v>
      </c>
    </row>
    <row r="2256" spans="1:4" hidden="1" x14ac:dyDescent="0.25">
      <c r="A2256" s="2" t="s">
        <v>75</v>
      </c>
      <c r="B2256">
        <v>30</v>
      </c>
      <c r="C2256" s="2" t="s">
        <v>171</v>
      </c>
      <c r="D2256">
        <v>30</v>
      </c>
    </row>
    <row r="2257" spans="1:4" hidden="1" x14ac:dyDescent="0.25">
      <c r="A2257" s="2" t="s">
        <v>75</v>
      </c>
      <c r="B2257">
        <v>30</v>
      </c>
      <c r="C2257" s="2" t="s">
        <v>172</v>
      </c>
      <c r="D2257">
        <v>30</v>
      </c>
    </row>
    <row r="2258" spans="1:4" hidden="1" x14ac:dyDescent="0.25">
      <c r="A2258" s="2" t="s">
        <v>75</v>
      </c>
      <c r="B2258">
        <v>30</v>
      </c>
      <c r="C2258" s="2" t="s">
        <v>173</v>
      </c>
      <c r="D2258">
        <v>30</v>
      </c>
    </row>
    <row r="2259" spans="1:4" hidden="1" x14ac:dyDescent="0.25">
      <c r="A2259" s="2" t="s">
        <v>75</v>
      </c>
      <c r="B2259">
        <v>30</v>
      </c>
      <c r="C2259" s="2" t="s">
        <v>174</v>
      </c>
      <c r="D2259">
        <v>30</v>
      </c>
    </row>
    <row r="2260" spans="1:4" hidden="1" x14ac:dyDescent="0.25">
      <c r="A2260" s="2" t="s">
        <v>75</v>
      </c>
      <c r="B2260">
        <v>30</v>
      </c>
      <c r="C2260" s="2" t="s">
        <v>175</v>
      </c>
      <c r="D2260">
        <v>30</v>
      </c>
    </row>
    <row r="2261" spans="1:4" hidden="1" x14ac:dyDescent="0.25">
      <c r="A2261" s="2" t="s">
        <v>75</v>
      </c>
      <c r="B2261">
        <v>30</v>
      </c>
      <c r="C2261" s="2" t="s">
        <v>176</v>
      </c>
      <c r="D2261">
        <v>30</v>
      </c>
    </row>
    <row r="2262" spans="1:4" hidden="1" x14ac:dyDescent="0.25">
      <c r="A2262" s="2" t="s">
        <v>75</v>
      </c>
      <c r="B2262">
        <v>30</v>
      </c>
      <c r="C2262" s="2" t="s">
        <v>177</v>
      </c>
      <c r="D2262">
        <v>30</v>
      </c>
    </row>
    <row r="2263" spans="1:4" hidden="1" x14ac:dyDescent="0.25">
      <c r="A2263" s="2" t="s">
        <v>75</v>
      </c>
      <c r="B2263">
        <v>30</v>
      </c>
      <c r="C2263" s="2" t="s">
        <v>178</v>
      </c>
      <c r="D2263">
        <v>30</v>
      </c>
    </row>
    <row r="2264" spans="1:4" hidden="1" x14ac:dyDescent="0.25">
      <c r="A2264" s="2" t="s">
        <v>75</v>
      </c>
      <c r="B2264">
        <v>30</v>
      </c>
      <c r="C2264" s="2" t="s">
        <v>179</v>
      </c>
      <c r="D2264">
        <v>30</v>
      </c>
    </row>
    <row r="2265" spans="1:4" hidden="1" x14ac:dyDescent="0.25">
      <c r="A2265" s="2" t="s">
        <v>2</v>
      </c>
      <c r="B2265">
        <v>32</v>
      </c>
      <c r="C2265" s="2" t="s">
        <v>183</v>
      </c>
      <c r="D2265">
        <v>65</v>
      </c>
    </row>
    <row r="2266" spans="1:4" hidden="1" x14ac:dyDescent="0.25">
      <c r="A2266" s="2" t="s">
        <v>2</v>
      </c>
      <c r="B2266">
        <v>32</v>
      </c>
      <c r="C2266" s="2" t="s">
        <v>184</v>
      </c>
      <c r="D2266">
        <v>62</v>
      </c>
    </row>
    <row r="2267" spans="1:4" hidden="1" x14ac:dyDescent="0.25">
      <c r="A2267" s="2" t="s">
        <v>2</v>
      </c>
      <c r="B2267">
        <v>32</v>
      </c>
      <c r="C2267" s="2" t="s">
        <v>185</v>
      </c>
      <c r="D2267">
        <v>75</v>
      </c>
    </row>
    <row r="2268" spans="1:4" hidden="1" x14ac:dyDescent="0.25">
      <c r="A2268" s="2" t="s">
        <v>2</v>
      </c>
      <c r="B2268">
        <v>32</v>
      </c>
      <c r="C2268" s="2" t="s">
        <v>186</v>
      </c>
      <c r="D2268">
        <v>38</v>
      </c>
    </row>
    <row r="2269" spans="1:4" hidden="1" x14ac:dyDescent="0.25">
      <c r="A2269" s="2" t="s">
        <v>2</v>
      </c>
      <c r="B2269">
        <v>32</v>
      </c>
      <c r="C2269" s="2" t="s">
        <v>187</v>
      </c>
      <c r="D2269">
        <v>38</v>
      </c>
    </row>
    <row r="2270" spans="1:4" hidden="1" x14ac:dyDescent="0.25">
      <c r="A2270" s="2" t="s">
        <v>2</v>
      </c>
      <c r="B2270">
        <v>32</v>
      </c>
      <c r="C2270" s="2" t="s">
        <v>188</v>
      </c>
      <c r="D2270">
        <v>9</v>
      </c>
    </row>
    <row r="2271" spans="1:4" hidden="1" x14ac:dyDescent="0.25">
      <c r="A2271" s="2" t="s">
        <v>2</v>
      </c>
      <c r="B2271">
        <v>32</v>
      </c>
      <c r="C2271" s="2" t="s">
        <v>189</v>
      </c>
      <c r="D2271">
        <v>5</v>
      </c>
    </row>
    <row r="2272" spans="1:4" hidden="1" x14ac:dyDescent="0.25">
      <c r="A2272" s="2" t="s">
        <v>2</v>
      </c>
      <c r="B2272">
        <v>32</v>
      </c>
      <c r="C2272" s="2" t="s">
        <v>190</v>
      </c>
      <c r="D2272">
        <v>8</v>
      </c>
    </row>
    <row r="2273" spans="1:4" hidden="1" x14ac:dyDescent="0.25">
      <c r="A2273" s="2" t="s">
        <v>2</v>
      </c>
      <c r="B2273">
        <v>32</v>
      </c>
      <c r="C2273" s="2" t="s">
        <v>191</v>
      </c>
      <c r="D2273">
        <v>3</v>
      </c>
    </row>
    <row r="2274" spans="1:4" hidden="1" x14ac:dyDescent="0.25">
      <c r="A2274" s="2" t="s">
        <v>2</v>
      </c>
      <c r="B2274">
        <v>32</v>
      </c>
      <c r="C2274" s="2" t="s">
        <v>116</v>
      </c>
      <c r="D2274">
        <v>2</v>
      </c>
    </row>
    <row r="2275" spans="1:4" hidden="1" x14ac:dyDescent="0.25">
      <c r="A2275" s="2" t="s">
        <v>2</v>
      </c>
      <c r="B2275">
        <v>32</v>
      </c>
      <c r="C2275" s="2" t="s">
        <v>117</v>
      </c>
      <c r="D2275">
        <v>2</v>
      </c>
    </row>
    <row r="2276" spans="1:4" hidden="1" x14ac:dyDescent="0.25">
      <c r="A2276" s="2" t="s">
        <v>2</v>
      </c>
      <c r="B2276">
        <v>32</v>
      </c>
      <c r="C2276" s="2" t="s">
        <v>118</v>
      </c>
      <c r="D2276">
        <v>3</v>
      </c>
    </row>
    <row r="2277" spans="1:4" hidden="1" x14ac:dyDescent="0.25">
      <c r="A2277" s="2" t="s">
        <v>2</v>
      </c>
      <c r="B2277">
        <v>32</v>
      </c>
      <c r="C2277" s="2" t="s">
        <v>119</v>
      </c>
      <c r="D2277">
        <v>10</v>
      </c>
    </row>
    <row r="2278" spans="1:4" hidden="1" x14ac:dyDescent="0.25">
      <c r="A2278" s="2" t="s">
        <v>2</v>
      </c>
      <c r="B2278">
        <v>32</v>
      </c>
      <c r="C2278" s="2" t="s">
        <v>120</v>
      </c>
      <c r="D2278">
        <v>10</v>
      </c>
    </row>
    <row r="2279" spans="1:4" hidden="1" x14ac:dyDescent="0.25">
      <c r="A2279" s="2" t="s">
        <v>2</v>
      </c>
      <c r="B2279">
        <v>32</v>
      </c>
      <c r="C2279" s="2" t="s">
        <v>121</v>
      </c>
      <c r="D2279">
        <v>9</v>
      </c>
    </row>
    <row r="2280" spans="1:4" hidden="1" x14ac:dyDescent="0.25">
      <c r="A2280" s="2" t="s">
        <v>2</v>
      </c>
      <c r="B2280">
        <v>32</v>
      </c>
      <c r="C2280" s="2" t="s">
        <v>122</v>
      </c>
      <c r="D2280">
        <v>3</v>
      </c>
    </row>
    <row r="2281" spans="1:4" hidden="1" x14ac:dyDescent="0.25">
      <c r="A2281" s="2" t="s">
        <v>2</v>
      </c>
      <c r="B2281">
        <v>32</v>
      </c>
      <c r="C2281" s="2" t="s">
        <v>123</v>
      </c>
      <c r="D2281">
        <v>7</v>
      </c>
    </row>
    <row r="2282" spans="1:4" hidden="1" x14ac:dyDescent="0.25">
      <c r="A2282" s="2" t="s">
        <v>2</v>
      </c>
      <c r="B2282">
        <v>32</v>
      </c>
      <c r="C2282" s="2" t="s">
        <v>124</v>
      </c>
      <c r="D2282">
        <v>9</v>
      </c>
    </row>
    <row r="2283" spans="1:4" hidden="1" x14ac:dyDescent="0.25">
      <c r="A2283" s="2" t="s">
        <v>2</v>
      </c>
      <c r="B2283">
        <v>32</v>
      </c>
      <c r="C2283" s="2" t="s">
        <v>125</v>
      </c>
      <c r="D2283">
        <v>16</v>
      </c>
    </row>
    <row r="2284" spans="1:4" hidden="1" x14ac:dyDescent="0.25">
      <c r="A2284" s="2" t="s">
        <v>2</v>
      </c>
      <c r="B2284">
        <v>32</v>
      </c>
      <c r="C2284" s="2" t="s">
        <v>126</v>
      </c>
      <c r="D2284">
        <v>13</v>
      </c>
    </row>
    <row r="2285" spans="1:4" hidden="1" x14ac:dyDescent="0.25">
      <c r="A2285" s="2" t="s">
        <v>2</v>
      </c>
      <c r="B2285">
        <v>32</v>
      </c>
      <c r="C2285" s="2" t="s">
        <v>127</v>
      </c>
      <c r="D2285">
        <v>13</v>
      </c>
    </row>
    <row r="2286" spans="1:4" hidden="1" x14ac:dyDescent="0.25">
      <c r="A2286" s="2" t="s">
        <v>2</v>
      </c>
      <c r="B2286">
        <v>32</v>
      </c>
      <c r="C2286" s="2" t="s">
        <v>128</v>
      </c>
      <c r="D2286">
        <v>19</v>
      </c>
    </row>
    <row r="2287" spans="1:4" hidden="1" x14ac:dyDescent="0.25">
      <c r="A2287" s="2" t="s">
        <v>2</v>
      </c>
      <c r="B2287">
        <v>32</v>
      </c>
      <c r="C2287" s="2" t="s">
        <v>129</v>
      </c>
      <c r="D2287">
        <v>39</v>
      </c>
    </row>
    <row r="2288" spans="1:4" hidden="1" x14ac:dyDescent="0.25">
      <c r="A2288" s="2" t="s">
        <v>2</v>
      </c>
      <c r="B2288">
        <v>32</v>
      </c>
      <c r="C2288" s="2" t="s">
        <v>130</v>
      </c>
      <c r="D2288">
        <v>49</v>
      </c>
    </row>
    <row r="2289" spans="1:4" hidden="1" x14ac:dyDescent="0.25">
      <c r="A2289" s="2" t="s">
        <v>2</v>
      </c>
      <c r="B2289">
        <v>32</v>
      </c>
      <c r="C2289" s="2" t="s">
        <v>131</v>
      </c>
      <c r="D2289">
        <v>49</v>
      </c>
    </row>
    <row r="2290" spans="1:4" hidden="1" x14ac:dyDescent="0.25">
      <c r="A2290" s="2" t="s">
        <v>2</v>
      </c>
      <c r="B2290">
        <v>32</v>
      </c>
      <c r="C2290" s="2" t="s">
        <v>132</v>
      </c>
      <c r="D2290">
        <v>50</v>
      </c>
    </row>
    <row r="2291" spans="1:4" hidden="1" x14ac:dyDescent="0.25">
      <c r="A2291" s="2" t="s">
        <v>2</v>
      </c>
      <c r="B2291">
        <v>32</v>
      </c>
      <c r="C2291" s="2" t="s">
        <v>133</v>
      </c>
      <c r="D2291">
        <v>51</v>
      </c>
    </row>
    <row r="2292" spans="1:4" hidden="1" x14ac:dyDescent="0.25">
      <c r="A2292" s="2" t="s">
        <v>2</v>
      </c>
      <c r="B2292">
        <v>32</v>
      </c>
      <c r="C2292" s="2" t="s">
        <v>134</v>
      </c>
      <c r="D2292">
        <v>49</v>
      </c>
    </row>
    <row r="2293" spans="1:4" hidden="1" x14ac:dyDescent="0.25">
      <c r="A2293" s="2" t="s">
        <v>2</v>
      </c>
      <c r="B2293">
        <v>32</v>
      </c>
      <c r="C2293" s="2" t="s">
        <v>135</v>
      </c>
      <c r="D2293">
        <v>32</v>
      </c>
    </row>
    <row r="2294" spans="1:4" hidden="1" x14ac:dyDescent="0.25">
      <c r="A2294" s="2" t="s">
        <v>2</v>
      </c>
      <c r="B2294">
        <v>32</v>
      </c>
      <c r="C2294" s="2" t="s">
        <v>136</v>
      </c>
      <c r="D2294">
        <v>32</v>
      </c>
    </row>
    <row r="2295" spans="1:4" hidden="1" x14ac:dyDescent="0.25">
      <c r="A2295" s="2" t="s">
        <v>2</v>
      </c>
      <c r="B2295">
        <v>32</v>
      </c>
      <c r="C2295" s="2" t="s">
        <v>137</v>
      </c>
      <c r="D2295">
        <v>32</v>
      </c>
    </row>
    <row r="2296" spans="1:4" hidden="1" x14ac:dyDescent="0.25">
      <c r="A2296" s="2" t="s">
        <v>2</v>
      </c>
      <c r="B2296">
        <v>32</v>
      </c>
      <c r="C2296" s="2" t="s">
        <v>138</v>
      </c>
      <c r="D2296">
        <v>32</v>
      </c>
    </row>
    <row r="2297" spans="1:4" hidden="1" x14ac:dyDescent="0.25">
      <c r="A2297" s="2" t="s">
        <v>2</v>
      </c>
      <c r="B2297">
        <v>32</v>
      </c>
      <c r="C2297" s="2" t="s">
        <v>139</v>
      </c>
      <c r="D2297">
        <v>32</v>
      </c>
    </row>
    <row r="2298" spans="1:4" hidden="1" x14ac:dyDescent="0.25">
      <c r="A2298" s="2" t="s">
        <v>2</v>
      </c>
      <c r="B2298">
        <v>32</v>
      </c>
      <c r="C2298" s="2" t="s">
        <v>140</v>
      </c>
      <c r="D2298">
        <v>32</v>
      </c>
    </row>
    <row r="2299" spans="1:4" hidden="1" x14ac:dyDescent="0.25">
      <c r="A2299" s="2" t="s">
        <v>2</v>
      </c>
      <c r="B2299">
        <v>32</v>
      </c>
      <c r="C2299" s="2" t="s">
        <v>141</v>
      </c>
      <c r="D2299">
        <v>32</v>
      </c>
    </row>
    <row r="2300" spans="1:4" hidden="1" x14ac:dyDescent="0.25">
      <c r="A2300" s="2" t="s">
        <v>2</v>
      </c>
      <c r="B2300">
        <v>32</v>
      </c>
      <c r="C2300" s="2" t="s">
        <v>142</v>
      </c>
      <c r="D2300">
        <v>32</v>
      </c>
    </row>
    <row r="2301" spans="1:4" hidden="1" x14ac:dyDescent="0.25">
      <c r="A2301" s="2" t="s">
        <v>2</v>
      </c>
      <c r="B2301">
        <v>32</v>
      </c>
      <c r="C2301" s="2" t="s">
        <v>143</v>
      </c>
      <c r="D2301">
        <v>32</v>
      </c>
    </row>
    <row r="2302" spans="1:4" hidden="1" x14ac:dyDescent="0.25">
      <c r="A2302" s="2" t="s">
        <v>2</v>
      </c>
      <c r="B2302">
        <v>32</v>
      </c>
      <c r="C2302" s="2" t="s">
        <v>144</v>
      </c>
      <c r="D2302">
        <v>32</v>
      </c>
    </row>
    <row r="2303" spans="1:4" hidden="1" x14ac:dyDescent="0.25">
      <c r="A2303" s="2" t="s">
        <v>2</v>
      </c>
      <c r="B2303">
        <v>32</v>
      </c>
      <c r="C2303" s="2" t="s">
        <v>145</v>
      </c>
      <c r="D2303">
        <v>32</v>
      </c>
    </row>
    <row r="2304" spans="1:4" hidden="1" x14ac:dyDescent="0.25">
      <c r="A2304" s="2" t="s">
        <v>2</v>
      </c>
      <c r="B2304">
        <v>32</v>
      </c>
      <c r="C2304" s="2" t="s">
        <v>146</v>
      </c>
      <c r="D2304">
        <v>32</v>
      </c>
    </row>
    <row r="2305" spans="1:4" hidden="1" x14ac:dyDescent="0.25">
      <c r="A2305" s="2" t="s">
        <v>2</v>
      </c>
      <c r="B2305">
        <v>32</v>
      </c>
      <c r="C2305" s="2" t="s">
        <v>147</v>
      </c>
      <c r="D2305">
        <v>32</v>
      </c>
    </row>
    <row r="2306" spans="1:4" hidden="1" x14ac:dyDescent="0.25">
      <c r="A2306" s="2" t="s">
        <v>2</v>
      </c>
      <c r="B2306">
        <v>32</v>
      </c>
      <c r="C2306" s="2" t="s">
        <v>148</v>
      </c>
      <c r="D2306">
        <v>32</v>
      </c>
    </row>
    <row r="2307" spans="1:4" hidden="1" x14ac:dyDescent="0.25">
      <c r="A2307" s="2" t="s">
        <v>2</v>
      </c>
      <c r="B2307">
        <v>32</v>
      </c>
      <c r="C2307" s="2" t="s">
        <v>149</v>
      </c>
      <c r="D2307">
        <v>32</v>
      </c>
    </row>
    <row r="2308" spans="1:4" hidden="1" x14ac:dyDescent="0.25">
      <c r="A2308" s="2" t="s">
        <v>2</v>
      </c>
      <c r="B2308">
        <v>32</v>
      </c>
      <c r="C2308" s="2" t="s">
        <v>150</v>
      </c>
      <c r="D2308">
        <v>32</v>
      </c>
    </row>
    <row r="2309" spans="1:4" hidden="1" x14ac:dyDescent="0.25">
      <c r="A2309" s="2" t="s">
        <v>2</v>
      </c>
      <c r="B2309">
        <v>32</v>
      </c>
      <c r="C2309" s="2" t="s">
        <v>151</v>
      </c>
      <c r="D2309">
        <v>32</v>
      </c>
    </row>
    <row r="2310" spans="1:4" hidden="1" x14ac:dyDescent="0.25">
      <c r="A2310" s="2" t="s">
        <v>2</v>
      </c>
      <c r="B2310">
        <v>32</v>
      </c>
      <c r="C2310" s="2" t="s">
        <v>152</v>
      </c>
      <c r="D2310">
        <v>32</v>
      </c>
    </row>
    <row r="2311" spans="1:4" hidden="1" x14ac:dyDescent="0.25">
      <c r="A2311" s="2" t="s">
        <v>2</v>
      </c>
      <c r="B2311">
        <v>32</v>
      </c>
      <c r="C2311" s="2" t="s">
        <v>153</v>
      </c>
      <c r="D2311">
        <v>32</v>
      </c>
    </row>
    <row r="2312" spans="1:4" hidden="1" x14ac:dyDescent="0.25">
      <c r="A2312" s="2" t="s">
        <v>2</v>
      </c>
      <c r="B2312">
        <v>32</v>
      </c>
      <c r="C2312" s="2" t="s">
        <v>154</v>
      </c>
      <c r="D2312">
        <v>32</v>
      </c>
    </row>
    <row r="2313" spans="1:4" hidden="1" x14ac:dyDescent="0.25">
      <c r="A2313" s="2" t="s">
        <v>2</v>
      </c>
      <c r="B2313">
        <v>32</v>
      </c>
      <c r="C2313" s="2" t="s">
        <v>155</v>
      </c>
      <c r="D2313">
        <v>32</v>
      </c>
    </row>
    <row r="2314" spans="1:4" hidden="1" x14ac:dyDescent="0.25">
      <c r="A2314" s="2" t="s">
        <v>2</v>
      </c>
      <c r="B2314">
        <v>32</v>
      </c>
      <c r="C2314" s="2" t="s">
        <v>156</v>
      </c>
      <c r="D2314">
        <v>32</v>
      </c>
    </row>
    <row r="2315" spans="1:4" hidden="1" x14ac:dyDescent="0.25">
      <c r="A2315" s="2" t="s">
        <v>2</v>
      </c>
      <c r="B2315">
        <v>32</v>
      </c>
      <c r="C2315" s="2" t="s">
        <v>157</v>
      </c>
      <c r="D2315">
        <v>32</v>
      </c>
    </row>
    <row r="2316" spans="1:4" hidden="1" x14ac:dyDescent="0.25">
      <c r="A2316" s="2" t="s">
        <v>2</v>
      </c>
      <c r="B2316">
        <v>32</v>
      </c>
      <c r="C2316" s="2" t="s">
        <v>158</v>
      </c>
      <c r="D2316">
        <v>32</v>
      </c>
    </row>
    <row r="2317" spans="1:4" hidden="1" x14ac:dyDescent="0.25">
      <c r="A2317" s="2" t="s">
        <v>2</v>
      </c>
      <c r="B2317">
        <v>32</v>
      </c>
      <c r="C2317" s="2" t="s">
        <v>159</v>
      </c>
      <c r="D2317">
        <v>32</v>
      </c>
    </row>
    <row r="2318" spans="1:4" hidden="1" x14ac:dyDescent="0.25">
      <c r="A2318" s="2" t="s">
        <v>2</v>
      </c>
      <c r="B2318">
        <v>32</v>
      </c>
      <c r="C2318" s="2" t="s">
        <v>160</v>
      </c>
      <c r="D2318">
        <v>32</v>
      </c>
    </row>
    <row r="2319" spans="1:4" hidden="1" x14ac:dyDescent="0.25">
      <c r="A2319" s="2" t="s">
        <v>2</v>
      </c>
      <c r="B2319">
        <v>32</v>
      </c>
      <c r="C2319" s="2" t="s">
        <v>161</v>
      </c>
      <c r="D2319">
        <v>32</v>
      </c>
    </row>
    <row r="2320" spans="1:4" hidden="1" x14ac:dyDescent="0.25">
      <c r="A2320" s="2" t="s">
        <v>2</v>
      </c>
      <c r="B2320">
        <v>32</v>
      </c>
      <c r="C2320" s="2" t="s">
        <v>162</v>
      </c>
      <c r="D2320">
        <v>32</v>
      </c>
    </row>
    <row r="2321" spans="1:4" hidden="1" x14ac:dyDescent="0.25">
      <c r="A2321" s="2" t="s">
        <v>2</v>
      </c>
      <c r="B2321">
        <v>32</v>
      </c>
      <c r="C2321" s="2" t="s">
        <v>163</v>
      </c>
      <c r="D2321">
        <v>32</v>
      </c>
    </row>
    <row r="2322" spans="1:4" hidden="1" x14ac:dyDescent="0.25">
      <c r="A2322" s="2" t="s">
        <v>2</v>
      </c>
      <c r="B2322">
        <v>32</v>
      </c>
      <c r="C2322" s="2" t="s">
        <v>164</v>
      </c>
      <c r="D2322">
        <v>32</v>
      </c>
    </row>
    <row r="2323" spans="1:4" hidden="1" x14ac:dyDescent="0.25">
      <c r="A2323" s="2" t="s">
        <v>2</v>
      </c>
      <c r="B2323">
        <v>32</v>
      </c>
      <c r="C2323" s="2" t="s">
        <v>165</v>
      </c>
      <c r="D2323">
        <v>32</v>
      </c>
    </row>
    <row r="2324" spans="1:4" hidden="1" x14ac:dyDescent="0.25">
      <c r="A2324" s="2" t="s">
        <v>2</v>
      </c>
      <c r="B2324">
        <v>32</v>
      </c>
      <c r="C2324" s="2" t="s">
        <v>166</v>
      </c>
      <c r="D2324">
        <v>32</v>
      </c>
    </row>
    <row r="2325" spans="1:4" hidden="1" x14ac:dyDescent="0.25">
      <c r="A2325" s="2" t="s">
        <v>2</v>
      </c>
      <c r="B2325">
        <v>32</v>
      </c>
      <c r="C2325" s="2" t="s">
        <v>167</v>
      </c>
      <c r="D2325">
        <v>32</v>
      </c>
    </row>
    <row r="2326" spans="1:4" hidden="1" x14ac:dyDescent="0.25">
      <c r="A2326" s="2" t="s">
        <v>2</v>
      </c>
      <c r="B2326">
        <v>32</v>
      </c>
      <c r="C2326" s="2" t="s">
        <v>168</v>
      </c>
      <c r="D2326">
        <v>32</v>
      </c>
    </row>
    <row r="2327" spans="1:4" hidden="1" x14ac:dyDescent="0.25">
      <c r="A2327" s="2" t="s">
        <v>2</v>
      </c>
      <c r="B2327">
        <v>32</v>
      </c>
      <c r="C2327" s="2" t="s">
        <v>169</v>
      </c>
      <c r="D2327">
        <v>32</v>
      </c>
    </row>
    <row r="2328" spans="1:4" hidden="1" x14ac:dyDescent="0.25">
      <c r="A2328" s="2" t="s">
        <v>2</v>
      </c>
      <c r="B2328">
        <v>32</v>
      </c>
      <c r="C2328" s="2" t="s">
        <v>170</v>
      </c>
      <c r="D2328">
        <v>32</v>
      </c>
    </row>
    <row r="2329" spans="1:4" hidden="1" x14ac:dyDescent="0.25">
      <c r="A2329" s="2" t="s">
        <v>2</v>
      </c>
      <c r="B2329">
        <v>32</v>
      </c>
      <c r="C2329" s="2" t="s">
        <v>171</v>
      </c>
      <c r="D2329">
        <v>32</v>
      </c>
    </row>
    <row r="2330" spans="1:4" hidden="1" x14ac:dyDescent="0.25">
      <c r="A2330" s="2" t="s">
        <v>2</v>
      </c>
      <c r="B2330">
        <v>32</v>
      </c>
      <c r="C2330" s="2" t="s">
        <v>172</v>
      </c>
      <c r="D2330">
        <v>32</v>
      </c>
    </row>
    <row r="2331" spans="1:4" hidden="1" x14ac:dyDescent="0.25">
      <c r="A2331" s="2" t="s">
        <v>2</v>
      </c>
      <c r="B2331">
        <v>32</v>
      </c>
      <c r="C2331" s="2" t="s">
        <v>173</v>
      </c>
      <c r="D2331">
        <v>32</v>
      </c>
    </row>
    <row r="2332" spans="1:4" hidden="1" x14ac:dyDescent="0.25">
      <c r="A2332" s="2" t="s">
        <v>2</v>
      </c>
      <c r="B2332">
        <v>32</v>
      </c>
      <c r="C2332" s="2" t="s">
        <v>174</v>
      </c>
      <c r="D2332">
        <v>32</v>
      </c>
    </row>
    <row r="2333" spans="1:4" hidden="1" x14ac:dyDescent="0.25">
      <c r="A2333" s="2" t="s">
        <v>2</v>
      </c>
      <c r="B2333">
        <v>32</v>
      </c>
      <c r="C2333" s="2" t="s">
        <v>175</v>
      </c>
      <c r="D2333">
        <v>32</v>
      </c>
    </row>
    <row r="2334" spans="1:4" hidden="1" x14ac:dyDescent="0.25">
      <c r="A2334" s="2" t="s">
        <v>2</v>
      </c>
      <c r="B2334">
        <v>32</v>
      </c>
      <c r="C2334" s="2" t="s">
        <v>176</v>
      </c>
      <c r="D2334">
        <v>32</v>
      </c>
    </row>
    <row r="2335" spans="1:4" hidden="1" x14ac:dyDescent="0.25">
      <c r="A2335" s="2" t="s">
        <v>2</v>
      </c>
      <c r="B2335">
        <v>32</v>
      </c>
      <c r="C2335" s="2" t="s">
        <v>177</v>
      </c>
      <c r="D2335">
        <v>32</v>
      </c>
    </row>
    <row r="2336" spans="1:4" hidden="1" x14ac:dyDescent="0.25">
      <c r="A2336" s="2" t="s">
        <v>2</v>
      </c>
      <c r="B2336">
        <v>32</v>
      </c>
      <c r="C2336" s="2" t="s">
        <v>178</v>
      </c>
      <c r="D2336">
        <v>32</v>
      </c>
    </row>
    <row r="2337" spans="1:4" hidden="1" x14ac:dyDescent="0.25">
      <c r="A2337" s="2" t="s">
        <v>2</v>
      </c>
      <c r="B2337">
        <v>32</v>
      </c>
      <c r="C2337" s="2" t="s">
        <v>179</v>
      </c>
      <c r="D2337">
        <v>32</v>
      </c>
    </row>
    <row r="2338" spans="1:4" hidden="1" x14ac:dyDescent="0.25">
      <c r="A2338" s="2" t="s">
        <v>77</v>
      </c>
      <c r="B2338">
        <v>32</v>
      </c>
      <c r="C2338" s="2" t="s">
        <v>183</v>
      </c>
      <c r="D2338">
        <v>13</v>
      </c>
    </row>
    <row r="2339" spans="1:4" hidden="1" x14ac:dyDescent="0.25">
      <c r="A2339" s="2" t="s">
        <v>77</v>
      </c>
      <c r="B2339">
        <v>32</v>
      </c>
      <c r="C2339" s="2" t="s">
        <v>184</v>
      </c>
      <c r="D2339">
        <v>14</v>
      </c>
    </row>
    <row r="2340" spans="1:4" hidden="1" x14ac:dyDescent="0.25">
      <c r="A2340" s="2" t="s">
        <v>77</v>
      </c>
      <c r="B2340">
        <v>32</v>
      </c>
      <c r="C2340" s="2" t="s">
        <v>185</v>
      </c>
      <c r="D2340">
        <v>24</v>
      </c>
    </row>
    <row r="2341" spans="1:4" hidden="1" x14ac:dyDescent="0.25">
      <c r="A2341" s="2" t="s">
        <v>77</v>
      </c>
      <c r="B2341">
        <v>32</v>
      </c>
      <c r="C2341" s="2" t="s">
        <v>186</v>
      </c>
      <c r="D2341">
        <v>71</v>
      </c>
    </row>
    <row r="2342" spans="1:4" hidden="1" x14ac:dyDescent="0.25">
      <c r="A2342" s="2" t="s">
        <v>77</v>
      </c>
      <c r="B2342">
        <v>32</v>
      </c>
      <c r="C2342" s="2" t="s">
        <v>187</v>
      </c>
      <c r="D2342">
        <v>71</v>
      </c>
    </row>
    <row r="2343" spans="1:4" hidden="1" x14ac:dyDescent="0.25">
      <c r="A2343" s="2" t="s">
        <v>77</v>
      </c>
      <c r="B2343">
        <v>32</v>
      </c>
      <c r="C2343" s="2" t="s">
        <v>188</v>
      </c>
      <c r="D2343">
        <v>71</v>
      </c>
    </row>
    <row r="2344" spans="1:4" hidden="1" x14ac:dyDescent="0.25">
      <c r="A2344" s="2" t="s">
        <v>77</v>
      </c>
      <c r="B2344">
        <v>32</v>
      </c>
      <c r="C2344" s="2" t="s">
        <v>189</v>
      </c>
      <c r="D2344">
        <v>59</v>
      </c>
    </row>
    <row r="2345" spans="1:4" hidden="1" x14ac:dyDescent="0.25">
      <c r="A2345" s="2" t="s">
        <v>77</v>
      </c>
      <c r="B2345">
        <v>32</v>
      </c>
      <c r="C2345" s="2" t="s">
        <v>190</v>
      </c>
      <c r="D2345">
        <v>61</v>
      </c>
    </row>
    <row r="2346" spans="1:4" hidden="1" x14ac:dyDescent="0.25">
      <c r="A2346" s="2" t="s">
        <v>77</v>
      </c>
      <c r="B2346">
        <v>32</v>
      </c>
      <c r="C2346" s="2" t="s">
        <v>191</v>
      </c>
      <c r="D2346">
        <v>60</v>
      </c>
    </row>
    <row r="2347" spans="1:4" hidden="1" x14ac:dyDescent="0.25">
      <c r="A2347" s="2" t="s">
        <v>77</v>
      </c>
      <c r="B2347">
        <v>32</v>
      </c>
      <c r="C2347" s="2" t="s">
        <v>116</v>
      </c>
      <c r="D2347">
        <v>62</v>
      </c>
    </row>
    <row r="2348" spans="1:4" hidden="1" x14ac:dyDescent="0.25">
      <c r="A2348" s="2" t="s">
        <v>77</v>
      </c>
      <c r="B2348">
        <v>32</v>
      </c>
      <c r="C2348" s="2" t="s">
        <v>117</v>
      </c>
      <c r="D2348">
        <v>69</v>
      </c>
    </row>
    <row r="2349" spans="1:4" hidden="1" x14ac:dyDescent="0.25">
      <c r="A2349" s="2" t="s">
        <v>77</v>
      </c>
      <c r="B2349">
        <v>32</v>
      </c>
      <c r="C2349" s="2" t="s">
        <v>118</v>
      </c>
      <c r="D2349">
        <v>62</v>
      </c>
    </row>
    <row r="2350" spans="1:4" hidden="1" x14ac:dyDescent="0.25">
      <c r="A2350" s="2" t="s">
        <v>77</v>
      </c>
      <c r="B2350">
        <v>32</v>
      </c>
      <c r="C2350" s="2" t="s">
        <v>119</v>
      </c>
      <c r="D2350">
        <v>56</v>
      </c>
    </row>
    <row r="2351" spans="1:4" hidden="1" x14ac:dyDescent="0.25">
      <c r="A2351" s="2" t="s">
        <v>77</v>
      </c>
      <c r="B2351">
        <v>32</v>
      </c>
      <c r="C2351" s="2" t="s">
        <v>120</v>
      </c>
      <c r="D2351">
        <v>43</v>
      </c>
    </row>
    <row r="2352" spans="1:4" hidden="1" x14ac:dyDescent="0.25">
      <c r="A2352" s="2" t="s">
        <v>77</v>
      </c>
      <c r="B2352">
        <v>32</v>
      </c>
      <c r="C2352" s="2" t="s">
        <v>121</v>
      </c>
      <c r="D2352">
        <v>43</v>
      </c>
    </row>
    <row r="2353" spans="1:4" hidden="1" x14ac:dyDescent="0.25">
      <c r="A2353" s="2" t="s">
        <v>77</v>
      </c>
      <c r="B2353">
        <v>32</v>
      </c>
      <c r="C2353" s="2" t="s">
        <v>122</v>
      </c>
      <c r="D2353">
        <v>49</v>
      </c>
    </row>
    <row r="2354" spans="1:4" hidden="1" x14ac:dyDescent="0.25">
      <c r="A2354" s="2" t="s">
        <v>77</v>
      </c>
      <c r="B2354">
        <v>32</v>
      </c>
      <c r="C2354" s="2" t="s">
        <v>123</v>
      </c>
      <c r="D2354">
        <v>32</v>
      </c>
    </row>
    <row r="2355" spans="1:4" hidden="1" x14ac:dyDescent="0.25">
      <c r="A2355" s="2" t="s">
        <v>77</v>
      </c>
      <c r="B2355">
        <v>32</v>
      </c>
      <c r="C2355" s="2" t="s">
        <v>124</v>
      </c>
      <c r="D2355">
        <v>37</v>
      </c>
    </row>
    <row r="2356" spans="1:4" hidden="1" x14ac:dyDescent="0.25">
      <c r="A2356" s="2" t="s">
        <v>77</v>
      </c>
      <c r="B2356">
        <v>32</v>
      </c>
      <c r="C2356" s="2" t="s">
        <v>125</v>
      </c>
      <c r="D2356">
        <v>42</v>
      </c>
    </row>
    <row r="2357" spans="1:4" hidden="1" x14ac:dyDescent="0.25">
      <c r="A2357" s="2" t="s">
        <v>77</v>
      </c>
      <c r="B2357">
        <v>32</v>
      </c>
      <c r="C2357" s="2" t="s">
        <v>126</v>
      </c>
      <c r="D2357">
        <v>41</v>
      </c>
    </row>
    <row r="2358" spans="1:4" hidden="1" x14ac:dyDescent="0.25">
      <c r="A2358" s="2" t="s">
        <v>77</v>
      </c>
      <c r="B2358">
        <v>32</v>
      </c>
      <c r="C2358" s="2" t="s">
        <v>127</v>
      </c>
      <c r="D2358">
        <v>36</v>
      </c>
    </row>
    <row r="2359" spans="1:4" hidden="1" x14ac:dyDescent="0.25">
      <c r="A2359" s="2" t="s">
        <v>77</v>
      </c>
      <c r="B2359">
        <v>32</v>
      </c>
      <c r="C2359" s="2" t="s">
        <v>128</v>
      </c>
      <c r="D2359">
        <v>40</v>
      </c>
    </row>
    <row r="2360" spans="1:4" hidden="1" x14ac:dyDescent="0.25">
      <c r="A2360" s="2" t="s">
        <v>77</v>
      </c>
      <c r="B2360">
        <v>32</v>
      </c>
      <c r="C2360" s="2" t="s">
        <v>129</v>
      </c>
      <c r="D2360">
        <v>32</v>
      </c>
    </row>
    <row r="2361" spans="1:4" hidden="1" x14ac:dyDescent="0.25">
      <c r="A2361" s="2" t="s">
        <v>77</v>
      </c>
      <c r="B2361">
        <v>32</v>
      </c>
      <c r="C2361" s="2" t="s">
        <v>130</v>
      </c>
      <c r="D2361">
        <v>43</v>
      </c>
    </row>
    <row r="2362" spans="1:4" hidden="1" x14ac:dyDescent="0.25">
      <c r="A2362" s="2" t="s">
        <v>77</v>
      </c>
      <c r="B2362">
        <v>32</v>
      </c>
      <c r="C2362" s="2" t="s">
        <v>131</v>
      </c>
      <c r="D2362">
        <v>43</v>
      </c>
    </row>
    <row r="2363" spans="1:4" hidden="1" x14ac:dyDescent="0.25">
      <c r="A2363" s="2" t="s">
        <v>77</v>
      </c>
      <c r="B2363">
        <v>32</v>
      </c>
      <c r="C2363" s="2" t="s">
        <v>132</v>
      </c>
      <c r="D2363">
        <v>50</v>
      </c>
    </row>
    <row r="2364" spans="1:4" hidden="1" x14ac:dyDescent="0.25">
      <c r="A2364" s="2" t="s">
        <v>77</v>
      </c>
      <c r="B2364">
        <v>32</v>
      </c>
      <c r="C2364" s="2" t="s">
        <v>133</v>
      </c>
      <c r="D2364">
        <v>51</v>
      </c>
    </row>
    <row r="2365" spans="1:4" hidden="1" x14ac:dyDescent="0.25">
      <c r="A2365" s="2" t="s">
        <v>77</v>
      </c>
      <c r="B2365">
        <v>32</v>
      </c>
      <c r="C2365" s="2" t="s">
        <v>134</v>
      </c>
      <c r="D2365">
        <v>49</v>
      </c>
    </row>
    <row r="2366" spans="1:4" hidden="1" x14ac:dyDescent="0.25">
      <c r="A2366" s="2" t="s">
        <v>77</v>
      </c>
      <c r="B2366">
        <v>32</v>
      </c>
      <c r="C2366" s="2" t="s">
        <v>135</v>
      </c>
      <c r="D2366">
        <v>32</v>
      </c>
    </row>
    <row r="2367" spans="1:4" hidden="1" x14ac:dyDescent="0.25">
      <c r="A2367" s="2" t="s">
        <v>77</v>
      </c>
      <c r="B2367">
        <v>32</v>
      </c>
      <c r="C2367" s="2" t="s">
        <v>136</v>
      </c>
      <c r="D2367">
        <v>32</v>
      </c>
    </row>
    <row r="2368" spans="1:4" hidden="1" x14ac:dyDescent="0.25">
      <c r="A2368" s="2" t="s">
        <v>77</v>
      </c>
      <c r="B2368">
        <v>32</v>
      </c>
      <c r="C2368" s="2" t="s">
        <v>137</v>
      </c>
      <c r="D2368">
        <v>32</v>
      </c>
    </row>
    <row r="2369" spans="1:4" hidden="1" x14ac:dyDescent="0.25">
      <c r="A2369" s="2" t="s">
        <v>77</v>
      </c>
      <c r="B2369">
        <v>32</v>
      </c>
      <c r="C2369" s="2" t="s">
        <v>138</v>
      </c>
      <c r="D2369">
        <v>32</v>
      </c>
    </row>
    <row r="2370" spans="1:4" hidden="1" x14ac:dyDescent="0.25">
      <c r="A2370" s="2" t="s">
        <v>77</v>
      </c>
      <c r="B2370">
        <v>32</v>
      </c>
      <c r="C2370" s="2" t="s">
        <v>139</v>
      </c>
      <c r="D2370">
        <v>32</v>
      </c>
    </row>
    <row r="2371" spans="1:4" hidden="1" x14ac:dyDescent="0.25">
      <c r="A2371" s="2" t="s">
        <v>77</v>
      </c>
      <c r="B2371">
        <v>32</v>
      </c>
      <c r="C2371" s="2" t="s">
        <v>140</v>
      </c>
      <c r="D2371">
        <v>32</v>
      </c>
    </row>
    <row r="2372" spans="1:4" hidden="1" x14ac:dyDescent="0.25">
      <c r="A2372" s="2" t="s">
        <v>77</v>
      </c>
      <c r="B2372">
        <v>32</v>
      </c>
      <c r="C2372" s="2" t="s">
        <v>141</v>
      </c>
      <c r="D2372">
        <v>32</v>
      </c>
    </row>
    <row r="2373" spans="1:4" hidden="1" x14ac:dyDescent="0.25">
      <c r="A2373" s="2" t="s">
        <v>77</v>
      </c>
      <c r="B2373">
        <v>32</v>
      </c>
      <c r="C2373" s="2" t="s">
        <v>142</v>
      </c>
      <c r="D2373">
        <v>32</v>
      </c>
    </row>
    <row r="2374" spans="1:4" hidden="1" x14ac:dyDescent="0.25">
      <c r="A2374" s="2" t="s">
        <v>77</v>
      </c>
      <c r="B2374">
        <v>32</v>
      </c>
      <c r="C2374" s="2" t="s">
        <v>143</v>
      </c>
      <c r="D2374">
        <v>32</v>
      </c>
    </row>
    <row r="2375" spans="1:4" hidden="1" x14ac:dyDescent="0.25">
      <c r="A2375" s="2" t="s">
        <v>77</v>
      </c>
      <c r="B2375">
        <v>32</v>
      </c>
      <c r="C2375" s="2" t="s">
        <v>144</v>
      </c>
      <c r="D2375">
        <v>32</v>
      </c>
    </row>
    <row r="2376" spans="1:4" hidden="1" x14ac:dyDescent="0.25">
      <c r="A2376" s="2" t="s">
        <v>77</v>
      </c>
      <c r="B2376">
        <v>32</v>
      </c>
      <c r="C2376" s="2" t="s">
        <v>145</v>
      </c>
      <c r="D2376">
        <v>32</v>
      </c>
    </row>
    <row r="2377" spans="1:4" hidden="1" x14ac:dyDescent="0.25">
      <c r="A2377" s="2" t="s">
        <v>77</v>
      </c>
      <c r="B2377">
        <v>32</v>
      </c>
      <c r="C2377" s="2" t="s">
        <v>146</v>
      </c>
      <c r="D2377">
        <v>32</v>
      </c>
    </row>
    <row r="2378" spans="1:4" hidden="1" x14ac:dyDescent="0.25">
      <c r="A2378" s="2" t="s">
        <v>77</v>
      </c>
      <c r="B2378">
        <v>32</v>
      </c>
      <c r="C2378" s="2" t="s">
        <v>147</v>
      </c>
      <c r="D2378">
        <v>32</v>
      </c>
    </row>
    <row r="2379" spans="1:4" hidden="1" x14ac:dyDescent="0.25">
      <c r="A2379" s="2" t="s">
        <v>77</v>
      </c>
      <c r="B2379">
        <v>32</v>
      </c>
      <c r="C2379" s="2" t="s">
        <v>148</v>
      </c>
      <c r="D2379">
        <v>32</v>
      </c>
    </row>
    <row r="2380" spans="1:4" hidden="1" x14ac:dyDescent="0.25">
      <c r="A2380" s="2" t="s">
        <v>77</v>
      </c>
      <c r="B2380">
        <v>32</v>
      </c>
      <c r="C2380" s="2" t="s">
        <v>149</v>
      </c>
      <c r="D2380">
        <v>32</v>
      </c>
    </row>
    <row r="2381" spans="1:4" hidden="1" x14ac:dyDescent="0.25">
      <c r="A2381" s="2" t="s">
        <v>77</v>
      </c>
      <c r="B2381">
        <v>32</v>
      </c>
      <c r="C2381" s="2" t="s">
        <v>150</v>
      </c>
      <c r="D2381">
        <v>32</v>
      </c>
    </row>
    <row r="2382" spans="1:4" hidden="1" x14ac:dyDescent="0.25">
      <c r="A2382" s="2" t="s">
        <v>77</v>
      </c>
      <c r="B2382">
        <v>32</v>
      </c>
      <c r="C2382" s="2" t="s">
        <v>151</v>
      </c>
      <c r="D2382">
        <v>32</v>
      </c>
    </row>
    <row r="2383" spans="1:4" hidden="1" x14ac:dyDescent="0.25">
      <c r="A2383" s="2" t="s">
        <v>77</v>
      </c>
      <c r="B2383">
        <v>32</v>
      </c>
      <c r="C2383" s="2" t="s">
        <v>152</v>
      </c>
      <c r="D2383">
        <v>32</v>
      </c>
    </row>
    <row r="2384" spans="1:4" hidden="1" x14ac:dyDescent="0.25">
      <c r="A2384" s="2" t="s">
        <v>77</v>
      </c>
      <c r="B2384">
        <v>32</v>
      </c>
      <c r="C2384" s="2" t="s">
        <v>153</v>
      </c>
      <c r="D2384">
        <v>32</v>
      </c>
    </row>
    <row r="2385" spans="1:4" hidden="1" x14ac:dyDescent="0.25">
      <c r="A2385" s="2" t="s">
        <v>77</v>
      </c>
      <c r="B2385">
        <v>32</v>
      </c>
      <c r="C2385" s="2" t="s">
        <v>154</v>
      </c>
      <c r="D2385">
        <v>32</v>
      </c>
    </row>
    <row r="2386" spans="1:4" hidden="1" x14ac:dyDescent="0.25">
      <c r="A2386" s="2" t="s">
        <v>77</v>
      </c>
      <c r="B2386">
        <v>32</v>
      </c>
      <c r="C2386" s="2" t="s">
        <v>155</v>
      </c>
      <c r="D2386">
        <v>32</v>
      </c>
    </row>
    <row r="2387" spans="1:4" hidden="1" x14ac:dyDescent="0.25">
      <c r="A2387" s="2" t="s">
        <v>77</v>
      </c>
      <c r="B2387">
        <v>32</v>
      </c>
      <c r="C2387" s="2" t="s">
        <v>156</v>
      </c>
      <c r="D2387">
        <v>32</v>
      </c>
    </row>
    <row r="2388" spans="1:4" hidden="1" x14ac:dyDescent="0.25">
      <c r="A2388" s="2" t="s">
        <v>77</v>
      </c>
      <c r="B2388">
        <v>32</v>
      </c>
      <c r="C2388" s="2" t="s">
        <v>157</v>
      </c>
      <c r="D2388">
        <v>32</v>
      </c>
    </row>
    <row r="2389" spans="1:4" hidden="1" x14ac:dyDescent="0.25">
      <c r="A2389" s="2" t="s">
        <v>77</v>
      </c>
      <c r="B2389">
        <v>32</v>
      </c>
      <c r="C2389" s="2" t="s">
        <v>158</v>
      </c>
      <c r="D2389">
        <v>32</v>
      </c>
    </row>
    <row r="2390" spans="1:4" hidden="1" x14ac:dyDescent="0.25">
      <c r="A2390" s="2" t="s">
        <v>77</v>
      </c>
      <c r="B2390">
        <v>32</v>
      </c>
      <c r="C2390" s="2" t="s">
        <v>159</v>
      </c>
      <c r="D2390">
        <v>32</v>
      </c>
    </row>
    <row r="2391" spans="1:4" hidden="1" x14ac:dyDescent="0.25">
      <c r="A2391" s="2" t="s">
        <v>77</v>
      </c>
      <c r="B2391">
        <v>32</v>
      </c>
      <c r="C2391" s="2" t="s">
        <v>160</v>
      </c>
      <c r="D2391">
        <v>32</v>
      </c>
    </row>
    <row r="2392" spans="1:4" hidden="1" x14ac:dyDescent="0.25">
      <c r="A2392" s="2" t="s">
        <v>77</v>
      </c>
      <c r="B2392">
        <v>32</v>
      </c>
      <c r="C2392" s="2" t="s">
        <v>161</v>
      </c>
      <c r="D2392">
        <v>32</v>
      </c>
    </row>
    <row r="2393" spans="1:4" hidden="1" x14ac:dyDescent="0.25">
      <c r="A2393" s="2" t="s">
        <v>77</v>
      </c>
      <c r="B2393">
        <v>32</v>
      </c>
      <c r="C2393" s="2" t="s">
        <v>162</v>
      </c>
      <c r="D2393">
        <v>32</v>
      </c>
    </row>
    <row r="2394" spans="1:4" hidden="1" x14ac:dyDescent="0.25">
      <c r="A2394" s="2" t="s">
        <v>77</v>
      </c>
      <c r="B2394">
        <v>32</v>
      </c>
      <c r="C2394" s="2" t="s">
        <v>163</v>
      </c>
      <c r="D2394">
        <v>32</v>
      </c>
    </row>
    <row r="2395" spans="1:4" hidden="1" x14ac:dyDescent="0.25">
      <c r="A2395" s="2" t="s">
        <v>77</v>
      </c>
      <c r="B2395">
        <v>32</v>
      </c>
      <c r="C2395" s="2" t="s">
        <v>164</v>
      </c>
      <c r="D2395">
        <v>32</v>
      </c>
    </row>
    <row r="2396" spans="1:4" hidden="1" x14ac:dyDescent="0.25">
      <c r="A2396" s="2" t="s">
        <v>77</v>
      </c>
      <c r="B2396">
        <v>32</v>
      </c>
      <c r="C2396" s="2" t="s">
        <v>165</v>
      </c>
      <c r="D2396">
        <v>32</v>
      </c>
    </row>
    <row r="2397" spans="1:4" hidden="1" x14ac:dyDescent="0.25">
      <c r="A2397" s="2" t="s">
        <v>77</v>
      </c>
      <c r="B2397">
        <v>32</v>
      </c>
      <c r="C2397" s="2" t="s">
        <v>166</v>
      </c>
      <c r="D2397">
        <v>32</v>
      </c>
    </row>
    <row r="2398" spans="1:4" hidden="1" x14ac:dyDescent="0.25">
      <c r="A2398" s="2" t="s">
        <v>77</v>
      </c>
      <c r="B2398">
        <v>32</v>
      </c>
      <c r="C2398" s="2" t="s">
        <v>167</v>
      </c>
      <c r="D2398">
        <v>32</v>
      </c>
    </row>
    <row r="2399" spans="1:4" hidden="1" x14ac:dyDescent="0.25">
      <c r="A2399" s="2" t="s">
        <v>77</v>
      </c>
      <c r="B2399">
        <v>32</v>
      </c>
      <c r="C2399" s="2" t="s">
        <v>168</v>
      </c>
      <c r="D2399">
        <v>32</v>
      </c>
    </row>
    <row r="2400" spans="1:4" hidden="1" x14ac:dyDescent="0.25">
      <c r="A2400" s="2" t="s">
        <v>77</v>
      </c>
      <c r="B2400">
        <v>32</v>
      </c>
      <c r="C2400" s="2" t="s">
        <v>169</v>
      </c>
      <c r="D2400">
        <v>32</v>
      </c>
    </row>
    <row r="2401" spans="1:4" hidden="1" x14ac:dyDescent="0.25">
      <c r="A2401" s="2" t="s">
        <v>77</v>
      </c>
      <c r="B2401">
        <v>32</v>
      </c>
      <c r="C2401" s="2" t="s">
        <v>170</v>
      </c>
      <c r="D2401">
        <v>32</v>
      </c>
    </row>
    <row r="2402" spans="1:4" hidden="1" x14ac:dyDescent="0.25">
      <c r="A2402" s="2" t="s">
        <v>77</v>
      </c>
      <c r="B2402">
        <v>32</v>
      </c>
      <c r="C2402" s="2" t="s">
        <v>171</v>
      </c>
      <c r="D2402">
        <v>32</v>
      </c>
    </row>
    <row r="2403" spans="1:4" hidden="1" x14ac:dyDescent="0.25">
      <c r="A2403" s="2" t="s">
        <v>77</v>
      </c>
      <c r="B2403">
        <v>32</v>
      </c>
      <c r="C2403" s="2" t="s">
        <v>172</v>
      </c>
      <c r="D2403">
        <v>32</v>
      </c>
    </row>
    <row r="2404" spans="1:4" hidden="1" x14ac:dyDescent="0.25">
      <c r="A2404" s="2" t="s">
        <v>77</v>
      </c>
      <c r="B2404">
        <v>32</v>
      </c>
      <c r="C2404" s="2" t="s">
        <v>173</v>
      </c>
      <c r="D2404">
        <v>32</v>
      </c>
    </row>
    <row r="2405" spans="1:4" hidden="1" x14ac:dyDescent="0.25">
      <c r="A2405" s="2" t="s">
        <v>77</v>
      </c>
      <c r="B2405">
        <v>32</v>
      </c>
      <c r="C2405" s="2" t="s">
        <v>174</v>
      </c>
      <c r="D2405">
        <v>32</v>
      </c>
    </row>
    <row r="2406" spans="1:4" hidden="1" x14ac:dyDescent="0.25">
      <c r="A2406" s="2" t="s">
        <v>77</v>
      </c>
      <c r="B2406">
        <v>32</v>
      </c>
      <c r="C2406" s="2" t="s">
        <v>175</v>
      </c>
      <c r="D2406">
        <v>32</v>
      </c>
    </row>
    <row r="2407" spans="1:4" hidden="1" x14ac:dyDescent="0.25">
      <c r="A2407" s="2" t="s">
        <v>77</v>
      </c>
      <c r="B2407">
        <v>32</v>
      </c>
      <c r="C2407" s="2" t="s">
        <v>176</v>
      </c>
      <c r="D2407">
        <v>32</v>
      </c>
    </row>
    <row r="2408" spans="1:4" hidden="1" x14ac:dyDescent="0.25">
      <c r="A2408" s="2" t="s">
        <v>77</v>
      </c>
      <c r="B2408">
        <v>32</v>
      </c>
      <c r="C2408" s="2" t="s">
        <v>177</v>
      </c>
      <c r="D2408">
        <v>32</v>
      </c>
    </row>
    <row r="2409" spans="1:4" hidden="1" x14ac:dyDescent="0.25">
      <c r="A2409" s="2" t="s">
        <v>77</v>
      </c>
      <c r="B2409">
        <v>32</v>
      </c>
      <c r="C2409" s="2" t="s">
        <v>178</v>
      </c>
      <c r="D2409">
        <v>32</v>
      </c>
    </row>
    <row r="2410" spans="1:4" hidden="1" x14ac:dyDescent="0.25">
      <c r="A2410" s="2" t="s">
        <v>77</v>
      </c>
      <c r="B2410">
        <v>32</v>
      </c>
      <c r="C2410" s="2" t="s">
        <v>179</v>
      </c>
      <c r="D2410">
        <v>32</v>
      </c>
    </row>
    <row r="2411" spans="1:4" hidden="1" x14ac:dyDescent="0.25">
      <c r="A2411" s="2" t="s">
        <v>1</v>
      </c>
      <c r="B2411">
        <v>34</v>
      </c>
      <c r="C2411" s="2" t="s">
        <v>183</v>
      </c>
      <c r="D2411">
        <v>65</v>
      </c>
    </row>
    <row r="2412" spans="1:4" hidden="1" x14ac:dyDescent="0.25">
      <c r="A2412" s="2" t="s">
        <v>1</v>
      </c>
      <c r="B2412">
        <v>34</v>
      </c>
      <c r="C2412" s="2" t="s">
        <v>184</v>
      </c>
      <c r="D2412">
        <v>62</v>
      </c>
    </row>
    <row r="2413" spans="1:4" hidden="1" x14ac:dyDescent="0.25">
      <c r="A2413" s="2" t="s">
        <v>1</v>
      </c>
      <c r="B2413">
        <v>34</v>
      </c>
      <c r="C2413" s="2" t="s">
        <v>185</v>
      </c>
      <c r="D2413">
        <v>50</v>
      </c>
    </row>
    <row r="2414" spans="1:4" hidden="1" x14ac:dyDescent="0.25">
      <c r="A2414" s="2" t="s">
        <v>1</v>
      </c>
      <c r="B2414">
        <v>34</v>
      </c>
      <c r="C2414" s="2" t="s">
        <v>186</v>
      </c>
      <c r="D2414">
        <v>83</v>
      </c>
    </row>
    <row r="2415" spans="1:4" hidden="1" x14ac:dyDescent="0.25">
      <c r="A2415" s="2" t="s">
        <v>1</v>
      </c>
      <c r="B2415">
        <v>34</v>
      </c>
      <c r="C2415" s="2" t="s">
        <v>187</v>
      </c>
      <c r="D2415">
        <v>77</v>
      </c>
    </row>
    <row r="2416" spans="1:4" hidden="1" x14ac:dyDescent="0.25">
      <c r="A2416" s="2" t="s">
        <v>1</v>
      </c>
      <c r="B2416">
        <v>34</v>
      </c>
      <c r="C2416" s="2" t="s">
        <v>188</v>
      </c>
      <c r="D2416">
        <v>53</v>
      </c>
    </row>
    <row r="2417" spans="1:4" hidden="1" x14ac:dyDescent="0.25">
      <c r="A2417" s="2" t="s">
        <v>1</v>
      </c>
      <c r="B2417">
        <v>34</v>
      </c>
      <c r="C2417" s="2" t="s">
        <v>189</v>
      </c>
      <c r="D2417">
        <v>71</v>
      </c>
    </row>
    <row r="2418" spans="1:4" hidden="1" x14ac:dyDescent="0.25">
      <c r="A2418" s="2" t="s">
        <v>1</v>
      </c>
      <c r="B2418">
        <v>34</v>
      </c>
      <c r="C2418" s="2" t="s">
        <v>190</v>
      </c>
      <c r="D2418">
        <v>76</v>
      </c>
    </row>
    <row r="2419" spans="1:4" hidden="1" x14ac:dyDescent="0.25">
      <c r="A2419" s="2" t="s">
        <v>1</v>
      </c>
      <c r="B2419">
        <v>34</v>
      </c>
      <c r="C2419" s="2" t="s">
        <v>191</v>
      </c>
      <c r="D2419">
        <v>52</v>
      </c>
    </row>
    <row r="2420" spans="1:4" hidden="1" x14ac:dyDescent="0.25">
      <c r="A2420" s="2" t="s">
        <v>1</v>
      </c>
      <c r="B2420">
        <v>34</v>
      </c>
      <c r="C2420" s="2" t="s">
        <v>116</v>
      </c>
      <c r="D2420">
        <v>42</v>
      </c>
    </row>
    <row r="2421" spans="1:4" hidden="1" x14ac:dyDescent="0.25">
      <c r="A2421" s="2" t="s">
        <v>1</v>
      </c>
      <c r="B2421">
        <v>34</v>
      </c>
      <c r="C2421" s="2" t="s">
        <v>117</v>
      </c>
      <c r="D2421">
        <v>40</v>
      </c>
    </row>
    <row r="2422" spans="1:4" hidden="1" x14ac:dyDescent="0.25">
      <c r="A2422" s="2" t="s">
        <v>1</v>
      </c>
      <c r="B2422">
        <v>34</v>
      </c>
      <c r="C2422" s="2" t="s">
        <v>118</v>
      </c>
      <c r="D2422">
        <v>41</v>
      </c>
    </row>
    <row r="2423" spans="1:4" hidden="1" x14ac:dyDescent="0.25">
      <c r="A2423" s="2" t="s">
        <v>1</v>
      </c>
      <c r="B2423">
        <v>34</v>
      </c>
      <c r="C2423" s="2" t="s">
        <v>119</v>
      </c>
      <c r="D2423">
        <v>22</v>
      </c>
    </row>
    <row r="2424" spans="1:4" hidden="1" x14ac:dyDescent="0.25">
      <c r="A2424" s="2" t="s">
        <v>1</v>
      </c>
      <c r="B2424">
        <v>34</v>
      </c>
      <c r="C2424" s="2" t="s">
        <v>120</v>
      </c>
      <c r="D2424">
        <v>23</v>
      </c>
    </row>
    <row r="2425" spans="1:4" hidden="1" x14ac:dyDescent="0.25">
      <c r="A2425" s="2" t="s">
        <v>1</v>
      </c>
      <c r="B2425">
        <v>34</v>
      </c>
      <c r="C2425" s="2" t="s">
        <v>121</v>
      </c>
      <c r="D2425">
        <v>25</v>
      </c>
    </row>
    <row r="2426" spans="1:4" hidden="1" x14ac:dyDescent="0.25">
      <c r="A2426" s="2" t="s">
        <v>1</v>
      </c>
      <c r="B2426">
        <v>34</v>
      </c>
      <c r="C2426" s="2" t="s">
        <v>122</v>
      </c>
      <c r="D2426">
        <v>15</v>
      </c>
    </row>
    <row r="2427" spans="1:4" hidden="1" x14ac:dyDescent="0.25">
      <c r="A2427" s="2" t="s">
        <v>1</v>
      </c>
      <c r="B2427">
        <v>34</v>
      </c>
      <c r="C2427" s="2" t="s">
        <v>123</v>
      </c>
      <c r="D2427">
        <v>18</v>
      </c>
    </row>
    <row r="2428" spans="1:4" hidden="1" x14ac:dyDescent="0.25">
      <c r="A2428" s="2" t="s">
        <v>1</v>
      </c>
      <c r="B2428">
        <v>34</v>
      </c>
      <c r="C2428" s="2" t="s">
        <v>124</v>
      </c>
      <c r="D2428">
        <v>18</v>
      </c>
    </row>
    <row r="2429" spans="1:4" hidden="1" x14ac:dyDescent="0.25">
      <c r="A2429" s="2" t="s">
        <v>1</v>
      </c>
      <c r="B2429">
        <v>34</v>
      </c>
      <c r="C2429" s="2" t="s">
        <v>125</v>
      </c>
      <c r="D2429">
        <v>35</v>
      </c>
    </row>
    <row r="2430" spans="1:4" hidden="1" x14ac:dyDescent="0.25">
      <c r="A2430" s="2" t="s">
        <v>1</v>
      </c>
      <c r="B2430">
        <v>34</v>
      </c>
      <c r="C2430" s="2" t="s">
        <v>126</v>
      </c>
      <c r="D2430">
        <v>34</v>
      </c>
    </row>
    <row r="2431" spans="1:4" hidden="1" x14ac:dyDescent="0.25">
      <c r="A2431" s="2" t="s">
        <v>1</v>
      </c>
      <c r="B2431">
        <v>34</v>
      </c>
      <c r="C2431" s="2" t="s">
        <v>127</v>
      </c>
      <c r="D2431">
        <v>30</v>
      </c>
    </row>
    <row r="2432" spans="1:4" hidden="1" x14ac:dyDescent="0.25">
      <c r="A2432" s="2" t="s">
        <v>1</v>
      </c>
      <c r="B2432">
        <v>34</v>
      </c>
      <c r="C2432" s="2" t="s">
        <v>128</v>
      </c>
      <c r="D2432">
        <v>40</v>
      </c>
    </row>
    <row r="2433" spans="1:4" hidden="1" x14ac:dyDescent="0.25">
      <c r="A2433" s="2" t="s">
        <v>1</v>
      </c>
      <c r="B2433">
        <v>34</v>
      </c>
      <c r="C2433" s="2" t="s">
        <v>129</v>
      </c>
      <c r="D2433">
        <v>47</v>
      </c>
    </row>
    <row r="2434" spans="1:4" hidden="1" x14ac:dyDescent="0.25">
      <c r="A2434" s="2" t="s">
        <v>1</v>
      </c>
      <c r="B2434">
        <v>34</v>
      </c>
      <c r="C2434" s="2" t="s">
        <v>130</v>
      </c>
      <c r="D2434">
        <v>45</v>
      </c>
    </row>
    <row r="2435" spans="1:4" hidden="1" x14ac:dyDescent="0.25">
      <c r="A2435" s="2" t="s">
        <v>1</v>
      </c>
      <c r="B2435">
        <v>34</v>
      </c>
      <c r="C2435" s="2" t="s">
        <v>131</v>
      </c>
      <c r="D2435">
        <v>45</v>
      </c>
    </row>
    <row r="2436" spans="1:4" hidden="1" x14ac:dyDescent="0.25">
      <c r="A2436" s="2" t="s">
        <v>1</v>
      </c>
      <c r="B2436">
        <v>34</v>
      </c>
      <c r="C2436" s="2" t="s">
        <v>132</v>
      </c>
      <c r="D2436">
        <v>53</v>
      </c>
    </row>
    <row r="2437" spans="1:4" hidden="1" x14ac:dyDescent="0.25">
      <c r="A2437" s="2" t="s">
        <v>1</v>
      </c>
      <c r="B2437">
        <v>34</v>
      </c>
      <c r="C2437" s="2" t="s">
        <v>133</v>
      </c>
      <c r="D2437">
        <v>54</v>
      </c>
    </row>
    <row r="2438" spans="1:4" hidden="1" x14ac:dyDescent="0.25">
      <c r="A2438" s="2" t="s">
        <v>1</v>
      </c>
      <c r="B2438">
        <v>34</v>
      </c>
      <c r="C2438" s="2" t="s">
        <v>134</v>
      </c>
      <c r="D2438">
        <v>54</v>
      </c>
    </row>
    <row r="2439" spans="1:4" hidden="1" x14ac:dyDescent="0.25">
      <c r="A2439" s="2" t="s">
        <v>1</v>
      </c>
      <c r="B2439">
        <v>34</v>
      </c>
      <c r="C2439" s="2" t="s">
        <v>135</v>
      </c>
      <c r="D2439">
        <v>34</v>
      </c>
    </row>
    <row r="2440" spans="1:4" hidden="1" x14ac:dyDescent="0.25">
      <c r="A2440" s="2" t="s">
        <v>1</v>
      </c>
      <c r="B2440">
        <v>34</v>
      </c>
      <c r="C2440" s="2" t="s">
        <v>136</v>
      </c>
      <c r="D2440">
        <v>34</v>
      </c>
    </row>
    <row r="2441" spans="1:4" hidden="1" x14ac:dyDescent="0.25">
      <c r="A2441" s="2" t="s">
        <v>1</v>
      </c>
      <c r="B2441">
        <v>34</v>
      </c>
      <c r="C2441" s="2" t="s">
        <v>137</v>
      </c>
      <c r="D2441">
        <v>34</v>
      </c>
    </row>
    <row r="2442" spans="1:4" hidden="1" x14ac:dyDescent="0.25">
      <c r="A2442" s="2" t="s">
        <v>1</v>
      </c>
      <c r="B2442">
        <v>34</v>
      </c>
      <c r="C2442" s="2" t="s">
        <v>138</v>
      </c>
      <c r="D2442">
        <v>34</v>
      </c>
    </row>
    <row r="2443" spans="1:4" hidden="1" x14ac:dyDescent="0.25">
      <c r="A2443" s="2" t="s">
        <v>1</v>
      </c>
      <c r="B2443">
        <v>34</v>
      </c>
      <c r="C2443" s="2" t="s">
        <v>139</v>
      </c>
      <c r="D2443">
        <v>34</v>
      </c>
    </row>
    <row r="2444" spans="1:4" hidden="1" x14ac:dyDescent="0.25">
      <c r="A2444" s="2" t="s">
        <v>1</v>
      </c>
      <c r="B2444">
        <v>34</v>
      </c>
      <c r="C2444" s="2" t="s">
        <v>140</v>
      </c>
      <c r="D2444">
        <v>34</v>
      </c>
    </row>
    <row r="2445" spans="1:4" hidden="1" x14ac:dyDescent="0.25">
      <c r="A2445" s="2" t="s">
        <v>1</v>
      </c>
      <c r="B2445">
        <v>34</v>
      </c>
      <c r="C2445" s="2" t="s">
        <v>141</v>
      </c>
      <c r="D2445">
        <v>34</v>
      </c>
    </row>
    <row r="2446" spans="1:4" hidden="1" x14ac:dyDescent="0.25">
      <c r="A2446" s="2" t="s">
        <v>1</v>
      </c>
      <c r="B2446">
        <v>34</v>
      </c>
      <c r="C2446" s="2" t="s">
        <v>142</v>
      </c>
      <c r="D2446">
        <v>34</v>
      </c>
    </row>
    <row r="2447" spans="1:4" hidden="1" x14ac:dyDescent="0.25">
      <c r="A2447" s="2" t="s">
        <v>1</v>
      </c>
      <c r="B2447">
        <v>34</v>
      </c>
      <c r="C2447" s="2" t="s">
        <v>143</v>
      </c>
      <c r="D2447">
        <v>34</v>
      </c>
    </row>
    <row r="2448" spans="1:4" hidden="1" x14ac:dyDescent="0.25">
      <c r="A2448" s="2" t="s">
        <v>1</v>
      </c>
      <c r="B2448">
        <v>34</v>
      </c>
      <c r="C2448" s="2" t="s">
        <v>144</v>
      </c>
      <c r="D2448">
        <v>34</v>
      </c>
    </row>
    <row r="2449" spans="1:4" hidden="1" x14ac:dyDescent="0.25">
      <c r="A2449" s="2" t="s">
        <v>1</v>
      </c>
      <c r="B2449">
        <v>34</v>
      </c>
      <c r="C2449" s="2" t="s">
        <v>145</v>
      </c>
      <c r="D2449">
        <v>34</v>
      </c>
    </row>
    <row r="2450" spans="1:4" hidden="1" x14ac:dyDescent="0.25">
      <c r="A2450" s="2" t="s">
        <v>1</v>
      </c>
      <c r="B2450">
        <v>34</v>
      </c>
      <c r="C2450" s="2" t="s">
        <v>146</v>
      </c>
      <c r="D2450">
        <v>34</v>
      </c>
    </row>
    <row r="2451" spans="1:4" hidden="1" x14ac:dyDescent="0.25">
      <c r="A2451" s="2" t="s">
        <v>1</v>
      </c>
      <c r="B2451">
        <v>34</v>
      </c>
      <c r="C2451" s="2" t="s">
        <v>147</v>
      </c>
      <c r="D2451">
        <v>34</v>
      </c>
    </row>
    <row r="2452" spans="1:4" hidden="1" x14ac:dyDescent="0.25">
      <c r="A2452" s="2" t="s">
        <v>1</v>
      </c>
      <c r="B2452">
        <v>34</v>
      </c>
      <c r="C2452" s="2" t="s">
        <v>148</v>
      </c>
      <c r="D2452">
        <v>34</v>
      </c>
    </row>
    <row r="2453" spans="1:4" hidden="1" x14ac:dyDescent="0.25">
      <c r="A2453" s="2" t="s">
        <v>1</v>
      </c>
      <c r="B2453">
        <v>34</v>
      </c>
      <c r="C2453" s="2" t="s">
        <v>149</v>
      </c>
      <c r="D2453">
        <v>34</v>
      </c>
    </row>
    <row r="2454" spans="1:4" hidden="1" x14ac:dyDescent="0.25">
      <c r="A2454" s="2" t="s">
        <v>1</v>
      </c>
      <c r="B2454">
        <v>34</v>
      </c>
      <c r="C2454" s="2" t="s">
        <v>150</v>
      </c>
      <c r="D2454">
        <v>34</v>
      </c>
    </row>
    <row r="2455" spans="1:4" hidden="1" x14ac:dyDescent="0.25">
      <c r="A2455" s="2" t="s">
        <v>1</v>
      </c>
      <c r="B2455">
        <v>34</v>
      </c>
      <c r="C2455" s="2" t="s">
        <v>151</v>
      </c>
      <c r="D2455">
        <v>34</v>
      </c>
    </row>
    <row r="2456" spans="1:4" hidden="1" x14ac:dyDescent="0.25">
      <c r="A2456" s="2" t="s">
        <v>1</v>
      </c>
      <c r="B2456">
        <v>34</v>
      </c>
      <c r="C2456" s="2" t="s">
        <v>152</v>
      </c>
      <c r="D2456">
        <v>34</v>
      </c>
    </row>
    <row r="2457" spans="1:4" hidden="1" x14ac:dyDescent="0.25">
      <c r="A2457" s="2" t="s">
        <v>1</v>
      </c>
      <c r="B2457">
        <v>34</v>
      </c>
      <c r="C2457" s="2" t="s">
        <v>153</v>
      </c>
      <c r="D2457">
        <v>34</v>
      </c>
    </row>
    <row r="2458" spans="1:4" hidden="1" x14ac:dyDescent="0.25">
      <c r="A2458" s="2" t="s">
        <v>1</v>
      </c>
      <c r="B2458">
        <v>34</v>
      </c>
      <c r="C2458" s="2" t="s">
        <v>154</v>
      </c>
      <c r="D2458">
        <v>34</v>
      </c>
    </row>
    <row r="2459" spans="1:4" hidden="1" x14ac:dyDescent="0.25">
      <c r="A2459" s="2" t="s">
        <v>1</v>
      </c>
      <c r="B2459">
        <v>34</v>
      </c>
      <c r="C2459" s="2" t="s">
        <v>155</v>
      </c>
      <c r="D2459">
        <v>34</v>
      </c>
    </row>
    <row r="2460" spans="1:4" hidden="1" x14ac:dyDescent="0.25">
      <c r="A2460" s="2" t="s">
        <v>1</v>
      </c>
      <c r="B2460">
        <v>34</v>
      </c>
      <c r="C2460" s="2" t="s">
        <v>156</v>
      </c>
      <c r="D2460">
        <v>34</v>
      </c>
    </row>
    <row r="2461" spans="1:4" hidden="1" x14ac:dyDescent="0.25">
      <c r="A2461" s="2" t="s">
        <v>1</v>
      </c>
      <c r="B2461">
        <v>34</v>
      </c>
      <c r="C2461" s="2" t="s">
        <v>157</v>
      </c>
      <c r="D2461">
        <v>34</v>
      </c>
    </row>
    <row r="2462" spans="1:4" hidden="1" x14ac:dyDescent="0.25">
      <c r="A2462" s="2" t="s">
        <v>1</v>
      </c>
      <c r="B2462">
        <v>34</v>
      </c>
      <c r="C2462" s="2" t="s">
        <v>158</v>
      </c>
      <c r="D2462">
        <v>34</v>
      </c>
    </row>
    <row r="2463" spans="1:4" hidden="1" x14ac:dyDescent="0.25">
      <c r="A2463" s="2" t="s">
        <v>1</v>
      </c>
      <c r="B2463">
        <v>34</v>
      </c>
      <c r="C2463" s="2" t="s">
        <v>159</v>
      </c>
      <c r="D2463">
        <v>34</v>
      </c>
    </row>
    <row r="2464" spans="1:4" hidden="1" x14ac:dyDescent="0.25">
      <c r="A2464" s="2" t="s">
        <v>1</v>
      </c>
      <c r="B2464">
        <v>34</v>
      </c>
      <c r="C2464" s="2" t="s">
        <v>160</v>
      </c>
      <c r="D2464">
        <v>34</v>
      </c>
    </row>
    <row r="2465" spans="1:4" hidden="1" x14ac:dyDescent="0.25">
      <c r="A2465" s="2" t="s">
        <v>1</v>
      </c>
      <c r="B2465">
        <v>34</v>
      </c>
      <c r="C2465" s="2" t="s">
        <v>161</v>
      </c>
      <c r="D2465">
        <v>34</v>
      </c>
    </row>
    <row r="2466" spans="1:4" hidden="1" x14ac:dyDescent="0.25">
      <c r="A2466" s="2" t="s">
        <v>1</v>
      </c>
      <c r="B2466">
        <v>34</v>
      </c>
      <c r="C2466" s="2" t="s">
        <v>162</v>
      </c>
      <c r="D2466">
        <v>34</v>
      </c>
    </row>
    <row r="2467" spans="1:4" hidden="1" x14ac:dyDescent="0.25">
      <c r="A2467" s="2" t="s">
        <v>1</v>
      </c>
      <c r="B2467">
        <v>34</v>
      </c>
      <c r="C2467" s="2" t="s">
        <v>163</v>
      </c>
      <c r="D2467">
        <v>34</v>
      </c>
    </row>
    <row r="2468" spans="1:4" hidden="1" x14ac:dyDescent="0.25">
      <c r="A2468" s="2" t="s">
        <v>1</v>
      </c>
      <c r="B2468">
        <v>34</v>
      </c>
      <c r="C2468" s="2" t="s">
        <v>164</v>
      </c>
      <c r="D2468">
        <v>34</v>
      </c>
    </row>
    <row r="2469" spans="1:4" hidden="1" x14ac:dyDescent="0.25">
      <c r="A2469" s="2" t="s">
        <v>1</v>
      </c>
      <c r="B2469">
        <v>34</v>
      </c>
      <c r="C2469" s="2" t="s">
        <v>165</v>
      </c>
      <c r="D2469">
        <v>34</v>
      </c>
    </row>
    <row r="2470" spans="1:4" hidden="1" x14ac:dyDescent="0.25">
      <c r="A2470" s="2" t="s">
        <v>1</v>
      </c>
      <c r="B2470">
        <v>34</v>
      </c>
      <c r="C2470" s="2" t="s">
        <v>166</v>
      </c>
      <c r="D2470">
        <v>34</v>
      </c>
    </row>
    <row r="2471" spans="1:4" hidden="1" x14ac:dyDescent="0.25">
      <c r="A2471" s="2" t="s">
        <v>1</v>
      </c>
      <c r="B2471">
        <v>34</v>
      </c>
      <c r="C2471" s="2" t="s">
        <v>167</v>
      </c>
      <c r="D2471">
        <v>34</v>
      </c>
    </row>
    <row r="2472" spans="1:4" hidden="1" x14ac:dyDescent="0.25">
      <c r="A2472" s="2" t="s">
        <v>1</v>
      </c>
      <c r="B2472">
        <v>34</v>
      </c>
      <c r="C2472" s="2" t="s">
        <v>168</v>
      </c>
      <c r="D2472">
        <v>34</v>
      </c>
    </row>
    <row r="2473" spans="1:4" hidden="1" x14ac:dyDescent="0.25">
      <c r="A2473" s="2" t="s">
        <v>1</v>
      </c>
      <c r="B2473">
        <v>34</v>
      </c>
      <c r="C2473" s="2" t="s">
        <v>169</v>
      </c>
      <c r="D2473">
        <v>34</v>
      </c>
    </row>
    <row r="2474" spans="1:4" hidden="1" x14ac:dyDescent="0.25">
      <c r="A2474" s="2" t="s">
        <v>1</v>
      </c>
      <c r="B2474">
        <v>34</v>
      </c>
      <c r="C2474" s="2" t="s">
        <v>170</v>
      </c>
      <c r="D2474">
        <v>34</v>
      </c>
    </row>
    <row r="2475" spans="1:4" hidden="1" x14ac:dyDescent="0.25">
      <c r="A2475" s="2" t="s">
        <v>1</v>
      </c>
      <c r="B2475">
        <v>34</v>
      </c>
      <c r="C2475" s="2" t="s">
        <v>171</v>
      </c>
      <c r="D2475">
        <v>34</v>
      </c>
    </row>
    <row r="2476" spans="1:4" hidden="1" x14ac:dyDescent="0.25">
      <c r="A2476" s="2" t="s">
        <v>1</v>
      </c>
      <c r="B2476">
        <v>34</v>
      </c>
      <c r="C2476" s="2" t="s">
        <v>172</v>
      </c>
      <c r="D2476">
        <v>34</v>
      </c>
    </row>
    <row r="2477" spans="1:4" hidden="1" x14ac:dyDescent="0.25">
      <c r="A2477" s="2" t="s">
        <v>1</v>
      </c>
      <c r="B2477">
        <v>34</v>
      </c>
      <c r="C2477" s="2" t="s">
        <v>173</v>
      </c>
      <c r="D2477">
        <v>34</v>
      </c>
    </row>
    <row r="2478" spans="1:4" hidden="1" x14ac:dyDescent="0.25">
      <c r="A2478" s="2" t="s">
        <v>1</v>
      </c>
      <c r="B2478">
        <v>34</v>
      </c>
      <c r="C2478" s="2" t="s">
        <v>174</v>
      </c>
      <c r="D2478">
        <v>34</v>
      </c>
    </row>
    <row r="2479" spans="1:4" hidden="1" x14ac:dyDescent="0.25">
      <c r="A2479" s="2" t="s">
        <v>1</v>
      </c>
      <c r="B2479">
        <v>34</v>
      </c>
      <c r="C2479" s="2" t="s">
        <v>175</v>
      </c>
      <c r="D2479">
        <v>34</v>
      </c>
    </row>
    <row r="2480" spans="1:4" hidden="1" x14ac:dyDescent="0.25">
      <c r="A2480" s="2" t="s">
        <v>1</v>
      </c>
      <c r="B2480">
        <v>34</v>
      </c>
      <c r="C2480" s="2" t="s">
        <v>176</v>
      </c>
      <c r="D2480">
        <v>34</v>
      </c>
    </row>
    <row r="2481" spans="1:4" hidden="1" x14ac:dyDescent="0.25">
      <c r="A2481" s="2" t="s">
        <v>1</v>
      </c>
      <c r="B2481">
        <v>34</v>
      </c>
      <c r="C2481" s="2" t="s">
        <v>177</v>
      </c>
      <c r="D2481">
        <v>34</v>
      </c>
    </row>
    <row r="2482" spans="1:4" hidden="1" x14ac:dyDescent="0.25">
      <c r="A2482" s="2" t="s">
        <v>1</v>
      </c>
      <c r="B2482">
        <v>34</v>
      </c>
      <c r="C2482" s="2" t="s">
        <v>178</v>
      </c>
      <c r="D2482">
        <v>34</v>
      </c>
    </row>
    <row r="2483" spans="1:4" hidden="1" x14ac:dyDescent="0.25">
      <c r="A2483" s="2" t="s">
        <v>1</v>
      </c>
      <c r="B2483">
        <v>34</v>
      </c>
      <c r="C2483" s="2" t="s">
        <v>179</v>
      </c>
      <c r="D2483">
        <v>34</v>
      </c>
    </row>
    <row r="2484" spans="1:4" hidden="1" x14ac:dyDescent="0.25">
      <c r="A2484" s="2" t="s">
        <v>59</v>
      </c>
      <c r="B2484">
        <v>35</v>
      </c>
      <c r="C2484" s="2" t="s">
        <v>183</v>
      </c>
      <c r="D2484">
        <v>13</v>
      </c>
    </row>
    <row r="2485" spans="1:4" hidden="1" x14ac:dyDescent="0.25">
      <c r="A2485" s="2" t="s">
        <v>59</v>
      </c>
      <c r="B2485">
        <v>35</v>
      </c>
      <c r="C2485" s="2" t="s">
        <v>184</v>
      </c>
      <c r="D2485">
        <v>14</v>
      </c>
    </row>
    <row r="2486" spans="1:4" hidden="1" x14ac:dyDescent="0.25">
      <c r="A2486" s="2" t="s">
        <v>59</v>
      </c>
      <c r="B2486">
        <v>35</v>
      </c>
      <c r="C2486" s="2" t="s">
        <v>185</v>
      </c>
      <c r="D2486">
        <v>24</v>
      </c>
    </row>
    <row r="2487" spans="1:4" hidden="1" x14ac:dyDescent="0.25">
      <c r="A2487" s="2" t="s">
        <v>59</v>
      </c>
      <c r="B2487">
        <v>35</v>
      </c>
      <c r="C2487" s="2" t="s">
        <v>186</v>
      </c>
      <c r="D2487">
        <v>52</v>
      </c>
    </row>
    <row r="2488" spans="1:4" hidden="1" x14ac:dyDescent="0.25">
      <c r="A2488" s="2" t="s">
        <v>59</v>
      </c>
      <c r="B2488">
        <v>35</v>
      </c>
      <c r="C2488" s="2" t="s">
        <v>187</v>
      </c>
      <c r="D2488">
        <v>52</v>
      </c>
    </row>
    <row r="2489" spans="1:4" hidden="1" x14ac:dyDescent="0.25">
      <c r="A2489" s="2" t="s">
        <v>59</v>
      </c>
      <c r="B2489">
        <v>35</v>
      </c>
      <c r="C2489" s="2" t="s">
        <v>188</v>
      </c>
      <c r="D2489">
        <v>66</v>
      </c>
    </row>
    <row r="2490" spans="1:4" hidden="1" x14ac:dyDescent="0.25">
      <c r="A2490" s="2" t="s">
        <v>59</v>
      </c>
      <c r="B2490">
        <v>35</v>
      </c>
      <c r="C2490" s="2" t="s">
        <v>189</v>
      </c>
      <c r="D2490">
        <v>79</v>
      </c>
    </row>
    <row r="2491" spans="1:4" hidden="1" x14ac:dyDescent="0.25">
      <c r="A2491" s="2" t="s">
        <v>59</v>
      </c>
      <c r="B2491">
        <v>35</v>
      </c>
      <c r="C2491" s="2" t="s">
        <v>190</v>
      </c>
      <c r="D2491">
        <v>73</v>
      </c>
    </row>
    <row r="2492" spans="1:4" hidden="1" x14ac:dyDescent="0.25">
      <c r="A2492" s="2" t="s">
        <v>59</v>
      </c>
      <c r="B2492">
        <v>35</v>
      </c>
      <c r="C2492" s="2" t="s">
        <v>191</v>
      </c>
      <c r="D2492">
        <v>80</v>
      </c>
    </row>
    <row r="2493" spans="1:4" hidden="1" x14ac:dyDescent="0.25">
      <c r="A2493" s="2" t="s">
        <v>59</v>
      </c>
      <c r="B2493">
        <v>35</v>
      </c>
      <c r="C2493" s="2" t="s">
        <v>116</v>
      </c>
      <c r="D2493">
        <v>83</v>
      </c>
    </row>
    <row r="2494" spans="1:4" hidden="1" x14ac:dyDescent="0.25">
      <c r="A2494" s="2" t="s">
        <v>59</v>
      </c>
      <c r="B2494">
        <v>35</v>
      </c>
      <c r="C2494" s="2" t="s">
        <v>117</v>
      </c>
      <c r="D2494">
        <v>82</v>
      </c>
    </row>
    <row r="2495" spans="1:4" hidden="1" x14ac:dyDescent="0.25">
      <c r="A2495" s="2" t="s">
        <v>59</v>
      </c>
      <c r="B2495">
        <v>35</v>
      </c>
      <c r="C2495" s="2" t="s">
        <v>118</v>
      </c>
      <c r="D2495">
        <v>85</v>
      </c>
    </row>
    <row r="2496" spans="1:4" hidden="1" x14ac:dyDescent="0.25">
      <c r="A2496" s="2" t="s">
        <v>59</v>
      </c>
      <c r="B2496">
        <v>35</v>
      </c>
      <c r="C2496" s="2" t="s">
        <v>119</v>
      </c>
      <c r="D2496">
        <v>59</v>
      </c>
    </row>
    <row r="2497" spans="1:4" hidden="1" x14ac:dyDescent="0.25">
      <c r="A2497" s="2" t="s">
        <v>59</v>
      </c>
      <c r="B2497">
        <v>35</v>
      </c>
      <c r="C2497" s="2" t="s">
        <v>120</v>
      </c>
      <c r="D2497">
        <v>59</v>
      </c>
    </row>
    <row r="2498" spans="1:4" hidden="1" x14ac:dyDescent="0.25">
      <c r="A2498" s="2" t="s">
        <v>59</v>
      </c>
      <c r="B2498">
        <v>35</v>
      </c>
      <c r="C2498" s="2" t="s">
        <v>121</v>
      </c>
      <c r="D2498">
        <v>61</v>
      </c>
    </row>
    <row r="2499" spans="1:4" hidden="1" x14ac:dyDescent="0.25">
      <c r="A2499" s="2" t="s">
        <v>59</v>
      </c>
      <c r="B2499">
        <v>35</v>
      </c>
      <c r="C2499" s="2" t="s">
        <v>122</v>
      </c>
      <c r="D2499">
        <v>49</v>
      </c>
    </row>
    <row r="2500" spans="1:4" hidden="1" x14ac:dyDescent="0.25">
      <c r="A2500" s="2" t="s">
        <v>59</v>
      </c>
      <c r="B2500">
        <v>35</v>
      </c>
      <c r="C2500" s="2" t="s">
        <v>123</v>
      </c>
      <c r="D2500">
        <v>32</v>
      </c>
    </row>
    <row r="2501" spans="1:4" hidden="1" x14ac:dyDescent="0.25">
      <c r="A2501" s="2" t="s">
        <v>59</v>
      </c>
      <c r="B2501">
        <v>35</v>
      </c>
      <c r="C2501" s="2" t="s">
        <v>124</v>
      </c>
      <c r="D2501">
        <v>37</v>
      </c>
    </row>
    <row r="2502" spans="1:4" hidden="1" x14ac:dyDescent="0.25">
      <c r="A2502" s="2" t="s">
        <v>59</v>
      </c>
      <c r="B2502">
        <v>35</v>
      </c>
      <c r="C2502" s="2" t="s">
        <v>125</v>
      </c>
      <c r="D2502">
        <v>16</v>
      </c>
    </row>
    <row r="2503" spans="1:4" hidden="1" x14ac:dyDescent="0.25">
      <c r="A2503" s="2" t="s">
        <v>59</v>
      </c>
      <c r="B2503">
        <v>35</v>
      </c>
      <c r="C2503" s="2" t="s">
        <v>126</v>
      </c>
      <c r="D2503">
        <v>24</v>
      </c>
    </row>
    <row r="2504" spans="1:4" hidden="1" x14ac:dyDescent="0.25">
      <c r="A2504" s="2" t="s">
        <v>59</v>
      </c>
      <c r="B2504">
        <v>35</v>
      </c>
      <c r="C2504" s="2" t="s">
        <v>127</v>
      </c>
      <c r="D2504">
        <v>29</v>
      </c>
    </row>
    <row r="2505" spans="1:4" hidden="1" x14ac:dyDescent="0.25">
      <c r="A2505" s="2" t="s">
        <v>59</v>
      </c>
      <c r="B2505">
        <v>35</v>
      </c>
      <c r="C2505" s="2" t="s">
        <v>128</v>
      </c>
      <c r="D2505">
        <v>37</v>
      </c>
    </row>
    <row r="2506" spans="1:4" hidden="1" x14ac:dyDescent="0.25">
      <c r="A2506" s="2" t="s">
        <v>59</v>
      </c>
      <c r="B2506">
        <v>35</v>
      </c>
      <c r="C2506" s="2" t="s">
        <v>129</v>
      </c>
      <c r="D2506">
        <v>29</v>
      </c>
    </row>
    <row r="2507" spans="1:4" hidden="1" x14ac:dyDescent="0.25">
      <c r="A2507" s="2" t="s">
        <v>59</v>
      </c>
      <c r="B2507">
        <v>35</v>
      </c>
      <c r="C2507" s="2" t="s">
        <v>130</v>
      </c>
      <c r="D2507">
        <v>34</v>
      </c>
    </row>
    <row r="2508" spans="1:4" hidden="1" x14ac:dyDescent="0.25">
      <c r="A2508" s="2" t="s">
        <v>59</v>
      </c>
      <c r="B2508">
        <v>35</v>
      </c>
      <c r="C2508" s="2" t="s">
        <v>131</v>
      </c>
      <c r="D2508">
        <v>35</v>
      </c>
    </row>
    <row r="2509" spans="1:4" hidden="1" x14ac:dyDescent="0.25">
      <c r="A2509" s="2" t="s">
        <v>59</v>
      </c>
      <c r="B2509">
        <v>35</v>
      </c>
      <c r="C2509" s="2" t="s">
        <v>132</v>
      </c>
      <c r="D2509">
        <v>36</v>
      </c>
    </row>
    <row r="2510" spans="1:4" hidden="1" x14ac:dyDescent="0.25">
      <c r="A2510" s="2" t="s">
        <v>59</v>
      </c>
      <c r="B2510">
        <v>35</v>
      </c>
      <c r="C2510" s="2" t="s">
        <v>133</v>
      </c>
      <c r="D2510">
        <v>35</v>
      </c>
    </row>
    <row r="2511" spans="1:4" hidden="1" x14ac:dyDescent="0.25">
      <c r="A2511" s="2" t="s">
        <v>59</v>
      </c>
      <c r="B2511">
        <v>35</v>
      </c>
      <c r="C2511" s="2" t="s">
        <v>134</v>
      </c>
      <c r="D2511">
        <v>29</v>
      </c>
    </row>
    <row r="2512" spans="1:4" hidden="1" x14ac:dyDescent="0.25">
      <c r="A2512" s="2" t="s">
        <v>59</v>
      </c>
      <c r="B2512">
        <v>35</v>
      </c>
      <c r="C2512" s="2" t="s">
        <v>135</v>
      </c>
      <c r="D2512">
        <v>35</v>
      </c>
    </row>
    <row r="2513" spans="1:4" hidden="1" x14ac:dyDescent="0.25">
      <c r="A2513" s="2" t="s">
        <v>59</v>
      </c>
      <c r="B2513">
        <v>35</v>
      </c>
      <c r="C2513" s="2" t="s">
        <v>136</v>
      </c>
      <c r="D2513">
        <v>35</v>
      </c>
    </row>
    <row r="2514" spans="1:4" hidden="1" x14ac:dyDescent="0.25">
      <c r="A2514" s="2" t="s">
        <v>59</v>
      </c>
      <c r="B2514">
        <v>35</v>
      </c>
      <c r="C2514" s="2" t="s">
        <v>137</v>
      </c>
      <c r="D2514">
        <v>35</v>
      </c>
    </row>
    <row r="2515" spans="1:4" hidden="1" x14ac:dyDescent="0.25">
      <c r="A2515" s="2" t="s">
        <v>59</v>
      </c>
      <c r="B2515">
        <v>35</v>
      </c>
      <c r="C2515" s="2" t="s">
        <v>138</v>
      </c>
      <c r="D2515">
        <v>35</v>
      </c>
    </row>
    <row r="2516" spans="1:4" hidden="1" x14ac:dyDescent="0.25">
      <c r="A2516" s="2" t="s">
        <v>59</v>
      </c>
      <c r="B2516">
        <v>35</v>
      </c>
      <c r="C2516" s="2" t="s">
        <v>139</v>
      </c>
      <c r="D2516">
        <v>35</v>
      </c>
    </row>
    <row r="2517" spans="1:4" hidden="1" x14ac:dyDescent="0.25">
      <c r="A2517" s="2" t="s">
        <v>59</v>
      </c>
      <c r="B2517">
        <v>35</v>
      </c>
      <c r="C2517" s="2" t="s">
        <v>140</v>
      </c>
      <c r="D2517">
        <v>35</v>
      </c>
    </row>
    <row r="2518" spans="1:4" hidden="1" x14ac:dyDescent="0.25">
      <c r="A2518" s="2" t="s">
        <v>59</v>
      </c>
      <c r="B2518">
        <v>35</v>
      </c>
      <c r="C2518" s="2" t="s">
        <v>141</v>
      </c>
      <c r="D2518">
        <v>35</v>
      </c>
    </row>
    <row r="2519" spans="1:4" hidden="1" x14ac:dyDescent="0.25">
      <c r="A2519" s="2" t="s">
        <v>59</v>
      </c>
      <c r="B2519">
        <v>35</v>
      </c>
      <c r="C2519" s="2" t="s">
        <v>142</v>
      </c>
      <c r="D2519">
        <v>35</v>
      </c>
    </row>
    <row r="2520" spans="1:4" hidden="1" x14ac:dyDescent="0.25">
      <c r="A2520" s="2" t="s">
        <v>59</v>
      </c>
      <c r="B2520">
        <v>35</v>
      </c>
      <c r="C2520" s="2" t="s">
        <v>143</v>
      </c>
      <c r="D2520">
        <v>35</v>
      </c>
    </row>
    <row r="2521" spans="1:4" hidden="1" x14ac:dyDescent="0.25">
      <c r="A2521" s="2" t="s">
        <v>59</v>
      </c>
      <c r="B2521">
        <v>35</v>
      </c>
      <c r="C2521" s="2" t="s">
        <v>144</v>
      </c>
      <c r="D2521">
        <v>35</v>
      </c>
    </row>
    <row r="2522" spans="1:4" hidden="1" x14ac:dyDescent="0.25">
      <c r="A2522" s="2" t="s">
        <v>59</v>
      </c>
      <c r="B2522">
        <v>35</v>
      </c>
      <c r="C2522" s="2" t="s">
        <v>145</v>
      </c>
      <c r="D2522">
        <v>35</v>
      </c>
    </row>
    <row r="2523" spans="1:4" hidden="1" x14ac:dyDescent="0.25">
      <c r="A2523" s="2" t="s">
        <v>59</v>
      </c>
      <c r="B2523">
        <v>35</v>
      </c>
      <c r="C2523" s="2" t="s">
        <v>146</v>
      </c>
      <c r="D2523">
        <v>35</v>
      </c>
    </row>
    <row r="2524" spans="1:4" hidden="1" x14ac:dyDescent="0.25">
      <c r="A2524" s="2" t="s">
        <v>59</v>
      </c>
      <c r="B2524">
        <v>35</v>
      </c>
      <c r="C2524" s="2" t="s">
        <v>147</v>
      </c>
      <c r="D2524">
        <v>35</v>
      </c>
    </row>
    <row r="2525" spans="1:4" hidden="1" x14ac:dyDescent="0.25">
      <c r="A2525" s="2" t="s">
        <v>59</v>
      </c>
      <c r="B2525">
        <v>35</v>
      </c>
      <c r="C2525" s="2" t="s">
        <v>148</v>
      </c>
      <c r="D2525">
        <v>35</v>
      </c>
    </row>
    <row r="2526" spans="1:4" hidden="1" x14ac:dyDescent="0.25">
      <c r="A2526" s="2" t="s">
        <v>59</v>
      </c>
      <c r="B2526">
        <v>35</v>
      </c>
      <c r="C2526" s="2" t="s">
        <v>149</v>
      </c>
      <c r="D2526">
        <v>35</v>
      </c>
    </row>
    <row r="2527" spans="1:4" hidden="1" x14ac:dyDescent="0.25">
      <c r="A2527" s="2" t="s">
        <v>59</v>
      </c>
      <c r="B2527">
        <v>35</v>
      </c>
      <c r="C2527" s="2" t="s">
        <v>150</v>
      </c>
      <c r="D2527">
        <v>35</v>
      </c>
    </row>
    <row r="2528" spans="1:4" hidden="1" x14ac:dyDescent="0.25">
      <c r="A2528" s="2" t="s">
        <v>59</v>
      </c>
      <c r="B2528">
        <v>35</v>
      </c>
      <c r="C2528" s="2" t="s">
        <v>151</v>
      </c>
      <c r="D2528">
        <v>35</v>
      </c>
    </row>
    <row r="2529" spans="1:4" hidden="1" x14ac:dyDescent="0.25">
      <c r="A2529" s="2" t="s">
        <v>59</v>
      </c>
      <c r="B2529">
        <v>35</v>
      </c>
      <c r="C2529" s="2" t="s">
        <v>152</v>
      </c>
      <c r="D2529">
        <v>35</v>
      </c>
    </row>
    <row r="2530" spans="1:4" hidden="1" x14ac:dyDescent="0.25">
      <c r="A2530" s="2" t="s">
        <v>59</v>
      </c>
      <c r="B2530">
        <v>35</v>
      </c>
      <c r="C2530" s="2" t="s">
        <v>153</v>
      </c>
      <c r="D2530">
        <v>35</v>
      </c>
    </row>
    <row r="2531" spans="1:4" hidden="1" x14ac:dyDescent="0.25">
      <c r="A2531" s="2" t="s">
        <v>59</v>
      </c>
      <c r="B2531">
        <v>35</v>
      </c>
      <c r="C2531" s="2" t="s">
        <v>154</v>
      </c>
      <c r="D2531">
        <v>35</v>
      </c>
    </row>
    <row r="2532" spans="1:4" hidden="1" x14ac:dyDescent="0.25">
      <c r="A2532" s="2" t="s">
        <v>59</v>
      </c>
      <c r="B2532">
        <v>35</v>
      </c>
      <c r="C2532" s="2" t="s">
        <v>155</v>
      </c>
      <c r="D2532">
        <v>35</v>
      </c>
    </row>
    <row r="2533" spans="1:4" hidden="1" x14ac:dyDescent="0.25">
      <c r="A2533" s="2" t="s">
        <v>59</v>
      </c>
      <c r="B2533">
        <v>35</v>
      </c>
      <c r="C2533" s="2" t="s">
        <v>156</v>
      </c>
      <c r="D2533">
        <v>35</v>
      </c>
    </row>
    <row r="2534" spans="1:4" hidden="1" x14ac:dyDescent="0.25">
      <c r="A2534" s="2" t="s">
        <v>59</v>
      </c>
      <c r="B2534">
        <v>35</v>
      </c>
      <c r="C2534" s="2" t="s">
        <v>157</v>
      </c>
      <c r="D2534">
        <v>35</v>
      </c>
    </row>
    <row r="2535" spans="1:4" hidden="1" x14ac:dyDescent="0.25">
      <c r="A2535" s="2" t="s">
        <v>59</v>
      </c>
      <c r="B2535">
        <v>35</v>
      </c>
      <c r="C2535" s="2" t="s">
        <v>158</v>
      </c>
      <c r="D2535">
        <v>35</v>
      </c>
    </row>
    <row r="2536" spans="1:4" hidden="1" x14ac:dyDescent="0.25">
      <c r="A2536" s="2" t="s">
        <v>59</v>
      </c>
      <c r="B2536">
        <v>35</v>
      </c>
      <c r="C2536" s="2" t="s">
        <v>159</v>
      </c>
      <c r="D2536">
        <v>35</v>
      </c>
    </row>
    <row r="2537" spans="1:4" hidden="1" x14ac:dyDescent="0.25">
      <c r="A2537" s="2" t="s">
        <v>59</v>
      </c>
      <c r="B2537">
        <v>35</v>
      </c>
      <c r="C2537" s="2" t="s">
        <v>160</v>
      </c>
      <c r="D2537">
        <v>35</v>
      </c>
    </row>
    <row r="2538" spans="1:4" hidden="1" x14ac:dyDescent="0.25">
      <c r="A2538" s="2" t="s">
        <v>59</v>
      </c>
      <c r="B2538">
        <v>35</v>
      </c>
      <c r="C2538" s="2" t="s">
        <v>161</v>
      </c>
      <c r="D2538">
        <v>35</v>
      </c>
    </row>
    <row r="2539" spans="1:4" hidden="1" x14ac:dyDescent="0.25">
      <c r="A2539" s="2" t="s">
        <v>59</v>
      </c>
      <c r="B2539">
        <v>35</v>
      </c>
      <c r="C2539" s="2" t="s">
        <v>162</v>
      </c>
      <c r="D2539">
        <v>35</v>
      </c>
    </row>
    <row r="2540" spans="1:4" hidden="1" x14ac:dyDescent="0.25">
      <c r="A2540" s="2" t="s">
        <v>59</v>
      </c>
      <c r="B2540">
        <v>35</v>
      </c>
      <c r="C2540" s="2" t="s">
        <v>163</v>
      </c>
      <c r="D2540">
        <v>35</v>
      </c>
    </row>
    <row r="2541" spans="1:4" hidden="1" x14ac:dyDescent="0.25">
      <c r="A2541" s="2" t="s">
        <v>59</v>
      </c>
      <c r="B2541">
        <v>35</v>
      </c>
      <c r="C2541" s="2" t="s">
        <v>164</v>
      </c>
      <c r="D2541">
        <v>35</v>
      </c>
    </row>
    <row r="2542" spans="1:4" hidden="1" x14ac:dyDescent="0.25">
      <c r="A2542" s="2" t="s">
        <v>59</v>
      </c>
      <c r="B2542">
        <v>35</v>
      </c>
      <c r="C2542" s="2" t="s">
        <v>165</v>
      </c>
      <c r="D2542">
        <v>35</v>
      </c>
    </row>
    <row r="2543" spans="1:4" hidden="1" x14ac:dyDescent="0.25">
      <c r="A2543" s="2" t="s">
        <v>59</v>
      </c>
      <c r="B2543">
        <v>35</v>
      </c>
      <c r="C2543" s="2" t="s">
        <v>166</v>
      </c>
      <c r="D2543">
        <v>35</v>
      </c>
    </row>
    <row r="2544" spans="1:4" hidden="1" x14ac:dyDescent="0.25">
      <c r="A2544" s="2" t="s">
        <v>59</v>
      </c>
      <c r="B2544">
        <v>35</v>
      </c>
      <c r="C2544" s="2" t="s">
        <v>167</v>
      </c>
      <c r="D2544">
        <v>35</v>
      </c>
    </row>
    <row r="2545" spans="1:4" hidden="1" x14ac:dyDescent="0.25">
      <c r="A2545" s="2" t="s">
        <v>59</v>
      </c>
      <c r="B2545">
        <v>35</v>
      </c>
      <c r="C2545" s="2" t="s">
        <v>168</v>
      </c>
      <c r="D2545">
        <v>35</v>
      </c>
    </row>
    <row r="2546" spans="1:4" hidden="1" x14ac:dyDescent="0.25">
      <c r="A2546" s="2" t="s">
        <v>59</v>
      </c>
      <c r="B2546">
        <v>35</v>
      </c>
      <c r="C2546" s="2" t="s">
        <v>169</v>
      </c>
      <c r="D2546">
        <v>35</v>
      </c>
    </row>
    <row r="2547" spans="1:4" hidden="1" x14ac:dyDescent="0.25">
      <c r="A2547" s="2" t="s">
        <v>59</v>
      </c>
      <c r="B2547">
        <v>35</v>
      </c>
      <c r="C2547" s="2" t="s">
        <v>170</v>
      </c>
      <c r="D2547">
        <v>35</v>
      </c>
    </row>
    <row r="2548" spans="1:4" hidden="1" x14ac:dyDescent="0.25">
      <c r="A2548" s="2" t="s">
        <v>59</v>
      </c>
      <c r="B2548">
        <v>35</v>
      </c>
      <c r="C2548" s="2" t="s">
        <v>171</v>
      </c>
      <c r="D2548">
        <v>35</v>
      </c>
    </row>
    <row r="2549" spans="1:4" hidden="1" x14ac:dyDescent="0.25">
      <c r="A2549" s="2" t="s">
        <v>59</v>
      </c>
      <c r="B2549">
        <v>35</v>
      </c>
      <c r="C2549" s="2" t="s">
        <v>172</v>
      </c>
      <c r="D2549">
        <v>35</v>
      </c>
    </row>
    <row r="2550" spans="1:4" hidden="1" x14ac:dyDescent="0.25">
      <c r="A2550" s="2" t="s">
        <v>59</v>
      </c>
      <c r="B2550">
        <v>35</v>
      </c>
      <c r="C2550" s="2" t="s">
        <v>173</v>
      </c>
      <c r="D2550">
        <v>35</v>
      </c>
    </row>
    <row r="2551" spans="1:4" hidden="1" x14ac:dyDescent="0.25">
      <c r="A2551" s="2" t="s">
        <v>59</v>
      </c>
      <c r="B2551">
        <v>35</v>
      </c>
      <c r="C2551" s="2" t="s">
        <v>174</v>
      </c>
      <c r="D2551">
        <v>35</v>
      </c>
    </row>
    <row r="2552" spans="1:4" hidden="1" x14ac:dyDescent="0.25">
      <c r="A2552" s="2" t="s">
        <v>59</v>
      </c>
      <c r="B2552">
        <v>35</v>
      </c>
      <c r="C2552" s="2" t="s">
        <v>175</v>
      </c>
      <c r="D2552">
        <v>35</v>
      </c>
    </row>
    <row r="2553" spans="1:4" hidden="1" x14ac:dyDescent="0.25">
      <c r="A2553" s="2" t="s">
        <v>59</v>
      </c>
      <c r="B2553">
        <v>35</v>
      </c>
      <c r="C2553" s="2" t="s">
        <v>176</v>
      </c>
      <c r="D2553">
        <v>35</v>
      </c>
    </row>
    <row r="2554" spans="1:4" hidden="1" x14ac:dyDescent="0.25">
      <c r="A2554" s="2" t="s">
        <v>59</v>
      </c>
      <c r="B2554">
        <v>35</v>
      </c>
      <c r="C2554" s="2" t="s">
        <v>177</v>
      </c>
      <c r="D2554">
        <v>35</v>
      </c>
    </row>
    <row r="2555" spans="1:4" hidden="1" x14ac:dyDescent="0.25">
      <c r="A2555" s="2" t="s">
        <v>59</v>
      </c>
      <c r="B2555">
        <v>35</v>
      </c>
      <c r="C2555" s="2" t="s">
        <v>178</v>
      </c>
      <c r="D2555">
        <v>35</v>
      </c>
    </row>
    <row r="2556" spans="1:4" hidden="1" x14ac:dyDescent="0.25">
      <c r="A2556" s="2" t="s">
        <v>59</v>
      </c>
      <c r="B2556">
        <v>35</v>
      </c>
      <c r="C2556" s="2" t="s">
        <v>179</v>
      </c>
      <c r="D2556">
        <v>35</v>
      </c>
    </row>
    <row r="2557" spans="1:4" hidden="1" x14ac:dyDescent="0.25">
      <c r="A2557" s="2" t="s">
        <v>85</v>
      </c>
      <c r="B2557">
        <v>35</v>
      </c>
      <c r="C2557" s="2" t="s">
        <v>183</v>
      </c>
      <c r="D2557">
        <v>78</v>
      </c>
    </row>
    <row r="2558" spans="1:4" hidden="1" x14ac:dyDescent="0.25">
      <c r="A2558" s="2" t="s">
        <v>85</v>
      </c>
      <c r="B2558">
        <v>35</v>
      </c>
      <c r="C2558" s="2" t="s">
        <v>184</v>
      </c>
      <c r="D2558">
        <v>77</v>
      </c>
    </row>
    <row r="2559" spans="1:4" hidden="1" x14ac:dyDescent="0.25">
      <c r="A2559" s="2" t="s">
        <v>85</v>
      </c>
      <c r="B2559">
        <v>35</v>
      </c>
      <c r="C2559" s="2" t="s">
        <v>185</v>
      </c>
      <c r="D2559">
        <v>82</v>
      </c>
    </row>
    <row r="2560" spans="1:4" hidden="1" x14ac:dyDescent="0.25">
      <c r="A2560" s="2" t="s">
        <v>85</v>
      </c>
      <c r="B2560">
        <v>35</v>
      </c>
      <c r="C2560" s="2" t="s">
        <v>186</v>
      </c>
      <c r="D2560">
        <v>105</v>
      </c>
    </row>
    <row r="2561" spans="1:4" hidden="1" x14ac:dyDescent="0.25">
      <c r="A2561" s="2" t="s">
        <v>85</v>
      </c>
      <c r="B2561">
        <v>35</v>
      </c>
      <c r="C2561" s="2" t="s">
        <v>187</v>
      </c>
      <c r="D2561">
        <v>105</v>
      </c>
    </row>
    <row r="2562" spans="1:4" hidden="1" x14ac:dyDescent="0.25">
      <c r="A2562" s="2" t="s">
        <v>85</v>
      </c>
      <c r="B2562">
        <v>35</v>
      </c>
      <c r="C2562" s="2" t="s">
        <v>188</v>
      </c>
      <c r="D2562">
        <v>105</v>
      </c>
    </row>
    <row r="2563" spans="1:4" hidden="1" x14ac:dyDescent="0.25">
      <c r="A2563" s="2" t="s">
        <v>85</v>
      </c>
      <c r="B2563">
        <v>35</v>
      </c>
      <c r="C2563" s="2" t="s">
        <v>189</v>
      </c>
      <c r="D2563">
        <v>103</v>
      </c>
    </row>
    <row r="2564" spans="1:4" hidden="1" x14ac:dyDescent="0.25">
      <c r="A2564" s="2" t="s">
        <v>85</v>
      </c>
      <c r="B2564">
        <v>35</v>
      </c>
      <c r="C2564" s="2" t="s">
        <v>190</v>
      </c>
      <c r="D2564">
        <v>102</v>
      </c>
    </row>
    <row r="2565" spans="1:4" hidden="1" x14ac:dyDescent="0.25">
      <c r="A2565" s="2" t="s">
        <v>85</v>
      </c>
      <c r="B2565">
        <v>35</v>
      </c>
      <c r="C2565" s="2" t="s">
        <v>191</v>
      </c>
      <c r="D2565">
        <v>102</v>
      </c>
    </row>
    <row r="2566" spans="1:4" hidden="1" x14ac:dyDescent="0.25">
      <c r="A2566" s="2" t="s">
        <v>85</v>
      </c>
      <c r="B2566">
        <v>35</v>
      </c>
      <c r="C2566" s="2" t="s">
        <v>116</v>
      </c>
      <c r="D2566">
        <v>98</v>
      </c>
    </row>
    <row r="2567" spans="1:4" hidden="1" x14ac:dyDescent="0.25">
      <c r="A2567" s="2" t="s">
        <v>85</v>
      </c>
      <c r="B2567">
        <v>35</v>
      </c>
      <c r="C2567" s="2" t="s">
        <v>117</v>
      </c>
      <c r="D2567">
        <v>99</v>
      </c>
    </row>
    <row r="2568" spans="1:4" hidden="1" x14ac:dyDescent="0.25">
      <c r="A2568" s="2" t="s">
        <v>85</v>
      </c>
      <c r="B2568">
        <v>35</v>
      </c>
      <c r="C2568" s="2" t="s">
        <v>118</v>
      </c>
      <c r="D2568">
        <v>98</v>
      </c>
    </row>
    <row r="2569" spans="1:4" hidden="1" x14ac:dyDescent="0.25">
      <c r="A2569" s="2" t="s">
        <v>85</v>
      </c>
      <c r="B2569">
        <v>35</v>
      </c>
      <c r="C2569" s="2" t="s">
        <v>119</v>
      </c>
      <c r="D2569">
        <v>80</v>
      </c>
    </row>
    <row r="2570" spans="1:4" hidden="1" x14ac:dyDescent="0.25">
      <c r="A2570" s="2" t="s">
        <v>85</v>
      </c>
      <c r="B2570">
        <v>35</v>
      </c>
      <c r="C2570" s="2" t="s">
        <v>120</v>
      </c>
      <c r="D2570">
        <v>77</v>
      </c>
    </row>
    <row r="2571" spans="1:4" hidden="1" x14ac:dyDescent="0.25">
      <c r="A2571" s="2" t="s">
        <v>85</v>
      </c>
      <c r="B2571">
        <v>35</v>
      </c>
      <c r="C2571" s="2" t="s">
        <v>121</v>
      </c>
      <c r="D2571">
        <v>76</v>
      </c>
    </row>
    <row r="2572" spans="1:4" hidden="1" x14ac:dyDescent="0.25">
      <c r="A2572" s="2" t="s">
        <v>85</v>
      </c>
      <c r="B2572">
        <v>35</v>
      </c>
      <c r="C2572" s="2" t="s">
        <v>122</v>
      </c>
      <c r="D2572">
        <v>75</v>
      </c>
    </row>
    <row r="2573" spans="1:4" hidden="1" x14ac:dyDescent="0.25">
      <c r="A2573" s="2" t="s">
        <v>85</v>
      </c>
      <c r="B2573">
        <v>35</v>
      </c>
      <c r="C2573" s="2" t="s">
        <v>123</v>
      </c>
      <c r="D2573">
        <v>64</v>
      </c>
    </row>
    <row r="2574" spans="1:4" hidden="1" x14ac:dyDescent="0.25">
      <c r="A2574" s="2" t="s">
        <v>85</v>
      </c>
      <c r="B2574">
        <v>35</v>
      </c>
      <c r="C2574" s="2" t="s">
        <v>124</v>
      </c>
      <c r="D2574">
        <v>67</v>
      </c>
    </row>
    <row r="2575" spans="1:4" hidden="1" x14ac:dyDescent="0.25">
      <c r="A2575" s="2" t="s">
        <v>85</v>
      </c>
      <c r="B2575">
        <v>35</v>
      </c>
      <c r="C2575" s="2" t="s">
        <v>125</v>
      </c>
      <c r="D2575">
        <v>64</v>
      </c>
    </row>
    <row r="2576" spans="1:4" hidden="1" x14ac:dyDescent="0.25">
      <c r="A2576" s="2" t="s">
        <v>85</v>
      </c>
      <c r="B2576">
        <v>35</v>
      </c>
      <c r="C2576" s="2" t="s">
        <v>126</v>
      </c>
      <c r="D2576">
        <v>64</v>
      </c>
    </row>
    <row r="2577" spans="1:4" hidden="1" x14ac:dyDescent="0.25">
      <c r="A2577" s="2" t="s">
        <v>85</v>
      </c>
      <c r="B2577">
        <v>35</v>
      </c>
      <c r="C2577" s="2" t="s">
        <v>127</v>
      </c>
      <c r="D2577">
        <v>53</v>
      </c>
    </row>
    <row r="2578" spans="1:4" hidden="1" x14ac:dyDescent="0.25">
      <c r="A2578" s="2" t="s">
        <v>85</v>
      </c>
      <c r="B2578">
        <v>35</v>
      </c>
      <c r="C2578" s="2" t="s">
        <v>128</v>
      </c>
      <c r="D2578">
        <v>25</v>
      </c>
    </row>
    <row r="2579" spans="1:4" hidden="1" x14ac:dyDescent="0.25">
      <c r="A2579" s="2" t="s">
        <v>85</v>
      </c>
      <c r="B2579">
        <v>35</v>
      </c>
      <c r="C2579" s="2" t="s">
        <v>129</v>
      </c>
      <c r="D2579">
        <v>55</v>
      </c>
    </row>
    <row r="2580" spans="1:4" hidden="1" x14ac:dyDescent="0.25">
      <c r="A2580" s="2" t="s">
        <v>85</v>
      </c>
      <c r="B2580">
        <v>35</v>
      </c>
      <c r="C2580" s="2" t="s">
        <v>130</v>
      </c>
      <c r="D2580">
        <v>36</v>
      </c>
    </row>
    <row r="2581" spans="1:4" hidden="1" x14ac:dyDescent="0.25">
      <c r="A2581" s="2" t="s">
        <v>85</v>
      </c>
      <c r="B2581">
        <v>35</v>
      </c>
      <c r="C2581" s="2" t="s">
        <v>131</v>
      </c>
      <c r="D2581">
        <v>52</v>
      </c>
    </row>
    <row r="2582" spans="1:4" hidden="1" x14ac:dyDescent="0.25">
      <c r="A2582" s="2" t="s">
        <v>85</v>
      </c>
      <c r="B2582">
        <v>35</v>
      </c>
      <c r="C2582" s="2" t="s">
        <v>132</v>
      </c>
      <c r="D2582">
        <v>30</v>
      </c>
    </row>
    <row r="2583" spans="1:4" hidden="1" x14ac:dyDescent="0.25">
      <c r="A2583" s="2" t="s">
        <v>85</v>
      </c>
      <c r="B2583">
        <v>35</v>
      </c>
      <c r="C2583" s="2" t="s">
        <v>133</v>
      </c>
      <c r="D2583">
        <v>30</v>
      </c>
    </row>
    <row r="2584" spans="1:4" hidden="1" x14ac:dyDescent="0.25">
      <c r="A2584" s="2" t="s">
        <v>85</v>
      </c>
      <c r="B2584">
        <v>35</v>
      </c>
      <c r="C2584" s="2" t="s">
        <v>134</v>
      </c>
      <c r="D2584">
        <v>29</v>
      </c>
    </row>
    <row r="2585" spans="1:4" hidden="1" x14ac:dyDescent="0.25">
      <c r="A2585" s="2" t="s">
        <v>85</v>
      </c>
      <c r="B2585">
        <v>35</v>
      </c>
      <c r="C2585" s="2" t="s">
        <v>135</v>
      </c>
      <c r="D2585">
        <v>35</v>
      </c>
    </row>
    <row r="2586" spans="1:4" hidden="1" x14ac:dyDescent="0.25">
      <c r="A2586" s="2" t="s">
        <v>85</v>
      </c>
      <c r="B2586">
        <v>35</v>
      </c>
      <c r="C2586" s="2" t="s">
        <v>136</v>
      </c>
      <c r="D2586">
        <v>35</v>
      </c>
    </row>
    <row r="2587" spans="1:4" hidden="1" x14ac:dyDescent="0.25">
      <c r="A2587" s="2" t="s">
        <v>85</v>
      </c>
      <c r="B2587">
        <v>35</v>
      </c>
      <c r="C2587" s="2" t="s">
        <v>137</v>
      </c>
      <c r="D2587">
        <v>35</v>
      </c>
    </row>
    <row r="2588" spans="1:4" hidden="1" x14ac:dyDescent="0.25">
      <c r="A2588" s="2" t="s">
        <v>85</v>
      </c>
      <c r="B2588">
        <v>35</v>
      </c>
      <c r="C2588" s="2" t="s">
        <v>138</v>
      </c>
      <c r="D2588">
        <v>35</v>
      </c>
    </row>
    <row r="2589" spans="1:4" hidden="1" x14ac:dyDescent="0.25">
      <c r="A2589" s="2" t="s">
        <v>85</v>
      </c>
      <c r="B2589">
        <v>35</v>
      </c>
      <c r="C2589" s="2" t="s">
        <v>139</v>
      </c>
      <c r="D2589">
        <v>35</v>
      </c>
    </row>
    <row r="2590" spans="1:4" hidden="1" x14ac:dyDescent="0.25">
      <c r="A2590" s="2" t="s">
        <v>85</v>
      </c>
      <c r="B2590">
        <v>35</v>
      </c>
      <c r="C2590" s="2" t="s">
        <v>140</v>
      </c>
      <c r="D2590">
        <v>35</v>
      </c>
    </row>
    <row r="2591" spans="1:4" hidden="1" x14ac:dyDescent="0.25">
      <c r="A2591" s="2" t="s">
        <v>85</v>
      </c>
      <c r="B2591">
        <v>35</v>
      </c>
      <c r="C2591" s="2" t="s">
        <v>141</v>
      </c>
      <c r="D2591">
        <v>35</v>
      </c>
    </row>
    <row r="2592" spans="1:4" hidden="1" x14ac:dyDescent="0.25">
      <c r="A2592" s="2" t="s">
        <v>85</v>
      </c>
      <c r="B2592">
        <v>35</v>
      </c>
      <c r="C2592" s="2" t="s">
        <v>142</v>
      </c>
      <c r="D2592">
        <v>35</v>
      </c>
    </row>
    <row r="2593" spans="1:4" hidden="1" x14ac:dyDescent="0.25">
      <c r="A2593" s="2" t="s">
        <v>85</v>
      </c>
      <c r="B2593">
        <v>35</v>
      </c>
      <c r="C2593" s="2" t="s">
        <v>143</v>
      </c>
      <c r="D2593">
        <v>35</v>
      </c>
    </row>
    <row r="2594" spans="1:4" hidden="1" x14ac:dyDescent="0.25">
      <c r="A2594" s="2" t="s">
        <v>85</v>
      </c>
      <c r="B2594">
        <v>35</v>
      </c>
      <c r="C2594" s="2" t="s">
        <v>144</v>
      </c>
      <c r="D2594">
        <v>35</v>
      </c>
    </row>
    <row r="2595" spans="1:4" hidden="1" x14ac:dyDescent="0.25">
      <c r="A2595" s="2" t="s">
        <v>85</v>
      </c>
      <c r="B2595">
        <v>35</v>
      </c>
      <c r="C2595" s="2" t="s">
        <v>145</v>
      </c>
      <c r="D2595">
        <v>35</v>
      </c>
    </row>
    <row r="2596" spans="1:4" hidden="1" x14ac:dyDescent="0.25">
      <c r="A2596" s="2" t="s">
        <v>85</v>
      </c>
      <c r="B2596">
        <v>35</v>
      </c>
      <c r="C2596" s="2" t="s">
        <v>146</v>
      </c>
      <c r="D2596">
        <v>35</v>
      </c>
    </row>
    <row r="2597" spans="1:4" hidden="1" x14ac:dyDescent="0.25">
      <c r="A2597" s="2" t="s">
        <v>85</v>
      </c>
      <c r="B2597">
        <v>35</v>
      </c>
      <c r="C2597" s="2" t="s">
        <v>147</v>
      </c>
      <c r="D2597">
        <v>35</v>
      </c>
    </row>
    <row r="2598" spans="1:4" hidden="1" x14ac:dyDescent="0.25">
      <c r="A2598" s="2" t="s">
        <v>85</v>
      </c>
      <c r="B2598">
        <v>35</v>
      </c>
      <c r="C2598" s="2" t="s">
        <v>148</v>
      </c>
      <c r="D2598">
        <v>35</v>
      </c>
    </row>
    <row r="2599" spans="1:4" hidden="1" x14ac:dyDescent="0.25">
      <c r="A2599" s="2" t="s">
        <v>85</v>
      </c>
      <c r="B2599">
        <v>35</v>
      </c>
      <c r="C2599" s="2" t="s">
        <v>149</v>
      </c>
      <c r="D2599">
        <v>35</v>
      </c>
    </row>
    <row r="2600" spans="1:4" hidden="1" x14ac:dyDescent="0.25">
      <c r="A2600" s="2" t="s">
        <v>85</v>
      </c>
      <c r="B2600">
        <v>35</v>
      </c>
      <c r="C2600" s="2" t="s">
        <v>150</v>
      </c>
      <c r="D2600">
        <v>35</v>
      </c>
    </row>
    <row r="2601" spans="1:4" hidden="1" x14ac:dyDescent="0.25">
      <c r="A2601" s="2" t="s">
        <v>85</v>
      </c>
      <c r="B2601">
        <v>35</v>
      </c>
      <c r="C2601" s="2" t="s">
        <v>151</v>
      </c>
      <c r="D2601">
        <v>35</v>
      </c>
    </row>
    <row r="2602" spans="1:4" hidden="1" x14ac:dyDescent="0.25">
      <c r="A2602" s="2" t="s">
        <v>85</v>
      </c>
      <c r="B2602">
        <v>35</v>
      </c>
      <c r="C2602" s="2" t="s">
        <v>152</v>
      </c>
      <c r="D2602">
        <v>35</v>
      </c>
    </row>
    <row r="2603" spans="1:4" hidden="1" x14ac:dyDescent="0.25">
      <c r="A2603" s="2" t="s">
        <v>85</v>
      </c>
      <c r="B2603">
        <v>35</v>
      </c>
      <c r="C2603" s="2" t="s">
        <v>153</v>
      </c>
      <c r="D2603">
        <v>35</v>
      </c>
    </row>
    <row r="2604" spans="1:4" hidden="1" x14ac:dyDescent="0.25">
      <c r="A2604" s="2" t="s">
        <v>85</v>
      </c>
      <c r="B2604">
        <v>35</v>
      </c>
      <c r="C2604" s="2" t="s">
        <v>154</v>
      </c>
      <c r="D2604">
        <v>35</v>
      </c>
    </row>
    <row r="2605" spans="1:4" hidden="1" x14ac:dyDescent="0.25">
      <c r="A2605" s="2" t="s">
        <v>85</v>
      </c>
      <c r="B2605">
        <v>35</v>
      </c>
      <c r="C2605" s="2" t="s">
        <v>155</v>
      </c>
      <c r="D2605">
        <v>35</v>
      </c>
    </row>
    <row r="2606" spans="1:4" hidden="1" x14ac:dyDescent="0.25">
      <c r="A2606" s="2" t="s">
        <v>85</v>
      </c>
      <c r="B2606">
        <v>35</v>
      </c>
      <c r="C2606" s="2" t="s">
        <v>156</v>
      </c>
      <c r="D2606">
        <v>35</v>
      </c>
    </row>
    <row r="2607" spans="1:4" hidden="1" x14ac:dyDescent="0.25">
      <c r="A2607" s="2" t="s">
        <v>85</v>
      </c>
      <c r="B2607">
        <v>35</v>
      </c>
      <c r="C2607" s="2" t="s">
        <v>157</v>
      </c>
      <c r="D2607">
        <v>35</v>
      </c>
    </row>
    <row r="2608" spans="1:4" hidden="1" x14ac:dyDescent="0.25">
      <c r="A2608" s="2" t="s">
        <v>85</v>
      </c>
      <c r="B2608">
        <v>35</v>
      </c>
      <c r="C2608" s="2" t="s">
        <v>158</v>
      </c>
      <c r="D2608">
        <v>35</v>
      </c>
    </row>
    <row r="2609" spans="1:4" hidden="1" x14ac:dyDescent="0.25">
      <c r="A2609" s="2" t="s">
        <v>85</v>
      </c>
      <c r="B2609">
        <v>35</v>
      </c>
      <c r="C2609" s="2" t="s">
        <v>159</v>
      </c>
      <c r="D2609">
        <v>35</v>
      </c>
    </row>
    <row r="2610" spans="1:4" hidden="1" x14ac:dyDescent="0.25">
      <c r="A2610" s="2" t="s">
        <v>85</v>
      </c>
      <c r="B2610">
        <v>35</v>
      </c>
      <c r="C2610" s="2" t="s">
        <v>160</v>
      </c>
      <c r="D2610">
        <v>35</v>
      </c>
    </row>
    <row r="2611" spans="1:4" hidden="1" x14ac:dyDescent="0.25">
      <c r="A2611" s="2" t="s">
        <v>85</v>
      </c>
      <c r="B2611">
        <v>35</v>
      </c>
      <c r="C2611" s="2" t="s">
        <v>161</v>
      </c>
      <c r="D2611">
        <v>35</v>
      </c>
    </row>
    <row r="2612" spans="1:4" hidden="1" x14ac:dyDescent="0.25">
      <c r="A2612" s="2" t="s">
        <v>85</v>
      </c>
      <c r="B2612">
        <v>35</v>
      </c>
      <c r="C2612" s="2" t="s">
        <v>162</v>
      </c>
      <c r="D2612">
        <v>35</v>
      </c>
    </row>
    <row r="2613" spans="1:4" hidden="1" x14ac:dyDescent="0.25">
      <c r="A2613" s="2" t="s">
        <v>85</v>
      </c>
      <c r="B2613">
        <v>35</v>
      </c>
      <c r="C2613" s="2" t="s">
        <v>163</v>
      </c>
      <c r="D2613">
        <v>35</v>
      </c>
    </row>
    <row r="2614" spans="1:4" hidden="1" x14ac:dyDescent="0.25">
      <c r="A2614" s="2" t="s">
        <v>85</v>
      </c>
      <c r="B2614">
        <v>35</v>
      </c>
      <c r="C2614" s="2" t="s">
        <v>164</v>
      </c>
      <c r="D2614">
        <v>35</v>
      </c>
    </row>
    <row r="2615" spans="1:4" hidden="1" x14ac:dyDescent="0.25">
      <c r="A2615" s="2" t="s">
        <v>85</v>
      </c>
      <c r="B2615">
        <v>35</v>
      </c>
      <c r="C2615" s="2" t="s">
        <v>165</v>
      </c>
      <c r="D2615">
        <v>35</v>
      </c>
    </row>
    <row r="2616" spans="1:4" hidden="1" x14ac:dyDescent="0.25">
      <c r="A2616" s="2" t="s">
        <v>85</v>
      </c>
      <c r="B2616">
        <v>35</v>
      </c>
      <c r="C2616" s="2" t="s">
        <v>166</v>
      </c>
      <c r="D2616">
        <v>35</v>
      </c>
    </row>
    <row r="2617" spans="1:4" hidden="1" x14ac:dyDescent="0.25">
      <c r="A2617" s="2" t="s">
        <v>85</v>
      </c>
      <c r="B2617">
        <v>35</v>
      </c>
      <c r="C2617" s="2" t="s">
        <v>167</v>
      </c>
      <c r="D2617">
        <v>35</v>
      </c>
    </row>
    <row r="2618" spans="1:4" hidden="1" x14ac:dyDescent="0.25">
      <c r="A2618" s="2" t="s">
        <v>85</v>
      </c>
      <c r="B2618">
        <v>35</v>
      </c>
      <c r="C2618" s="2" t="s">
        <v>168</v>
      </c>
      <c r="D2618">
        <v>35</v>
      </c>
    </row>
    <row r="2619" spans="1:4" hidden="1" x14ac:dyDescent="0.25">
      <c r="A2619" s="2" t="s">
        <v>85</v>
      </c>
      <c r="B2619">
        <v>35</v>
      </c>
      <c r="C2619" s="2" t="s">
        <v>169</v>
      </c>
      <c r="D2619">
        <v>35</v>
      </c>
    </row>
    <row r="2620" spans="1:4" hidden="1" x14ac:dyDescent="0.25">
      <c r="A2620" s="2" t="s">
        <v>85</v>
      </c>
      <c r="B2620">
        <v>35</v>
      </c>
      <c r="C2620" s="2" t="s">
        <v>170</v>
      </c>
      <c r="D2620">
        <v>35</v>
      </c>
    </row>
    <row r="2621" spans="1:4" hidden="1" x14ac:dyDescent="0.25">
      <c r="A2621" s="2" t="s">
        <v>85</v>
      </c>
      <c r="B2621">
        <v>35</v>
      </c>
      <c r="C2621" s="2" t="s">
        <v>171</v>
      </c>
      <c r="D2621">
        <v>35</v>
      </c>
    </row>
    <row r="2622" spans="1:4" hidden="1" x14ac:dyDescent="0.25">
      <c r="A2622" s="2" t="s">
        <v>85</v>
      </c>
      <c r="B2622">
        <v>35</v>
      </c>
      <c r="C2622" s="2" t="s">
        <v>172</v>
      </c>
      <c r="D2622">
        <v>35</v>
      </c>
    </row>
    <row r="2623" spans="1:4" hidden="1" x14ac:dyDescent="0.25">
      <c r="A2623" s="2" t="s">
        <v>85</v>
      </c>
      <c r="B2623">
        <v>35</v>
      </c>
      <c r="C2623" s="2" t="s">
        <v>173</v>
      </c>
      <c r="D2623">
        <v>35</v>
      </c>
    </row>
    <row r="2624" spans="1:4" hidden="1" x14ac:dyDescent="0.25">
      <c r="A2624" s="2" t="s">
        <v>85</v>
      </c>
      <c r="B2624">
        <v>35</v>
      </c>
      <c r="C2624" s="2" t="s">
        <v>174</v>
      </c>
      <c r="D2624">
        <v>35</v>
      </c>
    </row>
    <row r="2625" spans="1:4" hidden="1" x14ac:dyDescent="0.25">
      <c r="A2625" s="2" t="s">
        <v>85</v>
      </c>
      <c r="B2625">
        <v>35</v>
      </c>
      <c r="C2625" s="2" t="s">
        <v>175</v>
      </c>
      <c r="D2625">
        <v>35</v>
      </c>
    </row>
    <row r="2626" spans="1:4" hidden="1" x14ac:dyDescent="0.25">
      <c r="A2626" s="2" t="s">
        <v>85</v>
      </c>
      <c r="B2626">
        <v>35</v>
      </c>
      <c r="C2626" s="2" t="s">
        <v>176</v>
      </c>
      <c r="D2626">
        <v>35</v>
      </c>
    </row>
    <row r="2627" spans="1:4" hidden="1" x14ac:dyDescent="0.25">
      <c r="A2627" s="2" t="s">
        <v>85</v>
      </c>
      <c r="B2627">
        <v>35</v>
      </c>
      <c r="C2627" s="2" t="s">
        <v>177</v>
      </c>
      <c r="D2627">
        <v>35</v>
      </c>
    </row>
    <row r="2628" spans="1:4" hidden="1" x14ac:dyDescent="0.25">
      <c r="A2628" s="2" t="s">
        <v>85</v>
      </c>
      <c r="B2628">
        <v>35</v>
      </c>
      <c r="C2628" s="2" t="s">
        <v>178</v>
      </c>
      <c r="D2628">
        <v>35</v>
      </c>
    </row>
    <row r="2629" spans="1:4" hidden="1" x14ac:dyDescent="0.25">
      <c r="A2629" s="2" t="s">
        <v>85</v>
      </c>
      <c r="B2629">
        <v>35</v>
      </c>
      <c r="C2629" s="2" t="s">
        <v>179</v>
      </c>
      <c r="D2629">
        <v>35</v>
      </c>
    </row>
    <row r="2630" spans="1:4" hidden="1" x14ac:dyDescent="0.25">
      <c r="A2630" s="2" t="s">
        <v>92</v>
      </c>
      <c r="B2630">
        <v>35</v>
      </c>
      <c r="C2630" s="2" t="s">
        <v>183</v>
      </c>
      <c r="D2630">
        <v>65</v>
      </c>
    </row>
    <row r="2631" spans="1:4" hidden="1" x14ac:dyDescent="0.25">
      <c r="A2631" s="2" t="s">
        <v>92</v>
      </c>
      <c r="B2631">
        <v>35</v>
      </c>
      <c r="C2631" s="2" t="s">
        <v>184</v>
      </c>
      <c r="D2631">
        <v>62</v>
      </c>
    </row>
    <row r="2632" spans="1:4" hidden="1" x14ac:dyDescent="0.25">
      <c r="A2632" s="2" t="s">
        <v>92</v>
      </c>
      <c r="B2632">
        <v>35</v>
      </c>
      <c r="C2632" s="2" t="s">
        <v>185</v>
      </c>
      <c r="D2632">
        <v>75</v>
      </c>
    </row>
    <row r="2633" spans="1:4" hidden="1" x14ac:dyDescent="0.25">
      <c r="A2633" s="2" t="s">
        <v>92</v>
      </c>
      <c r="B2633">
        <v>35</v>
      </c>
      <c r="C2633" s="2" t="s">
        <v>186</v>
      </c>
      <c r="D2633">
        <v>77</v>
      </c>
    </row>
    <row r="2634" spans="1:4" hidden="1" x14ac:dyDescent="0.25">
      <c r="A2634" s="2" t="s">
        <v>92</v>
      </c>
      <c r="B2634">
        <v>35</v>
      </c>
      <c r="C2634" s="2" t="s">
        <v>187</v>
      </c>
      <c r="D2634">
        <v>79</v>
      </c>
    </row>
    <row r="2635" spans="1:4" hidden="1" x14ac:dyDescent="0.25">
      <c r="A2635" s="2" t="s">
        <v>92</v>
      </c>
      <c r="B2635">
        <v>35</v>
      </c>
      <c r="C2635" s="2" t="s">
        <v>188</v>
      </c>
      <c r="D2635">
        <v>77</v>
      </c>
    </row>
    <row r="2636" spans="1:4" hidden="1" x14ac:dyDescent="0.25">
      <c r="A2636" s="2" t="s">
        <v>92</v>
      </c>
      <c r="B2636">
        <v>35</v>
      </c>
      <c r="C2636" s="2" t="s">
        <v>189</v>
      </c>
      <c r="D2636">
        <v>67</v>
      </c>
    </row>
    <row r="2637" spans="1:4" hidden="1" x14ac:dyDescent="0.25">
      <c r="A2637" s="2" t="s">
        <v>92</v>
      </c>
      <c r="B2637">
        <v>35</v>
      </c>
      <c r="C2637" s="2" t="s">
        <v>190</v>
      </c>
      <c r="D2637">
        <v>61</v>
      </c>
    </row>
    <row r="2638" spans="1:4" hidden="1" x14ac:dyDescent="0.25">
      <c r="A2638" s="2" t="s">
        <v>92</v>
      </c>
      <c r="B2638">
        <v>35</v>
      </c>
      <c r="C2638" s="2" t="s">
        <v>191</v>
      </c>
      <c r="D2638">
        <v>60</v>
      </c>
    </row>
    <row r="2639" spans="1:4" hidden="1" x14ac:dyDescent="0.25">
      <c r="A2639" s="2" t="s">
        <v>92</v>
      </c>
      <c r="B2639">
        <v>35</v>
      </c>
      <c r="C2639" s="2" t="s">
        <v>116</v>
      </c>
      <c r="D2639">
        <v>50</v>
      </c>
    </row>
    <row r="2640" spans="1:4" hidden="1" x14ac:dyDescent="0.25">
      <c r="A2640" s="2" t="s">
        <v>92</v>
      </c>
      <c r="B2640">
        <v>35</v>
      </c>
      <c r="C2640" s="2" t="s">
        <v>117</v>
      </c>
      <c r="D2640">
        <v>49</v>
      </c>
    </row>
    <row r="2641" spans="1:4" hidden="1" x14ac:dyDescent="0.25">
      <c r="A2641" s="2" t="s">
        <v>92</v>
      </c>
      <c r="B2641">
        <v>35</v>
      </c>
      <c r="C2641" s="2" t="s">
        <v>118</v>
      </c>
      <c r="D2641">
        <v>48</v>
      </c>
    </row>
    <row r="2642" spans="1:4" hidden="1" x14ac:dyDescent="0.25">
      <c r="A2642" s="2" t="s">
        <v>92</v>
      </c>
      <c r="B2642">
        <v>35</v>
      </c>
      <c r="C2642" s="2" t="s">
        <v>119</v>
      </c>
      <c r="D2642">
        <v>68</v>
      </c>
    </row>
    <row r="2643" spans="1:4" hidden="1" x14ac:dyDescent="0.25">
      <c r="A2643" s="2" t="s">
        <v>92</v>
      </c>
      <c r="B2643">
        <v>35</v>
      </c>
      <c r="C2643" s="2" t="s">
        <v>120</v>
      </c>
      <c r="D2643">
        <v>52</v>
      </c>
    </row>
    <row r="2644" spans="1:4" hidden="1" x14ac:dyDescent="0.25">
      <c r="A2644" s="2" t="s">
        <v>92</v>
      </c>
      <c r="B2644">
        <v>35</v>
      </c>
      <c r="C2644" s="2" t="s">
        <v>121</v>
      </c>
      <c r="D2644">
        <v>51</v>
      </c>
    </row>
    <row r="2645" spans="1:4" hidden="1" x14ac:dyDescent="0.25">
      <c r="A2645" s="2" t="s">
        <v>92</v>
      </c>
      <c r="B2645">
        <v>35</v>
      </c>
      <c r="C2645" s="2" t="s">
        <v>122</v>
      </c>
      <c r="D2645">
        <v>59</v>
      </c>
    </row>
    <row r="2646" spans="1:4" hidden="1" x14ac:dyDescent="0.25">
      <c r="A2646" s="2" t="s">
        <v>92</v>
      </c>
      <c r="B2646">
        <v>35</v>
      </c>
      <c r="C2646" s="2" t="s">
        <v>123</v>
      </c>
      <c r="D2646">
        <v>64</v>
      </c>
    </row>
    <row r="2647" spans="1:4" hidden="1" x14ac:dyDescent="0.25">
      <c r="A2647" s="2" t="s">
        <v>92</v>
      </c>
      <c r="B2647">
        <v>35</v>
      </c>
      <c r="C2647" s="2" t="s">
        <v>124</v>
      </c>
      <c r="D2647">
        <v>67</v>
      </c>
    </row>
    <row r="2648" spans="1:4" hidden="1" x14ac:dyDescent="0.25">
      <c r="A2648" s="2" t="s">
        <v>92</v>
      </c>
      <c r="B2648">
        <v>35</v>
      </c>
      <c r="C2648" s="2" t="s">
        <v>125</v>
      </c>
      <c r="D2648">
        <v>64</v>
      </c>
    </row>
    <row r="2649" spans="1:4" hidden="1" x14ac:dyDescent="0.25">
      <c r="A2649" s="2" t="s">
        <v>92</v>
      </c>
      <c r="B2649">
        <v>35</v>
      </c>
      <c r="C2649" s="2" t="s">
        <v>126</v>
      </c>
      <c r="D2649">
        <v>70</v>
      </c>
    </row>
    <row r="2650" spans="1:4" hidden="1" x14ac:dyDescent="0.25">
      <c r="A2650" s="2" t="s">
        <v>92</v>
      </c>
      <c r="B2650">
        <v>35</v>
      </c>
      <c r="C2650" s="2" t="s">
        <v>127</v>
      </c>
      <c r="D2650">
        <v>67</v>
      </c>
    </row>
    <row r="2651" spans="1:4" hidden="1" x14ac:dyDescent="0.25">
      <c r="A2651" s="2" t="s">
        <v>92</v>
      </c>
      <c r="B2651">
        <v>35</v>
      </c>
      <c r="C2651" s="2" t="s">
        <v>128</v>
      </c>
      <c r="D2651">
        <v>40</v>
      </c>
    </row>
    <row r="2652" spans="1:4" hidden="1" x14ac:dyDescent="0.25">
      <c r="A2652" s="2" t="s">
        <v>92</v>
      </c>
      <c r="B2652">
        <v>35</v>
      </c>
      <c r="C2652" s="2" t="s">
        <v>129</v>
      </c>
      <c r="D2652">
        <v>32</v>
      </c>
    </row>
    <row r="2653" spans="1:4" hidden="1" x14ac:dyDescent="0.25">
      <c r="A2653" s="2" t="s">
        <v>92</v>
      </c>
      <c r="B2653">
        <v>35</v>
      </c>
      <c r="C2653" s="2" t="s">
        <v>130</v>
      </c>
      <c r="D2653">
        <v>20</v>
      </c>
    </row>
    <row r="2654" spans="1:4" hidden="1" x14ac:dyDescent="0.25">
      <c r="A2654" s="2" t="s">
        <v>92</v>
      </c>
      <c r="B2654">
        <v>35</v>
      </c>
      <c r="C2654" s="2" t="s">
        <v>131</v>
      </c>
      <c r="D2654">
        <v>25</v>
      </c>
    </row>
    <row r="2655" spans="1:4" hidden="1" x14ac:dyDescent="0.25">
      <c r="A2655" s="2" t="s">
        <v>92</v>
      </c>
      <c r="B2655">
        <v>35</v>
      </c>
      <c r="C2655" s="2" t="s">
        <v>132</v>
      </c>
      <c r="D2655">
        <v>22</v>
      </c>
    </row>
    <row r="2656" spans="1:4" hidden="1" x14ac:dyDescent="0.25">
      <c r="A2656" s="2" t="s">
        <v>92</v>
      </c>
      <c r="B2656">
        <v>35</v>
      </c>
      <c r="C2656" s="2" t="s">
        <v>133</v>
      </c>
      <c r="D2656">
        <v>22</v>
      </c>
    </row>
    <row r="2657" spans="1:4" hidden="1" x14ac:dyDescent="0.25">
      <c r="A2657" s="2" t="s">
        <v>92</v>
      </c>
      <c r="B2657">
        <v>35</v>
      </c>
      <c r="C2657" s="2" t="s">
        <v>134</v>
      </c>
      <c r="D2657">
        <v>25</v>
      </c>
    </row>
    <row r="2658" spans="1:4" hidden="1" x14ac:dyDescent="0.25">
      <c r="A2658" s="2" t="s">
        <v>92</v>
      </c>
      <c r="B2658">
        <v>35</v>
      </c>
      <c r="C2658" s="2" t="s">
        <v>135</v>
      </c>
      <c r="D2658">
        <v>35</v>
      </c>
    </row>
    <row r="2659" spans="1:4" hidden="1" x14ac:dyDescent="0.25">
      <c r="A2659" s="2" t="s">
        <v>92</v>
      </c>
      <c r="B2659">
        <v>35</v>
      </c>
      <c r="C2659" s="2" t="s">
        <v>136</v>
      </c>
      <c r="D2659">
        <v>35</v>
      </c>
    </row>
    <row r="2660" spans="1:4" hidden="1" x14ac:dyDescent="0.25">
      <c r="A2660" s="2" t="s">
        <v>92</v>
      </c>
      <c r="B2660">
        <v>35</v>
      </c>
      <c r="C2660" s="2" t="s">
        <v>137</v>
      </c>
      <c r="D2660">
        <v>35</v>
      </c>
    </row>
    <row r="2661" spans="1:4" hidden="1" x14ac:dyDescent="0.25">
      <c r="A2661" s="2" t="s">
        <v>92</v>
      </c>
      <c r="B2661">
        <v>35</v>
      </c>
      <c r="C2661" s="2" t="s">
        <v>138</v>
      </c>
      <c r="D2661">
        <v>35</v>
      </c>
    </row>
    <row r="2662" spans="1:4" hidden="1" x14ac:dyDescent="0.25">
      <c r="A2662" s="2" t="s">
        <v>92</v>
      </c>
      <c r="B2662">
        <v>35</v>
      </c>
      <c r="C2662" s="2" t="s">
        <v>139</v>
      </c>
      <c r="D2662">
        <v>35</v>
      </c>
    </row>
    <row r="2663" spans="1:4" hidden="1" x14ac:dyDescent="0.25">
      <c r="A2663" s="2" t="s">
        <v>92</v>
      </c>
      <c r="B2663">
        <v>35</v>
      </c>
      <c r="C2663" s="2" t="s">
        <v>140</v>
      </c>
      <c r="D2663">
        <v>35</v>
      </c>
    </row>
    <row r="2664" spans="1:4" hidden="1" x14ac:dyDescent="0.25">
      <c r="A2664" s="2" t="s">
        <v>92</v>
      </c>
      <c r="B2664">
        <v>35</v>
      </c>
      <c r="C2664" s="2" t="s">
        <v>141</v>
      </c>
      <c r="D2664">
        <v>35</v>
      </c>
    </row>
    <row r="2665" spans="1:4" hidden="1" x14ac:dyDescent="0.25">
      <c r="A2665" s="2" t="s">
        <v>92</v>
      </c>
      <c r="B2665">
        <v>35</v>
      </c>
      <c r="C2665" s="2" t="s">
        <v>142</v>
      </c>
      <c r="D2665">
        <v>35</v>
      </c>
    </row>
    <row r="2666" spans="1:4" hidden="1" x14ac:dyDescent="0.25">
      <c r="A2666" s="2" t="s">
        <v>92</v>
      </c>
      <c r="B2666">
        <v>35</v>
      </c>
      <c r="C2666" s="2" t="s">
        <v>143</v>
      </c>
      <c r="D2666">
        <v>35</v>
      </c>
    </row>
    <row r="2667" spans="1:4" hidden="1" x14ac:dyDescent="0.25">
      <c r="A2667" s="2" t="s">
        <v>92</v>
      </c>
      <c r="B2667">
        <v>35</v>
      </c>
      <c r="C2667" s="2" t="s">
        <v>144</v>
      </c>
      <c r="D2667">
        <v>35</v>
      </c>
    </row>
    <row r="2668" spans="1:4" hidden="1" x14ac:dyDescent="0.25">
      <c r="A2668" s="2" t="s">
        <v>92</v>
      </c>
      <c r="B2668">
        <v>35</v>
      </c>
      <c r="C2668" s="2" t="s">
        <v>145</v>
      </c>
      <c r="D2668">
        <v>35</v>
      </c>
    </row>
    <row r="2669" spans="1:4" hidden="1" x14ac:dyDescent="0.25">
      <c r="A2669" s="2" t="s">
        <v>92</v>
      </c>
      <c r="B2669">
        <v>35</v>
      </c>
      <c r="C2669" s="2" t="s">
        <v>146</v>
      </c>
      <c r="D2669">
        <v>35</v>
      </c>
    </row>
    <row r="2670" spans="1:4" hidden="1" x14ac:dyDescent="0.25">
      <c r="A2670" s="2" t="s">
        <v>92</v>
      </c>
      <c r="B2670">
        <v>35</v>
      </c>
      <c r="C2670" s="2" t="s">
        <v>147</v>
      </c>
      <c r="D2670">
        <v>35</v>
      </c>
    </row>
    <row r="2671" spans="1:4" hidden="1" x14ac:dyDescent="0.25">
      <c r="A2671" s="2" t="s">
        <v>92</v>
      </c>
      <c r="B2671">
        <v>35</v>
      </c>
      <c r="C2671" s="2" t="s">
        <v>148</v>
      </c>
      <c r="D2671">
        <v>35</v>
      </c>
    </row>
    <row r="2672" spans="1:4" hidden="1" x14ac:dyDescent="0.25">
      <c r="A2672" s="2" t="s">
        <v>92</v>
      </c>
      <c r="B2672">
        <v>35</v>
      </c>
      <c r="C2672" s="2" t="s">
        <v>149</v>
      </c>
      <c r="D2672">
        <v>35</v>
      </c>
    </row>
    <row r="2673" spans="1:4" hidden="1" x14ac:dyDescent="0.25">
      <c r="A2673" s="2" t="s">
        <v>92</v>
      </c>
      <c r="B2673">
        <v>35</v>
      </c>
      <c r="C2673" s="2" t="s">
        <v>150</v>
      </c>
      <c r="D2673">
        <v>35</v>
      </c>
    </row>
    <row r="2674" spans="1:4" hidden="1" x14ac:dyDescent="0.25">
      <c r="A2674" s="2" t="s">
        <v>92</v>
      </c>
      <c r="B2674">
        <v>35</v>
      </c>
      <c r="C2674" s="2" t="s">
        <v>151</v>
      </c>
      <c r="D2674">
        <v>35</v>
      </c>
    </row>
    <row r="2675" spans="1:4" hidden="1" x14ac:dyDescent="0.25">
      <c r="A2675" s="2" t="s">
        <v>92</v>
      </c>
      <c r="B2675">
        <v>35</v>
      </c>
      <c r="C2675" s="2" t="s">
        <v>152</v>
      </c>
      <c r="D2675">
        <v>35</v>
      </c>
    </row>
    <row r="2676" spans="1:4" hidden="1" x14ac:dyDescent="0.25">
      <c r="A2676" s="2" t="s">
        <v>92</v>
      </c>
      <c r="B2676">
        <v>35</v>
      </c>
      <c r="C2676" s="2" t="s">
        <v>153</v>
      </c>
      <c r="D2676">
        <v>35</v>
      </c>
    </row>
    <row r="2677" spans="1:4" hidden="1" x14ac:dyDescent="0.25">
      <c r="A2677" s="2" t="s">
        <v>92</v>
      </c>
      <c r="B2677">
        <v>35</v>
      </c>
      <c r="C2677" s="2" t="s">
        <v>154</v>
      </c>
      <c r="D2677">
        <v>35</v>
      </c>
    </row>
    <row r="2678" spans="1:4" hidden="1" x14ac:dyDescent="0.25">
      <c r="A2678" s="2" t="s">
        <v>92</v>
      </c>
      <c r="B2678">
        <v>35</v>
      </c>
      <c r="C2678" s="2" t="s">
        <v>155</v>
      </c>
      <c r="D2678">
        <v>35</v>
      </c>
    </row>
    <row r="2679" spans="1:4" hidden="1" x14ac:dyDescent="0.25">
      <c r="A2679" s="2" t="s">
        <v>92</v>
      </c>
      <c r="B2679">
        <v>35</v>
      </c>
      <c r="C2679" s="2" t="s">
        <v>156</v>
      </c>
      <c r="D2679">
        <v>35</v>
      </c>
    </row>
    <row r="2680" spans="1:4" hidden="1" x14ac:dyDescent="0.25">
      <c r="A2680" s="2" t="s">
        <v>92</v>
      </c>
      <c r="B2680">
        <v>35</v>
      </c>
      <c r="C2680" s="2" t="s">
        <v>157</v>
      </c>
      <c r="D2680">
        <v>35</v>
      </c>
    </row>
    <row r="2681" spans="1:4" hidden="1" x14ac:dyDescent="0.25">
      <c r="A2681" s="2" t="s">
        <v>92</v>
      </c>
      <c r="B2681">
        <v>35</v>
      </c>
      <c r="C2681" s="2" t="s">
        <v>158</v>
      </c>
      <c r="D2681">
        <v>35</v>
      </c>
    </row>
    <row r="2682" spans="1:4" hidden="1" x14ac:dyDescent="0.25">
      <c r="A2682" s="2" t="s">
        <v>92</v>
      </c>
      <c r="B2682">
        <v>35</v>
      </c>
      <c r="C2682" s="2" t="s">
        <v>159</v>
      </c>
      <c r="D2682">
        <v>35</v>
      </c>
    </row>
    <row r="2683" spans="1:4" hidden="1" x14ac:dyDescent="0.25">
      <c r="A2683" s="2" t="s">
        <v>92</v>
      </c>
      <c r="B2683">
        <v>35</v>
      </c>
      <c r="C2683" s="2" t="s">
        <v>160</v>
      </c>
      <c r="D2683">
        <v>35</v>
      </c>
    </row>
    <row r="2684" spans="1:4" hidden="1" x14ac:dyDescent="0.25">
      <c r="A2684" s="2" t="s">
        <v>92</v>
      </c>
      <c r="B2684">
        <v>35</v>
      </c>
      <c r="C2684" s="2" t="s">
        <v>161</v>
      </c>
      <c r="D2684">
        <v>35</v>
      </c>
    </row>
    <row r="2685" spans="1:4" hidden="1" x14ac:dyDescent="0.25">
      <c r="A2685" s="2" t="s">
        <v>92</v>
      </c>
      <c r="B2685">
        <v>35</v>
      </c>
      <c r="C2685" s="2" t="s">
        <v>162</v>
      </c>
      <c r="D2685">
        <v>35</v>
      </c>
    </row>
    <row r="2686" spans="1:4" hidden="1" x14ac:dyDescent="0.25">
      <c r="A2686" s="2" t="s">
        <v>92</v>
      </c>
      <c r="B2686">
        <v>35</v>
      </c>
      <c r="C2686" s="2" t="s">
        <v>163</v>
      </c>
      <c r="D2686">
        <v>35</v>
      </c>
    </row>
    <row r="2687" spans="1:4" hidden="1" x14ac:dyDescent="0.25">
      <c r="A2687" s="2" t="s">
        <v>92</v>
      </c>
      <c r="B2687">
        <v>35</v>
      </c>
      <c r="C2687" s="2" t="s">
        <v>164</v>
      </c>
      <c r="D2687">
        <v>35</v>
      </c>
    </row>
    <row r="2688" spans="1:4" hidden="1" x14ac:dyDescent="0.25">
      <c r="A2688" s="2" t="s">
        <v>92</v>
      </c>
      <c r="B2688">
        <v>35</v>
      </c>
      <c r="C2688" s="2" t="s">
        <v>165</v>
      </c>
      <c r="D2688">
        <v>35</v>
      </c>
    </row>
    <row r="2689" spans="1:4" hidden="1" x14ac:dyDescent="0.25">
      <c r="A2689" s="2" t="s">
        <v>92</v>
      </c>
      <c r="B2689">
        <v>35</v>
      </c>
      <c r="C2689" s="2" t="s">
        <v>166</v>
      </c>
      <c r="D2689">
        <v>35</v>
      </c>
    </row>
    <row r="2690" spans="1:4" hidden="1" x14ac:dyDescent="0.25">
      <c r="A2690" s="2" t="s">
        <v>92</v>
      </c>
      <c r="B2690">
        <v>35</v>
      </c>
      <c r="C2690" s="2" t="s">
        <v>167</v>
      </c>
      <c r="D2690">
        <v>35</v>
      </c>
    </row>
    <row r="2691" spans="1:4" hidden="1" x14ac:dyDescent="0.25">
      <c r="A2691" s="2" t="s">
        <v>92</v>
      </c>
      <c r="B2691">
        <v>35</v>
      </c>
      <c r="C2691" s="2" t="s">
        <v>168</v>
      </c>
      <c r="D2691">
        <v>35</v>
      </c>
    </row>
    <row r="2692" spans="1:4" hidden="1" x14ac:dyDescent="0.25">
      <c r="A2692" s="2" t="s">
        <v>92</v>
      </c>
      <c r="B2692">
        <v>35</v>
      </c>
      <c r="C2692" s="2" t="s">
        <v>169</v>
      </c>
      <c r="D2692">
        <v>35</v>
      </c>
    </row>
    <row r="2693" spans="1:4" hidden="1" x14ac:dyDescent="0.25">
      <c r="A2693" s="2" t="s">
        <v>92</v>
      </c>
      <c r="B2693">
        <v>35</v>
      </c>
      <c r="C2693" s="2" t="s">
        <v>170</v>
      </c>
      <c r="D2693">
        <v>35</v>
      </c>
    </row>
    <row r="2694" spans="1:4" hidden="1" x14ac:dyDescent="0.25">
      <c r="A2694" s="2" t="s">
        <v>92</v>
      </c>
      <c r="B2694">
        <v>35</v>
      </c>
      <c r="C2694" s="2" t="s">
        <v>171</v>
      </c>
      <c r="D2694">
        <v>35</v>
      </c>
    </row>
    <row r="2695" spans="1:4" hidden="1" x14ac:dyDescent="0.25">
      <c r="A2695" s="2" t="s">
        <v>92</v>
      </c>
      <c r="B2695">
        <v>35</v>
      </c>
      <c r="C2695" s="2" t="s">
        <v>172</v>
      </c>
      <c r="D2695">
        <v>35</v>
      </c>
    </row>
    <row r="2696" spans="1:4" hidden="1" x14ac:dyDescent="0.25">
      <c r="A2696" s="2" t="s">
        <v>92</v>
      </c>
      <c r="B2696">
        <v>35</v>
      </c>
      <c r="C2696" s="2" t="s">
        <v>173</v>
      </c>
      <c r="D2696">
        <v>35</v>
      </c>
    </row>
    <row r="2697" spans="1:4" hidden="1" x14ac:dyDescent="0.25">
      <c r="A2697" s="2" t="s">
        <v>92</v>
      </c>
      <c r="B2697">
        <v>35</v>
      </c>
      <c r="C2697" s="2" t="s">
        <v>174</v>
      </c>
      <c r="D2697">
        <v>35</v>
      </c>
    </row>
    <row r="2698" spans="1:4" hidden="1" x14ac:dyDescent="0.25">
      <c r="A2698" s="2" t="s">
        <v>92</v>
      </c>
      <c r="B2698">
        <v>35</v>
      </c>
      <c r="C2698" s="2" t="s">
        <v>175</v>
      </c>
      <c r="D2698">
        <v>35</v>
      </c>
    </row>
    <row r="2699" spans="1:4" hidden="1" x14ac:dyDescent="0.25">
      <c r="A2699" s="2" t="s">
        <v>92</v>
      </c>
      <c r="B2699">
        <v>35</v>
      </c>
      <c r="C2699" s="2" t="s">
        <v>176</v>
      </c>
      <c r="D2699">
        <v>35</v>
      </c>
    </row>
    <row r="2700" spans="1:4" hidden="1" x14ac:dyDescent="0.25">
      <c r="A2700" s="2" t="s">
        <v>92</v>
      </c>
      <c r="B2700">
        <v>35</v>
      </c>
      <c r="C2700" s="2" t="s">
        <v>177</v>
      </c>
      <c r="D2700">
        <v>35</v>
      </c>
    </row>
    <row r="2701" spans="1:4" hidden="1" x14ac:dyDescent="0.25">
      <c r="A2701" s="2" t="s">
        <v>92</v>
      </c>
      <c r="B2701">
        <v>35</v>
      </c>
      <c r="C2701" s="2" t="s">
        <v>178</v>
      </c>
      <c r="D2701">
        <v>35</v>
      </c>
    </row>
    <row r="2702" spans="1:4" hidden="1" x14ac:dyDescent="0.25">
      <c r="A2702" s="2" t="s">
        <v>92</v>
      </c>
      <c r="B2702">
        <v>35</v>
      </c>
      <c r="C2702" s="2" t="s">
        <v>179</v>
      </c>
      <c r="D2702">
        <v>35</v>
      </c>
    </row>
    <row r="2703" spans="1:4" hidden="1" x14ac:dyDescent="0.25">
      <c r="A2703" s="2" t="s">
        <v>98</v>
      </c>
      <c r="B2703">
        <v>35</v>
      </c>
      <c r="C2703" s="2" t="s">
        <v>183</v>
      </c>
      <c r="D2703">
        <v>78</v>
      </c>
    </row>
    <row r="2704" spans="1:4" hidden="1" x14ac:dyDescent="0.25">
      <c r="A2704" s="2" t="s">
        <v>98</v>
      </c>
      <c r="B2704">
        <v>35</v>
      </c>
      <c r="C2704" s="2" t="s">
        <v>184</v>
      </c>
      <c r="D2704">
        <v>77</v>
      </c>
    </row>
    <row r="2705" spans="1:4" hidden="1" x14ac:dyDescent="0.25">
      <c r="A2705" s="2" t="s">
        <v>98</v>
      </c>
      <c r="B2705">
        <v>35</v>
      </c>
      <c r="C2705" s="2" t="s">
        <v>185</v>
      </c>
      <c r="D2705">
        <v>82</v>
      </c>
    </row>
    <row r="2706" spans="1:4" hidden="1" x14ac:dyDescent="0.25">
      <c r="A2706" s="2" t="s">
        <v>98</v>
      </c>
      <c r="B2706">
        <v>35</v>
      </c>
      <c r="C2706" s="2" t="s">
        <v>186</v>
      </c>
      <c r="D2706">
        <v>105</v>
      </c>
    </row>
    <row r="2707" spans="1:4" hidden="1" x14ac:dyDescent="0.25">
      <c r="A2707" s="2" t="s">
        <v>98</v>
      </c>
      <c r="B2707">
        <v>35</v>
      </c>
      <c r="C2707" s="2" t="s">
        <v>187</v>
      </c>
      <c r="D2707">
        <v>105</v>
      </c>
    </row>
    <row r="2708" spans="1:4" hidden="1" x14ac:dyDescent="0.25">
      <c r="A2708" s="2" t="s">
        <v>98</v>
      </c>
      <c r="B2708">
        <v>35</v>
      </c>
      <c r="C2708" s="2" t="s">
        <v>188</v>
      </c>
      <c r="D2708">
        <v>105</v>
      </c>
    </row>
    <row r="2709" spans="1:4" hidden="1" x14ac:dyDescent="0.25">
      <c r="A2709" s="2" t="s">
        <v>98</v>
      </c>
      <c r="B2709">
        <v>35</v>
      </c>
      <c r="C2709" s="2" t="s">
        <v>189</v>
      </c>
      <c r="D2709">
        <v>97</v>
      </c>
    </row>
    <row r="2710" spans="1:4" hidden="1" x14ac:dyDescent="0.25">
      <c r="A2710" s="2" t="s">
        <v>98</v>
      </c>
      <c r="B2710">
        <v>35</v>
      </c>
      <c r="C2710" s="2" t="s">
        <v>190</v>
      </c>
      <c r="D2710">
        <v>98</v>
      </c>
    </row>
    <row r="2711" spans="1:4" hidden="1" x14ac:dyDescent="0.25">
      <c r="A2711" s="2" t="s">
        <v>98</v>
      </c>
      <c r="B2711">
        <v>35</v>
      </c>
      <c r="C2711" s="2" t="s">
        <v>191</v>
      </c>
      <c r="D2711">
        <v>97</v>
      </c>
    </row>
    <row r="2712" spans="1:4" hidden="1" x14ac:dyDescent="0.25">
      <c r="A2712" s="2" t="s">
        <v>98</v>
      </c>
      <c r="B2712">
        <v>35</v>
      </c>
      <c r="C2712" s="2" t="s">
        <v>116</v>
      </c>
      <c r="D2712">
        <v>96</v>
      </c>
    </row>
    <row r="2713" spans="1:4" hidden="1" x14ac:dyDescent="0.25">
      <c r="A2713" s="2" t="s">
        <v>98</v>
      </c>
      <c r="B2713">
        <v>35</v>
      </c>
      <c r="C2713" s="2" t="s">
        <v>117</v>
      </c>
      <c r="D2713">
        <v>88</v>
      </c>
    </row>
    <row r="2714" spans="1:4" hidden="1" x14ac:dyDescent="0.25">
      <c r="A2714" s="2" t="s">
        <v>98</v>
      </c>
      <c r="B2714">
        <v>35</v>
      </c>
      <c r="C2714" s="2" t="s">
        <v>118</v>
      </c>
      <c r="D2714">
        <v>85</v>
      </c>
    </row>
    <row r="2715" spans="1:4" hidden="1" x14ac:dyDescent="0.25">
      <c r="A2715" s="2" t="s">
        <v>98</v>
      </c>
      <c r="B2715">
        <v>35</v>
      </c>
      <c r="C2715" s="2" t="s">
        <v>119</v>
      </c>
      <c r="D2715">
        <v>59</v>
      </c>
    </row>
    <row r="2716" spans="1:4" hidden="1" x14ac:dyDescent="0.25">
      <c r="A2716" s="2" t="s">
        <v>98</v>
      </c>
      <c r="B2716">
        <v>35</v>
      </c>
      <c r="C2716" s="2" t="s">
        <v>120</v>
      </c>
      <c r="D2716">
        <v>59</v>
      </c>
    </row>
    <row r="2717" spans="1:4" hidden="1" x14ac:dyDescent="0.25">
      <c r="A2717" s="2" t="s">
        <v>98</v>
      </c>
      <c r="B2717">
        <v>35</v>
      </c>
      <c r="C2717" s="2" t="s">
        <v>121</v>
      </c>
      <c r="D2717">
        <v>61</v>
      </c>
    </row>
    <row r="2718" spans="1:4" hidden="1" x14ac:dyDescent="0.25">
      <c r="A2718" s="2" t="s">
        <v>98</v>
      </c>
      <c r="B2718">
        <v>35</v>
      </c>
      <c r="C2718" s="2" t="s">
        <v>122</v>
      </c>
      <c r="D2718">
        <v>49</v>
      </c>
    </row>
    <row r="2719" spans="1:4" hidden="1" x14ac:dyDescent="0.25">
      <c r="A2719" s="2" t="s">
        <v>98</v>
      </c>
      <c r="B2719">
        <v>35</v>
      </c>
      <c r="C2719" s="2" t="s">
        <v>123</v>
      </c>
      <c r="D2719">
        <v>57</v>
      </c>
    </row>
    <row r="2720" spans="1:4" hidden="1" x14ac:dyDescent="0.25">
      <c r="A2720" s="2" t="s">
        <v>98</v>
      </c>
      <c r="B2720">
        <v>35</v>
      </c>
      <c r="C2720" s="2" t="s">
        <v>124</v>
      </c>
      <c r="D2720">
        <v>60</v>
      </c>
    </row>
    <row r="2721" spans="1:4" hidden="1" x14ac:dyDescent="0.25">
      <c r="A2721" s="2" t="s">
        <v>98</v>
      </c>
      <c r="B2721">
        <v>35</v>
      </c>
      <c r="C2721" s="2" t="s">
        <v>125</v>
      </c>
      <c r="D2721">
        <v>60</v>
      </c>
    </row>
    <row r="2722" spans="1:4" hidden="1" x14ac:dyDescent="0.25">
      <c r="A2722" s="2" t="s">
        <v>98</v>
      </c>
      <c r="B2722">
        <v>35</v>
      </c>
      <c r="C2722" s="2" t="s">
        <v>126</v>
      </c>
      <c r="D2722">
        <v>58</v>
      </c>
    </row>
    <row r="2723" spans="1:4" hidden="1" x14ac:dyDescent="0.25">
      <c r="A2723" s="2" t="s">
        <v>98</v>
      </c>
      <c r="B2723">
        <v>35</v>
      </c>
      <c r="C2723" s="2" t="s">
        <v>127</v>
      </c>
      <c r="D2723">
        <v>60</v>
      </c>
    </row>
    <row r="2724" spans="1:4" hidden="1" x14ac:dyDescent="0.25">
      <c r="A2724" s="2" t="s">
        <v>98</v>
      </c>
      <c r="B2724">
        <v>35</v>
      </c>
      <c r="C2724" s="2" t="s">
        <v>128</v>
      </c>
      <c r="D2724">
        <v>29</v>
      </c>
    </row>
    <row r="2725" spans="1:4" hidden="1" x14ac:dyDescent="0.25">
      <c r="A2725" s="2" t="s">
        <v>98</v>
      </c>
      <c r="B2725">
        <v>35</v>
      </c>
      <c r="C2725" s="2" t="s">
        <v>129</v>
      </c>
      <c r="D2725">
        <v>36</v>
      </c>
    </row>
    <row r="2726" spans="1:4" hidden="1" x14ac:dyDescent="0.25">
      <c r="A2726" s="2" t="s">
        <v>98</v>
      </c>
      <c r="B2726">
        <v>35</v>
      </c>
      <c r="C2726" s="2" t="s">
        <v>130</v>
      </c>
      <c r="D2726">
        <v>34</v>
      </c>
    </row>
    <row r="2727" spans="1:4" hidden="1" x14ac:dyDescent="0.25">
      <c r="A2727" s="2" t="s">
        <v>98</v>
      </c>
      <c r="B2727">
        <v>35</v>
      </c>
      <c r="C2727" s="2" t="s">
        <v>131</v>
      </c>
      <c r="D2727">
        <v>35</v>
      </c>
    </row>
    <row r="2728" spans="1:4" hidden="1" x14ac:dyDescent="0.25">
      <c r="A2728" s="2" t="s">
        <v>98</v>
      </c>
      <c r="B2728">
        <v>35</v>
      </c>
      <c r="C2728" s="2" t="s">
        <v>132</v>
      </c>
      <c r="D2728">
        <v>36</v>
      </c>
    </row>
    <row r="2729" spans="1:4" hidden="1" x14ac:dyDescent="0.25">
      <c r="A2729" s="2" t="s">
        <v>98</v>
      </c>
      <c r="B2729">
        <v>35</v>
      </c>
      <c r="C2729" s="2" t="s">
        <v>133</v>
      </c>
      <c r="D2729">
        <v>37</v>
      </c>
    </row>
    <row r="2730" spans="1:4" hidden="1" x14ac:dyDescent="0.25">
      <c r="A2730" s="2" t="s">
        <v>98</v>
      </c>
      <c r="B2730">
        <v>35</v>
      </c>
      <c r="C2730" s="2" t="s">
        <v>134</v>
      </c>
      <c r="D2730">
        <v>36</v>
      </c>
    </row>
    <row r="2731" spans="1:4" hidden="1" x14ac:dyDescent="0.25">
      <c r="A2731" s="2" t="s">
        <v>98</v>
      </c>
      <c r="B2731">
        <v>35</v>
      </c>
      <c r="C2731" s="2" t="s">
        <v>135</v>
      </c>
      <c r="D2731">
        <v>35</v>
      </c>
    </row>
    <row r="2732" spans="1:4" hidden="1" x14ac:dyDescent="0.25">
      <c r="A2732" s="2" t="s">
        <v>98</v>
      </c>
      <c r="B2732">
        <v>35</v>
      </c>
      <c r="C2732" s="2" t="s">
        <v>136</v>
      </c>
      <c r="D2732">
        <v>35</v>
      </c>
    </row>
    <row r="2733" spans="1:4" hidden="1" x14ac:dyDescent="0.25">
      <c r="A2733" s="2" t="s">
        <v>98</v>
      </c>
      <c r="B2733">
        <v>35</v>
      </c>
      <c r="C2733" s="2" t="s">
        <v>137</v>
      </c>
      <c r="D2733">
        <v>35</v>
      </c>
    </row>
    <row r="2734" spans="1:4" hidden="1" x14ac:dyDescent="0.25">
      <c r="A2734" s="2" t="s">
        <v>98</v>
      </c>
      <c r="B2734">
        <v>35</v>
      </c>
      <c r="C2734" s="2" t="s">
        <v>138</v>
      </c>
      <c r="D2734">
        <v>35</v>
      </c>
    </row>
    <row r="2735" spans="1:4" hidden="1" x14ac:dyDescent="0.25">
      <c r="A2735" s="2" t="s">
        <v>98</v>
      </c>
      <c r="B2735">
        <v>35</v>
      </c>
      <c r="C2735" s="2" t="s">
        <v>139</v>
      </c>
      <c r="D2735">
        <v>35</v>
      </c>
    </row>
    <row r="2736" spans="1:4" hidden="1" x14ac:dyDescent="0.25">
      <c r="A2736" s="2" t="s">
        <v>98</v>
      </c>
      <c r="B2736">
        <v>35</v>
      </c>
      <c r="C2736" s="2" t="s">
        <v>140</v>
      </c>
      <c r="D2736">
        <v>35</v>
      </c>
    </row>
    <row r="2737" spans="1:4" hidden="1" x14ac:dyDescent="0.25">
      <c r="A2737" s="2" t="s">
        <v>98</v>
      </c>
      <c r="B2737">
        <v>35</v>
      </c>
      <c r="C2737" s="2" t="s">
        <v>141</v>
      </c>
      <c r="D2737">
        <v>35</v>
      </c>
    </row>
    <row r="2738" spans="1:4" hidden="1" x14ac:dyDescent="0.25">
      <c r="A2738" s="2" t="s">
        <v>98</v>
      </c>
      <c r="B2738">
        <v>35</v>
      </c>
      <c r="C2738" s="2" t="s">
        <v>142</v>
      </c>
      <c r="D2738">
        <v>35</v>
      </c>
    </row>
    <row r="2739" spans="1:4" hidden="1" x14ac:dyDescent="0.25">
      <c r="A2739" s="2" t="s">
        <v>98</v>
      </c>
      <c r="B2739">
        <v>35</v>
      </c>
      <c r="C2739" s="2" t="s">
        <v>143</v>
      </c>
      <c r="D2739">
        <v>35</v>
      </c>
    </row>
    <row r="2740" spans="1:4" hidden="1" x14ac:dyDescent="0.25">
      <c r="A2740" s="2" t="s">
        <v>98</v>
      </c>
      <c r="B2740">
        <v>35</v>
      </c>
      <c r="C2740" s="2" t="s">
        <v>144</v>
      </c>
      <c r="D2740">
        <v>35</v>
      </c>
    </row>
    <row r="2741" spans="1:4" hidden="1" x14ac:dyDescent="0.25">
      <c r="A2741" s="2" t="s">
        <v>98</v>
      </c>
      <c r="B2741">
        <v>35</v>
      </c>
      <c r="C2741" s="2" t="s">
        <v>145</v>
      </c>
      <c r="D2741">
        <v>35</v>
      </c>
    </row>
    <row r="2742" spans="1:4" hidden="1" x14ac:dyDescent="0.25">
      <c r="A2742" s="2" t="s">
        <v>98</v>
      </c>
      <c r="B2742">
        <v>35</v>
      </c>
      <c r="C2742" s="2" t="s">
        <v>146</v>
      </c>
      <c r="D2742">
        <v>35</v>
      </c>
    </row>
    <row r="2743" spans="1:4" hidden="1" x14ac:dyDescent="0.25">
      <c r="A2743" s="2" t="s">
        <v>98</v>
      </c>
      <c r="B2743">
        <v>35</v>
      </c>
      <c r="C2743" s="2" t="s">
        <v>147</v>
      </c>
      <c r="D2743">
        <v>35</v>
      </c>
    </row>
    <row r="2744" spans="1:4" hidden="1" x14ac:dyDescent="0.25">
      <c r="A2744" s="2" t="s">
        <v>98</v>
      </c>
      <c r="B2744">
        <v>35</v>
      </c>
      <c r="C2744" s="2" t="s">
        <v>148</v>
      </c>
      <c r="D2744">
        <v>35</v>
      </c>
    </row>
    <row r="2745" spans="1:4" hidden="1" x14ac:dyDescent="0.25">
      <c r="A2745" s="2" t="s">
        <v>98</v>
      </c>
      <c r="B2745">
        <v>35</v>
      </c>
      <c r="C2745" s="2" t="s">
        <v>149</v>
      </c>
      <c r="D2745">
        <v>35</v>
      </c>
    </row>
    <row r="2746" spans="1:4" hidden="1" x14ac:dyDescent="0.25">
      <c r="A2746" s="2" t="s">
        <v>98</v>
      </c>
      <c r="B2746">
        <v>35</v>
      </c>
      <c r="C2746" s="2" t="s">
        <v>150</v>
      </c>
      <c r="D2746">
        <v>35</v>
      </c>
    </row>
    <row r="2747" spans="1:4" hidden="1" x14ac:dyDescent="0.25">
      <c r="A2747" s="2" t="s">
        <v>98</v>
      </c>
      <c r="B2747">
        <v>35</v>
      </c>
      <c r="C2747" s="2" t="s">
        <v>151</v>
      </c>
      <c r="D2747">
        <v>35</v>
      </c>
    </row>
    <row r="2748" spans="1:4" hidden="1" x14ac:dyDescent="0.25">
      <c r="A2748" s="2" t="s">
        <v>98</v>
      </c>
      <c r="B2748">
        <v>35</v>
      </c>
      <c r="C2748" s="2" t="s">
        <v>152</v>
      </c>
      <c r="D2748">
        <v>35</v>
      </c>
    </row>
    <row r="2749" spans="1:4" hidden="1" x14ac:dyDescent="0.25">
      <c r="A2749" s="2" t="s">
        <v>98</v>
      </c>
      <c r="B2749">
        <v>35</v>
      </c>
      <c r="C2749" s="2" t="s">
        <v>153</v>
      </c>
      <c r="D2749">
        <v>35</v>
      </c>
    </row>
    <row r="2750" spans="1:4" hidden="1" x14ac:dyDescent="0.25">
      <c r="A2750" s="2" t="s">
        <v>98</v>
      </c>
      <c r="B2750">
        <v>35</v>
      </c>
      <c r="C2750" s="2" t="s">
        <v>154</v>
      </c>
      <c r="D2750">
        <v>35</v>
      </c>
    </row>
    <row r="2751" spans="1:4" hidden="1" x14ac:dyDescent="0.25">
      <c r="A2751" s="2" t="s">
        <v>98</v>
      </c>
      <c r="B2751">
        <v>35</v>
      </c>
      <c r="C2751" s="2" t="s">
        <v>155</v>
      </c>
      <c r="D2751">
        <v>35</v>
      </c>
    </row>
    <row r="2752" spans="1:4" hidden="1" x14ac:dyDescent="0.25">
      <c r="A2752" s="2" t="s">
        <v>98</v>
      </c>
      <c r="B2752">
        <v>35</v>
      </c>
      <c r="C2752" s="2" t="s">
        <v>156</v>
      </c>
      <c r="D2752">
        <v>35</v>
      </c>
    </row>
    <row r="2753" spans="1:4" hidden="1" x14ac:dyDescent="0.25">
      <c r="A2753" s="2" t="s">
        <v>98</v>
      </c>
      <c r="B2753">
        <v>35</v>
      </c>
      <c r="C2753" s="2" t="s">
        <v>157</v>
      </c>
      <c r="D2753">
        <v>35</v>
      </c>
    </row>
    <row r="2754" spans="1:4" hidden="1" x14ac:dyDescent="0.25">
      <c r="A2754" s="2" t="s">
        <v>98</v>
      </c>
      <c r="B2754">
        <v>35</v>
      </c>
      <c r="C2754" s="2" t="s">
        <v>158</v>
      </c>
      <c r="D2754">
        <v>35</v>
      </c>
    </row>
    <row r="2755" spans="1:4" hidden="1" x14ac:dyDescent="0.25">
      <c r="A2755" s="2" t="s">
        <v>98</v>
      </c>
      <c r="B2755">
        <v>35</v>
      </c>
      <c r="C2755" s="2" t="s">
        <v>159</v>
      </c>
      <c r="D2755">
        <v>35</v>
      </c>
    </row>
    <row r="2756" spans="1:4" hidden="1" x14ac:dyDescent="0.25">
      <c r="A2756" s="2" t="s">
        <v>98</v>
      </c>
      <c r="B2756">
        <v>35</v>
      </c>
      <c r="C2756" s="2" t="s">
        <v>160</v>
      </c>
      <c r="D2756">
        <v>35</v>
      </c>
    </row>
    <row r="2757" spans="1:4" hidden="1" x14ac:dyDescent="0.25">
      <c r="A2757" s="2" t="s">
        <v>98</v>
      </c>
      <c r="B2757">
        <v>35</v>
      </c>
      <c r="C2757" s="2" t="s">
        <v>161</v>
      </c>
      <c r="D2757">
        <v>35</v>
      </c>
    </row>
    <row r="2758" spans="1:4" hidden="1" x14ac:dyDescent="0.25">
      <c r="A2758" s="2" t="s">
        <v>98</v>
      </c>
      <c r="B2758">
        <v>35</v>
      </c>
      <c r="C2758" s="2" t="s">
        <v>162</v>
      </c>
      <c r="D2758">
        <v>35</v>
      </c>
    </row>
    <row r="2759" spans="1:4" hidden="1" x14ac:dyDescent="0.25">
      <c r="A2759" s="2" t="s">
        <v>98</v>
      </c>
      <c r="B2759">
        <v>35</v>
      </c>
      <c r="C2759" s="2" t="s">
        <v>163</v>
      </c>
      <c r="D2759">
        <v>35</v>
      </c>
    </row>
    <row r="2760" spans="1:4" hidden="1" x14ac:dyDescent="0.25">
      <c r="A2760" s="2" t="s">
        <v>98</v>
      </c>
      <c r="B2760">
        <v>35</v>
      </c>
      <c r="C2760" s="2" t="s">
        <v>164</v>
      </c>
      <c r="D2760">
        <v>35</v>
      </c>
    </row>
    <row r="2761" spans="1:4" hidden="1" x14ac:dyDescent="0.25">
      <c r="A2761" s="2" t="s">
        <v>98</v>
      </c>
      <c r="B2761">
        <v>35</v>
      </c>
      <c r="C2761" s="2" t="s">
        <v>165</v>
      </c>
      <c r="D2761">
        <v>35</v>
      </c>
    </row>
    <row r="2762" spans="1:4" hidden="1" x14ac:dyDescent="0.25">
      <c r="A2762" s="2" t="s">
        <v>98</v>
      </c>
      <c r="B2762">
        <v>35</v>
      </c>
      <c r="C2762" s="2" t="s">
        <v>166</v>
      </c>
      <c r="D2762">
        <v>35</v>
      </c>
    </row>
    <row r="2763" spans="1:4" hidden="1" x14ac:dyDescent="0.25">
      <c r="A2763" s="2" t="s">
        <v>98</v>
      </c>
      <c r="B2763">
        <v>35</v>
      </c>
      <c r="C2763" s="2" t="s">
        <v>167</v>
      </c>
      <c r="D2763">
        <v>35</v>
      </c>
    </row>
    <row r="2764" spans="1:4" hidden="1" x14ac:dyDescent="0.25">
      <c r="A2764" s="2" t="s">
        <v>98</v>
      </c>
      <c r="B2764">
        <v>35</v>
      </c>
      <c r="C2764" s="2" t="s">
        <v>168</v>
      </c>
      <c r="D2764">
        <v>35</v>
      </c>
    </row>
    <row r="2765" spans="1:4" hidden="1" x14ac:dyDescent="0.25">
      <c r="A2765" s="2" t="s">
        <v>98</v>
      </c>
      <c r="B2765">
        <v>35</v>
      </c>
      <c r="C2765" s="2" t="s">
        <v>169</v>
      </c>
      <c r="D2765">
        <v>35</v>
      </c>
    </row>
    <row r="2766" spans="1:4" hidden="1" x14ac:dyDescent="0.25">
      <c r="A2766" s="2" t="s">
        <v>98</v>
      </c>
      <c r="B2766">
        <v>35</v>
      </c>
      <c r="C2766" s="2" t="s">
        <v>170</v>
      </c>
      <c r="D2766">
        <v>35</v>
      </c>
    </row>
    <row r="2767" spans="1:4" hidden="1" x14ac:dyDescent="0.25">
      <c r="A2767" s="2" t="s">
        <v>98</v>
      </c>
      <c r="B2767">
        <v>35</v>
      </c>
      <c r="C2767" s="2" t="s">
        <v>171</v>
      </c>
      <c r="D2767">
        <v>35</v>
      </c>
    </row>
    <row r="2768" spans="1:4" hidden="1" x14ac:dyDescent="0.25">
      <c r="A2768" s="2" t="s">
        <v>98</v>
      </c>
      <c r="B2768">
        <v>35</v>
      </c>
      <c r="C2768" s="2" t="s">
        <v>172</v>
      </c>
      <c r="D2768">
        <v>35</v>
      </c>
    </row>
    <row r="2769" spans="1:4" hidden="1" x14ac:dyDescent="0.25">
      <c r="A2769" s="2" t="s">
        <v>98</v>
      </c>
      <c r="B2769">
        <v>35</v>
      </c>
      <c r="C2769" s="2" t="s">
        <v>173</v>
      </c>
      <c r="D2769">
        <v>35</v>
      </c>
    </row>
    <row r="2770" spans="1:4" hidden="1" x14ac:dyDescent="0.25">
      <c r="A2770" s="2" t="s">
        <v>98</v>
      </c>
      <c r="B2770">
        <v>35</v>
      </c>
      <c r="C2770" s="2" t="s">
        <v>174</v>
      </c>
      <c r="D2770">
        <v>35</v>
      </c>
    </row>
    <row r="2771" spans="1:4" hidden="1" x14ac:dyDescent="0.25">
      <c r="A2771" s="2" t="s">
        <v>98</v>
      </c>
      <c r="B2771">
        <v>35</v>
      </c>
      <c r="C2771" s="2" t="s">
        <v>175</v>
      </c>
      <c r="D2771">
        <v>35</v>
      </c>
    </row>
    <row r="2772" spans="1:4" hidden="1" x14ac:dyDescent="0.25">
      <c r="A2772" s="2" t="s">
        <v>98</v>
      </c>
      <c r="B2772">
        <v>35</v>
      </c>
      <c r="C2772" s="2" t="s">
        <v>176</v>
      </c>
      <c r="D2772">
        <v>35</v>
      </c>
    </row>
    <row r="2773" spans="1:4" hidden="1" x14ac:dyDescent="0.25">
      <c r="A2773" s="2" t="s">
        <v>98</v>
      </c>
      <c r="B2773">
        <v>35</v>
      </c>
      <c r="C2773" s="2" t="s">
        <v>177</v>
      </c>
      <c r="D2773">
        <v>35</v>
      </c>
    </row>
    <row r="2774" spans="1:4" hidden="1" x14ac:dyDescent="0.25">
      <c r="A2774" s="2" t="s">
        <v>98</v>
      </c>
      <c r="B2774">
        <v>35</v>
      </c>
      <c r="C2774" s="2" t="s">
        <v>178</v>
      </c>
      <c r="D2774">
        <v>35</v>
      </c>
    </row>
    <row r="2775" spans="1:4" hidden="1" x14ac:dyDescent="0.25">
      <c r="A2775" s="2" t="s">
        <v>98</v>
      </c>
      <c r="B2775">
        <v>35</v>
      </c>
      <c r="C2775" s="2" t="s">
        <v>179</v>
      </c>
      <c r="D2775">
        <v>35</v>
      </c>
    </row>
    <row r="2776" spans="1:4" hidden="1" x14ac:dyDescent="0.25">
      <c r="A2776" s="2" t="s">
        <v>27</v>
      </c>
      <c r="B2776">
        <v>39</v>
      </c>
      <c r="C2776" s="2" t="s">
        <v>183</v>
      </c>
      <c r="D2776">
        <v>13</v>
      </c>
    </row>
    <row r="2777" spans="1:4" hidden="1" x14ac:dyDescent="0.25">
      <c r="A2777" s="2" t="s">
        <v>27</v>
      </c>
      <c r="B2777">
        <v>39</v>
      </c>
      <c r="C2777" s="2" t="s">
        <v>184</v>
      </c>
      <c r="D2777">
        <v>14</v>
      </c>
    </row>
    <row r="2778" spans="1:4" hidden="1" x14ac:dyDescent="0.25">
      <c r="A2778" s="2" t="s">
        <v>27</v>
      </c>
      <c r="B2778">
        <v>39</v>
      </c>
      <c r="C2778" s="2" t="s">
        <v>185</v>
      </c>
      <c r="D2778">
        <v>3</v>
      </c>
    </row>
    <row r="2779" spans="1:4" hidden="1" x14ac:dyDescent="0.25">
      <c r="A2779" s="2" t="s">
        <v>27</v>
      </c>
      <c r="B2779">
        <v>39</v>
      </c>
      <c r="C2779" s="2" t="s">
        <v>186</v>
      </c>
      <c r="D2779">
        <v>1</v>
      </c>
    </row>
    <row r="2780" spans="1:4" hidden="1" x14ac:dyDescent="0.25">
      <c r="A2780" s="2" t="s">
        <v>27</v>
      </c>
      <c r="B2780">
        <v>39</v>
      </c>
      <c r="C2780" s="2" t="s">
        <v>187</v>
      </c>
      <c r="D2780">
        <v>1</v>
      </c>
    </row>
    <row r="2781" spans="1:4" hidden="1" x14ac:dyDescent="0.25">
      <c r="A2781" s="2" t="s">
        <v>27</v>
      </c>
      <c r="B2781">
        <v>39</v>
      </c>
      <c r="C2781" s="2" t="s">
        <v>188</v>
      </c>
      <c r="D2781">
        <v>1</v>
      </c>
    </row>
    <row r="2782" spans="1:4" hidden="1" x14ac:dyDescent="0.25">
      <c r="A2782" s="2" t="s">
        <v>27</v>
      </c>
      <c r="B2782">
        <v>39</v>
      </c>
      <c r="C2782" s="2" t="s">
        <v>189</v>
      </c>
      <c r="D2782">
        <v>1</v>
      </c>
    </row>
    <row r="2783" spans="1:4" hidden="1" x14ac:dyDescent="0.25">
      <c r="A2783" s="2" t="s">
        <v>27</v>
      </c>
      <c r="B2783">
        <v>39</v>
      </c>
      <c r="C2783" s="2" t="s">
        <v>190</v>
      </c>
      <c r="D2783">
        <v>2</v>
      </c>
    </row>
    <row r="2784" spans="1:4" hidden="1" x14ac:dyDescent="0.25">
      <c r="A2784" s="2" t="s">
        <v>27</v>
      </c>
      <c r="B2784">
        <v>39</v>
      </c>
      <c r="C2784" s="2" t="s">
        <v>191</v>
      </c>
      <c r="D2784">
        <v>5</v>
      </c>
    </row>
    <row r="2785" spans="1:4" hidden="1" x14ac:dyDescent="0.25">
      <c r="A2785" s="2" t="s">
        <v>27</v>
      </c>
      <c r="B2785">
        <v>39</v>
      </c>
      <c r="C2785" s="2" t="s">
        <v>116</v>
      </c>
      <c r="D2785">
        <v>5</v>
      </c>
    </row>
    <row r="2786" spans="1:4" hidden="1" x14ac:dyDescent="0.25">
      <c r="A2786" s="2" t="s">
        <v>27</v>
      </c>
      <c r="B2786">
        <v>39</v>
      </c>
      <c r="C2786" s="2" t="s">
        <v>117</v>
      </c>
      <c r="D2786">
        <v>4</v>
      </c>
    </row>
    <row r="2787" spans="1:4" hidden="1" x14ac:dyDescent="0.25">
      <c r="A2787" s="2" t="s">
        <v>27</v>
      </c>
      <c r="B2787">
        <v>39</v>
      </c>
      <c r="C2787" s="2" t="s">
        <v>118</v>
      </c>
      <c r="D2787">
        <v>7</v>
      </c>
    </row>
    <row r="2788" spans="1:4" hidden="1" x14ac:dyDescent="0.25">
      <c r="A2788" s="2" t="s">
        <v>27</v>
      </c>
      <c r="B2788">
        <v>39</v>
      </c>
      <c r="C2788" s="2" t="s">
        <v>119</v>
      </c>
      <c r="D2788">
        <v>1</v>
      </c>
    </row>
    <row r="2789" spans="1:4" hidden="1" x14ac:dyDescent="0.25">
      <c r="A2789" s="2" t="s">
        <v>27</v>
      </c>
      <c r="B2789">
        <v>39</v>
      </c>
      <c r="C2789" s="2" t="s">
        <v>120</v>
      </c>
      <c r="D2789">
        <v>6</v>
      </c>
    </row>
    <row r="2790" spans="1:4" hidden="1" x14ac:dyDescent="0.25">
      <c r="A2790" s="2" t="s">
        <v>27</v>
      </c>
      <c r="B2790">
        <v>39</v>
      </c>
      <c r="C2790" s="2" t="s">
        <v>121</v>
      </c>
      <c r="D2790">
        <v>5</v>
      </c>
    </row>
    <row r="2791" spans="1:4" hidden="1" x14ac:dyDescent="0.25">
      <c r="A2791" s="2" t="s">
        <v>27</v>
      </c>
      <c r="B2791">
        <v>39</v>
      </c>
      <c r="C2791" s="2" t="s">
        <v>122</v>
      </c>
      <c r="D2791">
        <v>5</v>
      </c>
    </row>
    <row r="2792" spans="1:4" hidden="1" x14ac:dyDescent="0.25">
      <c r="A2792" s="2" t="s">
        <v>27</v>
      </c>
      <c r="B2792">
        <v>39</v>
      </c>
      <c r="C2792" s="2" t="s">
        <v>123</v>
      </c>
      <c r="D2792">
        <v>9</v>
      </c>
    </row>
    <row r="2793" spans="1:4" hidden="1" x14ac:dyDescent="0.25">
      <c r="A2793" s="2" t="s">
        <v>27</v>
      </c>
      <c r="B2793">
        <v>39</v>
      </c>
      <c r="C2793" s="2" t="s">
        <v>124</v>
      </c>
      <c r="D2793">
        <v>11</v>
      </c>
    </row>
    <row r="2794" spans="1:4" hidden="1" x14ac:dyDescent="0.25">
      <c r="A2794" s="2" t="s">
        <v>27</v>
      </c>
      <c r="B2794">
        <v>39</v>
      </c>
      <c r="C2794" s="2" t="s">
        <v>125</v>
      </c>
      <c r="D2794">
        <v>26</v>
      </c>
    </row>
    <row r="2795" spans="1:4" hidden="1" x14ac:dyDescent="0.25">
      <c r="A2795" s="2" t="s">
        <v>27</v>
      </c>
      <c r="B2795">
        <v>39</v>
      </c>
      <c r="C2795" s="2" t="s">
        <v>126</v>
      </c>
      <c r="D2795">
        <v>27</v>
      </c>
    </row>
    <row r="2796" spans="1:4" hidden="1" x14ac:dyDescent="0.25">
      <c r="A2796" s="2" t="s">
        <v>27</v>
      </c>
      <c r="B2796">
        <v>39</v>
      </c>
      <c r="C2796" s="2" t="s">
        <v>127</v>
      </c>
      <c r="D2796">
        <v>30</v>
      </c>
    </row>
    <row r="2797" spans="1:4" hidden="1" x14ac:dyDescent="0.25">
      <c r="A2797" s="2" t="s">
        <v>27</v>
      </c>
      <c r="B2797">
        <v>39</v>
      </c>
      <c r="C2797" s="2" t="s">
        <v>128</v>
      </c>
      <c r="D2797">
        <v>34</v>
      </c>
    </row>
    <row r="2798" spans="1:4" hidden="1" x14ac:dyDescent="0.25">
      <c r="A2798" s="2" t="s">
        <v>27</v>
      </c>
      <c r="B2798">
        <v>39</v>
      </c>
      <c r="C2798" s="2" t="s">
        <v>129</v>
      </c>
      <c r="D2798">
        <v>43</v>
      </c>
    </row>
    <row r="2799" spans="1:4" hidden="1" x14ac:dyDescent="0.25">
      <c r="A2799" s="2" t="s">
        <v>27</v>
      </c>
      <c r="B2799">
        <v>39</v>
      </c>
      <c r="C2799" s="2" t="s">
        <v>130</v>
      </c>
      <c r="D2799">
        <v>28</v>
      </c>
    </row>
    <row r="2800" spans="1:4" hidden="1" x14ac:dyDescent="0.25">
      <c r="A2800" s="2" t="s">
        <v>27</v>
      </c>
      <c r="B2800">
        <v>39</v>
      </c>
      <c r="C2800" s="2" t="s">
        <v>131</v>
      </c>
      <c r="D2800">
        <v>32</v>
      </c>
    </row>
    <row r="2801" spans="1:4" hidden="1" x14ac:dyDescent="0.25">
      <c r="A2801" s="2" t="s">
        <v>27</v>
      </c>
      <c r="B2801">
        <v>39</v>
      </c>
      <c r="C2801" s="2" t="s">
        <v>132</v>
      </c>
      <c r="D2801">
        <v>31</v>
      </c>
    </row>
    <row r="2802" spans="1:4" hidden="1" x14ac:dyDescent="0.25">
      <c r="A2802" s="2" t="s">
        <v>27</v>
      </c>
      <c r="B2802">
        <v>39</v>
      </c>
      <c r="C2802" s="2" t="s">
        <v>133</v>
      </c>
      <c r="D2802">
        <v>31</v>
      </c>
    </row>
    <row r="2803" spans="1:4" hidden="1" x14ac:dyDescent="0.25">
      <c r="A2803" s="2" t="s">
        <v>27</v>
      </c>
      <c r="B2803">
        <v>39</v>
      </c>
      <c r="C2803" s="2" t="s">
        <v>134</v>
      </c>
      <c r="D2803">
        <v>31</v>
      </c>
    </row>
    <row r="2804" spans="1:4" hidden="1" x14ac:dyDescent="0.25">
      <c r="A2804" s="2" t="s">
        <v>27</v>
      </c>
      <c r="B2804">
        <v>39</v>
      </c>
      <c r="C2804" s="2" t="s">
        <v>135</v>
      </c>
      <c r="D2804">
        <v>39</v>
      </c>
    </row>
    <row r="2805" spans="1:4" hidden="1" x14ac:dyDescent="0.25">
      <c r="A2805" s="2" t="s">
        <v>27</v>
      </c>
      <c r="B2805">
        <v>39</v>
      </c>
      <c r="C2805" s="2" t="s">
        <v>136</v>
      </c>
      <c r="D2805">
        <v>39</v>
      </c>
    </row>
    <row r="2806" spans="1:4" hidden="1" x14ac:dyDescent="0.25">
      <c r="A2806" s="2" t="s">
        <v>27</v>
      </c>
      <c r="B2806">
        <v>39</v>
      </c>
      <c r="C2806" s="2" t="s">
        <v>137</v>
      </c>
      <c r="D2806">
        <v>39</v>
      </c>
    </row>
    <row r="2807" spans="1:4" hidden="1" x14ac:dyDescent="0.25">
      <c r="A2807" s="2" t="s">
        <v>27</v>
      </c>
      <c r="B2807">
        <v>39</v>
      </c>
      <c r="C2807" s="2" t="s">
        <v>138</v>
      </c>
      <c r="D2807">
        <v>39</v>
      </c>
    </row>
    <row r="2808" spans="1:4" hidden="1" x14ac:dyDescent="0.25">
      <c r="A2808" s="2" t="s">
        <v>27</v>
      </c>
      <c r="B2808">
        <v>39</v>
      </c>
      <c r="C2808" s="2" t="s">
        <v>139</v>
      </c>
      <c r="D2808">
        <v>39</v>
      </c>
    </row>
    <row r="2809" spans="1:4" hidden="1" x14ac:dyDescent="0.25">
      <c r="A2809" s="2" t="s">
        <v>27</v>
      </c>
      <c r="B2809">
        <v>39</v>
      </c>
      <c r="C2809" s="2" t="s">
        <v>140</v>
      </c>
      <c r="D2809">
        <v>39</v>
      </c>
    </row>
    <row r="2810" spans="1:4" hidden="1" x14ac:dyDescent="0.25">
      <c r="A2810" s="2" t="s">
        <v>27</v>
      </c>
      <c r="B2810">
        <v>39</v>
      </c>
      <c r="C2810" s="2" t="s">
        <v>141</v>
      </c>
      <c r="D2810">
        <v>39</v>
      </c>
    </row>
    <row r="2811" spans="1:4" hidden="1" x14ac:dyDescent="0.25">
      <c r="A2811" s="2" t="s">
        <v>27</v>
      </c>
      <c r="B2811">
        <v>39</v>
      </c>
      <c r="C2811" s="2" t="s">
        <v>142</v>
      </c>
      <c r="D2811">
        <v>39</v>
      </c>
    </row>
    <row r="2812" spans="1:4" hidden="1" x14ac:dyDescent="0.25">
      <c r="A2812" s="2" t="s">
        <v>27</v>
      </c>
      <c r="B2812">
        <v>39</v>
      </c>
      <c r="C2812" s="2" t="s">
        <v>143</v>
      </c>
      <c r="D2812">
        <v>39</v>
      </c>
    </row>
    <row r="2813" spans="1:4" hidden="1" x14ac:dyDescent="0.25">
      <c r="A2813" s="2" t="s">
        <v>27</v>
      </c>
      <c r="B2813">
        <v>39</v>
      </c>
      <c r="C2813" s="2" t="s">
        <v>144</v>
      </c>
      <c r="D2813">
        <v>39</v>
      </c>
    </row>
    <row r="2814" spans="1:4" hidden="1" x14ac:dyDescent="0.25">
      <c r="A2814" s="2" t="s">
        <v>27</v>
      </c>
      <c r="B2814">
        <v>39</v>
      </c>
      <c r="C2814" s="2" t="s">
        <v>145</v>
      </c>
      <c r="D2814">
        <v>39</v>
      </c>
    </row>
    <row r="2815" spans="1:4" hidden="1" x14ac:dyDescent="0.25">
      <c r="A2815" s="2" t="s">
        <v>27</v>
      </c>
      <c r="B2815">
        <v>39</v>
      </c>
      <c r="C2815" s="2" t="s">
        <v>146</v>
      </c>
      <c r="D2815">
        <v>39</v>
      </c>
    </row>
    <row r="2816" spans="1:4" hidden="1" x14ac:dyDescent="0.25">
      <c r="A2816" s="2" t="s">
        <v>27</v>
      </c>
      <c r="B2816">
        <v>39</v>
      </c>
      <c r="C2816" s="2" t="s">
        <v>147</v>
      </c>
      <c r="D2816">
        <v>39</v>
      </c>
    </row>
    <row r="2817" spans="1:4" hidden="1" x14ac:dyDescent="0.25">
      <c r="A2817" s="2" t="s">
        <v>27</v>
      </c>
      <c r="B2817">
        <v>39</v>
      </c>
      <c r="C2817" s="2" t="s">
        <v>148</v>
      </c>
      <c r="D2817">
        <v>39</v>
      </c>
    </row>
    <row r="2818" spans="1:4" hidden="1" x14ac:dyDescent="0.25">
      <c r="A2818" s="2" t="s">
        <v>27</v>
      </c>
      <c r="B2818">
        <v>39</v>
      </c>
      <c r="C2818" s="2" t="s">
        <v>149</v>
      </c>
      <c r="D2818">
        <v>39</v>
      </c>
    </row>
    <row r="2819" spans="1:4" hidden="1" x14ac:dyDescent="0.25">
      <c r="A2819" s="2" t="s">
        <v>27</v>
      </c>
      <c r="B2819">
        <v>39</v>
      </c>
      <c r="C2819" s="2" t="s">
        <v>150</v>
      </c>
      <c r="D2819">
        <v>39</v>
      </c>
    </row>
    <row r="2820" spans="1:4" hidden="1" x14ac:dyDescent="0.25">
      <c r="A2820" s="2" t="s">
        <v>27</v>
      </c>
      <c r="B2820">
        <v>39</v>
      </c>
      <c r="C2820" s="2" t="s">
        <v>151</v>
      </c>
      <c r="D2820">
        <v>39</v>
      </c>
    </row>
    <row r="2821" spans="1:4" hidden="1" x14ac:dyDescent="0.25">
      <c r="A2821" s="2" t="s">
        <v>27</v>
      </c>
      <c r="B2821">
        <v>39</v>
      </c>
      <c r="C2821" s="2" t="s">
        <v>152</v>
      </c>
      <c r="D2821">
        <v>39</v>
      </c>
    </row>
    <row r="2822" spans="1:4" hidden="1" x14ac:dyDescent="0.25">
      <c r="A2822" s="2" t="s">
        <v>27</v>
      </c>
      <c r="B2822">
        <v>39</v>
      </c>
      <c r="C2822" s="2" t="s">
        <v>153</v>
      </c>
      <c r="D2822">
        <v>39</v>
      </c>
    </row>
    <row r="2823" spans="1:4" hidden="1" x14ac:dyDescent="0.25">
      <c r="A2823" s="2" t="s">
        <v>27</v>
      </c>
      <c r="B2823">
        <v>39</v>
      </c>
      <c r="C2823" s="2" t="s">
        <v>154</v>
      </c>
      <c r="D2823">
        <v>39</v>
      </c>
    </row>
    <row r="2824" spans="1:4" hidden="1" x14ac:dyDescent="0.25">
      <c r="A2824" s="2" t="s">
        <v>27</v>
      </c>
      <c r="B2824">
        <v>39</v>
      </c>
      <c r="C2824" s="2" t="s">
        <v>155</v>
      </c>
      <c r="D2824">
        <v>39</v>
      </c>
    </row>
    <row r="2825" spans="1:4" hidden="1" x14ac:dyDescent="0.25">
      <c r="A2825" s="2" t="s">
        <v>27</v>
      </c>
      <c r="B2825">
        <v>39</v>
      </c>
      <c r="C2825" s="2" t="s">
        <v>156</v>
      </c>
      <c r="D2825">
        <v>39</v>
      </c>
    </row>
    <row r="2826" spans="1:4" hidden="1" x14ac:dyDescent="0.25">
      <c r="A2826" s="2" t="s">
        <v>27</v>
      </c>
      <c r="B2826">
        <v>39</v>
      </c>
      <c r="C2826" s="2" t="s">
        <v>157</v>
      </c>
      <c r="D2826">
        <v>39</v>
      </c>
    </row>
    <row r="2827" spans="1:4" hidden="1" x14ac:dyDescent="0.25">
      <c r="A2827" s="2" t="s">
        <v>27</v>
      </c>
      <c r="B2827">
        <v>39</v>
      </c>
      <c r="C2827" s="2" t="s">
        <v>158</v>
      </c>
      <c r="D2827">
        <v>39</v>
      </c>
    </row>
    <row r="2828" spans="1:4" hidden="1" x14ac:dyDescent="0.25">
      <c r="A2828" s="2" t="s">
        <v>27</v>
      </c>
      <c r="B2828">
        <v>39</v>
      </c>
      <c r="C2828" s="2" t="s">
        <v>159</v>
      </c>
      <c r="D2828">
        <v>39</v>
      </c>
    </row>
    <row r="2829" spans="1:4" hidden="1" x14ac:dyDescent="0.25">
      <c r="A2829" s="2" t="s">
        <v>27</v>
      </c>
      <c r="B2829">
        <v>39</v>
      </c>
      <c r="C2829" s="2" t="s">
        <v>160</v>
      </c>
      <c r="D2829">
        <v>39</v>
      </c>
    </row>
    <row r="2830" spans="1:4" hidden="1" x14ac:dyDescent="0.25">
      <c r="A2830" s="2" t="s">
        <v>27</v>
      </c>
      <c r="B2830">
        <v>39</v>
      </c>
      <c r="C2830" s="2" t="s">
        <v>161</v>
      </c>
      <c r="D2830">
        <v>39</v>
      </c>
    </row>
    <row r="2831" spans="1:4" hidden="1" x14ac:dyDescent="0.25">
      <c r="A2831" s="2" t="s">
        <v>27</v>
      </c>
      <c r="B2831">
        <v>39</v>
      </c>
      <c r="C2831" s="2" t="s">
        <v>162</v>
      </c>
      <c r="D2831">
        <v>39</v>
      </c>
    </row>
    <row r="2832" spans="1:4" hidden="1" x14ac:dyDescent="0.25">
      <c r="A2832" s="2" t="s">
        <v>27</v>
      </c>
      <c r="B2832">
        <v>39</v>
      </c>
      <c r="C2832" s="2" t="s">
        <v>163</v>
      </c>
      <c r="D2832">
        <v>39</v>
      </c>
    </row>
    <row r="2833" spans="1:4" hidden="1" x14ac:dyDescent="0.25">
      <c r="A2833" s="2" t="s">
        <v>27</v>
      </c>
      <c r="B2833">
        <v>39</v>
      </c>
      <c r="C2833" s="2" t="s">
        <v>164</v>
      </c>
      <c r="D2833">
        <v>39</v>
      </c>
    </row>
    <row r="2834" spans="1:4" hidden="1" x14ac:dyDescent="0.25">
      <c r="A2834" s="2" t="s">
        <v>27</v>
      </c>
      <c r="B2834">
        <v>39</v>
      </c>
      <c r="C2834" s="2" t="s">
        <v>165</v>
      </c>
      <c r="D2834">
        <v>39</v>
      </c>
    </row>
    <row r="2835" spans="1:4" hidden="1" x14ac:dyDescent="0.25">
      <c r="A2835" s="2" t="s">
        <v>27</v>
      </c>
      <c r="B2835">
        <v>39</v>
      </c>
      <c r="C2835" s="2" t="s">
        <v>166</v>
      </c>
      <c r="D2835">
        <v>39</v>
      </c>
    </row>
    <row r="2836" spans="1:4" hidden="1" x14ac:dyDescent="0.25">
      <c r="A2836" s="2" t="s">
        <v>27</v>
      </c>
      <c r="B2836">
        <v>39</v>
      </c>
      <c r="C2836" s="2" t="s">
        <v>167</v>
      </c>
      <c r="D2836">
        <v>39</v>
      </c>
    </row>
    <row r="2837" spans="1:4" hidden="1" x14ac:dyDescent="0.25">
      <c r="A2837" s="2" t="s">
        <v>27</v>
      </c>
      <c r="B2837">
        <v>39</v>
      </c>
      <c r="C2837" s="2" t="s">
        <v>168</v>
      </c>
      <c r="D2837">
        <v>39</v>
      </c>
    </row>
    <row r="2838" spans="1:4" hidden="1" x14ac:dyDescent="0.25">
      <c r="A2838" s="2" t="s">
        <v>27</v>
      </c>
      <c r="B2838">
        <v>39</v>
      </c>
      <c r="C2838" s="2" t="s">
        <v>169</v>
      </c>
      <c r="D2838">
        <v>39</v>
      </c>
    </row>
    <row r="2839" spans="1:4" hidden="1" x14ac:dyDescent="0.25">
      <c r="A2839" s="2" t="s">
        <v>27</v>
      </c>
      <c r="B2839">
        <v>39</v>
      </c>
      <c r="C2839" s="2" t="s">
        <v>170</v>
      </c>
      <c r="D2839">
        <v>39</v>
      </c>
    </row>
    <row r="2840" spans="1:4" hidden="1" x14ac:dyDescent="0.25">
      <c r="A2840" s="2" t="s">
        <v>27</v>
      </c>
      <c r="B2840">
        <v>39</v>
      </c>
      <c r="C2840" s="2" t="s">
        <v>171</v>
      </c>
      <c r="D2840">
        <v>39</v>
      </c>
    </row>
    <row r="2841" spans="1:4" hidden="1" x14ac:dyDescent="0.25">
      <c r="A2841" s="2" t="s">
        <v>27</v>
      </c>
      <c r="B2841">
        <v>39</v>
      </c>
      <c r="C2841" s="2" t="s">
        <v>172</v>
      </c>
      <c r="D2841">
        <v>39</v>
      </c>
    </row>
    <row r="2842" spans="1:4" hidden="1" x14ac:dyDescent="0.25">
      <c r="A2842" s="2" t="s">
        <v>27</v>
      </c>
      <c r="B2842">
        <v>39</v>
      </c>
      <c r="C2842" s="2" t="s">
        <v>173</v>
      </c>
      <c r="D2842">
        <v>39</v>
      </c>
    </row>
    <row r="2843" spans="1:4" hidden="1" x14ac:dyDescent="0.25">
      <c r="A2843" s="2" t="s">
        <v>27</v>
      </c>
      <c r="B2843">
        <v>39</v>
      </c>
      <c r="C2843" s="2" t="s">
        <v>174</v>
      </c>
      <c r="D2843">
        <v>39</v>
      </c>
    </row>
    <row r="2844" spans="1:4" hidden="1" x14ac:dyDescent="0.25">
      <c r="A2844" s="2" t="s">
        <v>27</v>
      </c>
      <c r="B2844">
        <v>39</v>
      </c>
      <c r="C2844" s="2" t="s">
        <v>175</v>
      </c>
      <c r="D2844">
        <v>39</v>
      </c>
    </row>
    <row r="2845" spans="1:4" hidden="1" x14ac:dyDescent="0.25">
      <c r="A2845" s="2" t="s">
        <v>27</v>
      </c>
      <c r="B2845">
        <v>39</v>
      </c>
      <c r="C2845" s="2" t="s">
        <v>176</v>
      </c>
      <c r="D2845">
        <v>39</v>
      </c>
    </row>
    <row r="2846" spans="1:4" hidden="1" x14ac:dyDescent="0.25">
      <c r="A2846" s="2" t="s">
        <v>27</v>
      </c>
      <c r="B2846">
        <v>39</v>
      </c>
      <c r="C2846" s="2" t="s">
        <v>177</v>
      </c>
      <c r="D2846">
        <v>39</v>
      </c>
    </row>
    <row r="2847" spans="1:4" hidden="1" x14ac:dyDescent="0.25">
      <c r="A2847" s="2" t="s">
        <v>27</v>
      </c>
      <c r="B2847">
        <v>39</v>
      </c>
      <c r="C2847" s="2" t="s">
        <v>178</v>
      </c>
      <c r="D2847">
        <v>39</v>
      </c>
    </row>
    <row r="2848" spans="1:4" hidden="1" x14ac:dyDescent="0.25">
      <c r="A2848" s="2" t="s">
        <v>27</v>
      </c>
      <c r="B2848">
        <v>39</v>
      </c>
      <c r="C2848" s="2" t="s">
        <v>179</v>
      </c>
      <c r="D2848">
        <v>39</v>
      </c>
    </row>
    <row r="2849" spans="1:4" hidden="1" x14ac:dyDescent="0.25">
      <c r="A2849" s="2" t="s">
        <v>31</v>
      </c>
      <c r="B2849">
        <v>39</v>
      </c>
      <c r="C2849" s="2" t="s">
        <v>183</v>
      </c>
      <c r="D2849">
        <v>13</v>
      </c>
    </row>
    <row r="2850" spans="1:4" hidden="1" x14ac:dyDescent="0.25">
      <c r="A2850" s="2" t="s">
        <v>31</v>
      </c>
      <c r="B2850">
        <v>39</v>
      </c>
      <c r="C2850" s="2" t="s">
        <v>184</v>
      </c>
      <c r="D2850">
        <v>14</v>
      </c>
    </row>
    <row r="2851" spans="1:4" hidden="1" x14ac:dyDescent="0.25">
      <c r="A2851" s="2" t="s">
        <v>31</v>
      </c>
      <c r="B2851">
        <v>39</v>
      </c>
      <c r="C2851" s="2" t="s">
        <v>185</v>
      </c>
      <c r="D2851">
        <v>24</v>
      </c>
    </row>
    <row r="2852" spans="1:4" hidden="1" x14ac:dyDescent="0.25">
      <c r="A2852" s="2" t="s">
        <v>31</v>
      </c>
      <c r="B2852">
        <v>39</v>
      </c>
      <c r="C2852" s="2" t="s">
        <v>186</v>
      </c>
      <c r="D2852">
        <v>71</v>
      </c>
    </row>
    <row r="2853" spans="1:4" hidden="1" x14ac:dyDescent="0.25">
      <c r="A2853" s="2" t="s">
        <v>31</v>
      </c>
      <c r="B2853">
        <v>39</v>
      </c>
      <c r="C2853" s="2" t="s">
        <v>187</v>
      </c>
      <c r="D2853">
        <v>71</v>
      </c>
    </row>
    <row r="2854" spans="1:4" hidden="1" x14ac:dyDescent="0.25">
      <c r="A2854" s="2" t="s">
        <v>31</v>
      </c>
      <c r="B2854">
        <v>39</v>
      </c>
      <c r="C2854" s="2" t="s">
        <v>188</v>
      </c>
      <c r="D2854">
        <v>71</v>
      </c>
    </row>
    <row r="2855" spans="1:4" hidden="1" x14ac:dyDescent="0.25">
      <c r="A2855" s="2" t="s">
        <v>31</v>
      </c>
      <c r="B2855">
        <v>39</v>
      </c>
      <c r="C2855" s="2" t="s">
        <v>189</v>
      </c>
      <c r="D2855">
        <v>79</v>
      </c>
    </row>
    <row r="2856" spans="1:4" hidden="1" x14ac:dyDescent="0.25">
      <c r="A2856" s="2" t="s">
        <v>31</v>
      </c>
      <c r="B2856">
        <v>39</v>
      </c>
      <c r="C2856" s="2" t="s">
        <v>190</v>
      </c>
      <c r="D2856">
        <v>80</v>
      </c>
    </row>
    <row r="2857" spans="1:4" hidden="1" x14ac:dyDescent="0.25">
      <c r="A2857" s="2" t="s">
        <v>31</v>
      </c>
      <c r="B2857">
        <v>39</v>
      </c>
      <c r="C2857" s="2" t="s">
        <v>191</v>
      </c>
      <c r="D2857">
        <v>80</v>
      </c>
    </row>
    <row r="2858" spans="1:4" hidden="1" x14ac:dyDescent="0.25">
      <c r="A2858" s="2" t="s">
        <v>31</v>
      </c>
      <c r="B2858">
        <v>39</v>
      </c>
      <c r="C2858" s="2" t="s">
        <v>116</v>
      </c>
      <c r="D2858">
        <v>74</v>
      </c>
    </row>
    <row r="2859" spans="1:4" hidden="1" x14ac:dyDescent="0.25">
      <c r="A2859" s="2" t="s">
        <v>31</v>
      </c>
      <c r="B2859">
        <v>39</v>
      </c>
      <c r="C2859" s="2" t="s">
        <v>117</v>
      </c>
      <c r="D2859">
        <v>69</v>
      </c>
    </row>
    <row r="2860" spans="1:4" hidden="1" x14ac:dyDescent="0.25">
      <c r="A2860" s="2" t="s">
        <v>31</v>
      </c>
      <c r="B2860">
        <v>39</v>
      </c>
      <c r="C2860" s="2" t="s">
        <v>118</v>
      </c>
      <c r="D2860">
        <v>73</v>
      </c>
    </row>
    <row r="2861" spans="1:4" hidden="1" x14ac:dyDescent="0.25">
      <c r="A2861" s="2" t="s">
        <v>31</v>
      </c>
      <c r="B2861">
        <v>39</v>
      </c>
      <c r="C2861" s="2" t="s">
        <v>119</v>
      </c>
      <c r="D2861">
        <v>46</v>
      </c>
    </row>
    <row r="2862" spans="1:4" hidden="1" x14ac:dyDescent="0.25">
      <c r="A2862" s="2" t="s">
        <v>31</v>
      </c>
      <c r="B2862">
        <v>39</v>
      </c>
      <c r="C2862" s="2" t="s">
        <v>120</v>
      </c>
      <c r="D2862">
        <v>32</v>
      </c>
    </row>
    <row r="2863" spans="1:4" hidden="1" x14ac:dyDescent="0.25">
      <c r="A2863" s="2" t="s">
        <v>31</v>
      </c>
      <c r="B2863">
        <v>39</v>
      </c>
      <c r="C2863" s="2" t="s">
        <v>121</v>
      </c>
      <c r="D2863">
        <v>29</v>
      </c>
    </row>
    <row r="2864" spans="1:4" hidden="1" x14ac:dyDescent="0.25">
      <c r="A2864" s="2" t="s">
        <v>31</v>
      </c>
      <c r="B2864">
        <v>39</v>
      </c>
      <c r="C2864" s="2" t="s">
        <v>122</v>
      </c>
      <c r="D2864">
        <v>19</v>
      </c>
    </row>
    <row r="2865" spans="1:4" hidden="1" x14ac:dyDescent="0.25">
      <c r="A2865" s="2" t="s">
        <v>31</v>
      </c>
      <c r="B2865">
        <v>39</v>
      </c>
      <c r="C2865" s="2" t="s">
        <v>123</v>
      </c>
      <c r="D2865">
        <v>23</v>
      </c>
    </row>
    <row r="2866" spans="1:4" hidden="1" x14ac:dyDescent="0.25">
      <c r="A2866" s="2" t="s">
        <v>31</v>
      </c>
      <c r="B2866">
        <v>39</v>
      </c>
      <c r="C2866" s="2" t="s">
        <v>124</v>
      </c>
      <c r="D2866">
        <v>29</v>
      </c>
    </row>
    <row r="2867" spans="1:4" hidden="1" x14ac:dyDescent="0.25">
      <c r="A2867" s="2" t="s">
        <v>31</v>
      </c>
      <c r="B2867">
        <v>39</v>
      </c>
      <c r="C2867" s="2" t="s">
        <v>125</v>
      </c>
      <c r="D2867">
        <v>23</v>
      </c>
    </row>
    <row r="2868" spans="1:4" hidden="1" x14ac:dyDescent="0.25">
      <c r="A2868" s="2" t="s">
        <v>31</v>
      </c>
      <c r="B2868">
        <v>39</v>
      </c>
      <c r="C2868" s="2" t="s">
        <v>126</v>
      </c>
      <c r="D2868">
        <v>31</v>
      </c>
    </row>
    <row r="2869" spans="1:4" hidden="1" x14ac:dyDescent="0.25">
      <c r="A2869" s="2" t="s">
        <v>31</v>
      </c>
      <c r="B2869">
        <v>39</v>
      </c>
      <c r="C2869" s="2" t="s">
        <v>127</v>
      </c>
      <c r="D2869">
        <v>32</v>
      </c>
    </row>
    <row r="2870" spans="1:4" hidden="1" x14ac:dyDescent="0.25">
      <c r="A2870" s="2" t="s">
        <v>31</v>
      </c>
      <c r="B2870">
        <v>39</v>
      </c>
      <c r="C2870" s="2" t="s">
        <v>128</v>
      </c>
      <c r="D2870">
        <v>37</v>
      </c>
    </row>
    <row r="2871" spans="1:4" hidden="1" x14ac:dyDescent="0.25">
      <c r="A2871" s="2" t="s">
        <v>31</v>
      </c>
      <c r="B2871">
        <v>39</v>
      </c>
      <c r="C2871" s="2" t="s">
        <v>129</v>
      </c>
      <c r="D2871">
        <v>29</v>
      </c>
    </row>
    <row r="2872" spans="1:4" hidden="1" x14ac:dyDescent="0.25">
      <c r="A2872" s="2" t="s">
        <v>31</v>
      </c>
      <c r="B2872">
        <v>39</v>
      </c>
      <c r="C2872" s="2" t="s">
        <v>130</v>
      </c>
      <c r="D2872">
        <v>40</v>
      </c>
    </row>
    <row r="2873" spans="1:4" hidden="1" x14ac:dyDescent="0.25">
      <c r="A2873" s="2" t="s">
        <v>31</v>
      </c>
      <c r="B2873">
        <v>39</v>
      </c>
      <c r="C2873" s="2" t="s">
        <v>131</v>
      </c>
      <c r="D2873">
        <v>32</v>
      </c>
    </row>
    <row r="2874" spans="1:4" hidden="1" x14ac:dyDescent="0.25">
      <c r="A2874" s="2" t="s">
        <v>31</v>
      </c>
      <c r="B2874">
        <v>39</v>
      </c>
      <c r="C2874" s="2" t="s">
        <v>132</v>
      </c>
      <c r="D2874">
        <v>31</v>
      </c>
    </row>
    <row r="2875" spans="1:4" hidden="1" x14ac:dyDescent="0.25">
      <c r="A2875" s="2" t="s">
        <v>31</v>
      </c>
      <c r="B2875">
        <v>39</v>
      </c>
      <c r="C2875" s="2" t="s">
        <v>133</v>
      </c>
      <c r="D2875">
        <v>31</v>
      </c>
    </row>
    <row r="2876" spans="1:4" hidden="1" x14ac:dyDescent="0.25">
      <c r="A2876" s="2" t="s">
        <v>31</v>
      </c>
      <c r="B2876">
        <v>39</v>
      </c>
      <c r="C2876" s="2" t="s">
        <v>134</v>
      </c>
      <c r="D2876">
        <v>31</v>
      </c>
    </row>
    <row r="2877" spans="1:4" hidden="1" x14ac:dyDescent="0.25">
      <c r="A2877" s="2" t="s">
        <v>31</v>
      </c>
      <c r="B2877">
        <v>39</v>
      </c>
      <c r="C2877" s="2" t="s">
        <v>135</v>
      </c>
      <c r="D2877">
        <v>39</v>
      </c>
    </row>
    <row r="2878" spans="1:4" hidden="1" x14ac:dyDescent="0.25">
      <c r="A2878" s="2" t="s">
        <v>31</v>
      </c>
      <c r="B2878">
        <v>39</v>
      </c>
      <c r="C2878" s="2" t="s">
        <v>136</v>
      </c>
      <c r="D2878">
        <v>39</v>
      </c>
    </row>
    <row r="2879" spans="1:4" hidden="1" x14ac:dyDescent="0.25">
      <c r="A2879" s="2" t="s">
        <v>31</v>
      </c>
      <c r="B2879">
        <v>39</v>
      </c>
      <c r="C2879" s="2" t="s">
        <v>137</v>
      </c>
      <c r="D2879">
        <v>39</v>
      </c>
    </row>
    <row r="2880" spans="1:4" hidden="1" x14ac:dyDescent="0.25">
      <c r="A2880" s="2" t="s">
        <v>31</v>
      </c>
      <c r="B2880">
        <v>39</v>
      </c>
      <c r="C2880" s="2" t="s">
        <v>138</v>
      </c>
      <c r="D2880">
        <v>39</v>
      </c>
    </row>
    <row r="2881" spans="1:4" hidden="1" x14ac:dyDescent="0.25">
      <c r="A2881" s="2" t="s">
        <v>31</v>
      </c>
      <c r="B2881">
        <v>39</v>
      </c>
      <c r="C2881" s="2" t="s">
        <v>139</v>
      </c>
      <c r="D2881">
        <v>39</v>
      </c>
    </row>
    <row r="2882" spans="1:4" hidden="1" x14ac:dyDescent="0.25">
      <c r="A2882" s="2" t="s">
        <v>31</v>
      </c>
      <c r="B2882">
        <v>39</v>
      </c>
      <c r="C2882" s="2" t="s">
        <v>140</v>
      </c>
      <c r="D2882">
        <v>39</v>
      </c>
    </row>
    <row r="2883" spans="1:4" hidden="1" x14ac:dyDescent="0.25">
      <c r="A2883" s="2" t="s">
        <v>31</v>
      </c>
      <c r="B2883">
        <v>39</v>
      </c>
      <c r="C2883" s="2" t="s">
        <v>141</v>
      </c>
      <c r="D2883">
        <v>39</v>
      </c>
    </row>
    <row r="2884" spans="1:4" hidden="1" x14ac:dyDescent="0.25">
      <c r="A2884" s="2" t="s">
        <v>31</v>
      </c>
      <c r="B2884">
        <v>39</v>
      </c>
      <c r="C2884" s="2" t="s">
        <v>142</v>
      </c>
      <c r="D2884">
        <v>39</v>
      </c>
    </row>
    <row r="2885" spans="1:4" hidden="1" x14ac:dyDescent="0.25">
      <c r="A2885" s="2" t="s">
        <v>31</v>
      </c>
      <c r="B2885">
        <v>39</v>
      </c>
      <c r="C2885" s="2" t="s">
        <v>143</v>
      </c>
      <c r="D2885">
        <v>39</v>
      </c>
    </row>
    <row r="2886" spans="1:4" hidden="1" x14ac:dyDescent="0.25">
      <c r="A2886" s="2" t="s">
        <v>31</v>
      </c>
      <c r="B2886">
        <v>39</v>
      </c>
      <c r="C2886" s="2" t="s">
        <v>144</v>
      </c>
      <c r="D2886">
        <v>39</v>
      </c>
    </row>
    <row r="2887" spans="1:4" hidden="1" x14ac:dyDescent="0.25">
      <c r="A2887" s="2" t="s">
        <v>31</v>
      </c>
      <c r="B2887">
        <v>39</v>
      </c>
      <c r="C2887" s="2" t="s">
        <v>145</v>
      </c>
      <c r="D2887">
        <v>39</v>
      </c>
    </row>
    <row r="2888" spans="1:4" hidden="1" x14ac:dyDescent="0.25">
      <c r="A2888" s="2" t="s">
        <v>31</v>
      </c>
      <c r="B2888">
        <v>39</v>
      </c>
      <c r="C2888" s="2" t="s">
        <v>146</v>
      </c>
      <c r="D2888">
        <v>39</v>
      </c>
    </row>
    <row r="2889" spans="1:4" hidden="1" x14ac:dyDescent="0.25">
      <c r="A2889" s="2" t="s">
        <v>31</v>
      </c>
      <c r="B2889">
        <v>39</v>
      </c>
      <c r="C2889" s="2" t="s">
        <v>147</v>
      </c>
      <c r="D2889">
        <v>39</v>
      </c>
    </row>
    <row r="2890" spans="1:4" hidden="1" x14ac:dyDescent="0.25">
      <c r="A2890" s="2" t="s">
        <v>31</v>
      </c>
      <c r="B2890">
        <v>39</v>
      </c>
      <c r="C2890" s="2" t="s">
        <v>148</v>
      </c>
      <c r="D2890">
        <v>39</v>
      </c>
    </row>
    <row r="2891" spans="1:4" hidden="1" x14ac:dyDescent="0.25">
      <c r="A2891" s="2" t="s">
        <v>31</v>
      </c>
      <c r="B2891">
        <v>39</v>
      </c>
      <c r="C2891" s="2" t="s">
        <v>149</v>
      </c>
      <c r="D2891">
        <v>39</v>
      </c>
    </row>
    <row r="2892" spans="1:4" hidden="1" x14ac:dyDescent="0.25">
      <c r="A2892" s="2" t="s">
        <v>31</v>
      </c>
      <c r="B2892">
        <v>39</v>
      </c>
      <c r="C2892" s="2" t="s">
        <v>150</v>
      </c>
      <c r="D2892">
        <v>39</v>
      </c>
    </row>
    <row r="2893" spans="1:4" hidden="1" x14ac:dyDescent="0.25">
      <c r="A2893" s="2" t="s">
        <v>31</v>
      </c>
      <c r="B2893">
        <v>39</v>
      </c>
      <c r="C2893" s="2" t="s">
        <v>151</v>
      </c>
      <c r="D2893">
        <v>39</v>
      </c>
    </row>
    <row r="2894" spans="1:4" hidden="1" x14ac:dyDescent="0.25">
      <c r="A2894" s="2" t="s">
        <v>31</v>
      </c>
      <c r="B2894">
        <v>39</v>
      </c>
      <c r="C2894" s="2" t="s">
        <v>152</v>
      </c>
      <c r="D2894">
        <v>39</v>
      </c>
    </row>
    <row r="2895" spans="1:4" hidden="1" x14ac:dyDescent="0.25">
      <c r="A2895" s="2" t="s">
        <v>31</v>
      </c>
      <c r="B2895">
        <v>39</v>
      </c>
      <c r="C2895" s="2" t="s">
        <v>153</v>
      </c>
      <c r="D2895">
        <v>39</v>
      </c>
    </row>
    <row r="2896" spans="1:4" hidden="1" x14ac:dyDescent="0.25">
      <c r="A2896" s="2" t="s">
        <v>31</v>
      </c>
      <c r="B2896">
        <v>39</v>
      </c>
      <c r="C2896" s="2" t="s">
        <v>154</v>
      </c>
      <c r="D2896">
        <v>39</v>
      </c>
    </row>
    <row r="2897" spans="1:4" hidden="1" x14ac:dyDescent="0.25">
      <c r="A2897" s="2" t="s">
        <v>31</v>
      </c>
      <c r="B2897">
        <v>39</v>
      </c>
      <c r="C2897" s="2" t="s">
        <v>155</v>
      </c>
      <c r="D2897">
        <v>39</v>
      </c>
    </row>
    <row r="2898" spans="1:4" hidden="1" x14ac:dyDescent="0.25">
      <c r="A2898" s="2" t="s">
        <v>31</v>
      </c>
      <c r="B2898">
        <v>39</v>
      </c>
      <c r="C2898" s="2" t="s">
        <v>156</v>
      </c>
      <c r="D2898">
        <v>39</v>
      </c>
    </row>
    <row r="2899" spans="1:4" hidden="1" x14ac:dyDescent="0.25">
      <c r="A2899" s="2" t="s">
        <v>31</v>
      </c>
      <c r="B2899">
        <v>39</v>
      </c>
      <c r="C2899" s="2" t="s">
        <v>157</v>
      </c>
      <c r="D2899">
        <v>39</v>
      </c>
    </row>
    <row r="2900" spans="1:4" hidden="1" x14ac:dyDescent="0.25">
      <c r="A2900" s="2" t="s">
        <v>31</v>
      </c>
      <c r="B2900">
        <v>39</v>
      </c>
      <c r="C2900" s="2" t="s">
        <v>158</v>
      </c>
      <c r="D2900">
        <v>39</v>
      </c>
    </row>
    <row r="2901" spans="1:4" hidden="1" x14ac:dyDescent="0.25">
      <c r="A2901" s="2" t="s">
        <v>31</v>
      </c>
      <c r="B2901">
        <v>39</v>
      </c>
      <c r="C2901" s="2" t="s">
        <v>159</v>
      </c>
      <c r="D2901">
        <v>39</v>
      </c>
    </row>
    <row r="2902" spans="1:4" hidden="1" x14ac:dyDescent="0.25">
      <c r="A2902" s="2" t="s">
        <v>31</v>
      </c>
      <c r="B2902">
        <v>39</v>
      </c>
      <c r="C2902" s="2" t="s">
        <v>160</v>
      </c>
      <c r="D2902">
        <v>39</v>
      </c>
    </row>
    <row r="2903" spans="1:4" hidden="1" x14ac:dyDescent="0.25">
      <c r="A2903" s="2" t="s">
        <v>31</v>
      </c>
      <c r="B2903">
        <v>39</v>
      </c>
      <c r="C2903" s="2" t="s">
        <v>161</v>
      </c>
      <c r="D2903">
        <v>39</v>
      </c>
    </row>
    <row r="2904" spans="1:4" hidden="1" x14ac:dyDescent="0.25">
      <c r="A2904" s="2" t="s">
        <v>31</v>
      </c>
      <c r="B2904">
        <v>39</v>
      </c>
      <c r="C2904" s="2" t="s">
        <v>162</v>
      </c>
      <c r="D2904">
        <v>39</v>
      </c>
    </row>
    <row r="2905" spans="1:4" hidden="1" x14ac:dyDescent="0.25">
      <c r="A2905" s="2" t="s">
        <v>31</v>
      </c>
      <c r="B2905">
        <v>39</v>
      </c>
      <c r="C2905" s="2" t="s">
        <v>163</v>
      </c>
      <c r="D2905">
        <v>39</v>
      </c>
    </row>
    <row r="2906" spans="1:4" hidden="1" x14ac:dyDescent="0.25">
      <c r="A2906" s="2" t="s">
        <v>31</v>
      </c>
      <c r="B2906">
        <v>39</v>
      </c>
      <c r="C2906" s="2" t="s">
        <v>164</v>
      </c>
      <c r="D2906">
        <v>39</v>
      </c>
    </row>
    <row r="2907" spans="1:4" hidden="1" x14ac:dyDescent="0.25">
      <c r="A2907" s="2" t="s">
        <v>31</v>
      </c>
      <c r="B2907">
        <v>39</v>
      </c>
      <c r="C2907" s="2" t="s">
        <v>165</v>
      </c>
      <c r="D2907">
        <v>39</v>
      </c>
    </row>
    <row r="2908" spans="1:4" hidden="1" x14ac:dyDescent="0.25">
      <c r="A2908" s="2" t="s">
        <v>31</v>
      </c>
      <c r="B2908">
        <v>39</v>
      </c>
      <c r="C2908" s="2" t="s">
        <v>166</v>
      </c>
      <c r="D2908">
        <v>39</v>
      </c>
    </row>
    <row r="2909" spans="1:4" hidden="1" x14ac:dyDescent="0.25">
      <c r="A2909" s="2" t="s">
        <v>31</v>
      </c>
      <c r="B2909">
        <v>39</v>
      </c>
      <c r="C2909" s="2" t="s">
        <v>167</v>
      </c>
      <c r="D2909">
        <v>39</v>
      </c>
    </row>
    <row r="2910" spans="1:4" hidden="1" x14ac:dyDescent="0.25">
      <c r="A2910" s="2" t="s">
        <v>31</v>
      </c>
      <c r="B2910">
        <v>39</v>
      </c>
      <c r="C2910" s="2" t="s">
        <v>168</v>
      </c>
      <c r="D2910">
        <v>39</v>
      </c>
    </row>
    <row r="2911" spans="1:4" hidden="1" x14ac:dyDescent="0.25">
      <c r="A2911" s="2" t="s">
        <v>31</v>
      </c>
      <c r="B2911">
        <v>39</v>
      </c>
      <c r="C2911" s="2" t="s">
        <v>169</v>
      </c>
      <c r="D2911">
        <v>39</v>
      </c>
    </row>
    <row r="2912" spans="1:4" hidden="1" x14ac:dyDescent="0.25">
      <c r="A2912" s="2" t="s">
        <v>31</v>
      </c>
      <c r="B2912">
        <v>39</v>
      </c>
      <c r="C2912" s="2" t="s">
        <v>170</v>
      </c>
      <c r="D2912">
        <v>39</v>
      </c>
    </row>
    <row r="2913" spans="1:4" hidden="1" x14ac:dyDescent="0.25">
      <c r="A2913" s="2" t="s">
        <v>31</v>
      </c>
      <c r="B2913">
        <v>39</v>
      </c>
      <c r="C2913" s="2" t="s">
        <v>171</v>
      </c>
      <c r="D2913">
        <v>39</v>
      </c>
    </row>
    <row r="2914" spans="1:4" hidden="1" x14ac:dyDescent="0.25">
      <c r="A2914" s="2" t="s">
        <v>31</v>
      </c>
      <c r="B2914">
        <v>39</v>
      </c>
      <c r="C2914" s="2" t="s">
        <v>172</v>
      </c>
      <c r="D2914">
        <v>39</v>
      </c>
    </row>
    <row r="2915" spans="1:4" hidden="1" x14ac:dyDescent="0.25">
      <c r="A2915" s="2" t="s">
        <v>31</v>
      </c>
      <c r="B2915">
        <v>39</v>
      </c>
      <c r="C2915" s="2" t="s">
        <v>173</v>
      </c>
      <c r="D2915">
        <v>39</v>
      </c>
    </row>
    <row r="2916" spans="1:4" hidden="1" x14ac:dyDescent="0.25">
      <c r="A2916" s="2" t="s">
        <v>31</v>
      </c>
      <c r="B2916">
        <v>39</v>
      </c>
      <c r="C2916" s="2" t="s">
        <v>174</v>
      </c>
      <c r="D2916">
        <v>39</v>
      </c>
    </row>
    <row r="2917" spans="1:4" hidden="1" x14ac:dyDescent="0.25">
      <c r="A2917" s="2" t="s">
        <v>31</v>
      </c>
      <c r="B2917">
        <v>39</v>
      </c>
      <c r="C2917" s="2" t="s">
        <v>175</v>
      </c>
      <c r="D2917">
        <v>39</v>
      </c>
    </row>
    <row r="2918" spans="1:4" hidden="1" x14ac:dyDescent="0.25">
      <c r="A2918" s="2" t="s">
        <v>31</v>
      </c>
      <c r="B2918">
        <v>39</v>
      </c>
      <c r="C2918" s="2" t="s">
        <v>176</v>
      </c>
      <c r="D2918">
        <v>39</v>
      </c>
    </row>
    <row r="2919" spans="1:4" hidden="1" x14ac:dyDescent="0.25">
      <c r="A2919" s="2" t="s">
        <v>31</v>
      </c>
      <c r="B2919">
        <v>39</v>
      </c>
      <c r="C2919" s="2" t="s">
        <v>177</v>
      </c>
      <c r="D2919">
        <v>39</v>
      </c>
    </row>
    <row r="2920" spans="1:4" hidden="1" x14ac:dyDescent="0.25">
      <c r="A2920" s="2" t="s">
        <v>31</v>
      </c>
      <c r="B2920">
        <v>39</v>
      </c>
      <c r="C2920" s="2" t="s">
        <v>178</v>
      </c>
      <c r="D2920">
        <v>39</v>
      </c>
    </row>
    <row r="2921" spans="1:4" hidden="1" x14ac:dyDescent="0.25">
      <c r="A2921" s="2" t="s">
        <v>31</v>
      </c>
      <c r="B2921">
        <v>39</v>
      </c>
      <c r="C2921" s="2" t="s">
        <v>179</v>
      </c>
      <c r="D2921">
        <v>39</v>
      </c>
    </row>
    <row r="2922" spans="1:4" hidden="1" x14ac:dyDescent="0.25">
      <c r="A2922" s="2" t="s">
        <v>58</v>
      </c>
      <c r="B2922">
        <v>39</v>
      </c>
      <c r="C2922" s="2" t="s">
        <v>183</v>
      </c>
      <c r="D2922">
        <v>78</v>
      </c>
    </row>
    <row r="2923" spans="1:4" hidden="1" x14ac:dyDescent="0.25">
      <c r="A2923" s="2" t="s">
        <v>58</v>
      </c>
      <c r="B2923">
        <v>39</v>
      </c>
      <c r="C2923" s="2" t="s">
        <v>184</v>
      </c>
      <c r="D2923">
        <v>77</v>
      </c>
    </row>
    <row r="2924" spans="1:4" hidden="1" x14ac:dyDescent="0.25">
      <c r="A2924" s="2" t="s">
        <v>58</v>
      </c>
      <c r="B2924">
        <v>39</v>
      </c>
      <c r="C2924" s="2" t="s">
        <v>185</v>
      </c>
      <c r="D2924">
        <v>82</v>
      </c>
    </row>
    <row r="2925" spans="1:4" hidden="1" x14ac:dyDescent="0.25">
      <c r="A2925" s="2" t="s">
        <v>58</v>
      </c>
      <c r="B2925">
        <v>39</v>
      </c>
      <c r="C2925" s="2" t="s">
        <v>186</v>
      </c>
      <c r="D2925">
        <v>54</v>
      </c>
    </row>
    <row r="2926" spans="1:4" hidden="1" x14ac:dyDescent="0.25">
      <c r="A2926" s="2" t="s">
        <v>58</v>
      </c>
      <c r="B2926">
        <v>39</v>
      </c>
      <c r="C2926" s="2" t="s">
        <v>187</v>
      </c>
      <c r="D2926">
        <v>55</v>
      </c>
    </row>
    <row r="2927" spans="1:4" hidden="1" x14ac:dyDescent="0.25">
      <c r="A2927" s="2" t="s">
        <v>58</v>
      </c>
      <c r="B2927">
        <v>39</v>
      </c>
      <c r="C2927" s="2" t="s">
        <v>188</v>
      </c>
      <c r="D2927">
        <v>68</v>
      </c>
    </row>
    <row r="2928" spans="1:4" hidden="1" x14ac:dyDescent="0.25">
      <c r="A2928" s="2" t="s">
        <v>58</v>
      </c>
      <c r="B2928">
        <v>39</v>
      </c>
      <c r="C2928" s="2" t="s">
        <v>189</v>
      </c>
      <c r="D2928">
        <v>49</v>
      </c>
    </row>
    <row r="2929" spans="1:4" hidden="1" x14ac:dyDescent="0.25">
      <c r="A2929" s="2" t="s">
        <v>58</v>
      </c>
      <c r="B2929">
        <v>39</v>
      </c>
      <c r="C2929" s="2" t="s">
        <v>190</v>
      </c>
      <c r="D2929">
        <v>49</v>
      </c>
    </row>
    <row r="2930" spans="1:4" hidden="1" x14ac:dyDescent="0.25">
      <c r="A2930" s="2" t="s">
        <v>58</v>
      </c>
      <c r="B2930">
        <v>39</v>
      </c>
      <c r="C2930" s="2" t="s">
        <v>191</v>
      </c>
      <c r="D2930">
        <v>64</v>
      </c>
    </row>
    <row r="2931" spans="1:4" hidden="1" x14ac:dyDescent="0.25">
      <c r="A2931" s="2" t="s">
        <v>58</v>
      </c>
      <c r="B2931">
        <v>39</v>
      </c>
      <c r="C2931" s="2" t="s">
        <v>116</v>
      </c>
      <c r="D2931">
        <v>65</v>
      </c>
    </row>
    <row r="2932" spans="1:4" hidden="1" x14ac:dyDescent="0.25">
      <c r="A2932" s="2" t="s">
        <v>58</v>
      </c>
      <c r="B2932">
        <v>39</v>
      </c>
      <c r="C2932" s="2" t="s">
        <v>117</v>
      </c>
      <c r="D2932">
        <v>61</v>
      </c>
    </row>
    <row r="2933" spans="1:4" hidden="1" x14ac:dyDescent="0.25">
      <c r="A2933" s="2" t="s">
        <v>58</v>
      </c>
      <c r="B2933">
        <v>39</v>
      </c>
      <c r="C2933" s="2" t="s">
        <v>118</v>
      </c>
      <c r="D2933">
        <v>69</v>
      </c>
    </row>
    <row r="2934" spans="1:4" hidden="1" x14ac:dyDescent="0.25">
      <c r="A2934" s="2" t="s">
        <v>58</v>
      </c>
      <c r="B2934">
        <v>39</v>
      </c>
      <c r="C2934" s="2" t="s">
        <v>119</v>
      </c>
      <c r="D2934">
        <v>43</v>
      </c>
    </row>
    <row r="2935" spans="1:4" hidden="1" x14ac:dyDescent="0.25">
      <c r="A2935" s="2" t="s">
        <v>58</v>
      </c>
      <c r="B2935">
        <v>39</v>
      </c>
      <c r="C2935" s="2" t="s">
        <v>120</v>
      </c>
      <c r="D2935">
        <v>29</v>
      </c>
    </row>
    <row r="2936" spans="1:4" hidden="1" x14ac:dyDescent="0.25">
      <c r="A2936" s="2" t="s">
        <v>58</v>
      </c>
      <c r="B2936">
        <v>39</v>
      </c>
      <c r="C2936" s="2" t="s">
        <v>121</v>
      </c>
      <c r="D2936">
        <v>32</v>
      </c>
    </row>
    <row r="2937" spans="1:4" hidden="1" x14ac:dyDescent="0.25">
      <c r="A2937" s="2" t="s">
        <v>58</v>
      </c>
      <c r="B2937">
        <v>39</v>
      </c>
      <c r="C2937" s="2" t="s">
        <v>122</v>
      </c>
      <c r="D2937">
        <v>41</v>
      </c>
    </row>
    <row r="2938" spans="1:4" hidden="1" x14ac:dyDescent="0.25">
      <c r="A2938" s="2" t="s">
        <v>58</v>
      </c>
      <c r="B2938">
        <v>39</v>
      </c>
      <c r="C2938" s="2" t="s">
        <v>123</v>
      </c>
      <c r="D2938">
        <v>28</v>
      </c>
    </row>
    <row r="2939" spans="1:4" hidden="1" x14ac:dyDescent="0.25">
      <c r="A2939" s="2" t="s">
        <v>58</v>
      </c>
      <c r="B2939">
        <v>39</v>
      </c>
      <c r="C2939" s="2" t="s">
        <v>124</v>
      </c>
      <c r="D2939">
        <v>34</v>
      </c>
    </row>
    <row r="2940" spans="1:4" hidden="1" x14ac:dyDescent="0.25">
      <c r="A2940" s="2" t="s">
        <v>58</v>
      </c>
      <c r="B2940">
        <v>39</v>
      </c>
      <c r="C2940" s="2" t="s">
        <v>125</v>
      </c>
      <c r="D2940">
        <v>26</v>
      </c>
    </row>
    <row r="2941" spans="1:4" hidden="1" x14ac:dyDescent="0.25">
      <c r="A2941" s="2" t="s">
        <v>58</v>
      </c>
      <c r="B2941">
        <v>39</v>
      </c>
      <c r="C2941" s="2" t="s">
        <v>126</v>
      </c>
      <c r="D2941">
        <v>34</v>
      </c>
    </row>
    <row r="2942" spans="1:4" hidden="1" x14ac:dyDescent="0.25">
      <c r="A2942" s="2" t="s">
        <v>58</v>
      </c>
      <c r="B2942">
        <v>39</v>
      </c>
      <c r="C2942" s="2" t="s">
        <v>127</v>
      </c>
      <c r="D2942">
        <v>36</v>
      </c>
    </row>
    <row r="2943" spans="1:4" hidden="1" x14ac:dyDescent="0.25">
      <c r="A2943" s="2" t="s">
        <v>58</v>
      </c>
      <c r="B2943">
        <v>39</v>
      </c>
      <c r="C2943" s="2" t="s">
        <v>128</v>
      </c>
      <c r="D2943">
        <v>40</v>
      </c>
    </row>
    <row r="2944" spans="1:4" hidden="1" x14ac:dyDescent="0.25">
      <c r="A2944" s="2" t="s">
        <v>58</v>
      </c>
      <c r="B2944">
        <v>39</v>
      </c>
      <c r="C2944" s="2" t="s">
        <v>129</v>
      </c>
      <c r="D2944">
        <v>32</v>
      </c>
    </row>
    <row r="2945" spans="1:4" hidden="1" x14ac:dyDescent="0.25">
      <c r="A2945" s="2" t="s">
        <v>58</v>
      </c>
      <c r="B2945">
        <v>39</v>
      </c>
      <c r="C2945" s="2" t="s">
        <v>130</v>
      </c>
      <c r="D2945">
        <v>43</v>
      </c>
    </row>
    <row r="2946" spans="1:4" hidden="1" x14ac:dyDescent="0.25">
      <c r="A2946" s="2" t="s">
        <v>58</v>
      </c>
      <c r="B2946">
        <v>39</v>
      </c>
      <c r="C2946" s="2" t="s">
        <v>131</v>
      </c>
      <c r="D2946">
        <v>43</v>
      </c>
    </row>
    <row r="2947" spans="1:4" hidden="1" x14ac:dyDescent="0.25">
      <c r="A2947" s="2" t="s">
        <v>58</v>
      </c>
      <c r="B2947">
        <v>39</v>
      </c>
      <c r="C2947" s="2" t="s">
        <v>132</v>
      </c>
      <c r="D2947">
        <v>44</v>
      </c>
    </row>
    <row r="2948" spans="1:4" hidden="1" x14ac:dyDescent="0.25">
      <c r="A2948" s="2" t="s">
        <v>58</v>
      </c>
      <c r="B2948">
        <v>39</v>
      </c>
      <c r="C2948" s="2" t="s">
        <v>133</v>
      </c>
      <c r="D2948">
        <v>44</v>
      </c>
    </row>
    <row r="2949" spans="1:4" hidden="1" x14ac:dyDescent="0.25">
      <c r="A2949" s="2" t="s">
        <v>58</v>
      </c>
      <c r="B2949">
        <v>39</v>
      </c>
      <c r="C2949" s="2" t="s">
        <v>134</v>
      </c>
      <c r="D2949">
        <v>39</v>
      </c>
    </row>
    <row r="2950" spans="1:4" hidden="1" x14ac:dyDescent="0.25">
      <c r="A2950" s="2" t="s">
        <v>58</v>
      </c>
      <c r="B2950">
        <v>39</v>
      </c>
      <c r="C2950" s="2" t="s">
        <v>135</v>
      </c>
      <c r="D2950">
        <v>39</v>
      </c>
    </row>
    <row r="2951" spans="1:4" hidden="1" x14ac:dyDescent="0.25">
      <c r="A2951" s="2" t="s">
        <v>58</v>
      </c>
      <c r="B2951">
        <v>39</v>
      </c>
      <c r="C2951" s="2" t="s">
        <v>136</v>
      </c>
      <c r="D2951">
        <v>39</v>
      </c>
    </row>
    <row r="2952" spans="1:4" hidden="1" x14ac:dyDescent="0.25">
      <c r="A2952" s="2" t="s">
        <v>58</v>
      </c>
      <c r="B2952">
        <v>39</v>
      </c>
      <c r="C2952" s="2" t="s">
        <v>137</v>
      </c>
      <c r="D2952">
        <v>39</v>
      </c>
    </row>
    <row r="2953" spans="1:4" hidden="1" x14ac:dyDescent="0.25">
      <c r="A2953" s="2" t="s">
        <v>58</v>
      </c>
      <c r="B2953">
        <v>39</v>
      </c>
      <c r="C2953" s="2" t="s">
        <v>138</v>
      </c>
      <c r="D2953">
        <v>39</v>
      </c>
    </row>
    <row r="2954" spans="1:4" hidden="1" x14ac:dyDescent="0.25">
      <c r="A2954" s="2" t="s">
        <v>58</v>
      </c>
      <c r="B2954">
        <v>39</v>
      </c>
      <c r="C2954" s="2" t="s">
        <v>139</v>
      </c>
      <c r="D2954">
        <v>39</v>
      </c>
    </row>
    <row r="2955" spans="1:4" hidden="1" x14ac:dyDescent="0.25">
      <c r="A2955" s="2" t="s">
        <v>58</v>
      </c>
      <c r="B2955">
        <v>39</v>
      </c>
      <c r="C2955" s="2" t="s">
        <v>140</v>
      </c>
      <c r="D2955">
        <v>39</v>
      </c>
    </row>
    <row r="2956" spans="1:4" hidden="1" x14ac:dyDescent="0.25">
      <c r="A2956" s="2" t="s">
        <v>58</v>
      </c>
      <c r="B2956">
        <v>39</v>
      </c>
      <c r="C2956" s="2" t="s">
        <v>141</v>
      </c>
      <c r="D2956">
        <v>39</v>
      </c>
    </row>
    <row r="2957" spans="1:4" hidden="1" x14ac:dyDescent="0.25">
      <c r="A2957" s="2" t="s">
        <v>58</v>
      </c>
      <c r="B2957">
        <v>39</v>
      </c>
      <c r="C2957" s="2" t="s">
        <v>142</v>
      </c>
      <c r="D2957">
        <v>39</v>
      </c>
    </row>
    <row r="2958" spans="1:4" hidden="1" x14ac:dyDescent="0.25">
      <c r="A2958" s="2" t="s">
        <v>58</v>
      </c>
      <c r="B2958">
        <v>39</v>
      </c>
      <c r="C2958" s="2" t="s">
        <v>143</v>
      </c>
      <c r="D2958">
        <v>39</v>
      </c>
    </row>
    <row r="2959" spans="1:4" hidden="1" x14ac:dyDescent="0.25">
      <c r="A2959" s="2" t="s">
        <v>58</v>
      </c>
      <c r="B2959">
        <v>39</v>
      </c>
      <c r="C2959" s="2" t="s">
        <v>144</v>
      </c>
      <c r="D2959">
        <v>39</v>
      </c>
    </row>
    <row r="2960" spans="1:4" hidden="1" x14ac:dyDescent="0.25">
      <c r="A2960" s="2" t="s">
        <v>58</v>
      </c>
      <c r="B2960">
        <v>39</v>
      </c>
      <c r="C2960" s="2" t="s">
        <v>145</v>
      </c>
      <c r="D2960">
        <v>39</v>
      </c>
    </row>
    <row r="2961" spans="1:4" hidden="1" x14ac:dyDescent="0.25">
      <c r="A2961" s="2" t="s">
        <v>58</v>
      </c>
      <c r="B2961">
        <v>39</v>
      </c>
      <c r="C2961" s="2" t="s">
        <v>146</v>
      </c>
      <c r="D2961">
        <v>39</v>
      </c>
    </row>
    <row r="2962" spans="1:4" hidden="1" x14ac:dyDescent="0.25">
      <c r="A2962" s="2" t="s">
        <v>58</v>
      </c>
      <c r="B2962">
        <v>39</v>
      </c>
      <c r="C2962" s="2" t="s">
        <v>147</v>
      </c>
      <c r="D2962">
        <v>39</v>
      </c>
    </row>
    <row r="2963" spans="1:4" hidden="1" x14ac:dyDescent="0.25">
      <c r="A2963" s="2" t="s">
        <v>58</v>
      </c>
      <c r="B2963">
        <v>39</v>
      </c>
      <c r="C2963" s="2" t="s">
        <v>148</v>
      </c>
      <c r="D2963">
        <v>39</v>
      </c>
    </row>
    <row r="2964" spans="1:4" hidden="1" x14ac:dyDescent="0.25">
      <c r="A2964" s="2" t="s">
        <v>58</v>
      </c>
      <c r="B2964">
        <v>39</v>
      </c>
      <c r="C2964" s="2" t="s">
        <v>149</v>
      </c>
      <c r="D2964">
        <v>39</v>
      </c>
    </row>
    <row r="2965" spans="1:4" hidden="1" x14ac:dyDescent="0.25">
      <c r="A2965" s="2" t="s">
        <v>58</v>
      </c>
      <c r="B2965">
        <v>39</v>
      </c>
      <c r="C2965" s="2" t="s">
        <v>150</v>
      </c>
      <c r="D2965">
        <v>39</v>
      </c>
    </row>
    <row r="2966" spans="1:4" hidden="1" x14ac:dyDescent="0.25">
      <c r="A2966" s="2" t="s">
        <v>58</v>
      </c>
      <c r="B2966">
        <v>39</v>
      </c>
      <c r="C2966" s="2" t="s">
        <v>151</v>
      </c>
      <c r="D2966">
        <v>39</v>
      </c>
    </row>
    <row r="2967" spans="1:4" hidden="1" x14ac:dyDescent="0.25">
      <c r="A2967" s="2" t="s">
        <v>58</v>
      </c>
      <c r="B2967">
        <v>39</v>
      </c>
      <c r="C2967" s="2" t="s">
        <v>152</v>
      </c>
      <c r="D2967">
        <v>39</v>
      </c>
    </row>
    <row r="2968" spans="1:4" hidden="1" x14ac:dyDescent="0.25">
      <c r="A2968" s="2" t="s">
        <v>58</v>
      </c>
      <c r="B2968">
        <v>39</v>
      </c>
      <c r="C2968" s="2" t="s">
        <v>153</v>
      </c>
      <c r="D2968">
        <v>39</v>
      </c>
    </row>
    <row r="2969" spans="1:4" hidden="1" x14ac:dyDescent="0.25">
      <c r="A2969" s="2" t="s">
        <v>58</v>
      </c>
      <c r="B2969">
        <v>39</v>
      </c>
      <c r="C2969" s="2" t="s">
        <v>154</v>
      </c>
      <c r="D2969">
        <v>39</v>
      </c>
    </row>
    <row r="2970" spans="1:4" hidden="1" x14ac:dyDescent="0.25">
      <c r="A2970" s="2" t="s">
        <v>58</v>
      </c>
      <c r="B2970">
        <v>39</v>
      </c>
      <c r="C2970" s="2" t="s">
        <v>155</v>
      </c>
      <c r="D2970">
        <v>39</v>
      </c>
    </row>
    <row r="2971" spans="1:4" hidden="1" x14ac:dyDescent="0.25">
      <c r="A2971" s="2" t="s">
        <v>58</v>
      </c>
      <c r="B2971">
        <v>39</v>
      </c>
      <c r="C2971" s="2" t="s">
        <v>156</v>
      </c>
      <c r="D2971">
        <v>39</v>
      </c>
    </row>
    <row r="2972" spans="1:4" hidden="1" x14ac:dyDescent="0.25">
      <c r="A2972" s="2" t="s">
        <v>58</v>
      </c>
      <c r="B2972">
        <v>39</v>
      </c>
      <c r="C2972" s="2" t="s">
        <v>157</v>
      </c>
      <c r="D2972">
        <v>39</v>
      </c>
    </row>
    <row r="2973" spans="1:4" hidden="1" x14ac:dyDescent="0.25">
      <c r="A2973" s="2" t="s">
        <v>58</v>
      </c>
      <c r="B2973">
        <v>39</v>
      </c>
      <c r="C2973" s="2" t="s">
        <v>158</v>
      </c>
      <c r="D2973">
        <v>39</v>
      </c>
    </row>
    <row r="2974" spans="1:4" hidden="1" x14ac:dyDescent="0.25">
      <c r="A2974" s="2" t="s">
        <v>58</v>
      </c>
      <c r="B2974">
        <v>39</v>
      </c>
      <c r="C2974" s="2" t="s">
        <v>159</v>
      </c>
      <c r="D2974">
        <v>39</v>
      </c>
    </row>
    <row r="2975" spans="1:4" hidden="1" x14ac:dyDescent="0.25">
      <c r="A2975" s="2" t="s">
        <v>58</v>
      </c>
      <c r="B2975">
        <v>39</v>
      </c>
      <c r="C2975" s="2" t="s">
        <v>160</v>
      </c>
      <c r="D2975">
        <v>39</v>
      </c>
    </row>
    <row r="2976" spans="1:4" hidden="1" x14ac:dyDescent="0.25">
      <c r="A2976" s="2" t="s">
        <v>58</v>
      </c>
      <c r="B2976">
        <v>39</v>
      </c>
      <c r="C2976" s="2" t="s">
        <v>161</v>
      </c>
      <c r="D2976">
        <v>39</v>
      </c>
    </row>
    <row r="2977" spans="1:4" hidden="1" x14ac:dyDescent="0.25">
      <c r="A2977" s="2" t="s">
        <v>58</v>
      </c>
      <c r="B2977">
        <v>39</v>
      </c>
      <c r="C2977" s="2" t="s">
        <v>162</v>
      </c>
      <c r="D2977">
        <v>39</v>
      </c>
    </row>
    <row r="2978" spans="1:4" hidden="1" x14ac:dyDescent="0.25">
      <c r="A2978" s="2" t="s">
        <v>58</v>
      </c>
      <c r="B2978">
        <v>39</v>
      </c>
      <c r="C2978" s="2" t="s">
        <v>163</v>
      </c>
      <c r="D2978">
        <v>39</v>
      </c>
    </row>
    <row r="2979" spans="1:4" hidden="1" x14ac:dyDescent="0.25">
      <c r="A2979" s="2" t="s">
        <v>58</v>
      </c>
      <c r="B2979">
        <v>39</v>
      </c>
      <c r="C2979" s="2" t="s">
        <v>164</v>
      </c>
      <c r="D2979">
        <v>39</v>
      </c>
    </row>
    <row r="2980" spans="1:4" hidden="1" x14ac:dyDescent="0.25">
      <c r="A2980" s="2" t="s">
        <v>58</v>
      </c>
      <c r="B2980">
        <v>39</v>
      </c>
      <c r="C2980" s="2" t="s">
        <v>165</v>
      </c>
      <c r="D2980">
        <v>39</v>
      </c>
    </row>
    <row r="2981" spans="1:4" hidden="1" x14ac:dyDescent="0.25">
      <c r="A2981" s="2" t="s">
        <v>58</v>
      </c>
      <c r="B2981">
        <v>39</v>
      </c>
      <c r="C2981" s="2" t="s">
        <v>166</v>
      </c>
      <c r="D2981">
        <v>39</v>
      </c>
    </row>
    <row r="2982" spans="1:4" hidden="1" x14ac:dyDescent="0.25">
      <c r="A2982" s="2" t="s">
        <v>58</v>
      </c>
      <c r="B2982">
        <v>39</v>
      </c>
      <c r="C2982" s="2" t="s">
        <v>167</v>
      </c>
      <c r="D2982">
        <v>39</v>
      </c>
    </row>
    <row r="2983" spans="1:4" hidden="1" x14ac:dyDescent="0.25">
      <c r="A2983" s="2" t="s">
        <v>58</v>
      </c>
      <c r="B2983">
        <v>39</v>
      </c>
      <c r="C2983" s="2" t="s">
        <v>168</v>
      </c>
      <c r="D2983">
        <v>39</v>
      </c>
    </row>
    <row r="2984" spans="1:4" hidden="1" x14ac:dyDescent="0.25">
      <c r="A2984" s="2" t="s">
        <v>58</v>
      </c>
      <c r="B2984">
        <v>39</v>
      </c>
      <c r="C2984" s="2" t="s">
        <v>169</v>
      </c>
      <c r="D2984">
        <v>39</v>
      </c>
    </row>
    <row r="2985" spans="1:4" hidden="1" x14ac:dyDescent="0.25">
      <c r="A2985" s="2" t="s">
        <v>58</v>
      </c>
      <c r="B2985">
        <v>39</v>
      </c>
      <c r="C2985" s="2" t="s">
        <v>170</v>
      </c>
      <c r="D2985">
        <v>39</v>
      </c>
    </row>
    <row r="2986" spans="1:4" hidden="1" x14ac:dyDescent="0.25">
      <c r="A2986" s="2" t="s">
        <v>58</v>
      </c>
      <c r="B2986">
        <v>39</v>
      </c>
      <c r="C2986" s="2" t="s">
        <v>171</v>
      </c>
      <c r="D2986">
        <v>39</v>
      </c>
    </row>
    <row r="2987" spans="1:4" hidden="1" x14ac:dyDescent="0.25">
      <c r="A2987" s="2" t="s">
        <v>58</v>
      </c>
      <c r="B2987">
        <v>39</v>
      </c>
      <c r="C2987" s="2" t="s">
        <v>172</v>
      </c>
      <c r="D2987">
        <v>39</v>
      </c>
    </row>
    <row r="2988" spans="1:4" hidden="1" x14ac:dyDescent="0.25">
      <c r="A2988" s="2" t="s">
        <v>58</v>
      </c>
      <c r="B2988">
        <v>39</v>
      </c>
      <c r="C2988" s="2" t="s">
        <v>173</v>
      </c>
      <c r="D2988">
        <v>39</v>
      </c>
    </row>
    <row r="2989" spans="1:4" hidden="1" x14ac:dyDescent="0.25">
      <c r="A2989" s="2" t="s">
        <v>58</v>
      </c>
      <c r="B2989">
        <v>39</v>
      </c>
      <c r="C2989" s="2" t="s">
        <v>174</v>
      </c>
      <c r="D2989">
        <v>39</v>
      </c>
    </row>
    <row r="2990" spans="1:4" hidden="1" x14ac:dyDescent="0.25">
      <c r="A2990" s="2" t="s">
        <v>58</v>
      </c>
      <c r="B2990">
        <v>39</v>
      </c>
      <c r="C2990" s="2" t="s">
        <v>175</v>
      </c>
      <c r="D2990">
        <v>39</v>
      </c>
    </row>
    <row r="2991" spans="1:4" hidden="1" x14ac:dyDescent="0.25">
      <c r="A2991" s="2" t="s">
        <v>58</v>
      </c>
      <c r="B2991">
        <v>39</v>
      </c>
      <c r="C2991" s="2" t="s">
        <v>176</v>
      </c>
      <c r="D2991">
        <v>39</v>
      </c>
    </row>
    <row r="2992" spans="1:4" hidden="1" x14ac:dyDescent="0.25">
      <c r="A2992" s="2" t="s">
        <v>58</v>
      </c>
      <c r="B2992">
        <v>39</v>
      </c>
      <c r="C2992" s="2" t="s">
        <v>177</v>
      </c>
      <c r="D2992">
        <v>39</v>
      </c>
    </row>
    <row r="2993" spans="1:4" hidden="1" x14ac:dyDescent="0.25">
      <c r="A2993" s="2" t="s">
        <v>58</v>
      </c>
      <c r="B2993">
        <v>39</v>
      </c>
      <c r="C2993" s="2" t="s">
        <v>178</v>
      </c>
      <c r="D2993">
        <v>39</v>
      </c>
    </row>
    <row r="2994" spans="1:4" hidden="1" x14ac:dyDescent="0.25">
      <c r="A2994" s="2" t="s">
        <v>58</v>
      </c>
      <c r="B2994">
        <v>39</v>
      </c>
      <c r="C2994" s="2" t="s">
        <v>179</v>
      </c>
      <c r="D2994">
        <v>39</v>
      </c>
    </row>
    <row r="2995" spans="1:4" hidden="1" x14ac:dyDescent="0.25">
      <c r="A2995" s="2" t="s">
        <v>63</v>
      </c>
      <c r="B2995">
        <v>39</v>
      </c>
      <c r="C2995" s="2" t="s">
        <v>183</v>
      </c>
      <c r="D2995">
        <v>78</v>
      </c>
    </row>
    <row r="2996" spans="1:4" hidden="1" x14ac:dyDescent="0.25">
      <c r="A2996" s="2" t="s">
        <v>63</v>
      </c>
      <c r="B2996">
        <v>39</v>
      </c>
      <c r="C2996" s="2" t="s">
        <v>184</v>
      </c>
      <c r="D2996">
        <v>77</v>
      </c>
    </row>
    <row r="2997" spans="1:4" hidden="1" x14ac:dyDescent="0.25">
      <c r="A2997" s="2" t="s">
        <v>63</v>
      </c>
      <c r="B2997">
        <v>39</v>
      </c>
      <c r="C2997" s="2" t="s">
        <v>185</v>
      </c>
      <c r="D2997">
        <v>61</v>
      </c>
    </row>
    <row r="2998" spans="1:4" hidden="1" x14ac:dyDescent="0.25">
      <c r="A2998" s="2" t="s">
        <v>63</v>
      </c>
      <c r="B2998">
        <v>39</v>
      </c>
      <c r="C2998" s="2" t="s">
        <v>186</v>
      </c>
      <c r="D2998">
        <v>32</v>
      </c>
    </row>
    <row r="2999" spans="1:4" hidden="1" x14ac:dyDescent="0.25">
      <c r="A2999" s="2" t="s">
        <v>63</v>
      </c>
      <c r="B2999">
        <v>39</v>
      </c>
      <c r="C2999" s="2" t="s">
        <v>187</v>
      </c>
      <c r="D2999">
        <v>32</v>
      </c>
    </row>
    <row r="3000" spans="1:4" hidden="1" x14ac:dyDescent="0.25">
      <c r="A3000" s="2" t="s">
        <v>63</v>
      </c>
      <c r="B3000">
        <v>39</v>
      </c>
      <c r="C3000" s="2" t="s">
        <v>188</v>
      </c>
      <c r="D3000">
        <v>33</v>
      </c>
    </row>
    <row r="3001" spans="1:4" hidden="1" x14ac:dyDescent="0.25">
      <c r="A3001" s="2" t="s">
        <v>63</v>
      </c>
      <c r="B3001">
        <v>39</v>
      </c>
      <c r="C3001" s="2" t="s">
        <v>189</v>
      </c>
      <c r="D3001">
        <v>23</v>
      </c>
    </row>
    <row r="3002" spans="1:4" hidden="1" x14ac:dyDescent="0.25">
      <c r="A3002" s="2" t="s">
        <v>63</v>
      </c>
      <c r="B3002">
        <v>39</v>
      </c>
      <c r="C3002" s="2" t="s">
        <v>190</v>
      </c>
      <c r="D3002">
        <v>15</v>
      </c>
    </row>
    <row r="3003" spans="1:4" hidden="1" x14ac:dyDescent="0.25">
      <c r="A3003" s="2" t="s">
        <v>63</v>
      </c>
      <c r="B3003">
        <v>39</v>
      </c>
      <c r="C3003" s="2" t="s">
        <v>191</v>
      </c>
      <c r="D3003">
        <v>16</v>
      </c>
    </row>
    <row r="3004" spans="1:4" hidden="1" x14ac:dyDescent="0.25">
      <c r="A3004" s="2" t="s">
        <v>63</v>
      </c>
      <c r="B3004">
        <v>39</v>
      </c>
      <c r="C3004" s="2" t="s">
        <v>116</v>
      </c>
      <c r="D3004">
        <v>10</v>
      </c>
    </row>
    <row r="3005" spans="1:4" hidden="1" x14ac:dyDescent="0.25">
      <c r="A3005" s="2" t="s">
        <v>63</v>
      </c>
      <c r="B3005">
        <v>39</v>
      </c>
      <c r="C3005" s="2" t="s">
        <v>117</v>
      </c>
      <c r="D3005">
        <v>9</v>
      </c>
    </row>
    <row r="3006" spans="1:4" hidden="1" x14ac:dyDescent="0.25">
      <c r="A3006" s="2" t="s">
        <v>63</v>
      </c>
      <c r="B3006">
        <v>39</v>
      </c>
      <c r="C3006" s="2" t="s">
        <v>118</v>
      </c>
      <c r="D3006">
        <v>12</v>
      </c>
    </row>
    <row r="3007" spans="1:4" hidden="1" x14ac:dyDescent="0.25">
      <c r="A3007" s="2" t="s">
        <v>63</v>
      </c>
      <c r="B3007">
        <v>39</v>
      </c>
      <c r="C3007" s="2" t="s">
        <v>119</v>
      </c>
      <c r="D3007">
        <v>7</v>
      </c>
    </row>
    <row r="3008" spans="1:4" hidden="1" x14ac:dyDescent="0.25">
      <c r="A3008" s="2" t="s">
        <v>63</v>
      </c>
      <c r="B3008">
        <v>39</v>
      </c>
      <c r="C3008" s="2" t="s">
        <v>120</v>
      </c>
      <c r="D3008">
        <v>6</v>
      </c>
    </row>
    <row r="3009" spans="1:4" hidden="1" x14ac:dyDescent="0.25">
      <c r="A3009" s="2" t="s">
        <v>63</v>
      </c>
      <c r="B3009">
        <v>39</v>
      </c>
      <c r="C3009" s="2" t="s">
        <v>121</v>
      </c>
      <c r="D3009">
        <v>5</v>
      </c>
    </row>
    <row r="3010" spans="1:4" hidden="1" x14ac:dyDescent="0.25">
      <c r="A3010" s="2" t="s">
        <v>63</v>
      </c>
      <c r="B3010">
        <v>39</v>
      </c>
      <c r="C3010" s="2" t="s">
        <v>122</v>
      </c>
      <c r="D3010">
        <v>5</v>
      </c>
    </row>
    <row r="3011" spans="1:4" hidden="1" x14ac:dyDescent="0.25">
      <c r="A3011" s="2" t="s">
        <v>63</v>
      </c>
      <c r="B3011">
        <v>39</v>
      </c>
      <c r="C3011" s="2" t="s">
        <v>123</v>
      </c>
      <c r="D3011">
        <v>4</v>
      </c>
    </row>
    <row r="3012" spans="1:4" hidden="1" x14ac:dyDescent="0.25">
      <c r="A3012" s="2" t="s">
        <v>63</v>
      </c>
      <c r="B3012">
        <v>39</v>
      </c>
      <c r="C3012" s="2" t="s">
        <v>124</v>
      </c>
      <c r="D3012">
        <v>6</v>
      </c>
    </row>
    <row r="3013" spans="1:4" hidden="1" x14ac:dyDescent="0.25">
      <c r="A3013" s="2" t="s">
        <v>63</v>
      </c>
      <c r="B3013">
        <v>39</v>
      </c>
      <c r="C3013" s="2" t="s">
        <v>125</v>
      </c>
      <c r="D3013">
        <v>5</v>
      </c>
    </row>
    <row r="3014" spans="1:4" hidden="1" x14ac:dyDescent="0.25">
      <c r="A3014" s="2" t="s">
        <v>63</v>
      </c>
      <c r="B3014">
        <v>39</v>
      </c>
      <c r="C3014" s="2" t="s">
        <v>126</v>
      </c>
      <c r="D3014">
        <v>5</v>
      </c>
    </row>
    <row r="3015" spans="1:4" hidden="1" x14ac:dyDescent="0.25">
      <c r="A3015" s="2" t="s">
        <v>63</v>
      </c>
      <c r="B3015">
        <v>39</v>
      </c>
      <c r="C3015" s="2" t="s">
        <v>127</v>
      </c>
      <c r="D3015">
        <v>7</v>
      </c>
    </row>
    <row r="3016" spans="1:4" hidden="1" x14ac:dyDescent="0.25">
      <c r="A3016" s="2" t="s">
        <v>63</v>
      </c>
      <c r="B3016">
        <v>39</v>
      </c>
      <c r="C3016" s="2" t="s">
        <v>128</v>
      </c>
      <c r="D3016">
        <v>14</v>
      </c>
    </row>
    <row r="3017" spans="1:4" hidden="1" x14ac:dyDescent="0.25">
      <c r="A3017" s="2" t="s">
        <v>63</v>
      </c>
      <c r="B3017">
        <v>39</v>
      </c>
      <c r="C3017" s="2" t="s">
        <v>129</v>
      </c>
      <c r="D3017">
        <v>16</v>
      </c>
    </row>
    <row r="3018" spans="1:4" hidden="1" x14ac:dyDescent="0.25">
      <c r="A3018" s="2" t="s">
        <v>63</v>
      </c>
      <c r="B3018">
        <v>39</v>
      </c>
      <c r="C3018" s="2" t="s">
        <v>130</v>
      </c>
      <c r="D3018">
        <v>28</v>
      </c>
    </row>
    <row r="3019" spans="1:4" hidden="1" x14ac:dyDescent="0.25">
      <c r="A3019" s="2" t="s">
        <v>63</v>
      </c>
      <c r="B3019">
        <v>39</v>
      </c>
      <c r="C3019" s="2" t="s">
        <v>131</v>
      </c>
      <c r="D3019">
        <v>28</v>
      </c>
    </row>
    <row r="3020" spans="1:4" hidden="1" x14ac:dyDescent="0.25">
      <c r="A3020" s="2" t="s">
        <v>63</v>
      </c>
      <c r="B3020">
        <v>39</v>
      </c>
      <c r="C3020" s="2" t="s">
        <v>132</v>
      </c>
      <c r="D3020">
        <v>31</v>
      </c>
    </row>
    <row r="3021" spans="1:4" hidden="1" x14ac:dyDescent="0.25">
      <c r="A3021" s="2" t="s">
        <v>63</v>
      </c>
      <c r="B3021">
        <v>39</v>
      </c>
      <c r="C3021" s="2" t="s">
        <v>133</v>
      </c>
      <c r="D3021">
        <v>31</v>
      </c>
    </row>
    <row r="3022" spans="1:4" hidden="1" x14ac:dyDescent="0.25">
      <c r="A3022" s="2" t="s">
        <v>63</v>
      </c>
      <c r="B3022">
        <v>39</v>
      </c>
      <c r="C3022" s="2" t="s">
        <v>134</v>
      </c>
      <c r="D3022">
        <v>39</v>
      </c>
    </row>
    <row r="3023" spans="1:4" hidden="1" x14ac:dyDescent="0.25">
      <c r="A3023" s="2" t="s">
        <v>63</v>
      </c>
      <c r="B3023">
        <v>39</v>
      </c>
      <c r="C3023" s="2" t="s">
        <v>135</v>
      </c>
      <c r="D3023">
        <v>39</v>
      </c>
    </row>
    <row r="3024" spans="1:4" hidden="1" x14ac:dyDescent="0.25">
      <c r="A3024" s="2" t="s">
        <v>63</v>
      </c>
      <c r="B3024">
        <v>39</v>
      </c>
      <c r="C3024" s="2" t="s">
        <v>136</v>
      </c>
      <c r="D3024">
        <v>39</v>
      </c>
    </row>
    <row r="3025" spans="1:4" hidden="1" x14ac:dyDescent="0.25">
      <c r="A3025" s="2" t="s">
        <v>63</v>
      </c>
      <c r="B3025">
        <v>39</v>
      </c>
      <c r="C3025" s="2" t="s">
        <v>137</v>
      </c>
      <c r="D3025">
        <v>39</v>
      </c>
    </row>
    <row r="3026" spans="1:4" hidden="1" x14ac:dyDescent="0.25">
      <c r="A3026" s="2" t="s">
        <v>63</v>
      </c>
      <c r="B3026">
        <v>39</v>
      </c>
      <c r="C3026" s="2" t="s">
        <v>138</v>
      </c>
      <c r="D3026">
        <v>39</v>
      </c>
    </row>
    <row r="3027" spans="1:4" hidden="1" x14ac:dyDescent="0.25">
      <c r="A3027" s="2" t="s">
        <v>63</v>
      </c>
      <c r="B3027">
        <v>39</v>
      </c>
      <c r="C3027" s="2" t="s">
        <v>139</v>
      </c>
      <c r="D3027">
        <v>39</v>
      </c>
    </row>
    <row r="3028" spans="1:4" hidden="1" x14ac:dyDescent="0.25">
      <c r="A3028" s="2" t="s">
        <v>63</v>
      </c>
      <c r="B3028">
        <v>39</v>
      </c>
      <c r="C3028" s="2" t="s">
        <v>140</v>
      </c>
      <c r="D3028">
        <v>39</v>
      </c>
    </row>
    <row r="3029" spans="1:4" hidden="1" x14ac:dyDescent="0.25">
      <c r="A3029" s="2" t="s">
        <v>63</v>
      </c>
      <c r="B3029">
        <v>39</v>
      </c>
      <c r="C3029" s="2" t="s">
        <v>141</v>
      </c>
      <c r="D3029">
        <v>39</v>
      </c>
    </row>
    <row r="3030" spans="1:4" hidden="1" x14ac:dyDescent="0.25">
      <c r="A3030" s="2" t="s">
        <v>63</v>
      </c>
      <c r="B3030">
        <v>39</v>
      </c>
      <c r="C3030" s="2" t="s">
        <v>142</v>
      </c>
      <c r="D3030">
        <v>39</v>
      </c>
    </row>
    <row r="3031" spans="1:4" hidden="1" x14ac:dyDescent="0.25">
      <c r="A3031" s="2" t="s">
        <v>63</v>
      </c>
      <c r="B3031">
        <v>39</v>
      </c>
      <c r="C3031" s="2" t="s">
        <v>143</v>
      </c>
      <c r="D3031">
        <v>39</v>
      </c>
    </row>
    <row r="3032" spans="1:4" hidden="1" x14ac:dyDescent="0.25">
      <c r="A3032" s="2" t="s">
        <v>63</v>
      </c>
      <c r="B3032">
        <v>39</v>
      </c>
      <c r="C3032" s="2" t="s">
        <v>144</v>
      </c>
      <c r="D3032">
        <v>39</v>
      </c>
    </row>
    <row r="3033" spans="1:4" hidden="1" x14ac:dyDescent="0.25">
      <c r="A3033" s="2" t="s">
        <v>63</v>
      </c>
      <c r="B3033">
        <v>39</v>
      </c>
      <c r="C3033" s="2" t="s">
        <v>145</v>
      </c>
      <c r="D3033">
        <v>39</v>
      </c>
    </row>
    <row r="3034" spans="1:4" hidden="1" x14ac:dyDescent="0.25">
      <c r="A3034" s="2" t="s">
        <v>63</v>
      </c>
      <c r="B3034">
        <v>39</v>
      </c>
      <c r="C3034" s="2" t="s">
        <v>146</v>
      </c>
      <c r="D3034">
        <v>39</v>
      </c>
    </row>
    <row r="3035" spans="1:4" hidden="1" x14ac:dyDescent="0.25">
      <c r="A3035" s="2" t="s">
        <v>63</v>
      </c>
      <c r="B3035">
        <v>39</v>
      </c>
      <c r="C3035" s="2" t="s">
        <v>147</v>
      </c>
      <c r="D3035">
        <v>39</v>
      </c>
    </row>
    <row r="3036" spans="1:4" hidden="1" x14ac:dyDescent="0.25">
      <c r="A3036" s="2" t="s">
        <v>63</v>
      </c>
      <c r="B3036">
        <v>39</v>
      </c>
      <c r="C3036" s="2" t="s">
        <v>148</v>
      </c>
      <c r="D3036">
        <v>39</v>
      </c>
    </row>
    <row r="3037" spans="1:4" hidden="1" x14ac:dyDescent="0.25">
      <c r="A3037" s="2" t="s">
        <v>63</v>
      </c>
      <c r="B3037">
        <v>39</v>
      </c>
      <c r="C3037" s="2" t="s">
        <v>149</v>
      </c>
      <c r="D3037">
        <v>39</v>
      </c>
    </row>
    <row r="3038" spans="1:4" hidden="1" x14ac:dyDescent="0.25">
      <c r="A3038" s="2" t="s">
        <v>63</v>
      </c>
      <c r="B3038">
        <v>39</v>
      </c>
      <c r="C3038" s="2" t="s">
        <v>150</v>
      </c>
      <c r="D3038">
        <v>39</v>
      </c>
    </row>
    <row r="3039" spans="1:4" hidden="1" x14ac:dyDescent="0.25">
      <c r="A3039" s="2" t="s">
        <v>63</v>
      </c>
      <c r="B3039">
        <v>39</v>
      </c>
      <c r="C3039" s="2" t="s">
        <v>151</v>
      </c>
      <c r="D3039">
        <v>39</v>
      </c>
    </row>
    <row r="3040" spans="1:4" hidden="1" x14ac:dyDescent="0.25">
      <c r="A3040" s="2" t="s">
        <v>63</v>
      </c>
      <c r="B3040">
        <v>39</v>
      </c>
      <c r="C3040" s="2" t="s">
        <v>152</v>
      </c>
      <c r="D3040">
        <v>39</v>
      </c>
    </row>
    <row r="3041" spans="1:4" hidden="1" x14ac:dyDescent="0.25">
      <c r="A3041" s="2" t="s">
        <v>63</v>
      </c>
      <c r="B3041">
        <v>39</v>
      </c>
      <c r="C3041" s="2" t="s">
        <v>153</v>
      </c>
      <c r="D3041">
        <v>39</v>
      </c>
    </row>
    <row r="3042" spans="1:4" hidden="1" x14ac:dyDescent="0.25">
      <c r="A3042" s="2" t="s">
        <v>63</v>
      </c>
      <c r="B3042">
        <v>39</v>
      </c>
      <c r="C3042" s="2" t="s">
        <v>154</v>
      </c>
      <c r="D3042">
        <v>39</v>
      </c>
    </row>
    <row r="3043" spans="1:4" hidden="1" x14ac:dyDescent="0.25">
      <c r="A3043" s="2" t="s">
        <v>63</v>
      </c>
      <c r="B3043">
        <v>39</v>
      </c>
      <c r="C3043" s="2" t="s">
        <v>155</v>
      </c>
      <c r="D3043">
        <v>39</v>
      </c>
    </row>
    <row r="3044" spans="1:4" hidden="1" x14ac:dyDescent="0.25">
      <c r="A3044" s="2" t="s">
        <v>63</v>
      </c>
      <c r="B3044">
        <v>39</v>
      </c>
      <c r="C3044" s="2" t="s">
        <v>156</v>
      </c>
      <c r="D3044">
        <v>39</v>
      </c>
    </row>
    <row r="3045" spans="1:4" hidden="1" x14ac:dyDescent="0.25">
      <c r="A3045" s="2" t="s">
        <v>63</v>
      </c>
      <c r="B3045">
        <v>39</v>
      </c>
      <c r="C3045" s="2" t="s">
        <v>157</v>
      </c>
      <c r="D3045">
        <v>39</v>
      </c>
    </row>
    <row r="3046" spans="1:4" hidden="1" x14ac:dyDescent="0.25">
      <c r="A3046" s="2" t="s">
        <v>63</v>
      </c>
      <c r="B3046">
        <v>39</v>
      </c>
      <c r="C3046" s="2" t="s">
        <v>158</v>
      </c>
      <c r="D3046">
        <v>39</v>
      </c>
    </row>
    <row r="3047" spans="1:4" hidden="1" x14ac:dyDescent="0.25">
      <c r="A3047" s="2" t="s">
        <v>63</v>
      </c>
      <c r="B3047">
        <v>39</v>
      </c>
      <c r="C3047" s="2" t="s">
        <v>159</v>
      </c>
      <c r="D3047">
        <v>39</v>
      </c>
    </row>
    <row r="3048" spans="1:4" hidden="1" x14ac:dyDescent="0.25">
      <c r="A3048" s="2" t="s">
        <v>63</v>
      </c>
      <c r="B3048">
        <v>39</v>
      </c>
      <c r="C3048" s="2" t="s">
        <v>160</v>
      </c>
      <c r="D3048">
        <v>39</v>
      </c>
    </row>
    <row r="3049" spans="1:4" hidden="1" x14ac:dyDescent="0.25">
      <c r="A3049" s="2" t="s">
        <v>63</v>
      </c>
      <c r="B3049">
        <v>39</v>
      </c>
      <c r="C3049" s="2" t="s">
        <v>161</v>
      </c>
      <c r="D3049">
        <v>39</v>
      </c>
    </row>
    <row r="3050" spans="1:4" hidden="1" x14ac:dyDescent="0.25">
      <c r="A3050" s="2" t="s">
        <v>63</v>
      </c>
      <c r="B3050">
        <v>39</v>
      </c>
      <c r="C3050" s="2" t="s">
        <v>162</v>
      </c>
      <c r="D3050">
        <v>39</v>
      </c>
    </row>
    <row r="3051" spans="1:4" hidden="1" x14ac:dyDescent="0.25">
      <c r="A3051" s="2" t="s">
        <v>63</v>
      </c>
      <c r="B3051">
        <v>39</v>
      </c>
      <c r="C3051" s="2" t="s">
        <v>163</v>
      </c>
      <c r="D3051">
        <v>39</v>
      </c>
    </row>
    <row r="3052" spans="1:4" hidden="1" x14ac:dyDescent="0.25">
      <c r="A3052" s="2" t="s">
        <v>63</v>
      </c>
      <c r="B3052">
        <v>39</v>
      </c>
      <c r="C3052" s="2" t="s">
        <v>164</v>
      </c>
      <c r="D3052">
        <v>39</v>
      </c>
    </row>
    <row r="3053" spans="1:4" hidden="1" x14ac:dyDescent="0.25">
      <c r="A3053" s="2" t="s">
        <v>63</v>
      </c>
      <c r="B3053">
        <v>39</v>
      </c>
      <c r="C3053" s="2" t="s">
        <v>165</v>
      </c>
      <c r="D3053">
        <v>39</v>
      </c>
    </row>
    <row r="3054" spans="1:4" hidden="1" x14ac:dyDescent="0.25">
      <c r="A3054" s="2" t="s">
        <v>63</v>
      </c>
      <c r="B3054">
        <v>39</v>
      </c>
      <c r="C3054" s="2" t="s">
        <v>166</v>
      </c>
      <c r="D3054">
        <v>39</v>
      </c>
    </row>
    <row r="3055" spans="1:4" hidden="1" x14ac:dyDescent="0.25">
      <c r="A3055" s="2" t="s">
        <v>63</v>
      </c>
      <c r="B3055">
        <v>39</v>
      </c>
      <c r="C3055" s="2" t="s">
        <v>167</v>
      </c>
      <c r="D3055">
        <v>39</v>
      </c>
    </row>
    <row r="3056" spans="1:4" hidden="1" x14ac:dyDescent="0.25">
      <c r="A3056" s="2" t="s">
        <v>63</v>
      </c>
      <c r="B3056">
        <v>39</v>
      </c>
      <c r="C3056" s="2" t="s">
        <v>168</v>
      </c>
      <c r="D3056">
        <v>39</v>
      </c>
    </row>
    <row r="3057" spans="1:4" hidden="1" x14ac:dyDescent="0.25">
      <c r="A3057" s="2" t="s">
        <v>63</v>
      </c>
      <c r="B3057">
        <v>39</v>
      </c>
      <c r="C3057" s="2" t="s">
        <v>169</v>
      </c>
      <c r="D3057">
        <v>39</v>
      </c>
    </row>
    <row r="3058" spans="1:4" hidden="1" x14ac:dyDescent="0.25">
      <c r="A3058" s="2" t="s">
        <v>63</v>
      </c>
      <c r="B3058">
        <v>39</v>
      </c>
      <c r="C3058" s="2" t="s">
        <v>170</v>
      </c>
      <c r="D3058">
        <v>39</v>
      </c>
    </row>
    <row r="3059" spans="1:4" hidden="1" x14ac:dyDescent="0.25">
      <c r="A3059" s="2" t="s">
        <v>63</v>
      </c>
      <c r="B3059">
        <v>39</v>
      </c>
      <c r="C3059" s="2" t="s">
        <v>171</v>
      </c>
      <c r="D3059">
        <v>39</v>
      </c>
    </row>
    <row r="3060" spans="1:4" hidden="1" x14ac:dyDescent="0.25">
      <c r="A3060" s="2" t="s">
        <v>63</v>
      </c>
      <c r="B3060">
        <v>39</v>
      </c>
      <c r="C3060" s="2" t="s">
        <v>172</v>
      </c>
      <c r="D3060">
        <v>39</v>
      </c>
    </row>
    <row r="3061" spans="1:4" hidden="1" x14ac:dyDescent="0.25">
      <c r="A3061" s="2" t="s">
        <v>63</v>
      </c>
      <c r="B3061">
        <v>39</v>
      </c>
      <c r="C3061" s="2" t="s">
        <v>173</v>
      </c>
      <c r="D3061">
        <v>39</v>
      </c>
    </row>
    <row r="3062" spans="1:4" hidden="1" x14ac:dyDescent="0.25">
      <c r="A3062" s="2" t="s">
        <v>63</v>
      </c>
      <c r="B3062">
        <v>39</v>
      </c>
      <c r="C3062" s="2" t="s">
        <v>174</v>
      </c>
      <c r="D3062">
        <v>39</v>
      </c>
    </row>
    <row r="3063" spans="1:4" hidden="1" x14ac:dyDescent="0.25">
      <c r="A3063" s="2" t="s">
        <v>63</v>
      </c>
      <c r="B3063">
        <v>39</v>
      </c>
      <c r="C3063" s="2" t="s">
        <v>175</v>
      </c>
      <c r="D3063">
        <v>39</v>
      </c>
    </row>
    <row r="3064" spans="1:4" hidden="1" x14ac:dyDescent="0.25">
      <c r="A3064" s="2" t="s">
        <v>63</v>
      </c>
      <c r="B3064">
        <v>39</v>
      </c>
      <c r="C3064" s="2" t="s">
        <v>176</v>
      </c>
      <c r="D3064">
        <v>39</v>
      </c>
    </row>
    <row r="3065" spans="1:4" hidden="1" x14ac:dyDescent="0.25">
      <c r="A3065" s="2" t="s">
        <v>63</v>
      </c>
      <c r="B3065">
        <v>39</v>
      </c>
      <c r="C3065" s="2" t="s">
        <v>177</v>
      </c>
      <c r="D3065">
        <v>39</v>
      </c>
    </row>
    <row r="3066" spans="1:4" hidden="1" x14ac:dyDescent="0.25">
      <c r="A3066" s="2" t="s">
        <v>63</v>
      </c>
      <c r="B3066">
        <v>39</v>
      </c>
      <c r="C3066" s="2" t="s">
        <v>178</v>
      </c>
      <c r="D3066">
        <v>39</v>
      </c>
    </row>
    <row r="3067" spans="1:4" hidden="1" x14ac:dyDescent="0.25">
      <c r="A3067" s="2" t="s">
        <v>63</v>
      </c>
      <c r="B3067">
        <v>39</v>
      </c>
      <c r="C3067" s="2" t="s">
        <v>179</v>
      </c>
      <c r="D3067">
        <v>39</v>
      </c>
    </row>
    <row r="3068" spans="1:4" hidden="1" x14ac:dyDescent="0.25">
      <c r="A3068" s="2" t="s">
        <v>93</v>
      </c>
      <c r="B3068">
        <v>39</v>
      </c>
      <c r="C3068" s="2" t="s">
        <v>183</v>
      </c>
      <c r="D3068">
        <v>13</v>
      </c>
    </row>
    <row r="3069" spans="1:4" hidden="1" x14ac:dyDescent="0.25">
      <c r="A3069" s="2" t="s">
        <v>93</v>
      </c>
      <c r="B3069">
        <v>39</v>
      </c>
      <c r="C3069" s="2" t="s">
        <v>184</v>
      </c>
      <c r="D3069">
        <v>14</v>
      </c>
    </row>
    <row r="3070" spans="1:4" hidden="1" x14ac:dyDescent="0.25">
      <c r="A3070" s="2" t="s">
        <v>93</v>
      </c>
      <c r="B3070">
        <v>39</v>
      </c>
      <c r="C3070" s="2" t="s">
        <v>185</v>
      </c>
      <c r="D3070">
        <v>24</v>
      </c>
    </row>
    <row r="3071" spans="1:4" hidden="1" x14ac:dyDescent="0.25">
      <c r="A3071" s="2" t="s">
        <v>93</v>
      </c>
      <c r="B3071">
        <v>39</v>
      </c>
      <c r="C3071" s="2" t="s">
        <v>186</v>
      </c>
      <c r="D3071">
        <v>9</v>
      </c>
    </row>
    <row r="3072" spans="1:4" hidden="1" x14ac:dyDescent="0.25">
      <c r="A3072" s="2" t="s">
        <v>93</v>
      </c>
      <c r="B3072">
        <v>39</v>
      </c>
      <c r="C3072" s="2" t="s">
        <v>187</v>
      </c>
      <c r="D3072">
        <v>9</v>
      </c>
    </row>
    <row r="3073" spans="1:4" hidden="1" x14ac:dyDescent="0.25">
      <c r="A3073" s="2" t="s">
        <v>93</v>
      </c>
      <c r="B3073">
        <v>39</v>
      </c>
      <c r="C3073" s="2" t="s">
        <v>188</v>
      </c>
      <c r="D3073">
        <v>9</v>
      </c>
    </row>
    <row r="3074" spans="1:4" hidden="1" x14ac:dyDescent="0.25">
      <c r="A3074" s="2" t="s">
        <v>93</v>
      </c>
      <c r="B3074">
        <v>39</v>
      </c>
      <c r="C3074" s="2" t="s">
        <v>189</v>
      </c>
      <c r="D3074">
        <v>5</v>
      </c>
    </row>
    <row r="3075" spans="1:4" hidden="1" x14ac:dyDescent="0.25">
      <c r="A3075" s="2" t="s">
        <v>93</v>
      </c>
      <c r="B3075">
        <v>39</v>
      </c>
      <c r="C3075" s="2" t="s">
        <v>190</v>
      </c>
      <c r="D3075">
        <v>8</v>
      </c>
    </row>
    <row r="3076" spans="1:4" hidden="1" x14ac:dyDescent="0.25">
      <c r="A3076" s="2" t="s">
        <v>93</v>
      </c>
      <c r="B3076">
        <v>39</v>
      </c>
      <c r="C3076" s="2" t="s">
        <v>191</v>
      </c>
      <c r="D3076">
        <v>11</v>
      </c>
    </row>
    <row r="3077" spans="1:4" hidden="1" x14ac:dyDescent="0.25">
      <c r="A3077" s="2" t="s">
        <v>93</v>
      </c>
      <c r="B3077">
        <v>39</v>
      </c>
      <c r="C3077" s="2" t="s">
        <v>116</v>
      </c>
      <c r="D3077">
        <v>15</v>
      </c>
    </row>
    <row r="3078" spans="1:4" hidden="1" x14ac:dyDescent="0.25">
      <c r="A3078" s="2" t="s">
        <v>93</v>
      </c>
      <c r="B3078">
        <v>39</v>
      </c>
      <c r="C3078" s="2" t="s">
        <v>117</v>
      </c>
      <c r="D3078">
        <v>14</v>
      </c>
    </row>
    <row r="3079" spans="1:4" hidden="1" x14ac:dyDescent="0.25">
      <c r="A3079" s="2" t="s">
        <v>93</v>
      </c>
      <c r="B3079">
        <v>39</v>
      </c>
      <c r="C3079" s="2" t="s">
        <v>118</v>
      </c>
      <c r="D3079">
        <v>14</v>
      </c>
    </row>
    <row r="3080" spans="1:4" hidden="1" x14ac:dyDescent="0.25">
      <c r="A3080" s="2" t="s">
        <v>93</v>
      </c>
      <c r="B3080">
        <v>39</v>
      </c>
      <c r="C3080" s="2" t="s">
        <v>119</v>
      </c>
      <c r="D3080">
        <v>9</v>
      </c>
    </row>
    <row r="3081" spans="1:4" hidden="1" x14ac:dyDescent="0.25">
      <c r="A3081" s="2" t="s">
        <v>93</v>
      </c>
      <c r="B3081">
        <v>39</v>
      </c>
      <c r="C3081" s="2" t="s">
        <v>120</v>
      </c>
      <c r="D3081">
        <v>9</v>
      </c>
    </row>
    <row r="3082" spans="1:4" hidden="1" x14ac:dyDescent="0.25">
      <c r="A3082" s="2" t="s">
        <v>93</v>
      </c>
      <c r="B3082">
        <v>39</v>
      </c>
      <c r="C3082" s="2" t="s">
        <v>121</v>
      </c>
      <c r="D3082">
        <v>8</v>
      </c>
    </row>
    <row r="3083" spans="1:4" hidden="1" x14ac:dyDescent="0.25">
      <c r="A3083" s="2" t="s">
        <v>93</v>
      </c>
      <c r="B3083">
        <v>39</v>
      </c>
      <c r="C3083" s="2" t="s">
        <v>122</v>
      </c>
      <c r="D3083">
        <v>9</v>
      </c>
    </row>
    <row r="3084" spans="1:4" hidden="1" x14ac:dyDescent="0.25">
      <c r="A3084" s="2" t="s">
        <v>93</v>
      </c>
      <c r="B3084">
        <v>39</v>
      </c>
      <c r="C3084" s="2" t="s">
        <v>123</v>
      </c>
      <c r="D3084">
        <v>12</v>
      </c>
    </row>
    <row r="3085" spans="1:4" hidden="1" x14ac:dyDescent="0.25">
      <c r="A3085" s="2" t="s">
        <v>93</v>
      </c>
      <c r="B3085">
        <v>39</v>
      </c>
      <c r="C3085" s="2" t="s">
        <v>124</v>
      </c>
      <c r="D3085">
        <v>16</v>
      </c>
    </row>
    <row r="3086" spans="1:4" hidden="1" x14ac:dyDescent="0.25">
      <c r="A3086" s="2" t="s">
        <v>93</v>
      </c>
      <c r="B3086">
        <v>39</v>
      </c>
      <c r="C3086" s="2" t="s">
        <v>125</v>
      </c>
      <c r="D3086">
        <v>16</v>
      </c>
    </row>
    <row r="3087" spans="1:4" hidden="1" x14ac:dyDescent="0.25">
      <c r="A3087" s="2" t="s">
        <v>93</v>
      </c>
      <c r="B3087">
        <v>39</v>
      </c>
      <c r="C3087" s="2" t="s">
        <v>126</v>
      </c>
      <c r="D3087">
        <v>21</v>
      </c>
    </row>
    <row r="3088" spans="1:4" hidden="1" x14ac:dyDescent="0.25">
      <c r="A3088" s="2" t="s">
        <v>93</v>
      </c>
      <c r="B3088">
        <v>39</v>
      </c>
      <c r="C3088" s="2" t="s">
        <v>127</v>
      </c>
      <c r="D3088">
        <v>19</v>
      </c>
    </row>
    <row r="3089" spans="1:4" hidden="1" x14ac:dyDescent="0.25">
      <c r="A3089" s="2" t="s">
        <v>93</v>
      </c>
      <c r="B3089">
        <v>39</v>
      </c>
      <c r="C3089" s="2" t="s">
        <v>128</v>
      </c>
      <c r="D3089">
        <v>24</v>
      </c>
    </row>
    <row r="3090" spans="1:4" hidden="1" x14ac:dyDescent="0.25">
      <c r="A3090" s="2" t="s">
        <v>93</v>
      </c>
      <c r="B3090">
        <v>39</v>
      </c>
      <c r="C3090" s="2" t="s">
        <v>129</v>
      </c>
      <c r="D3090">
        <v>27</v>
      </c>
    </row>
    <row r="3091" spans="1:4" hidden="1" x14ac:dyDescent="0.25">
      <c r="A3091" s="2" t="s">
        <v>93</v>
      </c>
      <c r="B3091">
        <v>39</v>
      </c>
      <c r="C3091" s="2" t="s">
        <v>130</v>
      </c>
      <c r="D3091">
        <v>32</v>
      </c>
    </row>
    <row r="3092" spans="1:4" hidden="1" x14ac:dyDescent="0.25">
      <c r="A3092" s="2" t="s">
        <v>93</v>
      </c>
      <c r="B3092">
        <v>39</v>
      </c>
      <c r="C3092" s="2" t="s">
        <v>131</v>
      </c>
      <c r="D3092">
        <v>32</v>
      </c>
    </row>
    <row r="3093" spans="1:4" hidden="1" x14ac:dyDescent="0.25">
      <c r="A3093" s="2" t="s">
        <v>93</v>
      </c>
      <c r="B3093">
        <v>39</v>
      </c>
      <c r="C3093" s="2" t="s">
        <v>132</v>
      </c>
      <c r="D3093">
        <v>31</v>
      </c>
    </row>
    <row r="3094" spans="1:4" hidden="1" x14ac:dyDescent="0.25">
      <c r="A3094" s="2" t="s">
        <v>93</v>
      </c>
      <c r="B3094">
        <v>39</v>
      </c>
      <c r="C3094" s="2" t="s">
        <v>133</v>
      </c>
      <c r="D3094">
        <v>31</v>
      </c>
    </row>
    <row r="3095" spans="1:4" hidden="1" x14ac:dyDescent="0.25">
      <c r="A3095" s="2" t="s">
        <v>93</v>
      </c>
      <c r="B3095">
        <v>39</v>
      </c>
      <c r="C3095" s="2" t="s">
        <v>134</v>
      </c>
      <c r="D3095">
        <v>31</v>
      </c>
    </row>
    <row r="3096" spans="1:4" hidden="1" x14ac:dyDescent="0.25">
      <c r="A3096" s="2" t="s">
        <v>93</v>
      </c>
      <c r="B3096">
        <v>39</v>
      </c>
      <c r="C3096" s="2" t="s">
        <v>135</v>
      </c>
      <c r="D3096">
        <v>39</v>
      </c>
    </row>
    <row r="3097" spans="1:4" hidden="1" x14ac:dyDescent="0.25">
      <c r="A3097" s="2" t="s">
        <v>93</v>
      </c>
      <c r="B3097">
        <v>39</v>
      </c>
      <c r="C3097" s="2" t="s">
        <v>136</v>
      </c>
      <c r="D3097">
        <v>39</v>
      </c>
    </row>
    <row r="3098" spans="1:4" hidden="1" x14ac:dyDescent="0.25">
      <c r="A3098" s="2" t="s">
        <v>93</v>
      </c>
      <c r="B3098">
        <v>39</v>
      </c>
      <c r="C3098" s="2" t="s">
        <v>137</v>
      </c>
      <c r="D3098">
        <v>39</v>
      </c>
    </row>
    <row r="3099" spans="1:4" hidden="1" x14ac:dyDescent="0.25">
      <c r="A3099" s="2" t="s">
        <v>93</v>
      </c>
      <c r="B3099">
        <v>39</v>
      </c>
      <c r="C3099" s="2" t="s">
        <v>138</v>
      </c>
      <c r="D3099">
        <v>39</v>
      </c>
    </row>
    <row r="3100" spans="1:4" hidden="1" x14ac:dyDescent="0.25">
      <c r="A3100" s="2" t="s">
        <v>93</v>
      </c>
      <c r="B3100">
        <v>39</v>
      </c>
      <c r="C3100" s="2" t="s">
        <v>139</v>
      </c>
      <c r="D3100">
        <v>39</v>
      </c>
    </row>
    <row r="3101" spans="1:4" hidden="1" x14ac:dyDescent="0.25">
      <c r="A3101" s="2" t="s">
        <v>93</v>
      </c>
      <c r="B3101">
        <v>39</v>
      </c>
      <c r="C3101" s="2" t="s">
        <v>140</v>
      </c>
      <c r="D3101">
        <v>39</v>
      </c>
    </row>
    <row r="3102" spans="1:4" hidden="1" x14ac:dyDescent="0.25">
      <c r="A3102" s="2" t="s">
        <v>93</v>
      </c>
      <c r="B3102">
        <v>39</v>
      </c>
      <c r="C3102" s="2" t="s">
        <v>141</v>
      </c>
      <c r="D3102">
        <v>39</v>
      </c>
    </row>
    <row r="3103" spans="1:4" hidden="1" x14ac:dyDescent="0.25">
      <c r="A3103" s="2" t="s">
        <v>93</v>
      </c>
      <c r="B3103">
        <v>39</v>
      </c>
      <c r="C3103" s="2" t="s">
        <v>142</v>
      </c>
      <c r="D3103">
        <v>39</v>
      </c>
    </row>
    <row r="3104" spans="1:4" hidden="1" x14ac:dyDescent="0.25">
      <c r="A3104" s="2" t="s">
        <v>93</v>
      </c>
      <c r="B3104">
        <v>39</v>
      </c>
      <c r="C3104" s="2" t="s">
        <v>143</v>
      </c>
      <c r="D3104">
        <v>39</v>
      </c>
    </row>
    <row r="3105" spans="1:4" hidden="1" x14ac:dyDescent="0.25">
      <c r="A3105" s="2" t="s">
        <v>93</v>
      </c>
      <c r="B3105">
        <v>39</v>
      </c>
      <c r="C3105" s="2" t="s">
        <v>144</v>
      </c>
      <c r="D3105">
        <v>39</v>
      </c>
    </row>
    <row r="3106" spans="1:4" hidden="1" x14ac:dyDescent="0.25">
      <c r="A3106" s="2" t="s">
        <v>93</v>
      </c>
      <c r="B3106">
        <v>39</v>
      </c>
      <c r="C3106" s="2" t="s">
        <v>145</v>
      </c>
      <c r="D3106">
        <v>39</v>
      </c>
    </row>
    <row r="3107" spans="1:4" hidden="1" x14ac:dyDescent="0.25">
      <c r="A3107" s="2" t="s">
        <v>93</v>
      </c>
      <c r="B3107">
        <v>39</v>
      </c>
      <c r="C3107" s="2" t="s">
        <v>146</v>
      </c>
      <c r="D3107">
        <v>39</v>
      </c>
    </row>
    <row r="3108" spans="1:4" hidden="1" x14ac:dyDescent="0.25">
      <c r="A3108" s="2" t="s">
        <v>93</v>
      </c>
      <c r="B3108">
        <v>39</v>
      </c>
      <c r="C3108" s="2" t="s">
        <v>147</v>
      </c>
      <c r="D3108">
        <v>39</v>
      </c>
    </row>
    <row r="3109" spans="1:4" hidden="1" x14ac:dyDescent="0.25">
      <c r="A3109" s="2" t="s">
        <v>93</v>
      </c>
      <c r="B3109">
        <v>39</v>
      </c>
      <c r="C3109" s="2" t="s">
        <v>148</v>
      </c>
      <c r="D3109">
        <v>39</v>
      </c>
    </row>
    <row r="3110" spans="1:4" hidden="1" x14ac:dyDescent="0.25">
      <c r="A3110" s="2" t="s">
        <v>93</v>
      </c>
      <c r="B3110">
        <v>39</v>
      </c>
      <c r="C3110" s="2" t="s">
        <v>149</v>
      </c>
      <c r="D3110">
        <v>39</v>
      </c>
    </row>
    <row r="3111" spans="1:4" hidden="1" x14ac:dyDescent="0.25">
      <c r="A3111" s="2" t="s">
        <v>93</v>
      </c>
      <c r="B3111">
        <v>39</v>
      </c>
      <c r="C3111" s="2" t="s">
        <v>150</v>
      </c>
      <c r="D3111">
        <v>39</v>
      </c>
    </row>
    <row r="3112" spans="1:4" hidden="1" x14ac:dyDescent="0.25">
      <c r="A3112" s="2" t="s">
        <v>93</v>
      </c>
      <c r="B3112">
        <v>39</v>
      </c>
      <c r="C3112" s="2" t="s">
        <v>151</v>
      </c>
      <c r="D3112">
        <v>39</v>
      </c>
    </row>
    <row r="3113" spans="1:4" hidden="1" x14ac:dyDescent="0.25">
      <c r="A3113" s="2" t="s">
        <v>93</v>
      </c>
      <c r="B3113">
        <v>39</v>
      </c>
      <c r="C3113" s="2" t="s">
        <v>152</v>
      </c>
      <c r="D3113">
        <v>39</v>
      </c>
    </row>
    <row r="3114" spans="1:4" hidden="1" x14ac:dyDescent="0.25">
      <c r="A3114" s="2" t="s">
        <v>93</v>
      </c>
      <c r="B3114">
        <v>39</v>
      </c>
      <c r="C3114" s="2" t="s">
        <v>153</v>
      </c>
      <c r="D3114">
        <v>39</v>
      </c>
    </row>
    <row r="3115" spans="1:4" hidden="1" x14ac:dyDescent="0.25">
      <c r="A3115" s="2" t="s">
        <v>93</v>
      </c>
      <c r="B3115">
        <v>39</v>
      </c>
      <c r="C3115" s="2" t="s">
        <v>154</v>
      </c>
      <c r="D3115">
        <v>39</v>
      </c>
    </row>
    <row r="3116" spans="1:4" hidden="1" x14ac:dyDescent="0.25">
      <c r="A3116" s="2" t="s">
        <v>93</v>
      </c>
      <c r="B3116">
        <v>39</v>
      </c>
      <c r="C3116" s="2" t="s">
        <v>155</v>
      </c>
      <c r="D3116">
        <v>39</v>
      </c>
    </row>
    <row r="3117" spans="1:4" hidden="1" x14ac:dyDescent="0.25">
      <c r="A3117" s="2" t="s">
        <v>93</v>
      </c>
      <c r="B3117">
        <v>39</v>
      </c>
      <c r="C3117" s="2" t="s">
        <v>156</v>
      </c>
      <c r="D3117">
        <v>39</v>
      </c>
    </row>
    <row r="3118" spans="1:4" hidden="1" x14ac:dyDescent="0.25">
      <c r="A3118" s="2" t="s">
        <v>93</v>
      </c>
      <c r="B3118">
        <v>39</v>
      </c>
      <c r="C3118" s="2" t="s">
        <v>157</v>
      </c>
      <c r="D3118">
        <v>39</v>
      </c>
    </row>
    <row r="3119" spans="1:4" hidden="1" x14ac:dyDescent="0.25">
      <c r="A3119" s="2" t="s">
        <v>93</v>
      </c>
      <c r="B3119">
        <v>39</v>
      </c>
      <c r="C3119" s="2" t="s">
        <v>158</v>
      </c>
      <c r="D3119">
        <v>39</v>
      </c>
    </row>
    <row r="3120" spans="1:4" hidden="1" x14ac:dyDescent="0.25">
      <c r="A3120" s="2" t="s">
        <v>93</v>
      </c>
      <c r="B3120">
        <v>39</v>
      </c>
      <c r="C3120" s="2" t="s">
        <v>159</v>
      </c>
      <c r="D3120">
        <v>39</v>
      </c>
    </row>
    <row r="3121" spans="1:4" hidden="1" x14ac:dyDescent="0.25">
      <c r="A3121" s="2" t="s">
        <v>93</v>
      </c>
      <c r="B3121">
        <v>39</v>
      </c>
      <c r="C3121" s="2" t="s">
        <v>160</v>
      </c>
      <c r="D3121">
        <v>39</v>
      </c>
    </row>
    <row r="3122" spans="1:4" hidden="1" x14ac:dyDescent="0.25">
      <c r="A3122" s="2" t="s">
        <v>93</v>
      </c>
      <c r="B3122">
        <v>39</v>
      </c>
      <c r="C3122" s="2" t="s">
        <v>161</v>
      </c>
      <c r="D3122">
        <v>39</v>
      </c>
    </row>
    <row r="3123" spans="1:4" hidden="1" x14ac:dyDescent="0.25">
      <c r="A3123" s="2" t="s">
        <v>93</v>
      </c>
      <c r="B3123">
        <v>39</v>
      </c>
      <c r="C3123" s="2" t="s">
        <v>162</v>
      </c>
      <c r="D3123">
        <v>39</v>
      </c>
    </row>
    <row r="3124" spans="1:4" hidden="1" x14ac:dyDescent="0.25">
      <c r="A3124" s="2" t="s">
        <v>93</v>
      </c>
      <c r="B3124">
        <v>39</v>
      </c>
      <c r="C3124" s="2" t="s">
        <v>163</v>
      </c>
      <c r="D3124">
        <v>39</v>
      </c>
    </row>
    <row r="3125" spans="1:4" hidden="1" x14ac:dyDescent="0.25">
      <c r="A3125" s="2" t="s">
        <v>93</v>
      </c>
      <c r="B3125">
        <v>39</v>
      </c>
      <c r="C3125" s="2" t="s">
        <v>164</v>
      </c>
      <c r="D3125">
        <v>39</v>
      </c>
    </row>
    <row r="3126" spans="1:4" hidden="1" x14ac:dyDescent="0.25">
      <c r="A3126" s="2" t="s">
        <v>93</v>
      </c>
      <c r="B3126">
        <v>39</v>
      </c>
      <c r="C3126" s="2" t="s">
        <v>165</v>
      </c>
      <c r="D3126">
        <v>39</v>
      </c>
    </row>
    <row r="3127" spans="1:4" hidden="1" x14ac:dyDescent="0.25">
      <c r="A3127" s="2" t="s">
        <v>93</v>
      </c>
      <c r="B3127">
        <v>39</v>
      </c>
      <c r="C3127" s="2" t="s">
        <v>166</v>
      </c>
      <c r="D3127">
        <v>39</v>
      </c>
    </row>
    <row r="3128" spans="1:4" hidden="1" x14ac:dyDescent="0.25">
      <c r="A3128" s="2" t="s">
        <v>93</v>
      </c>
      <c r="B3128">
        <v>39</v>
      </c>
      <c r="C3128" s="2" t="s">
        <v>167</v>
      </c>
      <c r="D3128">
        <v>39</v>
      </c>
    </row>
    <row r="3129" spans="1:4" hidden="1" x14ac:dyDescent="0.25">
      <c r="A3129" s="2" t="s">
        <v>93</v>
      </c>
      <c r="B3129">
        <v>39</v>
      </c>
      <c r="C3129" s="2" t="s">
        <v>168</v>
      </c>
      <c r="D3129">
        <v>39</v>
      </c>
    </row>
    <row r="3130" spans="1:4" hidden="1" x14ac:dyDescent="0.25">
      <c r="A3130" s="2" t="s">
        <v>93</v>
      </c>
      <c r="B3130">
        <v>39</v>
      </c>
      <c r="C3130" s="2" t="s">
        <v>169</v>
      </c>
      <c r="D3130">
        <v>39</v>
      </c>
    </row>
    <row r="3131" spans="1:4" hidden="1" x14ac:dyDescent="0.25">
      <c r="A3131" s="2" t="s">
        <v>93</v>
      </c>
      <c r="B3131">
        <v>39</v>
      </c>
      <c r="C3131" s="2" t="s">
        <v>170</v>
      </c>
      <c r="D3131">
        <v>39</v>
      </c>
    </row>
    <row r="3132" spans="1:4" hidden="1" x14ac:dyDescent="0.25">
      <c r="A3132" s="2" t="s">
        <v>93</v>
      </c>
      <c r="B3132">
        <v>39</v>
      </c>
      <c r="C3132" s="2" t="s">
        <v>171</v>
      </c>
      <c r="D3132">
        <v>39</v>
      </c>
    </row>
    <row r="3133" spans="1:4" hidden="1" x14ac:dyDescent="0.25">
      <c r="A3133" s="2" t="s">
        <v>93</v>
      </c>
      <c r="B3133">
        <v>39</v>
      </c>
      <c r="C3133" s="2" t="s">
        <v>172</v>
      </c>
      <c r="D3133">
        <v>39</v>
      </c>
    </row>
    <row r="3134" spans="1:4" hidden="1" x14ac:dyDescent="0.25">
      <c r="A3134" s="2" t="s">
        <v>93</v>
      </c>
      <c r="B3134">
        <v>39</v>
      </c>
      <c r="C3134" s="2" t="s">
        <v>173</v>
      </c>
      <c r="D3134">
        <v>39</v>
      </c>
    </row>
    <row r="3135" spans="1:4" hidden="1" x14ac:dyDescent="0.25">
      <c r="A3135" s="2" t="s">
        <v>93</v>
      </c>
      <c r="B3135">
        <v>39</v>
      </c>
      <c r="C3135" s="2" t="s">
        <v>174</v>
      </c>
      <c r="D3135">
        <v>39</v>
      </c>
    </row>
    <row r="3136" spans="1:4" hidden="1" x14ac:dyDescent="0.25">
      <c r="A3136" s="2" t="s">
        <v>93</v>
      </c>
      <c r="B3136">
        <v>39</v>
      </c>
      <c r="C3136" s="2" t="s">
        <v>175</v>
      </c>
      <c r="D3136">
        <v>39</v>
      </c>
    </row>
    <row r="3137" spans="1:4" hidden="1" x14ac:dyDescent="0.25">
      <c r="A3137" s="2" t="s">
        <v>93</v>
      </c>
      <c r="B3137">
        <v>39</v>
      </c>
      <c r="C3137" s="2" t="s">
        <v>176</v>
      </c>
      <c r="D3137">
        <v>39</v>
      </c>
    </row>
    <row r="3138" spans="1:4" hidden="1" x14ac:dyDescent="0.25">
      <c r="A3138" s="2" t="s">
        <v>93</v>
      </c>
      <c r="B3138">
        <v>39</v>
      </c>
      <c r="C3138" s="2" t="s">
        <v>177</v>
      </c>
      <c r="D3138">
        <v>39</v>
      </c>
    </row>
    <row r="3139" spans="1:4" hidden="1" x14ac:dyDescent="0.25">
      <c r="A3139" s="2" t="s">
        <v>93</v>
      </c>
      <c r="B3139">
        <v>39</v>
      </c>
      <c r="C3139" s="2" t="s">
        <v>178</v>
      </c>
      <c r="D3139">
        <v>39</v>
      </c>
    </row>
    <row r="3140" spans="1:4" hidden="1" x14ac:dyDescent="0.25">
      <c r="A3140" s="2" t="s">
        <v>93</v>
      </c>
      <c r="B3140">
        <v>39</v>
      </c>
      <c r="C3140" s="2" t="s">
        <v>179</v>
      </c>
      <c r="D3140">
        <v>39</v>
      </c>
    </row>
    <row r="3141" spans="1:4" hidden="1" x14ac:dyDescent="0.25">
      <c r="A3141" s="2" t="s">
        <v>107</v>
      </c>
      <c r="B3141">
        <v>39</v>
      </c>
      <c r="C3141" s="2" t="s">
        <v>183</v>
      </c>
      <c r="D3141">
        <v>78</v>
      </c>
    </row>
    <row r="3142" spans="1:4" hidden="1" x14ac:dyDescent="0.25">
      <c r="A3142" s="2" t="s">
        <v>107</v>
      </c>
      <c r="B3142">
        <v>39</v>
      </c>
      <c r="C3142" s="2" t="s">
        <v>184</v>
      </c>
      <c r="D3142">
        <v>77</v>
      </c>
    </row>
    <row r="3143" spans="1:4" hidden="1" x14ac:dyDescent="0.25">
      <c r="A3143" s="2" t="s">
        <v>107</v>
      </c>
      <c r="B3143">
        <v>39</v>
      </c>
      <c r="C3143" s="2" t="s">
        <v>185</v>
      </c>
      <c r="D3143">
        <v>61</v>
      </c>
    </row>
    <row r="3144" spans="1:4" hidden="1" x14ac:dyDescent="0.25">
      <c r="A3144" s="2" t="s">
        <v>107</v>
      </c>
      <c r="B3144">
        <v>39</v>
      </c>
      <c r="C3144" s="2" t="s">
        <v>186</v>
      </c>
      <c r="D3144">
        <v>32</v>
      </c>
    </row>
    <row r="3145" spans="1:4" hidden="1" x14ac:dyDescent="0.25">
      <c r="A3145" s="2" t="s">
        <v>107</v>
      </c>
      <c r="B3145">
        <v>39</v>
      </c>
      <c r="C3145" s="2" t="s">
        <v>187</v>
      </c>
      <c r="D3145">
        <v>32</v>
      </c>
    </row>
    <row r="3146" spans="1:4" hidden="1" x14ac:dyDescent="0.25">
      <c r="A3146" s="2" t="s">
        <v>107</v>
      </c>
      <c r="B3146">
        <v>39</v>
      </c>
      <c r="C3146" s="2" t="s">
        <v>188</v>
      </c>
      <c r="D3146">
        <v>40</v>
      </c>
    </row>
    <row r="3147" spans="1:4" hidden="1" x14ac:dyDescent="0.25">
      <c r="A3147" s="2" t="s">
        <v>107</v>
      </c>
      <c r="B3147">
        <v>39</v>
      </c>
      <c r="C3147" s="2" t="s">
        <v>189</v>
      </c>
      <c r="D3147">
        <v>26</v>
      </c>
    </row>
    <row r="3148" spans="1:4" hidden="1" x14ac:dyDescent="0.25">
      <c r="A3148" s="2" t="s">
        <v>107</v>
      </c>
      <c r="B3148">
        <v>39</v>
      </c>
      <c r="C3148" s="2" t="s">
        <v>190</v>
      </c>
      <c r="D3148">
        <v>24</v>
      </c>
    </row>
    <row r="3149" spans="1:4" hidden="1" x14ac:dyDescent="0.25">
      <c r="A3149" s="2" t="s">
        <v>107</v>
      </c>
      <c r="B3149">
        <v>39</v>
      </c>
      <c r="C3149" s="2" t="s">
        <v>191</v>
      </c>
      <c r="D3149">
        <v>8</v>
      </c>
    </row>
    <row r="3150" spans="1:4" hidden="1" x14ac:dyDescent="0.25">
      <c r="A3150" s="2" t="s">
        <v>107</v>
      </c>
      <c r="B3150">
        <v>39</v>
      </c>
      <c r="C3150" s="2" t="s">
        <v>116</v>
      </c>
      <c r="D3150">
        <v>5</v>
      </c>
    </row>
    <row r="3151" spans="1:4" hidden="1" x14ac:dyDescent="0.25">
      <c r="A3151" s="2" t="s">
        <v>107</v>
      </c>
      <c r="B3151">
        <v>39</v>
      </c>
      <c r="C3151" s="2" t="s">
        <v>117</v>
      </c>
      <c r="D3151">
        <v>4</v>
      </c>
    </row>
    <row r="3152" spans="1:4" hidden="1" x14ac:dyDescent="0.25">
      <c r="A3152" s="2" t="s">
        <v>107</v>
      </c>
      <c r="B3152">
        <v>39</v>
      </c>
      <c r="C3152" s="2" t="s">
        <v>118</v>
      </c>
      <c r="D3152">
        <v>2</v>
      </c>
    </row>
    <row r="3153" spans="1:4" hidden="1" x14ac:dyDescent="0.25">
      <c r="A3153" s="2" t="s">
        <v>107</v>
      </c>
      <c r="B3153">
        <v>39</v>
      </c>
      <c r="C3153" s="2" t="s">
        <v>119</v>
      </c>
      <c r="D3153">
        <v>1</v>
      </c>
    </row>
    <row r="3154" spans="1:4" hidden="1" x14ac:dyDescent="0.25">
      <c r="A3154" s="2" t="s">
        <v>107</v>
      </c>
      <c r="B3154">
        <v>39</v>
      </c>
      <c r="C3154" s="2" t="s">
        <v>120</v>
      </c>
      <c r="D3154">
        <v>3</v>
      </c>
    </row>
    <row r="3155" spans="1:4" hidden="1" x14ac:dyDescent="0.25">
      <c r="A3155" s="2" t="s">
        <v>107</v>
      </c>
      <c r="B3155">
        <v>39</v>
      </c>
      <c r="C3155" s="2" t="s">
        <v>121</v>
      </c>
      <c r="D3155">
        <v>3</v>
      </c>
    </row>
    <row r="3156" spans="1:4" hidden="1" x14ac:dyDescent="0.25">
      <c r="A3156" s="2" t="s">
        <v>107</v>
      </c>
      <c r="B3156">
        <v>39</v>
      </c>
      <c r="C3156" s="2" t="s">
        <v>122</v>
      </c>
      <c r="D3156">
        <v>15</v>
      </c>
    </row>
    <row r="3157" spans="1:4" hidden="1" x14ac:dyDescent="0.25">
      <c r="A3157" s="2" t="s">
        <v>107</v>
      </c>
      <c r="B3157">
        <v>39</v>
      </c>
      <c r="C3157" s="2" t="s">
        <v>123</v>
      </c>
      <c r="D3157">
        <v>18</v>
      </c>
    </row>
    <row r="3158" spans="1:4" hidden="1" x14ac:dyDescent="0.25">
      <c r="A3158" s="2" t="s">
        <v>107</v>
      </c>
      <c r="B3158">
        <v>39</v>
      </c>
      <c r="C3158" s="2" t="s">
        <v>124</v>
      </c>
      <c r="D3158">
        <v>24</v>
      </c>
    </row>
    <row r="3159" spans="1:4" hidden="1" x14ac:dyDescent="0.25">
      <c r="A3159" s="2" t="s">
        <v>107</v>
      </c>
      <c r="B3159">
        <v>39</v>
      </c>
      <c r="C3159" s="2" t="s">
        <v>125</v>
      </c>
      <c r="D3159">
        <v>26</v>
      </c>
    </row>
    <row r="3160" spans="1:4" hidden="1" x14ac:dyDescent="0.25">
      <c r="A3160" s="2" t="s">
        <v>107</v>
      </c>
      <c r="B3160">
        <v>39</v>
      </c>
      <c r="C3160" s="2" t="s">
        <v>126</v>
      </c>
      <c r="D3160">
        <v>34</v>
      </c>
    </row>
    <row r="3161" spans="1:4" hidden="1" x14ac:dyDescent="0.25">
      <c r="A3161" s="2" t="s">
        <v>107</v>
      </c>
      <c r="B3161">
        <v>39</v>
      </c>
      <c r="C3161" s="2" t="s">
        <v>127</v>
      </c>
      <c r="D3161">
        <v>36</v>
      </c>
    </row>
    <row r="3162" spans="1:4" hidden="1" x14ac:dyDescent="0.25">
      <c r="A3162" s="2" t="s">
        <v>107</v>
      </c>
      <c r="B3162">
        <v>39</v>
      </c>
      <c r="C3162" s="2" t="s">
        <v>128</v>
      </c>
      <c r="D3162">
        <v>52</v>
      </c>
    </row>
    <row r="3163" spans="1:4" hidden="1" x14ac:dyDescent="0.25">
      <c r="A3163" s="2" t="s">
        <v>107</v>
      </c>
      <c r="B3163">
        <v>39</v>
      </c>
      <c r="C3163" s="2" t="s">
        <v>129</v>
      </c>
      <c r="D3163">
        <v>58</v>
      </c>
    </row>
    <row r="3164" spans="1:4" hidden="1" x14ac:dyDescent="0.25">
      <c r="A3164" s="2" t="s">
        <v>107</v>
      </c>
      <c r="B3164">
        <v>39</v>
      </c>
      <c r="C3164" s="2" t="s">
        <v>130</v>
      </c>
      <c r="D3164">
        <v>69</v>
      </c>
    </row>
    <row r="3165" spans="1:4" hidden="1" x14ac:dyDescent="0.25">
      <c r="A3165" s="2" t="s">
        <v>107</v>
      </c>
      <c r="B3165">
        <v>39</v>
      </c>
      <c r="C3165" s="2" t="s">
        <v>131</v>
      </c>
      <c r="D3165">
        <v>68</v>
      </c>
    </row>
    <row r="3166" spans="1:4" hidden="1" x14ac:dyDescent="0.25">
      <c r="A3166" s="2" t="s">
        <v>107</v>
      </c>
      <c r="B3166">
        <v>39</v>
      </c>
      <c r="C3166" s="2" t="s">
        <v>132</v>
      </c>
      <c r="D3166">
        <v>44</v>
      </c>
    </row>
    <row r="3167" spans="1:4" hidden="1" x14ac:dyDescent="0.25">
      <c r="A3167" s="2" t="s">
        <v>107</v>
      </c>
      <c r="B3167">
        <v>39</v>
      </c>
      <c r="C3167" s="2" t="s">
        <v>133</v>
      </c>
      <c r="D3167">
        <v>44</v>
      </c>
    </row>
    <row r="3168" spans="1:4" hidden="1" x14ac:dyDescent="0.25">
      <c r="A3168" s="2" t="s">
        <v>107</v>
      </c>
      <c r="B3168">
        <v>39</v>
      </c>
      <c r="C3168" s="2" t="s">
        <v>134</v>
      </c>
      <c r="D3168">
        <v>39</v>
      </c>
    </row>
    <row r="3169" spans="1:4" hidden="1" x14ac:dyDescent="0.25">
      <c r="A3169" s="2" t="s">
        <v>107</v>
      </c>
      <c r="B3169">
        <v>39</v>
      </c>
      <c r="C3169" s="2" t="s">
        <v>135</v>
      </c>
      <c r="D3169">
        <v>39</v>
      </c>
    </row>
    <row r="3170" spans="1:4" hidden="1" x14ac:dyDescent="0.25">
      <c r="A3170" s="2" t="s">
        <v>107</v>
      </c>
      <c r="B3170">
        <v>39</v>
      </c>
      <c r="C3170" s="2" t="s">
        <v>136</v>
      </c>
      <c r="D3170">
        <v>39</v>
      </c>
    </row>
    <row r="3171" spans="1:4" hidden="1" x14ac:dyDescent="0.25">
      <c r="A3171" s="2" t="s">
        <v>107</v>
      </c>
      <c r="B3171">
        <v>39</v>
      </c>
      <c r="C3171" s="2" t="s">
        <v>137</v>
      </c>
      <c r="D3171">
        <v>39</v>
      </c>
    </row>
    <row r="3172" spans="1:4" hidden="1" x14ac:dyDescent="0.25">
      <c r="A3172" s="2" t="s">
        <v>107</v>
      </c>
      <c r="B3172">
        <v>39</v>
      </c>
      <c r="C3172" s="2" t="s">
        <v>138</v>
      </c>
      <c r="D3172">
        <v>39</v>
      </c>
    </row>
    <row r="3173" spans="1:4" hidden="1" x14ac:dyDescent="0.25">
      <c r="A3173" s="2" t="s">
        <v>107</v>
      </c>
      <c r="B3173">
        <v>39</v>
      </c>
      <c r="C3173" s="2" t="s">
        <v>139</v>
      </c>
      <c r="D3173">
        <v>39</v>
      </c>
    </row>
    <row r="3174" spans="1:4" hidden="1" x14ac:dyDescent="0.25">
      <c r="A3174" s="2" t="s">
        <v>107</v>
      </c>
      <c r="B3174">
        <v>39</v>
      </c>
      <c r="C3174" s="2" t="s">
        <v>140</v>
      </c>
      <c r="D3174">
        <v>39</v>
      </c>
    </row>
    <row r="3175" spans="1:4" hidden="1" x14ac:dyDescent="0.25">
      <c r="A3175" s="2" t="s">
        <v>107</v>
      </c>
      <c r="B3175">
        <v>39</v>
      </c>
      <c r="C3175" s="2" t="s">
        <v>141</v>
      </c>
      <c r="D3175">
        <v>39</v>
      </c>
    </row>
    <row r="3176" spans="1:4" hidden="1" x14ac:dyDescent="0.25">
      <c r="A3176" s="2" t="s">
        <v>107</v>
      </c>
      <c r="B3176">
        <v>39</v>
      </c>
      <c r="C3176" s="2" t="s">
        <v>142</v>
      </c>
      <c r="D3176">
        <v>39</v>
      </c>
    </row>
    <row r="3177" spans="1:4" hidden="1" x14ac:dyDescent="0.25">
      <c r="A3177" s="2" t="s">
        <v>107</v>
      </c>
      <c r="B3177">
        <v>39</v>
      </c>
      <c r="C3177" s="2" t="s">
        <v>143</v>
      </c>
      <c r="D3177">
        <v>39</v>
      </c>
    </row>
    <row r="3178" spans="1:4" hidden="1" x14ac:dyDescent="0.25">
      <c r="A3178" s="2" t="s">
        <v>107</v>
      </c>
      <c r="B3178">
        <v>39</v>
      </c>
      <c r="C3178" s="2" t="s">
        <v>144</v>
      </c>
      <c r="D3178">
        <v>39</v>
      </c>
    </row>
    <row r="3179" spans="1:4" hidden="1" x14ac:dyDescent="0.25">
      <c r="A3179" s="2" t="s">
        <v>107</v>
      </c>
      <c r="B3179">
        <v>39</v>
      </c>
      <c r="C3179" s="2" t="s">
        <v>145</v>
      </c>
      <c r="D3179">
        <v>39</v>
      </c>
    </row>
    <row r="3180" spans="1:4" hidden="1" x14ac:dyDescent="0.25">
      <c r="A3180" s="2" t="s">
        <v>107</v>
      </c>
      <c r="B3180">
        <v>39</v>
      </c>
      <c r="C3180" s="2" t="s">
        <v>146</v>
      </c>
      <c r="D3180">
        <v>39</v>
      </c>
    </row>
    <row r="3181" spans="1:4" hidden="1" x14ac:dyDescent="0.25">
      <c r="A3181" s="2" t="s">
        <v>107</v>
      </c>
      <c r="B3181">
        <v>39</v>
      </c>
      <c r="C3181" s="2" t="s">
        <v>147</v>
      </c>
      <c r="D3181">
        <v>39</v>
      </c>
    </row>
    <row r="3182" spans="1:4" hidden="1" x14ac:dyDescent="0.25">
      <c r="A3182" s="2" t="s">
        <v>107</v>
      </c>
      <c r="B3182">
        <v>39</v>
      </c>
      <c r="C3182" s="2" t="s">
        <v>148</v>
      </c>
      <c r="D3182">
        <v>39</v>
      </c>
    </row>
    <row r="3183" spans="1:4" hidden="1" x14ac:dyDescent="0.25">
      <c r="A3183" s="2" t="s">
        <v>107</v>
      </c>
      <c r="B3183">
        <v>39</v>
      </c>
      <c r="C3183" s="2" t="s">
        <v>149</v>
      </c>
      <c r="D3183">
        <v>39</v>
      </c>
    </row>
    <row r="3184" spans="1:4" hidden="1" x14ac:dyDescent="0.25">
      <c r="A3184" s="2" t="s">
        <v>107</v>
      </c>
      <c r="B3184">
        <v>39</v>
      </c>
      <c r="C3184" s="2" t="s">
        <v>150</v>
      </c>
      <c r="D3184">
        <v>39</v>
      </c>
    </row>
    <row r="3185" spans="1:4" hidden="1" x14ac:dyDescent="0.25">
      <c r="A3185" s="2" t="s">
        <v>107</v>
      </c>
      <c r="B3185">
        <v>39</v>
      </c>
      <c r="C3185" s="2" t="s">
        <v>151</v>
      </c>
      <c r="D3185">
        <v>39</v>
      </c>
    </row>
    <row r="3186" spans="1:4" hidden="1" x14ac:dyDescent="0.25">
      <c r="A3186" s="2" t="s">
        <v>107</v>
      </c>
      <c r="B3186">
        <v>39</v>
      </c>
      <c r="C3186" s="2" t="s">
        <v>152</v>
      </c>
      <c r="D3186">
        <v>39</v>
      </c>
    </row>
    <row r="3187" spans="1:4" hidden="1" x14ac:dyDescent="0.25">
      <c r="A3187" s="2" t="s">
        <v>107</v>
      </c>
      <c r="B3187">
        <v>39</v>
      </c>
      <c r="C3187" s="2" t="s">
        <v>153</v>
      </c>
      <c r="D3187">
        <v>39</v>
      </c>
    </row>
    <row r="3188" spans="1:4" hidden="1" x14ac:dyDescent="0.25">
      <c r="A3188" s="2" t="s">
        <v>107</v>
      </c>
      <c r="B3188">
        <v>39</v>
      </c>
      <c r="C3188" s="2" t="s">
        <v>154</v>
      </c>
      <c r="D3188">
        <v>39</v>
      </c>
    </row>
    <row r="3189" spans="1:4" hidden="1" x14ac:dyDescent="0.25">
      <c r="A3189" s="2" t="s">
        <v>107</v>
      </c>
      <c r="B3189">
        <v>39</v>
      </c>
      <c r="C3189" s="2" t="s">
        <v>155</v>
      </c>
      <c r="D3189">
        <v>39</v>
      </c>
    </row>
    <row r="3190" spans="1:4" hidden="1" x14ac:dyDescent="0.25">
      <c r="A3190" s="2" t="s">
        <v>107</v>
      </c>
      <c r="B3190">
        <v>39</v>
      </c>
      <c r="C3190" s="2" t="s">
        <v>156</v>
      </c>
      <c r="D3190">
        <v>39</v>
      </c>
    </row>
    <row r="3191" spans="1:4" hidden="1" x14ac:dyDescent="0.25">
      <c r="A3191" s="2" t="s">
        <v>107</v>
      </c>
      <c r="B3191">
        <v>39</v>
      </c>
      <c r="C3191" s="2" t="s">
        <v>157</v>
      </c>
      <c r="D3191">
        <v>39</v>
      </c>
    </row>
    <row r="3192" spans="1:4" hidden="1" x14ac:dyDescent="0.25">
      <c r="A3192" s="2" t="s">
        <v>107</v>
      </c>
      <c r="B3192">
        <v>39</v>
      </c>
      <c r="C3192" s="2" t="s">
        <v>158</v>
      </c>
      <c r="D3192">
        <v>39</v>
      </c>
    </row>
    <row r="3193" spans="1:4" hidden="1" x14ac:dyDescent="0.25">
      <c r="A3193" s="2" t="s">
        <v>107</v>
      </c>
      <c r="B3193">
        <v>39</v>
      </c>
      <c r="C3193" s="2" t="s">
        <v>159</v>
      </c>
      <c r="D3193">
        <v>39</v>
      </c>
    </row>
    <row r="3194" spans="1:4" hidden="1" x14ac:dyDescent="0.25">
      <c r="A3194" s="2" t="s">
        <v>107</v>
      </c>
      <c r="B3194">
        <v>39</v>
      </c>
      <c r="C3194" s="2" t="s">
        <v>160</v>
      </c>
      <c r="D3194">
        <v>39</v>
      </c>
    </row>
    <row r="3195" spans="1:4" hidden="1" x14ac:dyDescent="0.25">
      <c r="A3195" s="2" t="s">
        <v>107</v>
      </c>
      <c r="B3195">
        <v>39</v>
      </c>
      <c r="C3195" s="2" t="s">
        <v>161</v>
      </c>
      <c r="D3195">
        <v>39</v>
      </c>
    </row>
    <row r="3196" spans="1:4" hidden="1" x14ac:dyDescent="0.25">
      <c r="A3196" s="2" t="s">
        <v>107</v>
      </c>
      <c r="B3196">
        <v>39</v>
      </c>
      <c r="C3196" s="2" t="s">
        <v>162</v>
      </c>
      <c r="D3196">
        <v>39</v>
      </c>
    </row>
    <row r="3197" spans="1:4" hidden="1" x14ac:dyDescent="0.25">
      <c r="A3197" s="2" t="s">
        <v>107</v>
      </c>
      <c r="B3197">
        <v>39</v>
      </c>
      <c r="C3197" s="2" t="s">
        <v>163</v>
      </c>
      <c r="D3197">
        <v>39</v>
      </c>
    </row>
    <row r="3198" spans="1:4" hidden="1" x14ac:dyDescent="0.25">
      <c r="A3198" s="2" t="s">
        <v>107</v>
      </c>
      <c r="B3198">
        <v>39</v>
      </c>
      <c r="C3198" s="2" t="s">
        <v>164</v>
      </c>
      <c r="D3198">
        <v>39</v>
      </c>
    </row>
    <row r="3199" spans="1:4" hidden="1" x14ac:dyDescent="0.25">
      <c r="A3199" s="2" t="s">
        <v>107</v>
      </c>
      <c r="B3199">
        <v>39</v>
      </c>
      <c r="C3199" s="2" t="s">
        <v>165</v>
      </c>
      <c r="D3199">
        <v>39</v>
      </c>
    </row>
    <row r="3200" spans="1:4" hidden="1" x14ac:dyDescent="0.25">
      <c r="A3200" s="2" t="s">
        <v>107</v>
      </c>
      <c r="B3200">
        <v>39</v>
      </c>
      <c r="C3200" s="2" t="s">
        <v>166</v>
      </c>
      <c r="D3200">
        <v>39</v>
      </c>
    </row>
    <row r="3201" spans="1:4" hidden="1" x14ac:dyDescent="0.25">
      <c r="A3201" s="2" t="s">
        <v>107</v>
      </c>
      <c r="B3201">
        <v>39</v>
      </c>
      <c r="C3201" s="2" t="s">
        <v>167</v>
      </c>
      <c r="D3201">
        <v>39</v>
      </c>
    </row>
    <row r="3202" spans="1:4" hidden="1" x14ac:dyDescent="0.25">
      <c r="A3202" s="2" t="s">
        <v>107</v>
      </c>
      <c r="B3202">
        <v>39</v>
      </c>
      <c r="C3202" s="2" t="s">
        <v>168</v>
      </c>
      <c r="D3202">
        <v>39</v>
      </c>
    </row>
    <row r="3203" spans="1:4" hidden="1" x14ac:dyDescent="0.25">
      <c r="A3203" s="2" t="s">
        <v>107</v>
      </c>
      <c r="B3203">
        <v>39</v>
      </c>
      <c r="C3203" s="2" t="s">
        <v>169</v>
      </c>
      <c r="D3203">
        <v>39</v>
      </c>
    </row>
    <row r="3204" spans="1:4" hidden="1" x14ac:dyDescent="0.25">
      <c r="A3204" s="2" t="s">
        <v>107</v>
      </c>
      <c r="B3204">
        <v>39</v>
      </c>
      <c r="C3204" s="2" t="s">
        <v>170</v>
      </c>
      <c r="D3204">
        <v>39</v>
      </c>
    </row>
    <row r="3205" spans="1:4" hidden="1" x14ac:dyDescent="0.25">
      <c r="A3205" s="2" t="s">
        <v>107</v>
      </c>
      <c r="B3205">
        <v>39</v>
      </c>
      <c r="C3205" s="2" t="s">
        <v>171</v>
      </c>
      <c r="D3205">
        <v>39</v>
      </c>
    </row>
    <row r="3206" spans="1:4" hidden="1" x14ac:dyDescent="0.25">
      <c r="A3206" s="2" t="s">
        <v>107</v>
      </c>
      <c r="B3206">
        <v>39</v>
      </c>
      <c r="C3206" s="2" t="s">
        <v>172</v>
      </c>
      <c r="D3206">
        <v>39</v>
      </c>
    </row>
    <row r="3207" spans="1:4" hidden="1" x14ac:dyDescent="0.25">
      <c r="A3207" s="2" t="s">
        <v>107</v>
      </c>
      <c r="B3207">
        <v>39</v>
      </c>
      <c r="C3207" s="2" t="s">
        <v>173</v>
      </c>
      <c r="D3207">
        <v>39</v>
      </c>
    </row>
    <row r="3208" spans="1:4" hidden="1" x14ac:dyDescent="0.25">
      <c r="A3208" s="2" t="s">
        <v>107</v>
      </c>
      <c r="B3208">
        <v>39</v>
      </c>
      <c r="C3208" s="2" t="s">
        <v>174</v>
      </c>
      <c r="D3208">
        <v>39</v>
      </c>
    </row>
    <row r="3209" spans="1:4" hidden="1" x14ac:dyDescent="0.25">
      <c r="A3209" s="2" t="s">
        <v>107</v>
      </c>
      <c r="B3209">
        <v>39</v>
      </c>
      <c r="C3209" s="2" t="s">
        <v>175</v>
      </c>
      <c r="D3209">
        <v>39</v>
      </c>
    </row>
    <row r="3210" spans="1:4" hidden="1" x14ac:dyDescent="0.25">
      <c r="A3210" s="2" t="s">
        <v>107</v>
      </c>
      <c r="B3210">
        <v>39</v>
      </c>
      <c r="C3210" s="2" t="s">
        <v>176</v>
      </c>
      <c r="D3210">
        <v>39</v>
      </c>
    </row>
    <row r="3211" spans="1:4" hidden="1" x14ac:dyDescent="0.25">
      <c r="A3211" s="2" t="s">
        <v>107</v>
      </c>
      <c r="B3211">
        <v>39</v>
      </c>
      <c r="C3211" s="2" t="s">
        <v>177</v>
      </c>
      <c r="D3211">
        <v>39</v>
      </c>
    </row>
    <row r="3212" spans="1:4" hidden="1" x14ac:dyDescent="0.25">
      <c r="A3212" s="2" t="s">
        <v>107</v>
      </c>
      <c r="B3212">
        <v>39</v>
      </c>
      <c r="C3212" s="2" t="s">
        <v>178</v>
      </c>
      <c r="D3212">
        <v>39</v>
      </c>
    </row>
    <row r="3213" spans="1:4" hidden="1" x14ac:dyDescent="0.25">
      <c r="A3213" s="2" t="s">
        <v>107</v>
      </c>
      <c r="B3213">
        <v>39</v>
      </c>
      <c r="C3213" s="2" t="s">
        <v>179</v>
      </c>
      <c r="D3213">
        <v>39</v>
      </c>
    </row>
    <row r="3214" spans="1:4" hidden="1" x14ac:dyDescent="0.25">
      <c r="A3214" s="2" t="s">
        <v>50</v>
      </c>
      <c r="B3214">
        <v>45</v>
      </c>
      <c r="C3214" s="2" t="s">
        <v>183</v>
      </c>
      <c r="D3214">
        <v>13</v>
      </c>
    </row>
    <row r="3215" spans="1:4" hidden="1" x14ac:dyDescent="0.25">
      <c r="A3215" s="2" t="s">
        <v>50</v>
      </c>
      <c r="B3215">
        <v>45</v>
      </c>
      <c r="C3215" s="2" t="s">
        <v>184</v>
      </c>
      <c r="D3215">
        <v>14</v>
      </c>
    </row>
    <row r="3216" spans="1:4" hidden="1" x14ac:dyDescent="0.25">
      <c r="A3216" s="2" t="s">
        <v>50</v>
      </c>
      <c r="B3216">
        <v>45</v>
      </c>
      <c r="C3216" s="2" t="s">
        <v>185</v>
      </c>
      <c r="D3216">
        <v>24</v>
      </c>
    </row>
    <row r="3217" spans="1:4" hidden="1" x14ac:dyDescent="0.25">
      <c r="A3217" s="2" t="s">
        <v>50</v>
      </c>
      <c r="B3217">
        <v>45</v>
      </c>
      <c r="C3217" s="2" t="s">
        <v>186</v>
      </c>
      <c r="D3217">
        <v>9</v>
      </c>
    </row>
    <row r="3218" spans="1:4" hidden="1" x14ac:dyDescent="0.25">
      <c r="A3218" s="2" t="s">
        <v>50</v>
      </c>
      <c r="B3218">
        <v>45</v>
      </c>
      <c r="C3218" s="2" t="s">
        <v>187</v>
      </c>
      <c r="D3218">
        <v>9</v>
      </c>
    </row>
    <row r="3219" spans="1:4" hidden="1" x14ac:dyDescent="0.25">
      <c r="A3219" s="2" t="s">
        <v>50</v>
      </c>
      <c r="B3219">
        <v>45</v>
      </c>
      <c r="C3219" s="2" t="s">
        <v>188</v>
      </c>
      <c r="D3219">
        <v>9</v>
      </c>
    </row>
    <row r="3220" spans="1:4" hidden="1" x14ac:dyDescent="0.25">
      <c r="A3220" s="2" t="s">
        <v>50</v>
      </c>
      <c r="B3220">
        <v>45</v>
      </c>
      <c r="C3220" s="2" t="s">
        <v>189</v>
      </c>
      <c r="D3220">
        <v>5</v>
      </c>
    </row>
    <row r="3221" spans="1:4" hidden="1" x14ac:dyDescent="0.25">
      <c r="A3221" s="2" t="s">
        <v>50</v>
      </c>
      <c r="B3221">
        <v>45</v>
      </c>
      <c r="C3221" s="2" t="s">
        <v>190</v>
      </c>
      <c r="D3221">
        <v>8</v>
      </c>
    </row>
    <row r="3222" spans="1:4" hidden="1" x14ac:dyDescent="0.25">
      <c r="A3222" s="2" t="s">
        <v>50</v>
      </c>
      <c r="B3222">
        <v>45</v>
      </c>
      <c r="C3222" s="2" t="s">
        <v>191</v>
      </c>
      <c r="D3222">
        <v>11</v>
      </c>
    </row>
    <row r="3223" spans="1:4" hidden="1" x14ac:dyDescent="0.25">
      <c r="A3223" s="2" t="s">
        <v>50</v>
      </c>
      <c r="B3223">
        <v>45</v>
      </c>
      <c r="C3223" s="2" t="s">
        <v>116</v>
      </c>
      <c r="D3223">
        <v>15</v>
      </c>
    </row>
    <row r="3224" spans="1:4" hidden="1" x14ac:dyDescent="0.25">
      <c r="A3224" s="2" t="s">
        <v>50</v>
      </c>
      <c r="B3224">
        <v>45</v>
      </c>
      <c r="C3224" s="2" t="s">
        <v>117</v>
      </c>
      <c r="D3224">
        <v>17</v>
      </c>
    </row>
    <row r="3225" spans="1:4" hidden="1" x14ac:dyDescent="0.25">
      <c r="A3225" s="2" t="s">
        <v>50</v>
      </c>
      <c r="B3225">
        <v>45</v>
      </c>
      <c r="C3225" s="2" t="s">
        <v>118</v>
      </c>
      <c r="D3225">
        <v>17</v>
      </c>
    </row>
    <row r="3226" spans="1:4" hidden="1" x14ac:dyDescent="0.25">
      <c r="A3226" s="2" t="s">
        <v>50</v>
      </c>
      <c r="B3226">
        <v>45</v>
      </c>
      <c r="C3226" s="2" t="s">
        <v>119</v>
      </c>
      <c r="D3226">
        <v>26</v>
      </c>
    </row>
    <row r="3227" spans="1:4" hidden="1" x14ac:dyDescent="0.25">
      <c r="A3227" s="2" t="s">
        <v>50</v>
      </c>
      <c r="B3227">
        <v>45</v>
      </c>
      <c r="C3227" s="2" t="s">
        <v>120</v>
      </c>
      <c r="D3227">
        <v>27</v>
      </c>
    </row>
    <row r="3228" spans="1:4" hidden="1" x14ac:dyDescent="0.25">
      <c r="A3228" s="2" t="s">
        <v>50</v>
      </c>
      <c r="B3228">
        <v>45</v>
      </c>
      <c r="C3228" s="2" t="s">
        <v>121</v>
      </c>
      <c r="D3228">
        <v>29</v>
      </c>
    </row>
    <row r="3229" spans="1:4" hidden="1" x14ac:dyDescent="0.25">
      <c r="A3229" s="2" t="s">
        <v>50</v>
      </c>
      <c r="B3229">
        <v>45</v>
      </c>
      <c r="C3229" s="2" t="s">
        <v>122</v>
      </c>
      <c r="D3229">
        <v>39</v>
      </c>
    </row>
    <row r="3230" spans="1:4" hidden="1" x14ac:dyDescent="0.25">
      <c r="A3230" s="2" t="s">
        <v>50</v>
      </c>
      <c r="B3230">
        <v>45</v>
      </c>
      <c r="C3230" s="2" t="s">
        <v>123</v>
      </c>
      <c r="D3230">
        <v>46</v>
      </c>
    </row>
    <row r="3231" spans="1:4" hidden="1" x14ac:dyDescent="0.25">
      <c r="A3231" s="2" t="s">
        <v>50</v>
      </c>
      <c r="B3231">
        <v>45</v>
      </c>
      <c r="C3231" s="2" t="s">
        <v>124</v>
      </c>
      <c r="D3231">
        <v>52</v>
      </c>
    </row>
    <row r="3232" spans="1:4" hidden="1" x14ac:dyDescent="0.25">
      <c r="A3232" s="2" t="s">
        <v>50</v>
      </c>
      <c r="B3232">
        <v>45</v>
      </c>
      <c r="C3232" s="2" t="s">
        <v>125</v>
      </c>
      <c r="D3232">
        <v>52</v>
      </c>
    </row>
    <row r="3233" spans="1:4" hidden="1" x14ac:dyDescent="0.25">
      <c r="A3233" s="2" t="s">
        <v>50</v>
      </c>
      <c r="B3233">
        <v>45</v>
      </c>
      <c r="C3233" s="2" t="s">
        <v>126</v>
      </c>
      <c r="D3233">
        <v>52</v>
      </c>
    </row>
    <row r="3234" spans="1:4" hidden="1" x14ac:dyDescent="0.25">
      <c r="A3234" s="2" t="s">
        <v>50</v>
      </c>
      <c r="B3234">
        <v>45</v>
      </c>
      <c r="C3234" s="2" t="s">
        <v>127</v>
      </c>
      <c r="D3234">
        <v>56</v>
      </c>
    </row>
    <row r="3235" spans="1:4" hidden="1" x14ac:dyDescent="0.25">
      <c r="A3235" s="2" t="s">
        <v>50</v>
      </c>
      <c r="B3235">
        <v>45</v>
      </c>
      <c r="C3235" s="2" t="s">
        <v>128</v>
      </c>
      <c r="D3235">
        <v>62</v>
      </c>
    </row>
    <row r="3236" spans="1:4" hidden="1" x14ac:dyDescent="0.25">
      <c r="A3236" s="2" t="s">
        <v>50</v>
      </c>
      <c r="B3236">
        <v>45</v>
      </c>
      <c r="C3236" s="2" t="s">
        <v>129</v>
      </c>
      <c r="D3236">
        <v>62</v>
      </c>
    </row>
    <row r="3237" spans="1:4" hidden="1" x14ac:dyDescent="0.25">
      <c r="A3237" s="2" t="s">
        <v>50</v>
      </c>
      <c r="B3237">
        <v>45</v>
      </c>
      <c r="C3237" s="2" t="s">
        <v>130</v>
      </c>
      <c r="D3237">
        <v>69</v>
      </c>
    </row>
    <row r="3238" spans="1:4" hidden="1" x14ac:dyDescent="0.25">
      <c r="A3238" s="2" t="s">
        <v>50</v>
      </c>
      <c r="B3238">
        <v>45</v>
      </c>
      <c r="C3238" s="2" t="s">
        <v>131</v>
      </c>
      <c r="D3238">
        <v>68</v>
      </c>
    </row>
    <row r="3239" spans="1:4" hidden="1" x14ac:dyDescent="0.25">
      <c r="A3239" s="2" t="s">
        <v>50</v>
      </c>
      <c r="B3239">
        <v>45</v>
      </c>
      <c r="C3239" s="2" t="s">
        <v>132</v>
      </c>
      <c r="D3239">
        <v>59</v>
      </c>
    </row>
    <row r="3240" spans="1:4" hidden="1" x14ac:dyDescent="0.25">
      <c r="A3240" s="2" t="s">
        <v>50</v>
      </c>
      <c r="B3240">
        <v>45</v>
      </c>
      <c r="C3240" s="2" t="s">
        <v>133</v>
      </c>
      <c r="D3240">
        <v>59</v>
      </c>
    </row>
    <row r="3241" spans="1:4" hidden="1" x14ac:dyDescent="0.25">
      <c r="A3241" s="2" t="s">
        <v>50</v>
      </c>
      <c r="B3241">
        <v>45</v>
      </c>
      <c r="C3241" s="2" t="s">
        <v>134</v>
      </c>
      <c r="D3241">
        <v>60</v>
      </c>
    </row>
    <row r="3242" spans="1:4" hidden="1" x14ac:dyDescent="0.25">
      <c r="A3242" s="2" t="s">
        <v>50</v>
      </c>
      <c r="B3242">
        <v>45</v>
      </c>
      <c r="C3242" s="2" t="s">
        <v>135</v>
      </c>
      <c r="D3242">
        <v>45</v>
      </c>
    </row>
    <row r="3243" spans="1:4" hidden="1" x14ac:dyDescent="0.25">
      <c r="A3243" s="2" t="s">
        <v>50</v>
      </c>
      <c r="B3243">
        <v>45</v>
      </c>
      <c r="C3243" s="2" t="s">
        <v>136</v>
      </c>
      <c r="D3243">
        <v>45</v>
      </c>
    </row>
    <row r="3244" spans="1:4" hidden="1" x14ac:dyDescent="0.25">
      <c r="A3244" s="2" t="s">
        <v>50</v>
      </c>
      <c r="B3244">
        <v>45</v>
      </c>
      <c r="C3244" s="2" t="s">
        <v>137</v>
      </c>
      <c r="D3244">
        <v>45</v>
      </c>
    </row>
    <row r="3245" spans="1:4" hidden="1" x14ac:dyDescent="0.25">
      <c r="A3245" s="2" t="s">
        <v>50</v>
      </c>
      <c r="B3245">
        <v>45</v>
      </c>
      <c r="C3245" s="2" t="s">
        <v>138</v>
      </c>
      <c r="D3245">
        <v>45</v>
      </c>
    </row>
    <row r="3246" spans="1:4" hidden="1" x14ac:dyDescent="0.25">
      <c r="A3246" s="2" t="s">
        <v>50</v>
      </c>
      <c r="B3246">
        <v>45</v>
      </c>
      <c r="C3246" s="2" t="s">
        <v>139</v>
      </c>
      <c r="D3246">
        <v>45</v>
      </c>
    </row>
    <row r="3247" spans="1:4" hidden="1" x14ac:dyDescent="0.25">
      <c r="A3247" s="2" t="s">
        <v>50</v>
      </c>
      <c r="B3247">
        <v>45</v>
      </c>
      <c r="C3247" s="2" t="s">
        <v>140</v>
      </c>
      <c r="D3247">
        <v>45</v>
      </c>
    </row>
    <row r="3248" spans="1:4" hidden="1" x14ac:dyDescent="0.25">
      <c r="A3248" s="2" t="s">
        <v>50</v>
      </c>
      <c r="B3248">
        <v>45</v>
      </c>
      <c r="C3248" s="2" t="s">
        <v>141</v>
      </c>
      <c r="D3248">
        <v>45</v>
      </c>
    </row>
    <row r="3249" spans="1:4" hidden="1" x14ac:dyDescent="0.25">
      <c r="A3249" s="2" t="s">
        <v>50</v>
      </c>
      <c r="B3249">
        <v>45</v>
      </c>
      <c r="C3249" s="2" t="s">
        <v>142</v>
      </c>
      <c r="D3249">
        <v>45</v>
      </c>
    </row>
    <row r="3250" spans="1:4" hidden="1" x14ac:dyDescent="0.25">
      <c r="A3250" s="2" t="s">
        <v>50</v>
      </c>
      <c r="B3250">
        <v>45</v>
      </c>
      <c r="C3250" s="2" t="s">
        <v>143</v>
      </c>
      <c r="D3250">
        <v>45</v>
      </c>
    </row>
    <row r="3251" spans="1:4" hidden="1" x14ac:dyDescent="0.25">
      <c r="A3251" s="2" t="s">
        <v>50</v>
      </c>
      <c r="B3251">
        <v>45</v>
      </c>
      <c r="C3251" s="2" t="s">
        <v>144</v>
      </c>
      <c r="D3251">
        <v>45</v>
      </c>
    </row>
    <row r="3252" spans="1:4" hidden="1" x14ac:dyDescent="0.25">
      <c r="A3252" s="2" t="s">
        <v>50</v>
      </c>
      <c r="B3252">
        <v>45</v>
      </c>
      <c r="C3252" s="2" t="s">
        <v>145</v>
      </c>
      <c r="D3252">
        <v>45</v>
      </c>
    </row>
    <row r="3253" spans="1:4" hidden="1" x14ac:dyDescent="0.25">
      <c r="A3253" s="2" t="s">
        <v>50</v>
      </c>
      <c r="B3253">
        <v>45</v>
      </c>
      <c r="C3253" s="2" t="s">
        <v>146</v>
      </c>
      <c r="D3253">
        <v>45</v>
      </c>
    </row>
    <row r="3254" spans="1:4" hidden="1" x14ac:dyDescent="0.25">
      <c r="A3254" s="2" t="s">
        <v>50</v>
      </c>
      <c r="B3254">
        <v>45</v>
      </c>
      <c r="C3254" s="2" t="s">
        <v>147</v>
      </c>
      <c r="D3254">
        <v>45</v>
      </c>
    </row>
    <row r="3255" spans="1:4" hidden="1" x14ac:dyDescent="0.25">
      <c r="A3255" s="2" t="s">
        <v>50</v>
      </c>
      <c r="B3255">
        <v>45</v>
      </c>
      <c r="C3255" s="2" t="s">
        <v>148</v>
      </c>
      <c r="D3255">
        <v>45</v>
      </c>
    </row>
    <row r="3256" spans="1:4" hidden="1" x14ac:dyDescent="0.25">
      <c r="A3256" s="2" t="s">
        <v>50</v>
      </c>
      <c r="B3256">
        <v>45</v>
      </c>
      <c r="C3256" s="2" t="s">
        <v>149</v>
      </c>
      <c r="D3256">
        <v>45</v>
      </c>
    </row>
    <row r="3257" spans="1:4" hidden="1" x14ac:dyDescent="0.25">
      <c r="A3257" s="2" t="s">
        <v>50</v>
      </c>
      <c r="B3257">
        <v>45</v>
      </c>
      <c r="C3257" s="2" t="s">
        <v>150</v>
      </c>
      <c r="D3257">
        <v>45</v>
      </c>
    </row>
    <row r="3258" spans="1:4" hidden="1" x14ac:dyDescent="0.25">
      <c r="A3258" s="2" t="s">
        <v>50</v>
      </c>
      <c r="B3258">
        <v>45</v>
      </c>
      <c r="C3258" s="2" t="s">
        <v>151</v>
      </c>
      <c r="D3258">
        <v>45</v>
      </c>
    </row>
    <row r="3259" spans="1:4" hidden="1" x14ac:dyDescent="0.25">
      <c r="A3259" s="2" t="s">
        <v>50</v>
      </c>
      <c r="B3259">
        <v>45</v>
      </c>
      <c r="C3259" s="2" t="s">
        <v>152</v>
      </c>
      <c r="D3259">
        <v>45</v>
      </c>
    </row>
    <row r="3260" spans="1:4" hidden="1" x14ac:dyDescent="0.25">
      <c r="A3260" s="2" t="s">
        <v>50</v>
      </c>
      <c r="B3260">
        <v>45</v>
      </c>
      <c r="C3260" s="2" t="s">
        <v>153</v>
      </c>
      <c r="D3260">
        <v>45</v>
      </c>
    </row>
    <row r="3261" spans="1:4" hidden="1" x14ac:dyDescent="0.25">
      <c r="A3261" s="2" t="s">
        <v>50</v>
      </c>
      <c r="B3261">
        <v>45</v>
      </c>
      <c r="C3261" s="2" t="s">
        <v>154</v>
      </c>
      <c r="D3261">
        <v>45</v>
      </c>
    </row>
    <row r="3262" spans="1:4" hidden="1" x14ac:dyDescent="0.25">
      <c r="A3262" s="2" t="s">
        <v>50</v>
      </c>
      <c r="B3262">
        <v>45</v>
      </c>
      <c r="C3262" s="2" t="s">
        <v>155</v>
      </c>
      <c r="D3262">
        <v>45</v>
      </c>
    </row>
    <row r="3263" spans="1:4" hidden="1" x14ac:dyDescent="0.25">
      <c r="A3263" s="2" t="s">
        <v>50</v>
      </c>
      <c r="B3263">
        <v>45</v>
      </c>
      <c r="C3263" s="2" t="s">
        <v>156</v>
      </c>
      <c r="D3263">
        <v>45</v>
      </c>
    </row>
    <row r="3264" spans="1:4" hidden="1" x14ac:dyDescent="0.25">
      <c r="A3264" s="2" t="s">
        <v>50</v>
      </c>
      <c r="B3264">
        <v>45</v>
      </c>
      <c r="C3264" s="2" t="s">
        <v>157</v>
      </c>
      <c r="D3264">
        <v>45</v>
      </c>
    </row>
    <row r="3265" spans="1:4" hidden="1" x14ac:dyDescent="0.25">
      <c r="A3265" s="2" t="s">
        <v>50</v>
      </c>
      <c r="B3265">
        <v>45</v>
      </c>
      <c r="C3265" s="2" t="s">
        <v>158</v>
      </c>
      <c r="D3265">
        <v>45</v>
      </c>
    </row>
    <row r="3266" spans="1:4" hidden="1" x14ac:dyDescent="0.25">
      <c r="A3266" s="2" t="s">
        <v>50</v>
      </c>
      <c r="B3266">
        <v>45</v>
      </c>
      <c r="C3266" s="2" t="s">
        <v>159</v>
      </c>
      <c r="D3266">
        <v>45</v>
      </c>
    </row>
    <row r="3267" spans="1:4" hidden="1" x14ac:dyDescent="0.25">
      <c r="A3267" s="2" t="s">
        <v>50</v>
      </c>
      <c r="B3267">
        <v>45</v>
      </c>
      <c r="C3267" s="2" t="s">
        <v>160</v>
      </c>
      <c r="D3267">
        <v>45</v>
      </c>
    </row>
    <row r="3268" spans="1:4" hidden="1" x14ac:dyDescent="0.25">
      <c r="A3268" s="2" t="s">
        <v>50</v>
      </c>
      <c r="B3268">
        <v>45</v>
      </c>
      <c r="C3268" s="2" t="s">
        <v>161</v>
      </c>
      <c r="D3268">
        <v>45</v>
      </c>
    </row>
    <row r="3269" spans="1:4" hidden="1" x14ac:dyDescent="0.25">
      <c r="A3269" s="2" t="s">
        <v>50</v>
      </c>
      <c r="B3269">
        <v>45</v>
      </c>
      <c r="C3269" s="2" t="s">
        <v>162</v>
      </c>
      <c r="D3269">
        <v>45</v>
      </c>
    </row>
    <row r="3270" spans="1:4" hidden="1" x14ac:dyDescent="0.25">
      <c r="A3270" s="2" t="s">
        <v>50</v>
      </c>
      <c r="B3270">
        <v>45</v>
      </c>
      <c r="C3270" s="2" t="s">
        <v>163</v>
      </c>
      <c r="D3270">
        <v>45</v>
      </c>
    </row>
    <row r="3271" spans="1:4" hidden="1" x14ac:dyDescent="0.25">
      <c r="A3271" s="2" t="s">
        <v>50</v>
      </c>
      <c r="B3271">
        <v>45</v>
      </c>
      <c r="C3271" s="2" t="s">
        <v>164</v>
      </c>
      <c r="D3271">
        <v>45</v>
      </c>
    </row>
    <row r="3272" spans="1:4" hidden="1" x14ac:dyDescent="0.25">
      <c r="A3272" s="2" t="s">
        <v>50</v>
      </c>
      <c r="B3272">
        <v>45</v>
      </c>
      <c r="C3272" s="2" t="s">
        <v>165</v>
      </c>
      <c r="D3272">
        <v>45</v>
      </c>
    </row>
    <row r="3273" spans="1:4" hidden="1" x14ac:dyDescent="0.25">
      <c r="A3273" s="2" t="s">
        <v>50</v>
      </c>
      <c r="B3273">
        <v>45</v>
      </c>
      <c r="C3273" s="2" t="s">
        <v>166</v>
      </c>
      <c r="D3273">
        <v>45</v>
      </c>
    </row>
    <row r="3274" spans="1:4" hidden="1" x14ac:dyDescent="0.25">
      <c r="A3274" s="2" t="s">
        <v>50</v>
      </c>
      <c r="B3274">
        <v>45</v>
      </c>
      <c r="C3274" s="2" t="s">
        <v>167</v>
      </c>
      <c r="D3274">
        <v>45</v>
      </c>
    </row>
    <row r="3275" spans="1:4" hidden="1" x14ac:dyDescent="0.25">
      <c r="A3275" s="2" t="s">
        <v>50</v>
      </c>
      <c r="B3275">
        <v>45</v>
      </c>
      <c r="C3275" s="2" t="s">
        <v>168</v>
      </c>
      <c r="D3275">
        <v>45</v>
      </c>
    </row>
    <row r="3276" spans="1:4" hidden="1" x14ac:dyDescent="0.25">
      <c r="A3276" s="2" t="s">
        <v>50</v>
      </c>
      <c r="B3276">
        <v>45</v>
      </c>
      <c r="C3276" s="2" t="s">
        <v>169</v>
      </c>
      <c r="D3276">
        <v>45</v>
      </c>
    </row>
    <row r="3277" spans="1:4" hidden="1" x14ac:dyDescent="0.25">
      <c r="A3277" s="2" t="s">
        <v>50</v>
      </c>
      <c r="B3277">
        <v>45</v>
      </c>
      <c r="C3277" s="2" t="s">
        <v>170</v>
      </c>
      <c r="D3277">
        <v>45</v>
      </c>
    </row>
    <row r="3278" spans="1:4" hidden="1" x14ac:dyDescent="0.25">
      <c r="A3278" s="2" t="s">
        <v>50</v>
      </c>
      <c r="B3278">
        <v>45</v>
      </c>
      <c r="C3278" s="2" t="s">
        <v>171</v>
      </c>
      <c r="D3278">
        <v>45</v>
      </c>
    </row>
    <row r="3279" spans="1:4" hidden="1" x14ac:dyDescent="0.25">
      <c r="A3279" s="2" t="s">
        <v>50</v>
      </c>
      <c r="B3279">
        <v>45</v>
      </c>
      <c r="C3279" s="2" t="s">
        <v>172</v>
      </c>
      <c r="D3279">
        <v>45</v>
      </c>
    </row>
    <row r="3280" spans="1:4" hidden="1" x14ac:dyDescent="0.25">
      <c r="A3280" s="2" t="s">
        <v>50</v>
      </c>
      <c r="B3280">
        <v>45</v>
      </c>
      <c r="C3280" s="2" t="s">
        <v>173</v>
      </c>
      <c r="D3280">
        <v>45</v>
      </c>
    </row>
    <row r="3281" spans="1:4" hidden="1" x14ac:dyDescent="0.25">
      <c r="A3281" s="2" t="s">
        <v>50</v>
      </c>
      <c r="B3281">
        <v>45</v>
      </c>
      <c r="C3281" s="2" t="s">
        <v>174</v>
      </c>
      <c r="D3281">
        <v>45</v>
      </c>
    </row>
    <row r="3282" spans="1:4" hidden="1" x14ac:dyDescent="0.25">
      <c r="A3282" s="2" t="s">
        <v>50</v>
      </c>
      <c r="B3282">
        <v>45</v>
      </c>
      <c r="C3282" s="2" t="s">
        <v>175</v>
      </c>
      <c r="D3282">
        <v>45</v>
      </c>
    </row>
    <row r="3283" spans="1:4" hidden="1" x14ac:dyDescent="0.25">
      <c r="A3283" s="2" t="s">
        <v>50</v>
      </c>
      <c r="B3283">
        <v>45</v>
      </c>
      <c r="C3283" s="2" t="s">
        <v>176</v>
      </c>
      <c r="D3283">
        <v>45</v>
      </c>
    </row>
    <row r="3284" spans="1:4" hidden="1" x14ac:dyDescent="0.25">
      <c r="A3284" s="2" t="s">
        <v>50</v>
      </c>
      <c r="B3284">
        <v>45</v>
      </c>
      <c r="C3284" s="2" t="s">
        <v>177</v>
      </c>
      <c r="D3284">
        <v>45</v>
      </c>
    </row>
    <row r="3285" spans="1:4" hidden="1" x14ac:dyDescent="0.25">
      <c r="A3285" s="2" t="s">
        <v>50</v>
      </c>
      <c r="B3285">
        <v>45</v>
      </c>
      <c r="C3285" s="2" t="s">
        <v>178</v>
      </c>
      <c r="D3285">
        <v>45</v>
      </c>
    </row>
    <row r="3286" spans="1:4" hidden="1" x14ac:dyDescent="0.25">
      <c r="A3286" s="2" t="s">
        <v>50</v>
      </c>
      <c r="B3286">
        <v>45</v>
      </c>
      <c r="C3286" s="2" t="s">
        <v>179</v>
      </c>
      <c r="D3286">
        <v>45</v>
      </c>
    </row>
    <row r="3287" spans="1:4" hidden="1" x14ac:dyDescent="0.25">
      <c r="A3287" s="2" t="s">
        <v>17</v>
      </c>
      <c r="B3287">
        <v>46</v>
      </c>
      <c r="C3287" s="2" t="s">
        <v>183</v>
      </c>
      <c r="D3287">
        <v>13</v>
      </c>
    </row>
    <row r="3288" spans="1:4" hidden="1" x14ac:dyDescent="0.25">
      <c r="A3288" s="2" t="s">
        <v>17</v>
      </c>
      <c r="B3288">
        <v>46</v>
      </c>
      <c r="C3288" s="2" t="s">
        <v>184</v>
      </c>
      <c r="D3288">
        <v>14</v>
      </c>
    </row>
    <row r="3289" spans="1:4" hidden="1" x14ac:dyDescent="0.25">
      <c r="A3289" s="2" t="s">
        <v>17</v>
      </c>
      <c r="B3289">
        <v>46</v>
      </c>
      <c r="C3289" s="2" t="s">
        <v>185</v>
      </c>
      <c r="D3289">
        <v>3</v>
      </c>
    </row>
    <row r="3290" spans="1:4" hidden="1" x14ac:dyDescent="0.25">
      <c r="A3290" s="2" t="s">
        <v>17</v>
      </c>
      <c r="B3290">
        <v>46</v>
      </c>
      <c r="C3290" s="2" t="s">
        <v>186</v>
      </c>
      <c r="D3290">
        <v>1</v>
      </c>
    </row>
    <row r="3291" spans="1:4" hidden="1" x14ac:dyDescent="0.25">
      <c r="A3291" s="2" t="s">
        <v>17</v>
      </c>
      <c r="B3291">
        <v>46</v>
      </c>
      <c r="C3291" s="2" t="s">
        <v>187</v>
      </c>
      <c r="D3291">
        <v>1</v>
      </c>
    </row>
    <row r="3292" spans="1:4" hidden="1" x14ac:dyDescent="0.25">
      <c r="A3292" s="2" t="s">
        <v>17</v>
      </c>
      <c r="B3292">
        <v>46</v>
      </c>
      <c r="C3292" s="2" t="s">
        <v>188</v>
      </c>
      <c r="D3292">
        <v>1</v>
      </c>
    </row>
    <row r="3293" spans="1:4" hidden="1" x14ac:dyDescent="0.25">
      <c r="A3293" s="2" t="s">
        <v>17</v>
      </c>
      <c r="B3293">
        <v>46</v>
      </c>
      <c r="C3293" s="2" t="s">
        <v>189</v>
      </c>
      <c r="D3293">
        <v>11</v>
      </c>
    </row>
    <row r="3294" spans="1:4" hidden="1" x14ac:dyDescent="0.25">
      <c r="A3294" s="2" t="s">
        <v>17</v>
      </c>
      <c r="B3294">
        <v>46</v>
      </c>
      <c r="C3294" s="2" t="s">
        <v>190</v>
      </c>
      <c r="D3294">
        <v>15</v>
      </c>
    </row>
    <row r="3295" spans="1:4" hidden="1" x14ac:dyDescent="0.25">
      <c r="A3295" s="2" t="s">
        <v>17</v>
      </c>
      <c r="B3295">
        <v>46</v>
      </c>
      <c r="C3295" s="2" t="s">
        <v>191</v>
      </c>
      <c r="D3295">
        <v>23</v>
      </c>
    </row>
    <row r="3296" spans="1:4" hidden="1" x14ac:dyDescent="0.25">
      <c r="A3296" s="2" t="s">
        <v>17</v>
      </c>
      <c r="B3296">
        <v>46</v>
      </c>
      <c r="C3296" s="2" t="s">
        <v>116</v>
      </c>
      <c r="D3296">
        <v>23</v>
      </c>
    </row>
    <row r="3297" spans="1:4" hidden="1" x14ac:dyDescent="0.25">
      <c r="A3297" s="2" t="s">
        <v>17</v>
      </c>
      <c r="B3297">
        <v>46</v>
      </c>
      <c r="C3297" s="2" t="s">
        <v>117</v>
      </c>
      <c r="D3297">
        <v>20</v>
      </c>
    </row>
    <row r="3298" spans="1:4" hidden="1" x14ac:dyDescent="0.25">
      <c r="A3298" s="2" t="s">
        <v>17</v>
      </c>
      <c r="B3298">
        <v>46</v>
      </c>
      <c r="C3298" s="2" t="s">
        <v>118</v>
      </c>
      <c r="D3298">
        <v>19</v>
      </c>
    </row>
    <row r="3299" spans="1:4" hidden="1" x14ac:dyDescent="0.25">
      <c r="A3299" s="2" t="s">
        <v>17</v>
      </c>
      <c r="B3299">
        <v>46</v>
      </c>
      <c r="C3299" s="2" t="s">
        <v>119</v>
      </c>
      <c r="D3299">
        <v>29</v>
      </c>
    </row>
    <row r="3300" spans="1:4" hidden="1" x14ac:dyDescent="0.25">
      <c r="A3300" s="2" t="s">
        <v>17</v>
      </c>
      <c r="B3300">
        <v>46</v>
      </c>
      <c r="C3300" s="2" t="s">
        <v>120</v>
      </c>
      <c r="D3300">
        <v>29</v>
      </c>
    </row>
    <row r="3301" spans="1:4" hidden="1" x14ac:dyDescent="0.25">
      <c r="A3301" s="2" t="s">
        <v>17</v>
      </c>
      <c r="B3301">
        <v>46</v>
      </c>
      <c r="C3301" s="2" t="s">
        <v>121</v>
      </c>
      <c r="D3301">
        <v>25</v>
      </c>
    </row>
    <row r="3302" spans="1:4" hidden="1" x14ac:dyDescent="0.25">
      <c r="A3302" s="2" t="s">
        <v>17</v>
      </c>
      <c r="B3302">
        <v>46</v>
      </c>
      <c r="C3302" s="2" t="s">
        <v>122</v>
      </c>
      <c r="D3302">
        <v>30</v>
      </c>
    </row>
    <row r="3303" spans="1:4" hidden="1" x14ac:dyDescent="0.25">
      <c r="A3303" s="2" t="s">
        <v>17</v>
      </c>
      <c r="B3303">
        <v>46</v>
      </c>
      <c r="C3303" s="2" t="s">
        <v>123</v>
      </c>
      <c r="D3303">
        <v>38</v>
      </c>
    </row>
    <row r="3304" spans="1:4" hidden="1" x14ac:dyDescent="0.25">
      <c r="A3304" s="2" t="s">
        <v>17</v>
      </c>
      <c r="B3304">
        <v>46</v>
      </c>
      <c r="C3304" s="2" t="s">
        <v>124</v>
      </c>
      <c r="D3304">
        <v>43</v>
      </c>
    </row>
    <row r="3305" spans="1:4" hidden="1" x14ac:dyDescent="0.25">
      <c r="A3305" s="2" t="s">
        <v>17</v>
      </c>
      <c r="B3305">
        <v>46</v>
      </c>
      <c r="C3305" s="2" t="s">
        <v>125</v>
      </c>
      <c r="D3305">
        <v>47</v>
      </c>
    </row>
    <row r="3306" spans="1:4" hidden="1" x14ac:dyDescent="0.25">
      <c r="A3306" s="2" t="s">
        <v>17</v>
      </c>
      <c r="B3306">
        <v>46</v>
      </c>
      <c r="C3306" s="2" t="s">
        <v>126</v>
      </c>
      <c r="D3306">
        <v>50</v>
      </c>
    </row>
    <row r="3307" spans="1:4" hidden="1" x14ac:dyDescent="0.25">
      <c r="A3307" s="2" t="s">
        <v>17</v>
      </c>
      <c r="B3307">
        <v>46</v>
      </c>
      <c r="C3307" s="2" t="s">
        <v>127</v>
      </c>
      <c r="D3307">
        <v>47</v>
      </c>
    </row>
    <row r="3308" spans="1:4" hidden="1" x14ac:dyDescent="0.25">
      <c r="A3308" s="2" t="s">
        <v>17</v>
      </c>
      <c r="B3308">
        <v>46</v>
      </c>
      <c r="C3308" s="2" t="s">
        <v>128</v>
      </c>
      <c r="D3308">
        <v>55</v>
      </c>
    </row>
    <row r="3309" spans="1:4" hidden="1" x14ac:dyDescent="0.25">
      <c r="A3309" s="2" t="s">
        <v>17</v>
      </c>
      <c r="B3309">
        <v>46</v>
      </c>
      <c r="C3309" s="2" t="s">
        <v>129</v>
      </c>
      <c r="D3309">
        <v>43</v>
      </c>
    </row>
    <row r="3310" spans="1:4" hidden="1" x14ac:dyDescent="0.25">
      <c r="A3310" s="2" t="s">
        <v>17</v>
      </c>
      <c r="B3310">
        <v>46</v>
      </c>
      <c r="C3310" s="2" t="s">
        <v>130</v>
      </c>
      <c r="D3310">
        <v>37</v>
      </c>
    </row>
    <row r="3311" spans="1:4" hidden="1" x14ac:dyDescent="0.25">
      <c r="A3311" s="2" t="s">
        <v>17</v>
      </c>
      <c r="B3311">
        <v>46</v>
      </c>
      <c r="C3311" s="2" t="s">
        <v>131</v>
      </c>
      <c r="D3311">
        <v>37</v>
      </c>
    </row>
    <row r="3312" spans="1:4" hidden="1" x14ac:dyDescent="0.25">
      <c r="A3312" s="2" t="s">
        <v>17</v>
      </c>
      <c r="B3312">
        <v>46</v>
      </c>
      <c r="C3312" s="2" t="s">
        <v>132</v>
      </c>
      <c r="D3312">
        <v>36</v>
      </c>
    </row>
    <row r="3313" spans="1:4" hidden="1" x14ac:dyDescent="0.25">
      <c r="A3313" s="2" t="s">
        <v>17</v>
      </c>
      <c r="B3313">
        <v>46</v>
      </c>
      <c r="C3313" s="2" t="s">
        <v>133</v>
      </c>
      <c r="D3313">
        <v>37</v>
      </c>
    </row>
    <row r="3314" spans="1:4" hidden="1" x14ac:dyDescent="0.25">
      <c r="A3314" s="2" t="s">
        <v>17</v>
      </c>
      <c r="B3314">
        <v>46</v>
      </c>
      <c r="C3314" s="2" t="s">
        <v>134</v>
      </c>
      <c r="D3314">
        <v>36</v>
      </c>
    </row>
    <row r="3315" spans="1:4" hidden="1" x14ac:dyDescent="0.25">
      <c r="A3315" s="2" t="s">
        <v>17</v>
      </c>
      <c r="B3315">
        <v>46</v>
      </c>
      <c r="C3315" s="2" t="s">
        <v>135</v>
      </c>
      <c r="D3315">
        <v>46</v>
      </c>
    </row>
    <row r="3316" spans="1:4" hidden="1" x14ac:dyDescent="0.25">
      <c r="A3316" s="2" t="s">
        <v>17</v>
      </c>
      <c r="B3316">
        <v>46</v>
      </c>
      <c r="C3316" s="2" t="s">
        <v>136</v>
      </c>
      <c r="D3316">
        <v>46</v>
      </c>
    </row>
    <row r="3317" spans="1:4" hidden="1" x14ac:dyDescent="0.25">
      <c r="A3317" s="2" t="s">
        <v>17</v>
      </c>
      <c r="B3317">
        <v>46</v>
      </c>
      <c r="C3317" s="2" t="s">
        <v>137</v>
      </c>
      <c r="D3317">
        <v>46</v>
      </c>
    </row>
    <row r="3318" spans="1:4" hidden="1" x14ac:dyDescent="0.25">
      <c r="A3318" s="2" t="s">
        <v>17</v>
      </c>
      <c r="B3318">
        <v>46</v>
      </c>
      <c r="C3318" s="2" t="s">
        <v>138</v>
      </c>
      <c r="D3318">
        <v>46</v>
      </c>
    </row>
    <row r="3319" spans="1:4" hidden="1" x14ac:dyDescent="0.25">
      <c r="A3319" s="2" t="s">
        <v>17</v>
      </c>
      <c r="B3319">
        <v>46</v>
      </c>
      <c r="C3319" s="2" t="s">
        <v>139</v>
      </c>
      <c r="D3319">
        <v>46</v>
      </c>
    </row>
    <row r="3320" spans="1:4" hidden="1" x14ac:dyDescent="0.25">
      <c r="A3320" s="2" t="s">
        <v>17</v>
      </c>
      <c r="B3320">
        <v>46</v>
      </c>
      <c r="C3320" s="2" t="s">
        <v>140</v>
      </c>
      <c r="D3320">
        <v>46</v>
      </c>
    </row>
    <row r="3321" spans="1:4" hidden="1" x14ac:dyDescent="0.25">
      <c r="A3321" s="2" t="s">
        <v>17</v>
      </c>
      <c r="B3321">
        <v>46</v>
      </c>
      <c r="C3321" s="2" t="s">
        <v>141</v>
      </c>
      <c r="D3321">
        <v>46</v>
      </c>
    </row>
    <row r="3322" spans="1:4" hidden="1" x14ac:dyDescent="0.25">
      <c r="A3322" s="2" t="s">
        <v>17</v>
      </c>
      <c r="B3322">
        <v>46</v>
      </c>
      <c r="C3322" s="2" t="s">
        <v>142</v>
      </c>
      <c r="D3322">
        <v>46</v>
      </c>
    </row>
    <row r="3323" spans="1:4" hidden="1" x14ac:dyDescent="0.25">
      <c r="A3323" s="2" t="s">
        <v>17</v>
      </c>
      <c r="B3323">
        <v>46</v>
      </c>
      <c r="C3323" s="2" t="s">
        <v>143</v>
      </c>
      <c r="D3323">
        <v>46</v>
      </c>
    </row>
    <row r="3324" spans="1:4" hidden="1" x14ac:dyDescent="0.25">
      <c r="A3324" s="2" t="s">
        <v>17</v>
      </c>
      <c r="B3324">
        <v>46</v>
      </c>
      <c r="C3324" s="2" t="s">
        <v>144</v>
      </c>
      <c r="D3324">
        <v>46</v>
      </c>
    </row>
    <row r="3325" spans="1:4" hidden="1" x14ac:dyDescent="0.25">
      <c r="A3325" s="2" t="s">
        <v>17</v>
      </c>
      <c r="B3325">
        <v>46</v>
      </c>
      <c r="C3325" s="2" t="s">
        <v>145</v>
      </c>
      <c r="D3325">
        <v>46</v>
      </c>
    </row>
    <row r="3326" spans="1:4" hidden="1" x14ac:dyDescent="0.25">
      <c r="A3326" s="2" t="s">
        <v>17</v>
      </c>
      <c r="B3326">
        <v>46</v>
      </c>
      <c r="C3326" s="2" t="s">
        <v>146</v>
      </c>
      <c r="D3326">
        <v>46</v>
      </c>
    </row>
    <row r="3327" spans="1:4" hidden="1" x14ac:dyDescent="0.25">
      <c r="A3327" s="2" t="s">
        <v>17</v>
      </c>
      <c r="B3327">
        <v>46</v>
      </c>
      <c r="C3327" s="2" t="s">
        <v>147</v>
      </c>
      <c r="D3327">
        <v>46</v>
      </c>
    </row>
    <row r="3328" spans="1:4" hidden="1" x14ac:dyDescent="0.25">
      <c r="A3328" s="2" t="s">
        <v>17</v>
      </c>
      <c r="B3328">
        <v>46</v>
      </c>
      <c r="C3328" s="2" t="s">
        <v>148</v>
      </c>
      <c r="D3328">
        <v>46</v>
      </c>
    </row>
    <row r="3329" spans="1:4" hidden="1" x14ac:dyDescent="0.25">
      <c r="A3329" s="2" t="s">
        <v>17</v>
      </c>
      <c r="B3329">
        <v>46</v>
      </c>
      <c r="C3329" s="2" t="s">
        <v>149</v>
      </c>
      <c r="D3329">
        <v>46</v>
      </c>
    </row>
    <row r="3330" spans="1:4" hidden="1" x14ac:dyDescent="0.25">
      <c r="A3330" s="2" t="s">
        <v>17</v>
      </c>
      <c r="B3330">
        <v>46</v>
      </c>
      <c r="C3330" s="2" t="s">
        <v>150</v>
      </c>
      <c r="D3330">
        <v>46</v>
      </c>
    </row>
    <row r="3331" spans="1:4" hidden="1" x14ac:dyDescent="0.25">
      <c r="A3331" s="2" t="s">
        <v>17</v>
      </c>
      <c r="B3331">
        <v>46</v>
      </c>
      <c r="C3331" s="2" t="s">
        <v>151</v>
      </c>
      <c r="D3331">
        <v>46</v>
      </c>
    </row>
    <row r="3332" spans="1:4" hidden="1" x14ac:dyDescent="0.25">
      <c r="A3332" s="2" t="s">
        <v>17</v>
      </c>
      <c r="B3332">
        <v>46</v>
      </c>
      <c r="C3332" s="2" t="s">
        <v>152</v>
      </c>
      <c r="D3332">
        <v>46</v>
      </c>
    </row>
    <row r="3333" spans="1:4" hidden="1" x14ac:dyDescent="0.25">
      <c r="A3333" s="2" t="s">
        <v>17</v>
      </c>
      <c r="B3333">
        <v>46</v>
      </c>
      <c r="C3333" s="2" t="s">
        <v>153</v>
      </c>
      <c r="D3333">
        <v>46</v>
      </c>
    </row>
    <row r="3334" spans="1:4" hidden="1" x14ac:dyDescent="0.25">
      <c r="A3334" s="2" t="s">
        <v>17</v>
      </c>
      <c r="B3334">
        <v>46</v>
      </c>
      <c r="C3334" s="2" t="s">
        <v>154</v>
      </c>
      <c r="D3334">
        <v>46</v>
      </c>
    </row>
    <row r="3335" spans="1:4" hidden="1" x14ac:dyDescent="0.25">
      <c r="A3335" s="2" t="s">
        <v>17</v>
      </c>
      <c r="B3335">
        <v>46</v>
      </c>
      <c r="C3335" s="2" t="s">
        <v>155</v>
      </c>
      <c r="D3335">
        <v>46</v>
      </c>
    </row>
    <row r="3336" spans="1:4" hidden="1" x14ac:dyDescent="0.25">
      <c r="A3336" s="2" t="s">
        <v>17</v>
      </c>
      <c r="B3336">
        <v>46</v>
      </c>
      <c r="C3336" s="2" t="s">
        <v>156</v>
      </c>
      <c r="D3336">
        <v>46</v>
      </c>
    </row>
    <row r="3337" spans="1:4" hidden="1" x14ac:dyDescent="0.25">
      <c r="A3337" s="2" t="s">
        <v>17</v>
      </c>
      <c r="B3337">
        <v>46</v>
      </c>
      <c r="C3337" s="2" t="s">
        <v>157</v>
      </c>
      <c r="D3337">
        <v>46</v>
      </c>
    </row>
    <row r="3338" spans="1:4" hidden="1" x14ac:dyDescent="0.25">
      <c r="A3338" s="2" t="s">
        <v>17</v>
      </c>
      <c r="B3338">
        <v>46</v>
      </c>
      <c r="C3338" s="2" t="s">
        <v>158</v>
      </c>
      <c r="D3338">
        <v>46</v>
      </c>
    </row>
    <row r="3339" spans="1:4" hidden="1" x14ac:dyDescent="0.25">
      <c r="A3339" s="2" t="s">
        <v>17</v>
      </c>
      <c r="B3339">
        <v>46</v>
      </c>
      <c r="C3339" s="2" t="s">
        <v>159</v>
      </c>
      <c r="D3339">
        <v>46</v>
      </c>
    </row>
    <row r="3340" spans="1:4" hidden="1" x14ac:dyDescent="0.25">
      <c r="A3340" s="2" t="s">
        <v>17</v>
      </c>
      <c r="B3340">
        <v>46</v>
      </c>
      <c r="C3340" s="2" t="s">
        <v>160</v>
      </c>
      <c r="D3340">
        <v>46</v>
      </c>
    </row>
    <row r="3341" spans="1:4" hidden="1" x14ac:dyDescent="0.25">
      <c r="A3341" s="2" t="s">
        <v>17</v>
      </c>
      <c r="B3341">
        <v>46</v>
      </c>
      <c r="C3341" s="2" t="s">
        <v>161</v>
      </c>
      <c r="D3341">
        <v>46</v>
      </c>
    </row>
    <row r="3342" spans="1:4" hidden="1" x14ac:dyDescent="0.25">
      <c r="A3342" s="2" t="s">
        <v>17</v>
      </c>
      <c r="B3342">
        <v>46</v>
      </c>
      <c r="C3342" s="2" t="s">
        <v>162</v>
      </c>
      <c r="D3342">
        <v>46</v>
      </c>
    </row>
    <row r="3343" spans="1:4" hidden="1" x14ac:dyDescent="0.25">
      <c r="A3343" s="2" t="s">
        <v>17</v>
      </c>
      <c r="B3343">
        <v>46</v>
      </c>
      <c r="C3343" s="2" t="s">
        <v>163</v>
      </c>
      <c r="D3343">
        <v>46</v>
      </c>
    </row>
    <row r="3344" spans="1:4" hidden="1" x14ac:dyDescent="0.25">
      <c r="A3344" s="2" t="s">
        <v>17</v>
      </c>
      <c r="B3344">
        <v>46</v>
      </c>
      <c r="C3344" s="2" t="s">
        <v>164</v>
      </c>
      <c r="D3344">
        <v>46</v>
      </c>
    </row>
    <row r="3345" spans="1:4" hidden="1" x14ac:dyDescent="0.25">
      <c r="A3345" s="2" t="s">
        <v>17</v>
      </c>
      <c r="B3345">
        <v>46</v>
      </c>
      <c r="C3345" s="2" t="s">
        <v>165</v>
      </c>
      <c r="D3345">
        <v>46</v>
      </c>
    </row>
    <row r="3346" spans="1:4" hidden="1" x14ac:dyDescent="0.25">
      <c r="A3346" s="2" t="s">
        <v>17</v>
      </c>
      <c r="B3346">
        <v>46</v>
      </c>
      <c r="C3346" s="2" t="s">
        <v>166</v>
      </c>
      <c r="D3346">
        <v>46</v>
      </c>
    </row>
    <row r="3347" spans="1:4" hidden="1" x14ac:dyDescent="0.25">
      <c r="A3347" s="2" t="s">
        <v>17</v>
      </c>
      <c r="B3347">
        <v>46</v>
      </c>
      <c r="C3347" s="2" t="s">
        <v>167</v>
      </c>
      <c r="D3347">
        <v>46</v>
      </c>
    </row>
    <row r="3348" spans="1:4" hidden="1" x14ac:dyDescent="0.25">
      <c r="A3348" s="2" t="s">
        <v>17</v>
      </c>
      <c r="B3348">
        <v>46</v>
      </c>
      <c r="C3348" s="2" t="s">
        <v>168</v>
      </c>
      <c r="D3348">
        <v>46</v>
      </c>
    </row>
    <row r="3349" spans="1:4" hidden="1" x14ac:dyDescent="0.25">
      <c r="A3349" s="2" t="s">
        <v>17</v>
      </c>
      <c r="B3349">
        <v>46</v>
      </c>
      <c r="C3349" s="2" t="s">
        <v>169</v>
      </c>
      <c r="D3349">
        <v>46</v>
      </c>
    </row>
    <row r="3350" spans="1:4" hidden="1" x14ac:dyDescent="0.25">
      <c r="A3350" s="2" t="s">
        <v>17</v>
      </c>
      <c r="B3350">
        <v>46</v>
      </c>
      <c r="C3350" s="2" t="s">
        <v>170</v>
      </c>
      <c r="D3350">
        <v>46</v>
      </c>
    </row>
    <row r="3351" spans="1:4" hidden="1" x14ac:dyDescent="0.25">
      <c r="A3351" s="2" t="s">
        <v>17</v>
      </c>
      <c r="B3351">
        <v>46</v>
      </c>
      <c r="C3351" s="2" t="s">
        <v>171</v>
      </c>
      <c r="D3351">
        <v>46</v>
      </c>
    </row>
    <row r="3352" spans="1:4" hidden="1" x14ac:dyDescent="0.25">
      <c r="A3352" s="2" t="s">
        <v>17</v>
      </c>
      <c r="B3352">
        <v>46</v>
      </c>
      <c r="C3352" s="2" t="s">
        <v>172</v>
      </c>
      <c r="D3352">
        <v>46</v>
      </c>
    </row>
    <row r="3353" spans="1:4" hidden="1" x14ac:dyDescent="0.25">
      <c r="A3353" s="2" t="s">
        <v>17</v>
      </c>
      <c r="B3353">
        <v>46</v>
      </c>
      <c r="C3353" s="2" t="s">
        <v>173</v>
      </c>
      <c r="D3353">
        <v>46</v>
      </c>
    </row>
    <row r="3354" spans="1:4" hidden="1" x14ac:dyDescent="0.25">
      <c r="A3354" s="2" t="s">
        <v>17</v>
      </c>
      <c r="B3354">
        <v>46</v>
      </c>
      <c r="C3354" s="2" t="s">
        <v>174</v>
      </c>
      <c r="D3354">
        <v>46</v>
      </c>
    </row>
    <row r="3355" spans="1:4" hidden="1" x14ac:dyDescent="0.25">
      <c r="A3355" s="2" t="s">
        <v>17</v>
      </c>
      <c r="B3355">
        <v>46</v>
      </c>
      <c r="C3355" s="2" t="s">
        <v>175</v>
      </c>
      <c r="D3355">
        <v>46</v>
      </c>
    </row>
    <row r="3356" spans="1:4" hidden="1" x14ac:dyDescent="0.25">
      <c r="A3356" s="2" t="s">
        <v>17</v>
      </c>
      <c r="B3356">
        <v>46</v>
      </c>
      <c r="C3356" s="2" t="s">
        <v>176</v>
      </c>
      <c r="D3356">
        <v>46</v>
      </c>
    </row>
    <row r="3357" spans="1:4" hidden="1" x14ac:dyDescent="0.25">
      <c r="A3357" s="2" t="s">
        <v>17</v>
      </c>
      <c r="B3357">
        <v>46</v>
      </c>
      <c r="C3357" s="2" t="s">
        <v>177</v>
      </c>
      <c r="D3357">
        <v>46</v>
      </c>
    </row>
    <row r="3358" spans="1:4" hidden="1" x14ac:dyDescent="0.25">
      <c r="A3358" s="2" t="s">
        <v>17</v>
      </c>
      <c r="B3358">
        <v>46</v>
      </c>
      <c r="C3358" s="2" t="s">
        <v>178</v>
      </c>
      <c r="D3358">
        <v>46</v>
      </c>
    </row>
    <row r="3359" spans="1:4" hidden="1" x14ac:dyDescent="0.25">
      <c r="A3359" s="2" t="s">
        <v>17</v>
      </c>
      <c r="B3359">
        <v>46</v>
      </c>
      <c r="C3359" s="2" t="s">
        <v>179</v>
      </c>
      <c r="D3359">
        <v>46</v>
      </c>
    </row>
    <row r="3360" spans="1:4" hidden="1" x14ac:dyDescent="0.25">
      <c r="A3360" s="2" t="s">
        <v>21</v>
      </c>
      <c r="B3360">
        <v>46</v>
      </c>
      <c r="C3360" s="2" t="s">
        <v>183</v>
      </c>
      <c r="D3360">
        <v>13</v>
      </c>
    </row>
    <row r="3361" spans="1:4" hidden="1" x14ac:dyDescent="0.25">
      <c r="A3361" s="2" t="s">
        <v>21</v>
      </c>
      <c r="B3361">
        <v>46</v>
      </c>
      <c r="C3361" s="2" t="s">
        <v>184</v>
      </c>
      <c r="D3361">
        <v>14</v>
      </c>
    </row>
    <row r="3362" spans="1:4" hidden="1" x14ac:dyDescent="0.25">
      <c r="A3362" s="2" t="s">
        <v>21</v>
      </c>
      <c r="B3362">
        <v>46</v>
      </c>
      <c r="C3362" s="2" t="s">
        <v>185</v>
      </c>
      <c r="D3362">
        <v>24</v>
      </c>
    </row>
    <row r="3363" spans="1:4" hidden="1" x14ac:dyDescent="0.25">
      <c r="A3363" s="2" t="s">
        <v>21</v>
      </c>
      <c r="B3363">
        <v>46</v>
      </c>
      <c r="C3363" s="2" t="s">
        <v>186</v>
      </c>
      <c r="D3363">
        <v>9</v>
      </c>
    </row>
    <row r="3364" spans="1:4" hidden="1" x14ac:dyDescent="0.25">
      <c r="A3364" s="2" t="s">
        <v>21</v>
      </c>
      <c r="B3364">
        <v>46</v>
      </c>
      <c r="C3364" s="2" t="s">
        <v>187</v>
      </c>
      <c r="D3364">
        <v>9</v>
      </c>
    </row>
    <row r="3365" spans="1:4" hidden="1" x14ac:dyDescent="0.25">
      <c r="A3365" s="2" t="s">
        <v>21</v>
      </c>
      <c r="B3365">
        <v>46</v>
      </c>
      <c r="C3365" s="2" t="s">
        <v>188</v>
      </c>
      <c r="D3365">
        <v>9</v>
      </c>
    </row>
    <row r="3366" spans="1:4" hidden="1" x14ac:dyDescent="0.25">
      <c r="A3366" s="2" t="s">
        <v>21</v>
      </c>
      <c r="B3366">
        <v>46</v>
      </c>
      <c r="C3366" s="2" t="s">
        <v>189</v>
      </c>
      <c r="D3366">
        <v>27</v>
      </c>
    </row>
    <row r="3367" spans="1:4" hidden="1" x14ac:dyDescent="0.25">
      <c r="A3367" s="2" t="s">
        <v>21</v>
      </c>
      <c r="B3367">
        <v>46</v>
      </c>
      <c r="C3367" s="2" t="s">
        <v>190</v>
      </c>
      <c r="D3367">
        <v>27</v>
      </c>
    </row>
    <row r="3368" spans="1:4" hidden="1" x14ac:dyDescent="0.25">
      <c r="A3368" s="2" t="s">
        <v>21</v>
      </c>
      <c r="B3368">
        <v>46</v>
      </c>
      <c r="C3368" s="2" t="s">
        <v>191</v>
      </c>
      <c r="D3368">
        <v>27</v>
      </c>
    </row>
    <row r="3369" spans="1:4" hidden="1" x14ac:dyDescent="0.25">
      <c r="A3369" s="2" t="s">
        <v>21</v>
      </c>
      <c r="B3369">
        <v>46</v>
      </c>
      <c r="C3369" s="2" t="s">
        <v>116</v>
      </c>
      <c r="D3369">
        <v>31</v>
      </c>
    </row>
    <row r="3370" spans="1:4" hidden="1" x14ac:dyDescent="0.25">
      <c r="A3370" s="2" t="s">
        <v>21</v>
      </c>
      <c r="B3370">
        <v>46</v>
      </c>
      <c r="C3370" s="2" t="s">
        <v>117</v>
      </c>
      <c r="D3370">
        <v>40</v>
      </c>
    </row>
    <row r="3371" spans="1:4" hidden="1" x14ac:dyDescent="0.25">
      <c r="A3371" s="2" t="s">
        <v>21</v>
      </c>
      <c r="B3371">
        <v>46</v>
      </c>
      <c r="C3371" s="2" t="s">
        <v>118</v>
      </c>
      <c r="D3371">
        <v>41</v>
      </c>
    </row>
    <row r="3372" spans="1:4" hidden="1" x14ac:dyDescent="0.25">
      <c r="A3372" s="2" t="s">
        <v>21</v>
      </c>
      <c r="B3372">
        <v>46</v>
      </c>
      <c r="C3372" s="2" t="s">
        <v>119</v>
      </c>
      <c r="D3372">
        <v>59</v>
      </c>
    </row>
    <row r="3373" spans="1:4" hidden="1" x14ac:dyDescent="0.25">
      <c r="A3373" s="2" t="s">
        <v>21</v>
      </c>
      <c r="B3373">
        <v>46</v>
      </c>
      <c r="C3373" s="2" t="s">
        <v>120</v>
      </c>
      <c r="D3373">
        <v>59</v>
      </c>
    </row>
    <row r="3374" spans="1:4" hidden="1" x14ac:dyDescent="0.25">
      <c r="A3374" s="2" t="s">
        <v>21</v>
      </c>
      <c r="B3374">
        <v>46</v>
      </c>
      <c r="C3374" s="2" t="s">
        <v>121</v>
      </c>
      <c r="D3374">
        <v>61</v>
      </c>
    </row>
    <row r="3375" spans="1:4" hidden="1" x14ac:dyDescent="0.25">
      <c r="A3375" s="2" t="s">
        <v>21</v>
      </c>
      <c r="B3375">
        <v>46</v>
      </c>
      <c r="C3375" s="2" t="s">
        <v>122</v>
      </c>
      <c r="D3375">
        <v>49</v>
      </c>
    </row>
    <row r="3376" spans="1:4" hidden="1" x14ac:dyDescent="0.25">
      <c r="A3376" s="2" t="s">
        <v>21</v>
      </c>
      <c r="B3376">
        <v>46</v>
      </c>
      <c r="C3376" s="2" t="s">
        <v>123</v>
      </c>
      <c r="D3376">
        <v>32</v>
      </c>
    </row>
    <row r="3377" spans="1:4" hidden="1" x14ac:dyDescent="0.25">
      <c r="A3377" s="2" t="s">
        <v>21</v>
      </c>
      <c r="B3377">
        <v>46</v>
      </c>
      <c r="C3377" s="2" t="s">
        <v>124</v>
      </c>
      <c r="D3377">
        <v>37</v>
      </c>
    </row>
    <row r="3378" spans="1:4" hidden="1" x14ac:dyDescent="0.25">
      <c r="A3378" s="2" t="s">
        <v>21</v>
      </c>
      <c r="B3378">
        <v>46</v>
      </c>
      <c r="C3378" s="2" t="s">
        <v>125</v>
      </c>
      <c r="D3378">
        <v>42</v>
      </c>
    </row>
    <row r="3379" spans="1:4" hidden="1" x14ac:dyDescent="0.25">
      <c r="A3379" s="2" t="s">
        <v>21</v>
      </c>
      <c r="B3379">
        <v>46</v>
      </c>
      <c r="C3379" s="2" t="s">
        <v>126</v>
      </c>
      <c r="D3379">
        <v>41</v>
      </c>
    </row>
    <row r="3380" spans="1:4" hidden="1" x14ac:dyDescent="0.25">
      <c r="A3380" s="2" t="s">
        <v>21</v>
      </c>
      <c r="B3380">
        <v>46</v>
      </c>
      <c r="C3380" s="2" t="s">
        <v>127</v>
      </c>
      <c r="D3380">
        <v>36</v>
      </c>
    </row>
    <row r="3381" spans="1:4" hidden="1" x14ac:dyDescent="0.25">
      <c r="A3381" s="2" t="s">
        <v>21</v>
      </c>
      <c r="B3381">
        <v>46</v>
      </c>
      <c r="C3381" s="2" t="s">
        <v>128</v>
      </c>
      <c r="D3381">
        <v>29</v>
      </c>
    </row>
    <row r="3382" spans="1:4" hidden="1" x14ac:dyDescent="0.25">
      <c r="A3382" s="2" t="s">
        <v>21</v>
      </c>
      <c r="B3382">
        <v>46</v>
      </c>
      <c r="C3382" s="2" t="s">
        <v>129</v>
      </c>
      <c r="D3382">
        <v>36</v>
      </c>
    </row>
    <row r="3383" spans="1:4" hidden="1" x14ac:dyDescent="0.25">
      <c r="A3383" s="2" t="s">
        <v>21</v>
      </c>
      <c r="B3383">
        <v>46</v>
      </c>
      <c r="C3383" s="2" t="s">
        <v>130</v>
      </c>
      <c r="D3383">
        <v>45</v>
      </c>
    </row>
    <row r="3384" spans="1:4" hidden="1" x14ac:dyDescent="0.25">
      <c r="A3384" s="2" t="s">
        <v>21</v>
      </c>
      <c r="B3384">
        <v>46</v>
      </c>
      <c r="C3384" s="2" t="s">
        <v>131</v>
      </c>
      <c r="D3384">
        <v>45</v>
      </c>
    </row>
    <row r="3385" spans="1:4" hidden="1" x14ac:dyDescent="0.25">
      <c r="A3385" s="2" t="s">
        <v>21</v>
      </c>
      <c r="B3385">
        <v>46</v>
      </c>
      <c r="C3385" s="2" t="s">
        <v>132</v>
      </c>
      <c r="D3385">
        <v>47</v>
      </c>
    </row>
    <row r="3386" spans="1:4" hidden="1" x14ac:dyDescent="0.25">
      <c r="A3386" s="2" t="s">
        <v>21</v>
      </c>
      <c r="B3386">
        <v>46</v>
      </c>
      <c r="C3386" s="2" t="s">
        <v>133</v>
      </c>
      <c r="D3386">
        <v>47</v>
      </c>
    </row>
    <row r="3387" spans="1:4" hidden="1" x14ac:dyDescent="0.25">
      <c r="A3387" s="2" t="s">
        <v>21</v>
      </c>
      <c r="B3387">
        <v>46</v>
      </c>
      <c r="C3387" s="2" t="s">
        <v>134</v>
      </c>
      <c r="D3387">
        <v>48</v>
      </c>
    </row>
    <row r="3388" spans="1:4" hidden="1" x14ac:dyDescent="0.25">
      <c r="A3388" s="2" t="s">
        <v>21</v>
      </c>
      <c r="B3388">
        <v>46</v>
      </c>
      <c r="C3388" s="2" t="s">
        <v>135</v>
      </c>
      <c r="D3388">
        <v>46</v>
      </c>
    </row>
    <row r="3389" spans="1:4" hidden="1" x14ac:dyDescent="0.25">
      <c r="A3389" s="2" t="s">
        <v>21</v>
      </c>
      <c r="B3389">
        <v>46</v>
      </c>
      <c r="C3389" s="2" t="s">
        <v>136</v>
      </c>
      <c r="D3389">
        <v>46</v>
      </c>
    </row>
    <row r="3390" spans="1:4" hidden="1" x14ac:dyDescent="0.25">
      <c r="A3390" s="2" t="s">
        <v>21</v>
      </c>
      <c r="B3390">
        <v>46</v>
      </c>
      <c r="C3390" s="2" t="s">
        <v>137</v>
      </c>
      <c r="D3390">
        <v>46</v>
      </c>
    </row>
    <row r="3391" spans="1:4" hidden="1" x14ac:dyDescent="0.25">
      <c r="A3391" s="2" t="s">
        <v>21</v>
      </c>
      <c r="B3391">
        <v>46</v>
      </c>
      <c r="C3391" s="2" t="s">
        <v>138</v>
      </c>
      <c r="D3391">
        <v>46</v>
      </c>
    </row>
    <row r="3392" spans="1:4" hidden="1" x14ac:dyDescent="0.25">
      <c r="A3392" s="2" t="s">
        <v>21</v>
      </c>
      <c r="B3392">
        <v>46</v>
      </c>
      <c r="C3392" s="2" t="s">
        <v>139</v>
      </c>
      <c r="D3392">
        <v>46</v>
      </c>
    </row>
    <row r="3393" spans="1:4" hidden="1" x14ac:dyDescent="0.25">
      <c r="A3393" s="2" t="s">
        <v>21</v>
      </c>
      <c r="B3393">
        <v>46</v>
      </c>
      <c r="C3393" s="2" t="s">
        <v>140</v>
      </c>
      <c r="D3393">
        <v>46</v>
      </c>
    </row>
    <row r="3394" spans="1:4" hidden="1" x14ac:dyDescent="0.25">
      <c r="A3394" s="2" t="s">
        <v>21</v>
      </c>
      <c r="B3394">
        <v>46</v>
      </c>
      <c r="C3394" s="2" t="s">
        <v>141</v>
      </c>
      <c r="D3394">
        <v>46</v>
      </c>
    </row>
    <row r="3395" spans="1:4" hidden="1" x14ac:dyDescent="0.25">
      <c r="A3395" s="2" t="s">
        <v>21</v>
      </c>
      <c r="B3395">
        <v>46</v>
      </c>
      <c r="C3395" s="2" t="s">
        <v>142</v>
      </c>
      <c r="D3395">
        <v>46</v>
      </c>
    </row>
    <row r="3396" spans="1:4" hidden="1" x14ac:dyDescent="0.25">
      <c r="A3396" s="2" t="s">
        <v>21</v>
      </c>
      <c r="B3396">
        <v>46</v>
      </c>
      <c r="C3396" s="2" t="s">
        <v>143</v>
      </c>
      <c r="D3396">
        <v>46</v>
      </c>
    </row>
    <row r="3397" spans="1:4" hidden="1" x14ac:dyDescent="0.25">
      <c r="A3397" s="2" t="s">
        <v>21</v>
      </c>
      <c r="B3397">
        <v>46</v>
      </c>
      <c r="C3397" s="2" t="s">
        <v>144</v>
      </c>
      <c r="D3397">
        <v>46</v>
      </c>
    </row>
    <row r="3398" spans="1:4" hidden="1" x14ac:dyDescent="0.25">
      <c r="A3398" s="2" t="s">
        <v>21</v>
      </c>
      <c r="B3398">
        <v>46</v>
      </c>
      <c r="C3398" s="2" t="s">
        <v>145</v>
      </c>
      <c r="D3398">
        <v>46</v>
      </c>
    </row>
    <row r="3399" spans="1:4" hidden="1" x14ac:dyDescent="0.25">
      <c r="A3399" s="2" t="s">
        <v>21</v>
      </c>
      <c r="B3399">
        <v>46</v>
      </c>
      <c r="C3399" s="2" t="s">
        <v>146</v>
      </c>
      <c r="D3399">
        <v>46</v>
      </c>
    </row>
    <row r="3400" spans="1:4" hidden="1" x14ac:dyDescent="0.25">
      <c r="A3400" s="2" t="s">
        <v>21</v>
      </c>
      <c r="B3400">
        <v>46</v>
      </c>
      <c r="C3400" s="2" t="s">
        <v>147</v>
      </c>
      <c r="D3400">
        <v>46</v>
      </c>
    </row>
    <row r="3401" spans="1:4" hidden="1" x14ac:dyDescent="0.25">
      <c r="A3401" s="2" t="s">
        <v>21</v>
      </c>
      <c r="B3401">
        <v>46</v>
      </c>
      <c r="C3401" s="2" t="s">
        <v>148</v>
      </c>
      <c r="D3401">
        <v>46</v>
      </c>
    </row>
    <row r="3402" spans="1:4" hidden="1" x14ac:dyDescent="0.25">
      <c r="A3402" s="2" t="s">
        <v>21</v>
      </c>
      <c r="B3402">
        <v>46</v>
      </c>
      <c r="C3402" s="2" t="s">
        <v>149</v>
      </c>
      <c r="D3402">
        <v>46</v>
      </c>
    </row>
    <row r="3403" spans="1:4" hidden="1" x14ac:dyDescent="0.25">
      <c r="A3403" s="2" t="s">
        <v>21</v>
      </c>
      <c r="B3403">
        <v>46</v>
      </c>
      <c r="C3403" s="2" t="s">
        <v>150</v>
      </c>
      <c r="D3403">
        <v>46</v>
      </c>
    </row>
    <row r="3404" spans="1:4" hidden="1" x14ac:dyDescent="0.25">
      <c r="A3404" s="2" t="s">
        <v>21</v>
      </c>
      <c r="B3404">
        <v>46</v>
      </c>
      <c r="C3404" s="2" t="s">
        <v>151</v>
      </c>
      <c r="D3404">
        <v>46</v>
      </c>
    </row>
    <row r="3405" spans="1:4" hidden="1" x14ac:dyDescent="0.25">
      <c r="A3405" s="2" t="s">
        <v>21</v>
      </c>
      <c r="B3405">
        <v>46</v>
      </c>
      <c r="C3405" s="2" t="s">
        <v>152</v>
      </c>
      <c r="D3405">
        <v>46</v>
      </c>
    </row>
    <row r="3406" spans="1:4" hidden="1" x14ac:dyDescent="0.25">
      <c r="A3406" s="2" t="s">
        <v>21</v>
      </c>
      <c r="B3406">
        <v>46</v>
      </c>
      <c r="C3406" s="2" t="s">
        <v>153</v>
      </c>
      <c r="D3406">
        <v>46</v>
      </c>
    </row>
    <row r="3407" spans="1:4" hidden="1" x14ac:dyDescent="0.25">
      <c r="A3407" s="2" t="s">
        <v>21</v>
      </c>
      <c r="B3407">
        <v>46</v>
      </c>
      <c r="C3407" s="2" t="s">
        <v>154</v>
      </c>
      <c r="D3407">
        <v>46</v>
      </c>
    </row>
    <row r="3408" spans="1:4" hidden="1" x14ac:dyDescent="0.25">
      <c r="A3408" s="2" t="s">
        <v>21</v>
      </c>
      <c r="B3408">
        <v>46</v>
      </c>
      <c r="C3408" s="2" t="s">
        <v>155</v>
      </c>
      <c r="D3408">
        <v>46</v>
      </c>
    </row>
    <row r="3409" spans="1:4" hidden="1" x14ac:dyDescent="0.25">
      <c r="A3409" s="2" t="s">
        <v>21</v>
      </c>
      <c r="B3409">
        <v>46</v>
      </c>
      <c r="C3409" s="2" t="s">
        <v>156</v>
      </c>
      <c r="D3409">
        <v>46</v>
      </c>
    </row>
    <row r="3410" spans="1:4" hidden="1" x14ac:dyDescent="0.25">
      <c r="A3410" s="2" t="s">
        <v>21</v>
      </c>
      <c r="B3410">
        <v>46</v>
      </c>
      <c r="C3410" s="2" t="s">
        <v>157</v>
      </c>
      <c r="D3410">
        <v>46</v>
      </c>
    </row>
    <row r="3411" spans="1:4" hidden="1" x14ac:dyDescent="0.25">
      <c r="A3411" s="2" t="s">
        <v>21</v>
      </c>
      <c r="B3411">
        <v>46</v>
      </c>
      <c r="C3411" s="2" t="s">
        <v>158</v>
      </c>
      <c r="D3411">
        <v>46</v>
      </c>
    </row>
    <row r="3412" spans="1:4" hidden="1" x14ac:dyDescent="0.25">
      <c r="A3412" s="2" t="s">
        <v>21</v>
      </c>
      <c r="B3412">
        <v>46</v>
      </c>
      <c r="C3412" s="2" t="s">
        <v>159</v>
      </c>
      <c r="D3412">
        <v>46</v>
      </c>
    </row>
    <row r="3413" spans="1:4" hidden="1" x14ac:dyDescent="0.25">
      <c r="A3413" s="2" t="s">
        <v>21</v>
      </c>
      <c r="B3413">
        <v>46</v>
      </c>
      <c r="C3413" s="2" t="s">
        <v>160</v>
      </c>
      <c r="D3413">
        <v>46</v>
      </c>
    </row>
    <row r="3414" spans="1:4" hidden="1" x14ac:dyDescent="0.25">
      <c r="A3414" s="2" t="s">
        <v>21</v>
      </c>
      <c r="B3414">
        <v>46</v>
      </c>
      <c r="C3414" s="2" t="s">
        <v>161</v>
      </c>
      <c r="D3414">
        <v>46</v>
      </c>
    </row>
    <row r="3415" spans="1:4" hidden="1" x14ac:dyDescent="0.25">
      <c r="A3415" s="2" t="s">
        <v>21</v>
      </c>
      <c r="B3415">
        <v>46</v>
      </c>
      <c r="C3415" s="2" t="s">
        <v>162</v>
      </c>
      <c r="D3415">
        <v>46</v>
      </c>
    </row>
    <row r="3416" spans="1:4" hidden="1" x14ac:dyDescent="0.25">
      <c r="A3416" s="2" t="s">
        <v>21</v>
      </c>
      <c r="B3416">
        <v>46</v>
      </c>
      <c r="C3416" s="2" t="s">
        <v>163</v>
      </c>
      <c r="D3416">
        <v>46</v>
      </c>
    </row>
    <row r="3417" spans="1:4" hidden="1" x14ac:dyDescent="0.25">
      <c r="A3417" s="2" t="s">
        <v>21</v>
      </c>
      <c r="B3417">
        <v>46</v>
      </c>
      <c r="C3417" s="2" t="s">
        <v>164</v>
      </c>
      <c r="D3417">
        <v>46</v>
      </c>
    </row>
    <row r="3418" spans="1:4" hidden="1" x14ac:dyDescent="0.25">
      <c r="A3418" s="2" t="s">
        <v>21</v>
      </c>
      <c r="B3418">
        <v>46</v>
      </c>
      <c r="C3418" s="2" t="s">
        <v>165</v>
      </c>
      <c r="D3418">
        <v>46</v>
      </c>
    </row>
    <row r="3419" spans="1:4" hidden="1" x14ac:dyDescent="0.25">
      <c r="A3419" s="2" t="s">
        <v>21</v>
      </c>
      <c r="B3419">
        <v>46</v>
      </c>
      <c r="C3419" s="2" t="s">
        <v>166</v>
      </c>
      <c r="D3419">
        <v>46</v>
      </c>
    </row>
    <row r="3420" spans="1:4" hidden="1" x14ac:dyDescent="0.25">
      <c r="A3420" s="2" t="s">
        <v>21</v>
      </c>
      <c r="B3420">
        <v>46</v>
      </c>
      <c r="C3420" s="2" t="s">
        <v>167</v>
      </c>
      <c r="D3420">
        <v>46</v>
      </c>
    </row>
    <row r="3421" spans="1:4" hidden="1" x14ac:dyDescent="0.25">
      <c r="A3421" s="2" t="s">
        <v>21</v>
      </c>
      <c r="B3421">
        <v>46</v>
      </c>
      <c r="C3421" s="2" t="s">
        <v>168</v>
      </c>
      <c r="D3421">
        <v>46</v>
      </c>
    </row>
    <row r="3422" spans="1:4" hidden="1" x14ac:dyDescent="0.25">
      <c r="A3422" s="2" t="s">
        <v>21</v>
      </c>
      <c r="B3422">
        <v>46</v>
      </c>
      <c r="C3422" s="2" t="s">
        <v>169</v>
      </c>
      <c r="D3422">
        <v>46</v>
      </c>
    </row>
    <row r="3423" spans="1:4" hidden="1" x14ac:dyDescent="0.25">
      <c r="A3423" s="2" t="s">
        <v>21</v>
      </c>
      <c r="B3423">
        <v>46</v>
      </c>
      <c r="C3423" s="2" t="s">
        <v>170</v>
      </c>
      <c r="D3423">
        <v>46</v>
      </c>
    </row>
    <row r="3424" spans="1:4" hidden="1" x14ac:dyDescent="0.25">
      <c r="A3424" s="2" t="s">
        <v>21</v>
      </c>
      <c r="B3424">
        <v>46</v>
      </c>
      <c r="C3424" s="2" t="s">
        <v>171</v>
      </c>
      <c r="D3424">
        <v>46</v>
      </c>
    </row>
    <row r="3425" spans="1:4" hidden="1" x14ac:dyDescent="0.25">
      <c r="A3425" s="2" t="s">
        <v>21</v>
      </c>
      <c r="B3425">
        <v>46</v>
      </c>
      <c r="C3425" s="2" t="s">
        <v>172</v>
      </c>
      <c r="D3425">
        <v>46</v>
      </c>
    </row>
    <row r="3426" spans="1:4" hidden="1" x14ac:dyDescent="0.25">
      <c r="A3426" s="2" t="s">
        <v>21</v>
      </c>
      <c r="B3426">
        <v>46</v>
      </c>
      <c r="C3426" s="2" t="s">
        <v>173</v>
      </c>
      <c r="D3426">
        <v>46</v>
      </c>
    </row>
    <row r="3427" spans="1:4" hidden="1" x14ac:dyDescent="0.25">
      <c r="A3427" s="2" t="s">
        <v>21</v>
      </c>
      <c r="B3427">
        <v>46</v>
      </c>
      <c r="C3427" s="2" t="s">
        <v>174</v>
      </c>
      <c r="D3427">
        <v>46</v>
      </c>
    </row>
    <row r="3428" spans="1:4" hidden="1" x14ac:dyDescent="0.25">
      <c r="A3428" s="2" t="s">
        <v>21</v>
      </c>
      <c r="B3428">
        <v>46</v>
      </c>
      <c r="C3428" s="2" t="s">
        <v>175</v>
      </c>
      <c r="D3428">
        <v>46</v>
      </c>
    </row>
    <row r="3429" spans="1:4" hidden="1" x14ac:dyDescent="0.25">
      <c r="A3429" s="2" t="s">
        <v>21</v>
      </c>
      <c r="B3429">
        <v>46</v>
      </c>
      <c r="C3429" s="2" t="s">
        <v>176</v>
      </c>
      <c r="D3429">
        <v>46</v>
      </c>
    </row>
    <row r="3430" spans="1:4" hidden="1" x14ac:dyDescent="0.25">
      <c r="A3430" s="2" t="s">
        <v>21</v>
      </c>
      <c r="B3430">
        <v>46</v>
      </c>
      <c r="C3430" s="2" t="s">
        <v>177</v>
      </c>
      <c r="D3430">
        <v>46</v>
      </c>
    </row>
    <row r="3431" spans="1:4" hidden="1" x14ac:dyDescent="0.25">
      <c r="A3431" s="2" t="s">
        <v>21</v>
      </c>
      <c r="B3431">
        <v>46</v>
      </c>
      <c r="C3431" s="2" t="s">
        <v>178</v>
      </c>
      <c r="D3431">
        <v>46</v>
      </c>
    </row>
    <row r="3432" spans="1:4" hidden="1" x14ac:dyDescent="0.25">
      <c r="A3432" s="2" t="s">
        <v>21</v>
      </c>
      <c r="B3432">
        <v>46</v>
      </c>
      <c r="C3432" s="2" t="s">
        <v>179</v>
      </c>
      <c r="D3432">
        <v>46</v>
      </c>
    </row>
    <row r="3433" spans="1:4" hidden="1" x14ac:dyDescent="0.25">
      <c r="A3433" s="2" t="s">
        <v>47</v>
      </c>
      <c r="B3433">
        <v>46</v>
      </c>
      <c r="C3433" s="2" t="s">
        <v>183</v>
      </c>
      <c r="D3433">
        <v>13</v>
      </c>
    </row>
    <row r="3434" spans="1:4" hidden="1" x14ac:dyDescent="0.25">
      <c r="A3434" s="2" t="s">
        <v>47</v>
      </c>
      <c r="B3434">
        <v>46</v>
      </c>
      <c r="C3434" s="2" t="s">
        <v>184</v>
      </c>
      <c r="D3434">
        <v>14</v>
      </c>
    </row>
    <row r="3435" spans="1:4" hidden="1" x14ac:dyDescent="0.25">
      <c r="A3435" s="2" t="s">
        <v>47</v>
      </c>
      <c r="B3435">
        <v>46</v>
      </c>
      <c r="C3435" s="2" t="s">
        <v>185</v>
      </c>
      <c r="D3435">
        <v>24</v>
      </c>
    </row>
    <row r="3436" spans="1:4" hidden="1" x14ac:dyDescent="0.25">
      <c r="A3436" s="2" t="s">
        <v>47</v>
      </c>
      <c r="B3436">
        <v>46</v>
      </c>
      <c r="C3436" s="2" t="s">
        <v>186</v>
      </c>
      <c r="D3436">
        <v>9</v>
      </c>
    </row>
    <row r="3437" spans="1:4" hidden="1" x14ac:dyDescent="0.25">
      <c r="A3437" s="2" t="s">
        <v>47</v>
      </c>
      <c r="B3437">
        <v>46</v>
      </c>
      <c r="C3437" s="2" t="s">
        <v>187</v>
      </c>
      <c r="D3437">
        <v>9</v>
      </c>
    </row>
    <row r="3438" spans="1:4" hidden="1" x14ac:dyDescent="0.25">
      <c r="A3438" s="2" t="s">
        <v>47</v>
      </c>
      <c r="B3438">
        <v>46</v>
      </c>
      <c r="C3438" s="2" t="s">
        <v>188</v>
      </c>
      <c r="D3438">
        <v>9</v>
      </c>
    </row>
    <row r="3439" spans="1:4" hidden="1" x14ac:dyDescent="0.25">
      <c r="A3439" s="2" t="s">
        <v>47</v>
      </c>
      <c r="B3439">
        <v>46</v>
      </c>
      <c r="C3439" s="2" t="s">
        <v>189</v>
      </c>
      <c r="D3439">
        <v>27</v>
      </c>
    </row>
    <row r="3440" spans="1:4" hidden="1" x14ac:dyDescent="0.25">
      <c r="A3440" s="2" t="s">
        <v>47</v>
      </c>
      <c r="B3440">
        <v>46</v>
      </c>
      <c r="C3440" s="2" t="s">
        <v>190</v>
      </c>
      <c r="D3440">
        <v>27</v>
      </c>
    </row>
    <row r="3441" spans="1:4" hidden="1" x14ac:dyDescent="0.25">
      <c r="A3441" s="2" t="s">
        <v>47</v>
      </c>
      <c r="B3441">
        <v>46</v>
      </c>
      <c r="C3441" s="2" t="s">
        <v>191</v>
      </c>
      <c r="D3441">
        <v>27</v>
      </c>
    </row>
    <row r="3442" spans="1:4" hidden="1" x14ac:dyDescent="0.25">
      <c r="A3442" s="2" t="s">
        <v>47</v>
      </c>
      <c r="B3442">
        <v>46</v>
      </c>
      <c r="C3442" s="2" t="s">
        <v>116</v>
      </c>
      <c r="D3442">
        <v>31</v>
      </c>
    </row>
    <row r="3443" spans="1:4" hidden="1" x14ac:dyDescent="0.25">
      <c r="A3443" s="2" t="s">
        <v>47</v>
      </c>
      <c r="B3443">
        <v>46</v>
      </c>
      <c r="C3443" s="2" t="s">
        <v>117</v>
      </c>
      <c r="D3443">
        <v>30</v>
      </c>
    </row>
    <row r="3444" spans="1:4" hidden="1" x14ac:dyDescent="0.25">
      <c r="A3444" s="2" t="s">
        <v>47</v>
      </c>
      <c r="B3444">
        <v>46</v>
      </c>
      <c r="C3444" s="2" t="s">
        <v>118</v>
      </c>
      <c r="D3444">
        <v>29</v>
      </c>
    </row>
    <row r="3445" spans="1:4" hidden="1" x14ac:dyDescent="0.25">
      <c r="A3445" s="2" t="s">
        <v>47</v>
      </c>
      <c r="B3445">
        <v>46</v>
      </c>
      <c r="C3445" s="2" t="s">
        <v>119</v>
      </c>
      <c r="D3445">
        <v>19</v>
      </c>
    </row>
    <row r="3446" spans="1:4" hidden="1" x14ac:dyDescent="0.25">
      <c r="A3446" s="2" t="s">
        <v>47</v>
      </c>
      <c r="B3446">
        <v>46</v>
      </c>
      <c r="C3446" s="2" t="s">
        <v>120</v>
      </c>
      <c r="D3446">
        <v>21</v>
      </c>
    </row>
    <row r="3447" spans="1:4" hidden="1" x14ac:dyDescent="0.25">
      <c r="A3447" s="2" t="s">
        <v>47</v>
      </c>
      <c r="B3447">
        <v>46</v>
      </c>
      <c r="C3447" s="2" t="s">
        <v>121</v>
      </c>
      <c r="D3447">
        <v>21</v>
      </c>
    </row>
    <row r="3448" spans="1:4" hidden="1" x14ac:dyDescent="0.25">
      <c r="A3448" s="2" t="s">
        <v>47</v>
      </c>
      <c r="B3448">
        <v>46</v>
      </c>
      <c r="C3448" s="2" t="s">
        <v>122</v>
      </c>
      <c r="D3448">
        <v>10</v>
      </c>
    </row>
    <row r="3449" spans="1:4" hidden="1" x14ac:dyDescent="0.25">
      <c r="A3449" s="2" t="s">
        <v>47</v>
      </c>
      <c r="B3449">
        <v>46</v>
      </c>
      <c r="C3449" s="2" t="s">
        <v>123</v>
      </c>
      <c r="D3449">
        <v>13</v>
      </c>
    </row>
    <row r="3450" spans="1:4" hidden="1" x14ac:dyDescent="0.25">
      <c r="A3450" s="2" t="s">
        <v>47</v>
      </c>
      <c r="B3450">
        <v>46</v>
      </c>
      <c r="C3450" s="2" t="s">
        <v>124</v>
      </c>
      <c r="D3450">
        <v>11</v>
      </c>
    </row>
    <row r="3451" spans="1:4" hidden="1" x14ac:dyDescent="0.25">
      <c r="A3451" s="2" t="s">
        <v>47</v>
      </c>
      <c r="B3451">
        <v>46</v>
      </c>
      <c r="C3451" s="2" t="s">
        <v>125</v>
      </c>
      <c r="D3451">
        <v>10</v>
      </c>
    </row>
    <row r="3452" spans="1:4" hidden="1" x14ac:dyDescent="0.25">
      <c r="A3452" s="2" t="s">
        <v>47</v>
      </c>
      <c r="B3452">
        <v>46</v>
      </c>
      <c r="C3452" s="2" t="s">
        <v>126</v>
      </c>
      <c r="D3452">
        <v>16</v>
      </c>
    </row>
    <row r="3453" spans="1:4" hidden="1" x14ac:dyDescent="0.25">
      <c r="A3453" s="2" t="s">
        <v>47</v>
      </c>
      <c r="B3453">
        <v>46</v>
      </c>
      <c r="C3453" s="2" t="s">
        <v>127</v>
      </c>
      <c r="D3453">
        <v>20</v>
      </c>
    </row>
    <row r="3454" spans="1:4" hidden="1" x14ac:dyDescent="0.25">
      <c r="A3454" s="2" t="s">
        <v>47</v>
      </c>
      <c r="B3454">
        <v>46</v>
      </c>
      <c r="C3454" s="2" t="s">
        <v>128</v>
      </c>
      <c r="D3454">
        <v>25</v>
      </c>
    </row>
    <row r="3455" spans="1:4" hidden="1" x14ac:dyDescent="0.25">
      <c r="A3455" s="2" t="s">
        <v>47</v>
      </c>
      <c r="B3455">
        <v>46</v>
      </c>
      <c r="C3455" s="2" t="s">
        <v>129</v>
      </c>
      <c r="D3455">
        <v>29</v>
      </c>
    </row>
    <row r="3456" spans="1:4" hidden="1" x14ac:dyDescent="0.25">
      <c r="A3456" s="2" t="s">
        <v>47</v>
      </c>
      <c r="B3456">
        <v>46</v>
      </c>
      <c r="C3456" s="2" t="s">
        <v>130</v>
      </c>
      <c r="D3456">
        <v>31</v>
      </c>
    </row>
    <row r="3457" spans="1:4" hidden="1" x14ac:dyDescent="0.25">
      <c r="A3457" s="2" t="s">
        <v>47</v>
      </c>
      <c r="B3457">
        <v>46</v>
      </c>
      <c r="C3457" s="2" t="s">
        <v>131</v>
      </c>
      <c r="D3457">
        <v>31</v>
      </c>
    </row>
    <row r="3458" spans="1:4" hidden="1" x14ac:dyDescent="0.25">
      <c r="A3458" s="2" t="s">
        <v>47</v>
      </c>
      <c r="B3458">
        <v>46</v>
      </c>
      <c r="C3458" s="2" t="s">
        <v>132</v>
      </c>
      <c r="D3458">
        <v>35</v>
      </c>
    </row>
    <row r="3459" spans="1:4" hidden="1" x14ac:dyDescent="0.25">
      <c r="A3459" s="2" t="s">
        <v>47</v>
      </c>
      <c r="B3459">
        <v>46</v>
      </c>
      <c r="C3459" s="2" t="s">
        <v>133</v>
      </c>
      <c r="D3459">
        <v>35</v>
      </c>
    </row>
    <row r="3460" spans="1:4" hidden="1" x14ac:dyDescent="0.25">
      <c r="A3460" s="2" t="s">
        <v>47</v>
      </c>
      <c r="B3460">
        <v>46</v>
      </c>
      <c r="C3460" s="2" t="s">
        <v>134</v>
      </c>
      <c r="D3460">
        <v>34</v>
      </c>
    </row>
    <row r="3461" spans="1:4" hidden="1" x14ac:dyDescent="0.25">
      <c r="A3461" s="2" t="s">
        <v>47</v>
      </c>
      <c r="B3461">
        <v>46</v>
      </c>
      <c r="C3461" s="2" t="s">
        <v>135</v>
      </c>
      <c r="D3461">
        <v>46</v>
      </c>
    </row>
    <row r="3462" spans="1:4" hidden="1" x14ac:dyDescent="0.25">
      <c r="A3462" s="2" t="s">
        <v>47</v>
      </c>
      <c r="B3462">
        <v>46</v>
      </c>
      <c r="C3462" s="2" t="s">
        <v>136</v>
      </c>
      <c r="D3462">
        <v>46</v>
      </c>
    </row>
    <row r="3463" spans="1:4" hidden="1" x14ac:dyDescent="0.25">
      <c r="A3463" s="2" t="s">
        <v>47</v>
      </c>
      <c r="B3463">
        <v>46</v>
      </c>
      <c r="C3463" s="2" t="s">
        <v>137</v>
      </c>
      <c r="D3463">
        <v>46</v>
      </c>
    </row>
    <row r="3464" spans="1:4" hidden="1" x14ac:dyDescent="0.25">
      <c r="A3464" s="2" t="s">
        <v>47</v>
      </c>
      <c r="B3464">
        <v>46</v>
      </c>
      <c r="C3464" s="2" t="s">
        <v>138</v>
      </c>
      <c r="D3464">
        <v>46</v>
      </c>
    </row>
    <row r="3465" spans="1:4" hidden="1" x14ac:dyDescent="0.25">
      <c r="A3465" s="2" t="s">
        <v>47</v>
      </c>
      <c r="B3465">
        <v>46</v>
      </c>
      <c r="C3465" s="2" t="s">
        <v>139</v>
      </c>
      <c r="D3465">
        <v>46</v>
      </c>
    </row>
    <row r="3466" spans="1:4" hidden="1" x14ac:dyDescent="0.25">
      <c r="A3466" s="2" t="s">
        <v>47</v>
      </c>
      <c r="B3466">
        <v>46</v>
      </c>
      <c r="C3466" s="2" t="s">
        <v>140</v>
      </c>
      <c r="D3466">
        <v>46</v>
      </c>
    </row>
    <row r="3467" spans="1:4" hidden="1" x14ac:dyDescent="0.25">
      <c r="A3467" s="2" t="s">
        <v>47</v>
      </c>
      <c r="B3467">
        <v>46</v>
      </c>
      <c r="C3467" s="2" t="s">
        <v>141</v>
      </c>
      <c r="D3467">
        <v>46</v>
      </c>
    </row>
    <row r="3468" spans="1:4" hidden="1" x14ac:dyDescent="0.25">
      <c r="A3468" s="2" t="s">
        <v>47</v>
      </c>
      <c r="B3468">
        <v>46</v>
      </c>
      <c r="C3468" s="2" t="s">
        <v>142</v>
      </c>
      <c r="D3468">
        <v>46</v>
      </c>
    </row>
    <row r="3469" spans="1:4" hidden="1" x14ac:dyDescent="0.25">
      <c r="A3469" s="2" t="s">
        <v>47</v>
      </c>
      <c r="B3469">
        <v>46</v>
      </c>
      <c r="C3469" s="2" t="s">
        <v>143</v>
      </c>
      <c r="D3469">
        <v>46</v>
      </c>
    </row>
    <row r="3470" spans="1:4" hidden="1" x14ac:dyDescent="0.25">
      <c r="A3470" s="2" t="s">
        <v>47</v>
      </c>
      <c r="B3470">
        <v>46</v>
      </c>
      <c r="C3470" s="2" t="s">
        <v>144</v>
      </c>
      <c r="D3470">
        <v>46</v>
      </c>
    </row>
    <row r="3471" spans="1:4" hidden="1" x14ac:dyDescent="0.25">
      <c r="A3471" s="2" t="s">
        <v>47</v>
      </c>
      <c r="B3471">
        <v>46</v>
      </c>
      <c r="C3471" s="2" t="s">
        <v>145</v>
      </c>
      <c r="D3471">
        <v>46</v>
      </c>
    </row>
    <row r="3472" spans="1:4" hidden="1" x14ac:dyDescent="0.25">
      <c r="A3472" s="2" t="s">
        <v>47</v>
      </c>
      <c r="B3472">
        <v>46</v>
      </c>
      <c r="C3472" s="2" t="s">
        <v>146</v>
      </c>
      <c r="D3472">
        <v>46</v>
      </c>
    </row>
    <row r="3473" spans="1:4" hidden="1" x14ac:dyDescent="0.25">
      <c r="A3473" s="2" t="s">
        <v>47</v>
      </c>
      <c r="B3473">
        <v>46</v>
      </c>
      <c r="C3473" s="2" t="s">
        <v>147</v>
      </c>
      <c r="D3473">
        <v>46</v>
      </c>
    </row>
    <row r="3474" spans="1:4" hidden="1" x14ac:dyDescent="0.25">
      <c r="A3474" s="2" t="s">
        <v>47</v>
      </c>
      <c r="B3474">
        <v>46</v>
      </c>
      <c r="C3474" s="2" t="s">
        <v>148</v>
      </c>
      <c r="D3474">
        <v>46</v>
      </c>
    </row>
    <row r="3475" spans="1:4" hidden="1" x14ac:dyDescent="0.25">
      <c r="A3475" s="2" t="s">
        <v>47</v>
      </c>
      <c r="B3475">
        <v>46</v>
      </c>
      <c r="C3475" s="2" t="s">
        <v>149</v>
      </c>
      <c r="D3475">
        <v>46</v>
      </c>
    </row>
    <row r="3476" spans="1:4" hidden="1" x14ac:dyDescent="0.25">
      <c r="A3476" s="2" t="s">
        <v>47</v>
      </c>
      <c r="B3476">
        <v>46</v>
      </c>
      <c r="C3476" s="2" t="s">
        <v>150</v>
      </c>
      <c r="D3476">
        <v>46</v>
      </c>
    </row>
    <row r="3477" spans="1:4" hidden="1" x14ac:dyDescent="0.25">
      <c r="A3477" s="2" t="s">
        <v>47</v>
      </c>
      <c r="B3477">
        <v>46</v>
      </c>
      <c r="C3477" s="2" t="s">
        <v>151</v>
      </c>
      <c r="D3477">
        <v>46</v>
      </c>
    </row>
    <row r="3478" spans="1:4" hidden="1" x14ac:dyDescent="0.25">
      <c r="A3478" s="2" t="s">
        <v>47</v>
      </c>
      <c r="B3478">
        <v>46</v>
      </c>
      <c r="C3478" s="2" t="s">
        <v>152</v>
      </c>
      <c r="D3478">
        <v>46</v>
      </c>
    </row>
    <row r="3479" spans="1:4" hidden="1" x14ac:dyDescent="0.25">
      <c r="A3479" s="2" t="s">
        <v>47</v>
      </c>
      <c r="B3479">
        <v>46</v>
      </c>
      <c r="C3479" s="2" t="s">
        <v>153</v>
      </c>
      <c r="D3479">
        <v>46</v>
      </c>
    </row>
    <row r="3480" spans="1:4" hidden="1" x14ac:dyDescent="0.25">
      <c r="A3480" s="2" t="s">
        <v>47</v>
      </c>
      <c r="B3480">
        <v>46</v>
      </c>
      <c r="C3480" s="2" t="s">
        <v>154</v>
      </c>
      <c r="D3480">
        <v>46</v>
      </c>
    </row>
    <row r="3481" spans="1:4" hidden="1" x14ac:dyDescent="0.25">
      <c r="A3481" s="2" t="s">
        <v>47</v>
      </c>
      <c r="B3481">
        <v>46</v>
      </c>
      <c r="C3481" s="2" t="s">
        <v>155</v>
      </c>
      <c r="D3481">
        <v>46</v>
      </c>
    </row>
    <row r="3482" spans="1:4" hidden="1" x14ac:dyDescent="0.25">
      <c r="A3482" s="2" t="s">
        <v>47</v>
      </c>
      <c r="B3482">
        <v>46</v>
      </c>
      <c r="C3482" s="2" t="s">
        <v>156</v>
      </c>
      <c r="D3482">
        <v>46</v>
      </c>
    </row>
    <row r="3483" spans="1:4" hidden="1" x14ac:dyDescent="0.25">
      <c r="A3483" s="2" t="s">
        <v>47</v>
      </c>
      <c r="B3483">
        <v>46</v>
      </c>
      <c r="C3483" s="2" t="s">
        <v>157</v>
      </c>
      <c r="D3483">
        <v>46</v>
      </c>
    </row>
    <row r="3484" spans="1:4" hidden="1" x14ac:dyDescent="0.25">
      <c r="A3484" s="2" t="s">
        <v>47</v>
      </c>
      <c r="B3484">
        <v>46</v>
      </c>
      <c r="C3484" s="2" t="s">
        <v>158</v>
      </c>
      <c r="D3484">
        <v>46</v>
      </c>
    </row>
    <row r="3485" spans="1:4" hidden="1" x14ac:dyDescent="0.25">
      <c r="A3485" s="2" t="s">
        <v>47</v>
      </c>
      <c r="B3485">
        <v>46</v>
      </c>
      <c r="C3485" s="2" t="s">
        <v>159</v>
      </c>
      <c r="D3485">
        <v>46</v>
      </c>
    </row>
    <row r="3486" spans="1:4" hidden="1" x14ac:dyDescent="0.25">
      <c r="A3486" s="2" t="s">
        <v>47</v>
      </c>
      <c r="B3486">
        <v>46</v>
      </c>
      <c r="C3486" s="2" t="s">
        <v>160</v>
      </c>
      <c r="D3486">
        <v>46</v>
      </c>
    </row>
    <row r="3487" spans="1:4" hidden="1" x14ac:dyDescent="0.25">
      <c r="A3487" s="2" t="s">
        <v>47</v>
      </c>
      <c r="B3487">
        <v>46</v>
      </c>
      <c r="C3487" s="2" t="s">
        <v>161</v>
      </c>
      <c r="D3487">
        <v>46</v>
      </c>
    </row>
    <row r="3488" spans="1:4" hidden="1" x14ac:dyDescent="0.25">
      <c r="A3488" s="2" t="s">
        <v>47</v>
      </c>
      <c r="B3488">
        <v>46</v>
      </c>
      <c r="C3488" s="2" t="s">
        <v>162</v>
      </c>
      <c r="D3488">
        <v>46</v>
      </c>
    </row>
    <row r="3489" spans="1:4" hidden="1" x14ac:dyDescent="0.25">
      <c r="A3489" s="2" t="s">
        <v>47</v>
      </c>
      <c r="B3489">
        <v>46</v>
      </c>
      <c r="C3489" s="2" t="s">
        <v>163</v>
      </c>
      <c r="D3489">
        <v>46</v>
      </c>
    </row>
    <row r="3490" spans="1:4" hidden="1" x14ac:dyDescent="0.25">
      <c r="A3490" s="2" t="s">
        <v>47</v>
      </c>
      <c r="B3490">
        <v>46</v>
      </c>
      <c r="C3490" s="2" t="s">
        <v>164</v>
      </c>
      <c r="D3490">
        <v>46</v>
      </c>
    </row>
    <row r="3491" spans="1:4" hidden="1" x14ac:dyDescent="0.25">
      <c r="A3491" s="2" t="s">
        <v>47</v>
      </c>
      <c r="B3491">
        <v>46</v>
      </c>
      <c r="C3491" s="2" t="s">
        <v>165</v>
      </c>
      <c r="D3491">
        <v>46</v>
      </c>
    </row>
    <row r="3492" spans="1:4" hidden="1" x14ac:dyDescent="0.25">
      <c r="A3492" s="2" t="s">
        <v>47</v>
      </c>
      <c r="B3492">
        <v>46</v>
      </c>
      <c r="C3492" s="2" t="s">
        <v>166</v>
      </c>
      <c r="D3492">
        <v>46</v>
      </c>
    </row>
    <row r="3493" spans="1:4" hidden="1" x14ac:dyDescent="0.25">
      <c r="A3493" s="2" t="s">
        <v>47</v>
      </c>
      <c r="B3493">
        <v>46</v>
      </c>
      <c r="C3493" s="2" t="s">
        <v>167</v>
      </c>
      <c r="D3493">
        <v>46</v>
      </c>
    </row>
    <row r="3494" spans="1:4" hidden="1" x14ac:dyDescent="0.25">
      <c r="A3494" s="2" t="s">
        <v>47</v>
      </c>
      <c r="B3494">
        <v>46</v>
      </c>
      <c r="C3494" s="2" t="s">
        <v>168</v>
      </c>
      <c r="D3494">
        <v>46</v>
      </c>
    </row>
    <row r="3495" spans="1:4" hidden="1" x14ac:dyDescent="0.25">
      <c r="A3495" s="2" t="s">
        <v>47</v>
      </c>
      <c r="B3495">
        <v>46</v>
      </c>
      <c r="C3495" s="2" t="s">
        <v>169</v>
      </c>
      <c r="D3495">
        <v>46</v>
      </c>
    </row>
    <row r="3496" spans="1:4" hidden="1" x14ac:dyDescent="0.25">
      <c r="A3496" s="2" t="s">
        <v>47</v>
      </c>
      <c r="B3496">
        <v>46</v>
      </c>
      <c r="C3496" s="2" t="s">
        <v>170</v>
      </c>
      <c r="D3496">
        <v>46</v>
      </c>
    </row>
    <row r="3497" spans="1:4" hidden="1" x14ac:dyDescent="0.25">
      <c r="A3497" s="2" t="s">
        <v>47</v>
      </c>
      <c r="B3497">
        <v>46</v>
      </c>
      <c r="C3497" s="2" t="s">
        <v>171</v>
      </c>
      <c r="D3497">
        <v>46</v>
      </c>
    </row>
    <row r="3498" spans="1:4" hidden="1" x14ac:dyDescent="0.25">
      <c r="A3498" s="2" t="s">
        <v>47</v>
      </c>
      <c r="B3498">
        <v>46</v>
      </c>
      <c r="C3498" s="2" t="s">
        <v>172</v>
      </c>
      <c r="D3498">
        <v>46</v>
      </c>
    </row>
    <row r="3499" spans="1:4" hidden="1" x14ac:dyDescent="0.25">
      <c r="A3499" s="2" t="s">
        <v>47</v>
      </c>
      <c r="B3499">
        <v>46</v>
      </c>
      <c r="C3499" s="2" t="s">
        <v>173</v>
      </c>
      <c r="D3499">
        <v>46</v>
      </c>
    </row>
    <row r="3500" spans="1:4" hidden="1" x14ac:dyDescent="0.25">
      <c r="A3500" s="2" t="s">
        <v>47</v>
      </c>
      <c r="B3500">
        <v>46</v>
      </c>
      <c r="C3500" s="2" t="s">
        <v>174</v>
      </c>
      <c r="D3500">
        <v>46</v>
      </c>
    </row>
    <row r="3501" spans="1:4" hidden="1" x14ac:dyDescent="0.25">
      <c r="A3501" s="2" t="s">
        <v>47</v>
      </c>
      <c r="B3501">
        <v>46</v>
      </c>
      <c r="C3501" s="2" t="s">
        <v>175</v>
      </c>
      <c r="D3501">
        <v>46</v>
      </c>
    </row>
    <row r="3502" spans="1:4" hidden="1" x14ac:dyDescent="0.25">
      <c r="A3502" s="2" t="s">
        <v>47</v>
      </c>
      <c r="B3502">
        <v>46</v>
      </c>
      <c r="C3502" s="2" t="s">
        <v>176</v>
      </c>
      <c r="D3502">
        <v>46</v>
      </c>
    </row>
    <row r="3503" spans="1:4" hidden="1" x14ac:dyDescent="0.25">
      <c r="A3503" s="2" t="s">
        <v>47</v>
      </c>
      <c r="B3503">
        <v>46</v>
      </c>
      <c r="C3503" s="2" t="s">
        <v>177</v>
      </c>
      <c r="D3503">
        <v>46</v>
      </c>
    </row>
    <row r="3504" spans="1:4" hidden="1" x14ac:dyDescent="0.25">
      <c r="A3504" s="2" t="s">
        <v>47</v>
      </c>
      <c r="B3504">
        <v>46</v>
      </c>
      <c r="C3504" s="2" t="s">
        <v>178</v>
      </c>
      <c r="D3504">
        <v>46</v>
      </c>
    </row>
    <row r="3505" spans="1:4" hidden="1" x14ac:dyDescent="0.25">
      <c r="A3505" s="2" t="s">
        <v>47</v>
      </c>
      <c r="B3505">
        <v>46</v>
      </c>
      <c r="C3505" s="2" t="s">
        <v>179</v>
      </c>
      <c r="D3505">
        <v>46</v>
      </c>
    </row>
    <row r="3506" spans="1:4" hidden="1" x14ac:dyDescent="0.25">
      <c r="A3506" s="2" t="s">
        <v>44</v>
      </c>
      <c r="B3506">
        <v>49</v>
      </c>
      <c r="C3506" s="2" t="s">
        <v>183</v>
      </c>
      <c r="D3506">
        <v>62</v>
      </c>
    </row>
    <row r="3507" spans="1:4" hidden="1" x14ac:dyDescent="0.25">
      <c r="A3507" s="2" t="s">
        <v>44</v>
      </c>
      <c r="B3507">
        <v>49</v>
      </c>
      <c r="C3507" s="2" t="s">
        <v>184</v>
      </c>
      <c r="D3507">
        <v>59</v>
      </c>
    </row>
    <row r="3508" spans="1:4" hidden="1" x14ac:dyDescent="0.25">
      <c r="A3508" s="2" t="s">
        <v>44</v>
      </c>
      <c r="B3508">
        <v>49</v>
      </c>
      <c r="C3508" s="2" t="s">
        <v>185</v>
      </c>
      <c r="D3508">
        <v>52</v>
      </c>
    </row>
    <row r="3509" spans="1:4" hidden="1" x14ac:dyDescent="0.25">
      <c r="A3509" s="2" t="s">
        <v>44</v>
      </c>
      <c r="B3509">
        <v>49</v>
      </c>
      <c r="C3509" s="2" t="s">
        <v>186</v>
      </c>
      <c r="D3509">
        <v>77</v>
      </c>
    </row>
    <row r="3510" spans="1:4" hidden="1" x14ac:dyDescent="0.25">
      <c r="A3510" s="2" t="s">
        <v>44</v>
      </c>
      <c r="B3510">
        <v>49</v>
      </c>
      <c r="C3510" s="2" t="s">
        <v>187</v>
      </c>
      <c r="D3510">
        <v>79</v>
      </c>
    </row>
    <row r="3511" spans="1:4" hidden="1" x14ac:dyDescent="0.25">
      <c r="A3511" s="2" t="s">
        <v>44</v>
      </c>
      <c r="B3511">
        <v>49</v>
      </c>
      <c r="C3511" s="2" t="s">
        <v>188</v>
      </c>
      <c r="D3511">
        <v>77</v>
      </c>
    </row>
    <row r="3512" spans="1:4" hidden="1" x14ac:dyDescent="0.25">
      <c r="A3512" s="2" t="s">
        <v>44</v>
      </c>
      <c r="B3512">
        <v>49</v>
      </c>
      <c r="C3512" s="2" t="s">
        <v>189</v>
      </c>
      <c r="D3512">
        <v>82</v>
      </c>
    </row>
    <row r="3513" spans="1:4" hidden="1" x14ac:dyDescent="0.25">
      <c r="A3513" s="2" t="s">
        <v>44</v>
      </c>
      <c r="B3513">
        <v>49</v>
      </c>
      <c r="C3513" s="2" t="s">
        <v>190</v>
      </c>
      <c r="D3513">
        <v>86</v>
      </c>
    </row>
    <row r="3514" spans="1:4" hidden="1" x14ac:dyDescent="0.25">
      <c r="A3514" s="2" t="s">
        <v>44</v>
      </c>
      <c r="B3514">
        <v>49</v>
      </c>
      <c r="C3514" s="2" t="s">
        <v>191</v>
      </c>
      <c r="D3514">
        <v>85</v>
      </c>
    </row>
    <row r="3515" spans="1:4" hidden="1" x14ac:dyDescent="0.25">
      <c r="A3515" s="2" t="s">
        <v>44</v>
      </c>
      <c r="B3515">
        <v>49</v>
      </c>
      <c r="C3515" s="2" t="s">
        <v>116</v>
      </c>
      <c r="D3515">
        <v>86</v>
      </c>
    </row>
    <row r="3516" spans="1:4" hidden="1" x14ac:dyDescent="0.25">
      <c r="A3516" s="2" t="s">
        <v>44</v>
      </c>
      <c r="B3516">
        <v>49</v>
      </c>
      <c r="C3516" s="2" t="s">
        <v>117</v>
      </c>
      <c r="D3516">
        <v>88</v>
      </c>
    </row>
    <row r="3517" spans="1:4" hidden="1" x14ac:dyDescent="0.25">
      <c r="A3517" s="2" t="s">
        <v>44</v>
      </c>
      <c r="B3517">
        <v>49</v>
      </c>
      <c r="C3517" s="2" t="s">
        <v>118</v>
      </c>
      <c r="D3517">
        <v>85</v>
      </c>
    </row>
    <row r="3518" spans="1:4" hidden="1" x14ac:dyDescent="0.25">
      <c r="A3518" s="2" t="s">
        <v>44</v>
      </c>
      <c r="B3518">
        <v>49</v>
      </c>
      <c r="C3518" s="2" t="s">
        <v>119</v>
      </c>
      <c r="D3518">
        <v>98</v>
      </c>
    </row>
    <row r="3519" spans="1:4" hidden="1" x14ac:dyDescent="0.25">
      <c r="A3519" s="2" t="s">
        <v>44</v>
      </c>
      <c r="B3519">
        <v>49</v>
      </c>
      <c r="C3519" s="2" t="s">
        <v>120</v>
      </c>
      <c r="D3519">
        <v>100</v>
      </c>
    </row>
    <row r="3520" spans="1:4" hidden="1" x14ac:dyDescent="0.25">
      <c r="A3520" s="2" t="s">
        <v>44</v>
      </c>
      <c r="B3520">
        <v>49</v>
      </c>
      <c r="C3520" s="2" t="s">
        <v>121</v>
      </c>
      <c r="D3520">
        <v>100</v>
      </c>
    </row>
    <row r="3521" spans="1:4" hidden="1" x14ac:dyDescent="0.25">
      <c r="A3521" s="2" t="s">
        <v>44</v>
      </c>
      <c r="B3521">
        <v>49</v>
      </c>
      <c r="C3521" s="2" t="s">
        <v>122</v>
      </c>
      <c r="D3521">
        <v>98</v>
      </c>
    </row>
    <row r="3522" spans="1:4" hidden="1" x14ac:dyDescent="0.25">
      <c r="A3522" s="2" t="s">
        <v>44</v>
      </c>
      <c r="B3522">
        <v>49</v>
      </c>
      <c r="C3522" s="2" t="s">
        <v>123</v>
      </c>
      <c r="D3522">
        <v>79</v>
      </c>
    </row>
    <row r="3523" spans="1:4" hidden="1" x14ac:dyDescent="0.25">
      <c r="A3523" s="2" t="s">
        <v>44</v>
      </c>
      <c r="B3523">
        <v>49</v>
      </c>
      <c r="C3523" s="2" t="s">
        <v>124</v>
      </c>
      <c r="D3523">
        <v>79</v>
      </c>
    </row>
    <row r="3524" spans="1:4" hidden="1" x14ac:dyDescent="0.25">
      <c r="A3524" s="2" t="s">
        <v>44</v>
      </c>
      <c r="B3524">
        <v>49</v>
      </c>
      <c r="C3524" s="2" t="s">
        <v>125</v>
      </c>
      <c r="D3524">
        <v>76</v>
      </c>
    </row>
    <row r="3525" spans="1:4" hidden="1" x14ac:dyDescent="0.25">
      <c r="A3525" s="2" t="s">
        <v>44</v>
      </c>
      <c r="B3525">
        <v>49</v>
      </c>
      <c r="C3525" s="2" t="s">
        <v>126</v>
      </c>
      <c r="D3525">
        <v>76</v>
      </c>
    </row>
    <row r="3526" spans="1:4" hidden="1" x14ac:dyDescent="0.25">
      <c r="A3526" s="2" t="s">
        <v>44</v>
      </c>
      <c r="B3526">
        <v>49</v>
      </c>
      <c r="C3526" s="2" t="s">
        <v>127</v>
      </c>
      <c r="D3526">
        <v>81</v>
      </c>
    </row>
    <row r="3527" spans="1:4" hidden="1" x14ac:dyDescent="0.25">
      <c r="A3527" s="2" t="s">
        <v>44</v>
      </c>
      <c r="B3527">
        <v>49</v>
      </c>
      <c r="C3527" s="2" t="s">
        <v>128</v>
      </c>
      <c r="D3527">
        <v>59</v>
      </c>
    </row>
    <row r="3528" spans="1:4" hidden="1" x14ac:dyDescent="0.25">
      <c r="A3528" s="2" t="s">
        <v>44</v>
      </c>
      <c r="B3528">
        <v>49</v>
      </c>
      <c r="C3528" s="2" t="s">
        <v>129</v>
      </c>
      <c r="D3528">
        <v>47</v>
      </c>
    </row>
    <row r="3529" spans="1:4" hidden="1" x14ac:dyDescent="0.25">
      <c r="A3529" s="2" t="s">
        <v>44</v>
      </c>
      <c r="B3529">
        <v>49</v>
      </c>
      <c r="C3529" s="2" t="s">
        <v>130</v>
      </c>
      <c r="D3529">
        <v>45</v>
      </c>
    </row>
    <row r="3530" spans="1:4" hidden="1" x14ac:dyDescent="0.25">
      <c r="A3530" s="2" t="s">
        <v>44</v>
      </c>
      <c r="B3530">
        <v>49</v>
      </c>
      <c r="C3530" s="2" t="s">
        <v>131</v>
      </c>
      <c r="D3530">
        <v>63</v>
      </c>
    </row>
    <row r="3531" spans="1:4" hidden="1" x14ac:dyDescent="0.25">
      <c r="A3531" s="2" t="s">
        <v>44</v>
      </c>
      <c r="B3531">
        <v>49</v>
      </c>
      <c r="C3531" s="2" t="s">
        <v>132</v>
      </c>
      <c r="D3531">
        <v>65</v>
      </c>
    </row>
    <row r="3532" spans="1:4" hidden="1" x14ac:dyDescent="0.25">
      <c r="A3532" s="2" t="s">
        <v>44</v>
      </c>
      <c r="B3532">
        <v>49</v>
      </c>
      <c r="C3532" s="2" t="s">
        <v>133</v>
      </c>
      <c r="D3532">
        <v>65</v>
      </c>
    </row>
    <row r="3533" spans="1:4" hidden="1" x14ac:dyDescent="0.25">
      <c r="A3533" s="2" t="s">
        <v>44</v>
      </c>
      <c r="B3533">
        <v>49</v>
      </c>
      <c r="C3533" s="2" t="s">
        <v>134</v>
      </c>
      <c r="D3533">
        <v>63</v>
      </c>
    </row>
    <row r="3534" spans="1:4" hidden="1" x14ac:dyDescent="0.25">
      <c r="A3534" s="2" t="s">
        <v>44</v>
      </c>
      <c r="B3534">
        <v>49</v>
      </c>
      <c r="C3534" s="2" t="s">
        <v>135</v>
      </c>
      <c r="D3534">
        <v>49</v>
      </c>
    </row>
    <row r="3535" spans="1:4" hidden="1" x14ac:dyDescent="0.25">
      <c r="A3535" s="2" t="s">
        <v>44</v>
      </c>
      <c r="B3535">
        <v>49</v>
      </c>
      <c r="C3535" s="2" t="s">
        <v>136</v>
      </c>
      <c r="D3535">
        <v>49</v>
      </c>
    </row>
    <row r="3536" spans="1:4" hidden="1" x14ac:dyDescent="0.25">
      <c r="A3536" s="2" t="s">
        <v>44</v>
      </c>
      <c r="B3536">
        <v>49</v>
      </c>
      <c r="C3536" s="2" t="s">
        <v>137</v>
      </c>
      <c r="D3536">
        <v>49</v>
      </c>
    </row>
    <row r="3537" spans="1:4" hidden="1" x14ac:dyDescent="0.25">
      <c r="A3537" s="2" t="s">
        <v>44</v>
      </c>
      <c r="B3537">
        <v>49</v>
      </c>
      <c r="C3537" s="2" t="s">
        <v>138</v>
      </c>
      <c r="D3537">
        <v>49</v>
      </c>
    </row>
    <row r="3538" spans="1:4" hidden="1" x14ac:dyDescent="0.25">
      <c r="A3538" s="2" t="s">
        <v>44</v>
      </c>
      <c r="B3538">
        <v>49</v>
      </c>
      <c r="C3538" s="2" t="s">
        <v>139</v>
      </c>
      <c r="D3538">
        <v>49</v>
      </c>
    </row>
    <row r="3539" spans="1:4" hidden="1" x14ac:dyDescent="0.25">
      <c r="A3539" s="2" t="s">
        <v>44</v>
      </c>
      <c r="B3539">
        <v>49</v>
      </c>
      <c r="C3539" s="2" t="s">
        <v>140</v>
      </c>
      <c r="D3539">
        <v>49</v>
      </c>
    </row>
    <row r="3540" spans="1:4" hidden="1" x14ac:dyDescent="0.25">
      <c r="A3540" s="2" t="s">
        <v>44</v>
      </c>
      <c r="B3540">
        <v>49</v>
      </c>
      <c r="C3540" s="2" t="s">
        <v>141</v>
      </c>
      <c r="D3540">
        <v>49</v>
      </c>
    </row>
    <row r="3541" spans="1:4" hidden="1" x14ac:dyDescent="0.25">
      <c r="A3541" s="2" t="s">
        <v>44</v>
      </c>
      <c r="B3541">
        <v>49</v>
      </c>
      <c r="C3541" s="2" t="s">
        <v>142</v>
      </c>
      <c r="D3541">
        <v>49</v>
      </c>
    </row>
    <row r="3542" spans="1:4" hidden="1" x14ac:dyDescent="0.25">
      <c r="A3542" s="2" t="s">
        <v>44</v>
      </c>
      <c r="B3542">
        <v>49</v>
      </c>
      <c r="C3542" s="2" t="s">
        <v>143</v>
      </c>
      <c r="D3542">
        <v>49</v>
      </c>
    </row>
    <row r="3543" spans="1:4" hidden="1" x14ac:dyDescent="0.25">
      <c r="A3543" s="2" t="s">
        <v>44</v>
      </c>
      <c r="B3543">
        <v>49</v>
      </c>
      <c r="C3543" s="2" t="s">
        <v>144</v>
      </c>
      <c r="D3543">
        <v>49</v>
      </c>
    </row>
    <row r="3544" spans="1:4" hidden="1" x14ac:dyDescent="0.25">
      <c r="A3544" s="2" t="s">
        <v>44</v>
      </c>
      <c r="B3544">
        <v>49</v>
      </c>
      <c r="C3544" s="2" t="s">
        <v>145</v>
      </c>
      <c r="D3544">
        <v>49</v>
      </c>
    </row>
    <row r="3545" spans="1:4" hidden="1" x14ac:dyDescent="0.25">
      <c r="A3545" s="2" t="s">
        <v>44</v>
      </c>
      <c r="B3545">
        <v>49</v>
      </c>
      <c r="C3545" s="2" t="s">
        <v>146</v>
      </c>
      <c r="D3545">
        <v>49</v>
      </c>
    </row>
    <row r="3546" spans="1:4" hidden="1" x14ac:dyDescent="0.25">
      <c r="A3546" s="2" t="s">
        <v>44</v>
      </c>
      <c r="B3546">
        <v>49</v>
      </c>
      <c r="C3546" s="2" t="s">
        <v>147</v>
      </c>
      <c r="D3546">
        <v>49</v>
      </c>
    </row>
    <row r="3547" spans="1:4" hidden="1" x14ac:dyDescent="0.25">
      <c r="A3547" s="2" t="s">
        <v>44</v>
      </c>
      <c r="B3547">
        <v>49</v>
      </c>
      <c r="C3547" s="2" t="s">
        <v>148</v>
      </c>
      <c r="D3547">
        <v>49</v>
      </c>
    </row>
    <row r="3548" spans="1:4" hidden="1" x14ac:dyDescent="0.25">
      <c r="A3548" s="2" t="s">
        <v>44</v>
      </c>
      <c r="B3548">
        <v>49</v>
      </c>
      <c r="C3548" s="2" t="s">
        <v>149</v>
      </c>
      <c r="D3548">
        <v>49</v>
      </c>
    </row>
    <row r="3549" spans="1:4" hidden="1" x14ac:dyDescent="0.25">
      <c r="A3549" s="2" t="s">
        <v>44</v>
      </c>
      <c r="B3549">
        <v>49</v>
      </c>
      <c r="C3549" s="2" t="s">
        <v>150</v>
      </c>
      <c r="D3549">
        <v>49</v>
      </c>
    </row>
    <row r="3550" spans="1:4" hidden="1" x14ac:dyDescent="0.25">
      <c r="A3550" s="2" t="s">
        <v>44</v>
      </c>
      <c r="B3550">
        <v>49</v>
      </c>
      <c r="C3550" s="2" t="s">
        <v>151</v>
      </c>
      <c r="D3550">
        <v>49</v>
      </c>
    </row>
    <row r="3551" spans="1:4" hidden="1" x14ac:dyDescent="0.25">
      <c r="A3551" s="2" t="s">
        <v>44</v>
      </c>
      <c r="B3551">
        <v>49</v>
      </c>
      <c r="C3551" s="2" t="s">
        <v>152</v>
      </c>
      <c r="D3551">
        <v>49</v>
      </c>
    </row>
    <row r="3552" spans="1:4" hidden="1" x14ac:dyDescent="0.25">
      <c r="A3552" s="2" t="s">
        <v>44</v>
      </c>
      <c r="B3552">
        <v>49</v>
      </c>
      <c r="C3552" s="2" t="s">
        <v>153</v>
      </c>
      <c r="D3552">
        <v>49</v>
      </c>
    </row>
    <row r="3553" spans="1:4" hidden="1" x14ac:dyDescent="0.25">
      <c r="A3553" s="2" t="s">
        <v>44</v>
      </c>
      <c r="B3553">
        <v>49</v>
      </c>
      <c r="C3553" s="2" t="s">
        <v>154</v>
      </c>
      <c r="D3553">
        <v>49</v>
      </c>
    </row>
    <row r="3554" spans="1:4" hidden="1" x14ac:dyDescent="0.25">
      <c r="A3554" s="2" t="s">
        <v>44</v>
      </c>
      <c r="B3554">
        <v>49</v>
      </c>
      <c r="C3554" s="2" t="s">
        <v>155</v>
      </c>
      <c r="D3554">
        <v>49</v>
      </c>
    </row>
    <row r="3555" spans="1:4" hidden="1" x14ac:dyDescent="0.25">
      <c r="A3555" s="2" t="s">
        <v>44</v>
      </c>
      <c r="B3555">
        <v>49</v>
      </c>
      <c r="C3555" s="2" t="s">
        <v>156</v>
      </c>
      <c r="D3555">
        <v>49</v>
      </c>
    </row>
    <row r="3556" spans="1:4" hidden="1" x14ac:dyDescent="0.25">
      <c r="A3556" s="2" t="s">
        <v>44</v>
      </c>
      <c r="B3556">
        <v>49</v>
      </c>
      <c r="C3556" s="2" t="s">
        <v>157</v>
      </c>
      <c r="D3556">
        <v>49</v>
      </c>
    </row>
    <row r="3557" spans="1:4" hidden="1" x14ac:dyDescent="0.25">
      <c r="A3557" s="2" t="s">
        <v>44</v>
      </c>
      <c r="B3557">
        <v>49</v>
      </c>
      <c r="C3557" s="2" t="s">
        <v>158</v>
      </c>
      <c r="D3557">
        <v>49</v>
      </c>
    </row>
    <row r="3558" spans="1:4" hidden="1" x14ac:dyDescent="0.25">
      <c r="A3558" s="2" t="s">
        <v>44</v>
      </c>
      <c r="B3558">
        <v>49</v>
      </c>
      <c r="C3558" s="2" t="s">
        <v>159</v>
      </c>
      <c r="D3558">
        <v>49</v>
      </c>
    </row>
    <row r="3559" spans="1:4" hidden="1" x14ac:dyDescent="0.25">
      <c r="A3559" s="2" t="s">
        <v>44</v>
      </c>
      <c r="B3559">
        <v>49</v>
      </c>
      <c r="C3559" s="2" t="s">
        <v>160</v>
      </c>
      <c r="D3559">
        <v>49</v>
      </c>
    </row>
    <row r="3560" spans="1:4" hidden="1" x14ac:dyDescent="0.25">
      <c r="A3560" s="2" t="s">
        <v>44</v>
      </c>
      <c r="B3560">
        <v>49</v>
      </c>
      <c r="C3560" s="2" t="s">
        <v>161</v>
      </c>
      <c r="D3560">
        <v>49</v>
      </c>
    </row>
    <row r="3561" spans="1:4" hidden="1" x14ac:dyDescent="0.25">
      <c r="A3561" s="2" t="s">
        <v>44</v>
      </c>
      <c r="B3561">
        <v>49</v>
      </c>
      <c r="C3561" s="2" t="s">
        <v>162</v>
      </c>
      <c r="D3561">
        <v>49</v>
      </c>
    </row>
    <row r="3562" spans="1:4" hidden="1" x14ac:dyDescent="0.25">
      <c r="A3562" s="2" t="s">
        <v>44</v>
      </c>
      <c r="B3562">
        <v>49</v>
      </c>
      <c r="C3562" s="2" t="s">
        <v>163</v>
      </c>
      <c r="D3562">
        <v>49</v>
      </c>
    </row>
    <row r="3563" spans="1:4" hidden="1" x14ac:dyDescent="0.25">
      <c r="A3563" s="2" t="s">
        <v>44</v>
      </c>
      <c r="B3563">
        <v>49</v>
      </c>
      <c r="C3563" s="2" t="s">
        <v>164</v>
      </c>
      <c r="D3563">
        <v>49</v>
      </c>
    </row>
    <row r="3564" spans="1:4" hidden="1" x14ac:dyDescent="0.25">
      <c r="A3564" s="2" t="s">
        <v>44</v>
      </c>
      <c r="B3564">
        <v>49</v>
      </c>
      <c r="C3564" s="2" t="s">
        <v>165</v>
      </c>
      <c r="D3564">
        <v>49</v>
      </c>
    </row>
    <row r="3565" spans="1:4" hidden="1" x14ac:dyDescent="0.25">
      <c r="A3565" s="2" t="s">
        <v>44</v>
      </c>
      <c r="B3565">
        <v>49</v>
      </c>
      <c r="C3565" s="2" t="s">
        <v>166</v>
      </c>
      <c r="D3565">
        <v>49</v>
      </c>
    </row>
    <row r="3566" spans="1:4" hidden="1" x14ac:dyDescent="0.25">
      <c r="A3566" s="2" t="s">
        <v>44</v>
      </c>
      <c r="B3566">
        <v>49</v>
      </c>
      <c r="C3566" s="2" t="s">
        <v>167</v>
      </c>
      <c r="D3566">
        <v>49</v>
      </c>
    </row>
    <row r="3567" spans="1:4" hidden="1" x14ac:dyDescent="0.25">
      <c r="A3567" s="2" t="s">
        <v>44</v>
      </c>
      <c r="B3567">
        <v>49</v>
      </c>
      <c r="C3567" s="2" t="s">
        <v>168</v>
      </c>
      <c r="D3567">
        <v>49</v>
      </c>
    </row>
    <row r="3568" spans="1:4" hidden="1" x14ac:dyDescent="0.25">
      <c r="A3568" s="2" t="s">
        <v>44</v>
      </c>
      <c r="B3568">
        <v>49</v>
      </c>
      <c r="C3568" s="2" t="s">
        <v>169</v>
      </c>
      <c r="D3568">
        <v>49</v>
      </c>
    </row>
    <row r="3569" spans="1:4" hidden="1" x14ac:dyDescent="0.25">
      <c r="A3569" s="2" t="s">
        <v>44</v>
      </c>
      <c r="B3569">
        <v>49</v>
      </c>
      <c r="C3569" s="2" t="s">
        <v>170</v>
      </c>
      <c r="D3569">
        <v>49</v>
      </c>
    </row>
    <row r="3570" spans="1:4" hidden="1" x14ac:dyDescent="0.25">
      <c r="A3570" s="2" t="s">
        <v>44</v>
      </c>
      <c r="B3570">
        <v>49</v>
      </c>
      <c r="C3570" s="2" t="s">
        <v>171</v>
      </c>
      <c r="D3570">
        <v>49</v>
      </c>
    </row>
    <row r="3571" spans="1:4" hidden="1" x14ac:dyDescent="0.25">
      <c r="A3571" s="2" t="s">
        <v>44</v>
      </c>
      <c r="B3571">
        <v>49</v>
      </c>
      <c r="C3571" s="2" t="s">
        <v>172</v>
      </c>
      <c r="D3571">
        <v>49</v>
      </c>
    </row>
    <row r="3572" spans="1:4" hidden="1" x14ac:dyDescent="0.25">
      <c r="A3572" s="2" t="s">
        <v>44</v>
      </c>
      <c r="B3572">
        <v>49</v>
      </c>
      <c r="C3572" s="2" t="s">
        <v>173</v>
      </c>
      <c r="D3572">
        <v>49</v>
      </c>
    </row>
    <row r="3573" spans="1:4" hidden="1" x14ac:dyDescent="0.25">
      <c r="A3573" s="2" t="s">
        <v>44</v>
      </c>
      <c r="B3573">
        <v>49</v>
      </c>
      <c r="C3573" s="2" t="s">
        <v>174</v>
      </c>
      <c r="D3573">
        <v>49</v>
      </c>
    </row>
    <row r="3574" spans="1:4" hidden="1" x14ac:dyDescent="0.25">
      <c r="A3574" s="2" t="s">
        <v>44</v>
      </c>
      <c r="B3574">
        <v>49</v>
      </c>
      <c r="C3574" s="2" t="s">
        <v>175</v>
      </c>
      <c r="D3574">
        <v>49</v>
      </c>
    </row>
    <row r="3575" spans="1:4" hidden="1" x14ac:dyDescent="0.25">
      <c r="A3575" s="2" t="s">
        <v>44</v>
      </c>
      <c r="B3575">
        <v>49</v>
      </c>
      <c r="C3575" s="2" t="s">
        <v>176</v>
      </c>
      <c r="D3575">
        <v>49</v>
      </c>
    </row>
    <row r="3576" spans="1:4" hidden="1" x14ac:dyDescent="0.25">
      <c r="A3576" s="2" t="s">
        <v>44</v>
      </c>
      <c r="B3576">
        <v>49</v>
      </c>
      <c r="C3576" s="2" t="s">
        <v>177</v>
      </c>
      <c r="D3576">
        <v>49</v>
      </c>
    </row>
    <row r="3577" spans="1:4" hidden="1" x14ac:dyDescent="0.25">
      <c r="A3577" s="2" t="s">
        <v>44</v>
      </c>
      <c r="B3577">
        <v>49</v>
      </c>
      <c r="C3577" s="2" t="s">
        <v>178</v>
      </c>
      <c r="D3577">
        <v>49</v>
      </c>
    </row>
    <row r="3578" spans="1:4" hidden="1" x14ac:dyDescent="0.25">
      <c r="A3578" s="2" t="s">
        <v>44</v>
      </c>
      <c r="B3578">
        <v>49</v>
      </c>
      <c r="C3578" s="2" t="s">
        <v>179</v>
      </c>
      <c r="D3578">
        <v>49</v>
      </c>
    </row>
    <row r="3579" spans="1:4" hidden="1" x14ac:dyDescent="0.25">
      <c r="A3579" s="2" t="s">
        <v>94</v>
      </c>
      <c r="B3579">
        <v>49</v>
      </c>
      <c r="C3579" s="2" t="s">
        <v>183</v>
      </c>
      <c r="D3579">
        <v>13</v>
      </c>
    </row>
    <row r="3580" spans="1:4" hidden="1" x14ac:dyDescent="0.25">
      <c r="A3580" s="2" t="s">
        <v>94</v>
      </c>
      <c r="B3580">
        <v>49</v>
      </c>
      <c r="C3580" s="2" t="s">
        <v>184</v>
      </c>
      <c r="D3580">
        <v>14</v>
      </c>
    </row>
    <row r="3581" spans="1:4" hidden="1" x14ac:dyDescent="0.25">
      <c r="A3581" s="2" t="s">
        <v>94</v>
      </c>
      <c r="B3581">
        <v>49</v>
      </c>
      <c r="C3581" s="2" t="s">
        <v>185</v>
      </c>
      <c r="D3581">
        <v>24</v>
      </c>
    </row>
    <row r="3582" spans="1:4" hidden="1" x14ac:dyDescent="0.25">
      <c r="A3582" s="2" t="s">
        <v>94</v>
      </c>
      <c r="B3582">
        <v>49</v>
      </c>
      <c r="C3582" s="2" t="s">
        <v>186</v>
      </c>
      <c r="D3582">
        <v>9</v>
      </c>
    </row>
    <row r="3583" spans="1:4" hidden="1" x14ac:dyDescent="0.25">
      <c r="A3583" s="2" t="s">
        <v>94</v>
      </c>
      <c r="B3583">
        <v>49</v>
      </c>
      <c r="C3583" s="2" t="s">
        <v>187</v>
      </c>
      <c r="D3583">
        <v>9</v>
      </c>
    </row>
    <row r="3584" spans="1:4" hidden="1" x14ac:dyDescent="0.25">
      <c r="A3584" s="2" t="s">
        <v>94</v>
      </c>
      <c r="B3584">
        <v>49</v>
      </c>
      <c r="C3584" s="2" t="s">
        <v>188</v>
      </c>
      <c r="D3584">
        <v>23</v>
      </c>
    </row>
    <row r="3585" spans="1:4" hidden="1" x14ac:dyDescent="0.25">
      <c r="A3585" s="2" t="s">
        <v>94</v>
      </c>
      <c r="B3585">
        <v>49</v>
      </c>
      <c r="C3585" s="2" t="s">
        <v>189</v>
      </c>
      <c r="D3585">
        <v>16</v>
      </c>
    </row>
    <row r="3586" spans="1:4" hidden="1" x14ac:dyDescent="0.25">
      <c r="A3586" s="2" t="s">
        <v>94</v>
      </c>
      <c r="B3586">
        <v>49</v>
      </c>
      <c r="C3586" s="2" t="s">
        <v>190</v>
      </c>
      <c r="D3586">
        <v>8</v>
      </c>
    </row>
    <row r="3587" spans="1:4" hidden="1" x14ac:dyDescent="0.25">
      <c r="A3587" s="2" t="s">
        <v>94</v>
      </c>
      <c r="B3587">
        <v>49</v>
      </c>
      <c r="C3587" s="2" t="s">
        <v>191</v>
      </c>
      <c r="D3587">
        <v>11</v>
      </c>
    </row>
    <row r="3588" spans="1:4" hidden="1" x14ac:dyDescent="0.25">
      <c r="A3588" s="2" t="s">
        <v>94</v>
      </c>
      <c r="B3588">
        <v>49</v>
      </c>
      <c r="C3588" s="2" t="s">
        <v>116</v>
      </c>
      <c r="D3588">
        <v>15</v>
      </c>
    </row>
    <row r="3589" spans="1:4" hidden="1" x14ac:dyDescent="0.25">
      <c r="A3589" s="2" t="s">
        <v>94</v>
      </c>
      <c r="B3589">
        <v>49</v>
      </c>
      <c r="C3589" s="2" t="s">
        <v>117</v>
      </c>
      <c r="D3589">
        <v>14</v>
      </c>
    </row>
    <row r="3590" spans="1:4" hidden="1" x14ac:dyDescent="0.25">
      <c r="A3590" s="2" t="s">
        <v>94</v>
      </c>
      <c r="B3590">
        <v>49</v>
      </c>
      <c r="C3590" s="2" t="s">
        <v>118</v>
      </c>
      <c r="D3590">
        <v>17</v>
      </c>
    </row>
    <row r="3591" spans="1:4" hidden="1" x14ac:dyDescent="0.25">
      <c r="A3591" s="2" t="s">
        <v>94</v>
      </c>
      <c r="B3591">
        <v>49</v>
      </c>
      <c r="C3591" s="2" t="s">
        <v>119</v>
      </c>
      <c r="D3591">
        <v>37</v>
      </c>
    </row>
    <row r="3592" spans="1:4" hidden="1" x14ac:dyDescent="0.25">
      <c r="A3592" s="2" t="s">
        <v>94</v>
      </c>
      <c r="B3592">
        <v>49</v>
      </c>
      <c r="C3592" s="2" t="s">
        <v>120</v>
      </c>
      <c r="D3592">
        <v>39</v>
      </c>
    </row>
    <row r="3593" spans="1:4" hidden="1" x14ac:dyDescent="0.25">
      <c r="A3593" s="2" t="s">
        <v>94</v>
      </c>
      <c r="B3593">
        <v>49</v>
      </c>
      <c r="C3593" s="2" t="s">
        <v>121</v>
      </c>
      <c r="D3593">
        <v>39</v>
      </c>
    </row>
    <row r="3594" spans="1:4" hidden="1" x14ac:dyDescent="0.25">
      <c r="A3594" s="2" t="s">
        <v>94</v>
      </c>
      <c r="B3594">
        <v>49</v>
      </c>
      <c r="C3594" s="2" t="s">
        <v>122</v>
      </c>
      <c r="D3594">
        <v>46</v>
      </c>
    </row>
    <row r="3595" spans="1:4" hidden="1" x14ac:dyDescent="0.25">
      <c r="A3595" s="2" t="s">
        <v>94</v>
      </c>
      <c r="B3595">
        <v>49</v>
      </c>
      <c r="C3595" s="2" t="s">
        <v>123</v>
      </c>
      <c r="D3595">
        <v>53</v>
      </c>
    </row>
    <row r="3596" spans="1:4" hidden="1" x14ac:dyDescent="0.25">
      <c r="A3596" s="2" t="s">
        <v>94</v>
      </c>
      <c r="B3596">
        <v>49</v>
      </c>
      <c r="C3596" s="2" t="s">
        <v>124</v>
      </c>
      <c r="D3596">
        <v>56</v>
      </c>
    </row>
    <row r="3597" spans="1:4" hidden="1" x14ac:dyDescent="0.25">
      <c r="A3597" s="2" t="s">
        <v>94</v>
      </c>
      <c r="B3597">
        <v>49</v>
      </c>
      <c r="C3597" s="2" t="s">
        <v>125</v>
      </c>
      <c r="D3597">
        <v>38</v>
      </c>
    </row>
    <row r="3598" spans="1:4" hidden="1" x14ac:dyDescent="0.25">
      <c r="A3598" s="2" t="s">
        <v>94</v>
      </c>
      <c r="B3598">
        <v>49</v>
      </c>
      <c r="C3598" s="2" t="s">
        <v>126</v>
      </c>
      <c r="D3598">
        <v>45</v>
      </c>
    </row>
    <row r="3599" spans="1:4" hidden="1" x14ac:dyDescent="0.25">
      <c r="A3599" s="2" t="s">
        <v>94</v>
      </c>
      <c r="B3599">
        <v>49</v>
      </c>
      <c r="C3599" s="2" t="s">
        <v>127</v>
      </c>
      <c r="D3599">
        <v>47</v>
      </c>
    </row>
    <row r="3600" spans="1:4" hidden="1" x14ac:dyDescent="0.25">
      <c r="A3600" s="2" t="s">
        <v>94</v>
      </c>
      <c r="B3600">
        <v>49</v>
      </c>
      <c r="C3600" s="2" t="s">
        <v>128</v>
      </c>
      <c r="D3600">
        <v>37</v>
      </c>
    </row>
    <row r="3601" spans="1:4" hidden="1" x14ac:dyDescent="0.25">
      <c r="A3601" s="2" t="s">
        <v>94</v>
      </c>
      <c r="B3601">
        <v>49</v>
      </c>
      <c r="C3601" s="2" t="s">
        <v>129</v>
      </c>
      <c r="D3601">
        <v>46</v>
      </c>
    </row>
    <row r="3602" spans="1:4" hidden="1" x14ac:dyDescent="0.25">
      <c r="A3602" s="2" t="s">
        <v>94</v>
      </c>
      <c r="B3602">
        <v>49</v>
      </c>
      <c r="C3602" s="2" t="s">
        <v>130</v>
      </c>
      <c r="D3602">
        <v>53</v>
      </c>
    </row>
    <row r="3603" spans="1:4" hidden="1" x14ac:dyDescent="0.25">
      <c r="A3603" s="2" t="s">
        <v>94</v>
      </c>
      <c r="B3603">
        <v>49</v>
      </c>
      <c r="C3603" s="2" t="s">
        <v>131</v>
      </c>
      <c r="D3603">
        <v>52</v>
      </c>
    </row>
    <row r="3604" spans="1:4" hidden="1" x14ac:dyDescent="0.25">
      <c r="A3604" s="2" t="s">
        <v>94</v>
      </c>
      <c r="B3604">
        <v>49</v>
      </c>
      <c r="C3604" s="2" t="s">
        <v>132</v>
      </c>
      <c r="D3604">
        <v>55</v>
      </c>
    </row>
    <row r="3605" spans="1:4" hidden="1" x14ac:dyDescent="0.25">
      <c r="A3605" s="2" t="s">
        <v>94</v>
      </c>
      <c r="B3605">
        <v>49</v>
      </c>
      <c r="C3605" s="2" t="s">
        <v>133</v>
      </c>
      <c r="D3605">
        <v>55</v>
      </c>
    </row>
    <row r="3606" spans="1:4" hidden="1" x14ac:dyDescent="0.25">
      <c r="A3606" s="2" t="s">
        <v>94</v>
      </c>
      <c r="B3606">
        <v>49</v>
      </c>
      <c r="C3606" s="2" t="s">
        <v>134</v>
      </c>
      <c r="D3606">
        <v>49</v>
      </c>
    </row>
    <row r="3607" spans="1:4" hidden="1" x14ac:dyDescent="0.25">
      <c r="A3607" s="2" t="s">
        <v>94</v>
      </c>
      <c r="B3607">
        <v>49</v>
      </c>
      <c r="C3607" s="2" t="s">
        <v>135</v>
      </c>
      <c r="D3607">
        <v>49</v>
      </c>
    </row>
    <row r="3608" spans="1:4" hidden="1" x14ac:dyDescent="0.25">
      <c r="A3608" s="2" t="s">
        <v>94</v>
      </c>
      <c r="B3608">
        <v>49</v>
      </c>
      <c r="C3608" s="2" t="s">
        <v>136</v>
      </c>
      <c r="D3608">
        <v>49</v>
      </c>
    </row>
    <row r="3609" spans="1:4" hidden="1" x14ac:dyDescent="0.25">
      <c r="A3609" s="2" t="s">
        <v>94</v>
      </c>
      <c r="B3609">
        <v>49</v>
      </c>
      <c r="C3609" s="2" t="s">
        <v>137</v>
      </c>
      <c r="D3609">
        <v>49</v>
      </c>
    </row>
    <row r="3610" spans="1:4" hidden="1" x14ac:dyDescent="0.25">
      <c r="A3610" s="2" t="s">
        <v>94</v>
      </c>
      <c r="B3610">
        <v>49</v>
      </c>
      <c r="C3610" s="2" t="s">
        <v>138</v>
      </c>
      <c r="D3610">
        <v>49</v>
      </c>
    </row>
    <row r="3611" spans="1:4" hidden="1" x14ac:dyDescent="0.25">
      <c r="A3611" s="2" t="s">
        <v>94</v>
      </c>
      <c r="B3611">
        <v>49</v>
      </c>
      <c r="C3611" s="2" t="s">
        <v>139</v>
      </c>
      <c r="D3611">
        <v>49</v>
      </c>
    </row>
    <row r="3612" spans="1:4" hidden="1" x14ac:dyDescent="0.25">
      <c r="A3612" s="2" t="s">
        <v>94</v>
      </c>
      <c r="B3612">
        <v>49</v>
      </c>
      <c r="C3612" s="2" t="s">
        <v>140</v>
      </c>
      <c r="D3612">
        <v>49</v>
      </c>
    </row>
    <row r="3613" spans="1:4" hidden="1" x14ac:dyDescent="0.25">
      <c r="A3613" s="2" t="s">
        <v>94</v>
      </c>
      <c r="B3613">
        <v>49</v>
      </c>
      <c r="C3613" s="2" t="s">
        <v>141</v>
      </c>
      <c r="D3613">
        <v>49</v>
      </c>
    </row>
    <row r="3614" spans="1:4" hidden="1" x14ac:dyDescent="0.25">
      <c r="A3614" s="2" t="s">
        <v>94</v>
      </c>
      <c r="B3614">
        <v>49</v>
      </c>
      <c r="C3614" s="2" t="s">
        <v>142</v>
      </c>
      <c r="D3614">
        <v>49</v>
      </c>
    </row>
    <row r="3615" spans="1:4" hidden="1" x14ac:dyDescent="0.25">
      <c r="A3615" s="2" t="s">
        <v>94</v>
      </c>
      <c r="B3615">
        <v>49</v>
      </c>
      <c r="C3615" s="2" t="s">
        <v>143</v>
      </c>
      <c r="D3615">
        <v>49</v>
      </c>
    </row>
    <row r="3616" spans="1:4" hidden="1" x14ac:dyDescent="0.25">
      <c r="A3616" s="2" t="s">
        <v>94</v>
      </c>
      <c r="B3616">
        <v>49</v>
      </c>
      <c r="C3616" s="2" t="s">
        <v>144</v>
      </c>
      <c r="D3616">
        <v>49</v>
      </c>
    </row>
    <row r="3617" spans="1:4" hidden="1" x14ac:dyDescent="0.25">
      <c r="A3617" s="2" t="s">
        <v>94</v>
      </c>
      <c r="B3617">
        <v>49</v>
      </c>
      <c r="C3617" s="2" t="s">
        <v>145</v>
      </c>
      <c r="D3617">
        <v>49</v>
      </c>
    </row>
    <row r="3618" spans="1:4" hidden="1" x14ac:dyDescent="0.25">
      <c r="A3618" s="2" t="s">
        <v>94</v>
      </c>
      <c r="B3618">
        <v>49</v>
      </c>
      <c r="C3618" s="2" t="s">
        <v>146</v>
      </c>
      <c r="D3618">
        <v>49</v>
      </c>
    </row>
    <row r="3619" spans="1:4" hidden="1" x14ac:dyDescent="0.25">
      <c r="A3619" s="2" t="s">
        <v>94</v>
      </c>
      <c r="B3619">
        <v>49</v>
      </c>
      <c r="C3619" s="2" t="s">
        <v>147</v>
      </c>
      <c r="D3619">
        <v>49</v>
      </c>
    </row>
    <row r="3620" spans="1:4" hidden="1" x14ac:dyDescent="0.25">
      <c r="A3620" s="2" t="s">
        <v>94</v>
      </c>
      <c r="B3620">
        <v>49</v>
      </c>
      <c r="C3620" s="2" t="s">
        <v>148</v>
      </c>
      <c r="D3620">
        <v>49</v>
      </c>
    </row>
    <row r="3621" spans="1:4" hidden="1" x14ac:dyDescent="0.25">
      <c r="A3621" s="2" t="s">
        <v>94</v>
      </c>
      <c r="B3621">
        <v>49</v>
      </c>
      <c r="C3621" s="2" t="s">
        <v>149</v>
      </c>
      <c r="D3621">
        <v>49</v>
      </c>
    </row>
    <row r="3622" spans="1:4" hidden="1" x14ac:dyDescent="0.25">
      <c r="A3622" s="2" t="s">
        <v>94</v>
      </c>
      <c r="B3622">
        <v>49</v>
      </c>
      <c r="C3622" s="2" t="s">
        <v>150</v>
      </c>
      <c r="D3622">
        <v>49</v>
      </c>
    </row>
    <row r="3623" spans="1:4" hidden="1" x14ac:dyDescent="0.25">
      <c r="A3623" s="2" t="s">
        <v>94</v>
      </c>
      <c r="B3623">
        <v>49</v>
      </c>
      <c r="C3623" s="2" t="s">
        <v>151</v>
      </c>
      <c r="D3623">
        <v>49</v>
      </c>
    </row>
    <row r="3624" spans="1:4" hidden="1" x14ac:dyDescent="0.25">
      <c r="A3624" s="2" t="s">
        <v>94</v>
      </c>
      <c r="B3624">
        <v>49</v>
      </c>
      <c r="C3624" s="2" t="s">
        <v>152</v>
      </c>
      <c r="D3624">
        <v>49</v>
      </c>
    </row>
    <row r="3625" spans="1:4" hidden="1" x14ac:dyDescent="0.25">
      <c r="A3625" s="2" t="s">
        <v>94</v>
      </c>
      <c r="B3625">
        <v>49</v>
      </c>
      <c r="C3625" s="2" t="s">
        <v>153</v>
      </c>
      <c r="D3625">
        <v>49</v>
      </c>
    </row>
    <row r="3626" spans="1:4" hidden="1" x14ac:dyDescent="0.25">
      <c r="A3626" s="2" t="s">
        <v>94</v>
      </c>
      <c r="B3626">
        <v>49</v>
      </c>
      <c r="C3626" s="2" t="s">
        <v>154</v>
      </c>
      <c r="D3626">
        <v>49</v>
      </c>
    </row>
    <row r="3627" spans="1:4" hidden="1" x14ac:dyDescent="0.25">
      <c r="A3627" s="2" t="s">
        <v>94</v>
      </c>
      <c r="B3627">
        <v>49</v>
      </c>
      <c r="C3627" s="2" t="s">
        <v>155</v>
      </c>
      <c r="D3627">
        <v>49</v>
      </c>
    </row>
    <row r="3628" spans="1:4" hidden="1" x14ac:dyDescent="0.25">
      <c r="A3628" s="2" t="s">
        <v>94</v>
      </c>
      <c r="B3628">
        <v>49</v>
      </c>
      <c r="C3628" s="2" t="s">
        <v>156</v>
      </c>
      <c r="D3628">
        <v>49</v>
      </c>
    </row>
    <row r="3629" spans="1:4" hidden="1" x14ac:dyDescent="0.25">
      <c r="A3629" s="2" t="s">
        <v>94</v>
      </c>
      <c r="B3629">
        <v>49</v>
      </c>
      <c r="C3629" s="2" t="s">
        <v>157</v>
      </c>
      <c r="D3629">
        <v>49</v>
      </c>
    </row>
    <row r="3630" spans="1:4" hidden="1" x14ac:dyDescent="0.25">
      <c r="A3630" s="2" t="s">
        <v>94</v>
      </c>
      <c r="B3630">
        <v>49</v>
      </c>
      <c r="C3630" s="2" t="s">
        <v>158</v>
      </c>
      <c r="D3630">
        <v>49</v>
      </c>
    </row>
    <row r="3631" spans="1:4" hidden="1" x14ac:dyDescent="0.25">
      <c r="A3631" s="2" t="s">
        <v>94</v>
      </c>
      <c r="B3631">
        <v>49</v>
      </c>
      <c r="C3631" s="2" t="s">
        <v>159</v>
      </c>
      <c r="D3631">
        <v>49</v>
      </c>
    </row>
    <row r="3632" spans="1:4" hidden="1" x14ac:dyDescent="0.25">
      <c r="A3632" s="2" t="s">
        <v>94</v>
      </c>
      <c r="B3632">
        <v>49</v>
      </c>
      <c r="C3632" s="2" t="s">
        <v>160</v>
      </c>
      <c r="D3632">
        <v>49</v>
      </c>
    </row>
    <row r="3633" spans="1:4" hidden="1" x14ac:dyDescent="0.25">
      <c r="A3633" s="2" t="s">
        <v>94</v>
      </c>
      <c r="B3633">
        <v>49</v>
      </c>
      <c r="C3633" s="2" t="s">
        <v>161</v>
      </c>
      <c r="D3633">
        <v>49</v>
      </c>
    </row>
    <row r="3634" spans="1:4" hidden="1" x14ac:dyDescent="0.25">
      <c r="A3634" s="2" t="s">
        <v>94</v>
      </c>
      <c r="B3634">
        <v>49</v>
      </c>
      <c r="C3634" s="2" t="s">
        <v>162</v>
      </c>
      <c r="D3634">
        <v>49</v>
      </c>
    </row>
    <row r="3635" spans="1:4" hidden="1" x14ac:dyDescent="0.25">
      <c r="A3635" s="2" t="s">
        <v>94</v>
      </c>
      <c r="B3635">
        <v>49</v>
      </c>
      <c r="C3635" s="2" t="s">
        <v>163</v>
      </c>
      <c r="D3635">
        <v>49</v>
      </c>
    </row>
    <row r="3636" spans="1:4" hidden="1" x14ac:dyDescent="0.25">
      <c r="A3636" s="2" t="s">
        <v>94</v>
      </c>
      <c r="B3636">
        <v>49</v>
      </c>
      <c r="C3636" s="2" t="s">
        <v>164</v>
      </c>
      <c r="D3636">
        <v>49</v>
      </c>
    </row>
    <row r="3637" spans="1:4" hidden="1" x14ac:dyDescent="0.25">
      <c r="A3637" s="2" t="s">
        <v>94</v>
      </c>
      <c r="B3637">
        <v>49</v>
      </c>
      <c r="C3637" s="2" t="s">
        <v>165</v>
      </c>
      <c r="D3637">
        <v>49</v>
      </c>
    </row>
    <row r="3638" spans="1:4" hidden="1" x14ac:dyDescent="0.25">
      <c r="A3638" s="2" t="s">
        <v>94</v>
      </c>
      <c r="B3638">
        <v>49</v>
      </c>
      <c r="C3638" s="2" t="s">
        <v>166</v>
      </c>
      <c r="D3638">
        <v>49</v>
      </c>
    </row>
    <row r="3639" spans="1:4" hidden="1" x14ac:dyDescent="0.25">
      <c r="A3639" s="2" t="s">
        <v>94</v>
      </c>
      <c r="B3639">
        <v>49</v>
      </c>
      <c r="C3639" s="2" t="s">
        <v>167</v>
      </c>
      <c r="D3639">
        <v>49</v>
      </c>
    </row>
    <row r="3640" spans="1:4" hidden="1" x14ac:dyDescent="0.25">
      <c r="A3640" s="2" t="s">
        <v>94</v>
      </c>
      <c r="B3640">
        <v>49</v>
      </c>
      <c r="C3640" s="2" t="s">
        <v>168</v>
      </c>
      <c r="D3640">
        <v>49</v>
      </c>
    </row>
    <row r="3641" spans="1:4" hidden="1" x14ac:dyDescent="0.25">
      <c r="A3641" s="2" t="s">
        <v>94</v>
      </c>
      <c r="B3641">
        <v>49</v>
      </c>
      <c r="C3641" s="2" t="s">
        <v>169</v>
      </c>
      <c r="D3641">
        <v>49</v>
      </c>
    </row>
    <row r="3642" spans="1:4" hidden="1" x14ac:dyDescent="0.25">
      <c r="A3642" s="2" t="s">
        <v>94</v>
      </c>
      <c r="B3642">
        <v>49</v>
      </c>
      <c r="C3642" s="2" t="s">
        <v>170</v>
      </c>
      <c r="D3642">
        <v>49</v>
      </c>
    </row>
    <row r="3643" spans="1:4" hidden="1" x14ac:dyDescent="0.25">
      <c r="A3643" s="2" t="s">
        <v>94</v>
      </c>
      <c r="B3643">
        <v>49</v>
      </c>
      <c r="C3643" s="2" t="s">
        <v>171</v>
      </c>
      <c r="D3643">
        <v>49</v>
      </c>
    </row>
    <row r="3644" spans="1:4" hidden="1" x14ac:dyDescent="0.25">
      <c r="A3644" s="2" t="s">
        <v>94</v>
      </c>
      <c r="B3644">
        <v>49</v>
      </c>
      <c r="C3644" s="2" t="s">
        <v>172</v>
      </c>
      <c r="D3644">
        <v>49</v>
      </c>
    </row>
    <row r="3645" spans="1:4" hidden="1" x14ac:dyDescent="0.25">
      <c r="A3645" s="2" t="s">
        <v>94</v>
      </c>
      <c r="B3645">
        <v>49</v>
      </c>
      <c r="C3645" s="2" t="s">
        <v>173</v>
      </c>
      <c r="D3645">
        <v>49</v>
      </c>
    </row>
    <row r="3646" spans="1:4" hidden="1" x14ac:dyDescent="0.25">
      <c r="A3646" s="2" t="s">
        <v>94</v>
      </c>
      <c r="B3646">
        <v>49</v>
      </c>
      <c r="C3646" s="2" t="s">
        <v>174</v>
      </c>
      <c r="D3646">
        <v>49</v>
      </c>
    </row>
    <row r="3647" spans="1:4" hidden="1" x14ac:dyDescent="0.25">
      <c r="A3647" s="2" t="s">
        <v>94</v>
      </c>
      <c r="B3647">
        <v>49</v>
      </c>
      <c r="C3647" s="2" t="s">
        <v>175</v>
      </c>
      <c r="D3647">
        <v>49</v>
      </c>
    </row>
    <row r="3648" spans="1:4" hidden="1" x14ac:dyDescent="0.25">
      <c r="A3648" s="2" t="s">
        <v>94</v>
      </c>
      <c r="B3648">
        <v>49</v>
      </c>
      <c r="C3648" s="2" t="s">
        <v>176</v>
      </c>
      <c r="D3648">
        <v>49</v>
      </c>
    </row>
    <row r="3649" spans="1:4" hidden="1" x14ac:dyDescent="0.25">
      <c r="A3649" s="2" t="s">
        <v>94</v>
      </c>
      <c r="B3649">
        <v>49</v>
      </c>
      <c r="C3649" s="2" t="s">
        <v>177</v>
      </c>
      <c r="D3649">
        <v>49</v>
      </c>
    </row>
    <row r="3650" spans="1:4" hidden="1" x14ac:dyDescent="0.25">
      <c r="A3650" s="2" t="s">
        <v>94</v>
      </c>
      <c r="B3650">
        <v>49</v>
      </c>
      <c r="C3650" s="2" t="s">
        <v>178</v>
      </c>
      <c r="D3650">
        <v>49</v>
      </c>
    </row>
    <row r="3651" spans="1:4" hidden="1" x14ac:dyDescent="0.25">
      <c r="A3651" s="2" t="s">
        <v>94</v>
      </c>
      <c r="B3651">
        <v>49</v>
      </c>
      <c r="C3651" s="2" t="s">
        <v>179</v>
      </c>
      <c r="D3651">
        <v>49</v>
      </c>
    </row>
    <row r="3652" spans="1:4" hidden="1" x14ac:dyDescent="0.25">
      <c r="A3652" s="2" t="s">
        <v>5</v>
      </c>
      <c r="B3652">
        <v>51</v>
      </c>
      <c r="C3652" s="2" t="s">
        <v>183</v>
      </c>
      <c r="D3652">
        <v>13</v>
      </c>
    </row>
    <row r="3653" spans="1:4" hidden="1" x14ac:dyDescent="0.25">
      <c r="A3653" s="2" t="s">
        <v>5</v>
      </c>
      <c r="B3653">
        <v>51</v>
      </c>
      <c r="C3653" s="2" t="s">
        <v>184</v>
      </c>
      <c r="D3653">
        <v>14</v>
      </c>
    </row>
    <row r="3654" spans="1:4" hidden="1" x14ac:dyDescent="0.25">
      <c r="A3654" s="2" t="s">
        <v>5</v>
      </c>
      <c r="B3654">
        <v>51</v>
      </c>
      <c r="C3654" s="2" t="s">
        <v>185</v>
      </c>
      <c r="D3654">
        <v>3</v>
      </c>
    </row>
    <row r="3655" spans="1:4" hidden="1" x14ac:dyDescent="0.25">
      <c r="A3655" s="2" t="s">
        <v>5</v>
      </c>
      <c r="B3655">
        <v>51</v>
      </c>
      <c r="C3655" s="2" t="s">
        <v>186</v>
      </c>
      <c r="D3655">
        <v>38</v>
      </c>
    </row>
    <row r="3656" spans="1:4" hidden="1" x14ac:dyDescent="0.25">
      <c r="A3656" s="2" t="s">
        <v>5</v>
      </c>
      <c r="B3656">
        <v>51</v>
      </c>
      <c r="C3656" s="2" t="s">
        <v>187</v>
      </c>
      <c r="D3656">
        <v>39</v>
      </c>
    </row>
    <row r="3657" spans="1:4" hidden="1" x14ac:dyDescent="0.25">
      <c r="A3657" s="2" t="s">
        <v>5</v>
      </c>
      <c r="B3657">
        <v>51</v>
      </c>
      <c r="C3657" s="2" t="s">
        <v>188</v>
      </c>
      <c r="D3657">
        <v>41</v>
      </c>
    </row>
    <row r="3658" spans="1:4" hidden="1" x14ac:dyDescent="0.25">
      <c r="A3658" s="2" t="s">
        <v>5</v>
      </c>
      <c r="B3658">
        <v>51</v>
      </c>
      <c r="C3658" s="2" t="s">
        <v>189</v>
      </c>
      <c r="D3658">
        <v>27</v>
      </c>
    </row>
    <row r="3659" spans="1:4" hidden="1" x14ac:dyDescent="0.25">
      <c r="A3659" s="2" t="s">
        <v>5</v>
      </c>
      <c r="B3659">
        <v>51</v>
      </c>
      <c r="C3659" s="2" t="s">
        <v>190</v>
      </c>
      <c r="D3659">
        <v>27</v>
      </c>
    </row>
    <row r="3660" spans="1:4" hidden="1" x14ac:dyDescent="0.25">
      <c r="A3660" s="2" t="s">
        <v>5</v>
      </c>
      <c r="B3660">
        <v>51</v>
      </c>
      <c r="C3660" s="2" t="s">
        <v>191</v>
      </c>
      <c r="D3660">
        <v>27</v>
      </c>
    </row>
    <row r="3661" spans="1:4" hidden="1" x14ac:dyDescent="0.25">
      <c r="A3661" s="2" t="s">
        <v>5</v>
      </c>
      <c r="B3661">
        <v>51</v>
      </c>
      <c r="C3661" s="2" t="s">
        <v>116</v>
      </c>
      <c r="D3661">
        <v>31</v>
      </c>
    </row>
    <row r="3662" spans="1:4" hidden="1" x14ac:dyDescent="0.25">
      <c r="A3662" s="2" t="s">
        <v>5</v>
      </c>
      <c r="B3662">
        <v>51</v>
      </c>
      <c r="C3662" s="2" t="s">
        <v>117</v>
      </c>
      <c r="D3662">
        <v>30</v>
      </c>
    </row>
    <row r="3663" spans="1:4" hidden="1" x14ac:dyDescent="0.25">
      <c r="A3663" s="2" t="s">
        <v>5</v>
      </c>
      <c r="B3663">
        <v>51</v>
      </c>
      <c r="C3663" s="2" t="s">
        <v>118</v>
      </c>
      <c r="D3663">
        <v>29</v>
      </c>
    </row>
    <row r="3664" spans="1:4" hidden="1" x14ac:dyDescent="0.25">
      <c r="A3664" s="2" t="s">
        <v>5</v>
      </c>
      <c r="B3664">
        <v>51</v>
      </c>
      <c r="C3664" s="2" t="s">
        <v>119</v>
      </c>
      <c r="D3664">
        <v>30</v>
      </c>
    </row>
    <row r="3665" spans="1:4" hidden="1" x14ac:dyDescent="0.25">
      <c r="A3665" s="2" t="s">
        <v>5</v>
      </c>
      <c r="B3665">
        <v>51</v>
      </c>
      <c r="C3665" s="2" t="s">
        <v>120</v>
      </c>
      <c r="D3665">
        <v>32</v>
      </c>
    </row>
    <row r="3666" spans="1:4" hidden="1" x14ac:dyDescent="0.25">
      <c r="A3666" s="2" t="s">
        <v>5</v>
      </c>
      <c r="B3666">
        <v>51</v>
      </c>
      <c r="C3666" s="2" t="s">
        <v>121</v>
      </c>
      <c r="D3666">
        <v>34</v>
      </c>
    </row>
    <row r="3667" spans="1:4" hidden="1" x14ac:dyDescent="0.25">
      <c r="A3667" s="2" t="s">
        <v>5</v>
      </c>
      <c r="B3667">
        <v>51</v>
      </c>
      <c r="C3667" s="2" t="s">
        <v>122</v>
      </c>
      <c r="D3667">
        <v>39</v>
      </c>
    </row>
    <row r="3668" spans="1:4" hidden="1" x14ac:dyDescent="0.25">
      <c r="A3668" s="2" t="s">
        <v>5</v>
      </c>
      <c r="B3668">
        <v>51</v>
      </c>
      <c r="C3668" s="2" t="s">
        <v>123</v>
      </c>
      <c r="D3668">
        <v>46</v>
      </c>
    </row>
    <row r="3669" spans="1:4" hidden="1" x14ac:dyDescent="0.25">
      <c r="A3669" s="2" t="s">
        <v>5</v>
      </c>
      <c r="B3669">
        <v>51</v>
      </c>
      <c r="C3669" s="2" t="s">
        <v>124</v>
      </c>
      <c r="D3669">
        <v>52</v>
      </c>
    </row>
    <row r="3670" spans="1:4" hidden="1" x14ac:dyDescent="0.25">
      <c r="A3670" s="2" t="s">
        <v>5</v>
      </c>
      <c r="B3670">
        <v>51</v>
      </c>
      <c r="C3670" s="2" t="s">
        <v>125</v>
      </c>
      <c r="D3670">
        <v>52</v>
      </c>
    </row>
    <row r="3671" spans="1:4" hidden="1" x14ac:dyDescent="0.25">
      <c r="A3671" s="2" t="s">
        <v>5</v>
      </c>
      <c r="B3671">
        <v>51</v>
      </c>
      <c r="C3671" s="2" t="s">
        <v>126</v>
      </c>
      <c r="D3671">
        <v>55</v>
      </c>
    </row>
    <row r="3672" spans="1:4" hidden="1" x14ac:dyDescent="0.25">
      <c r="A3672" s="2" t="s">
        <v>5</v>
      </c>
      <c r="B3672">
        <v>51</v>
      </c>
      <c r="C3672" s="2" t="s">
        <v>127</v>
      </c>
      <c r="D3672">
        <v>56</v>
      </c>
    </row>
    <row r="3673" spans="1:4" hidden="1" x14ac:dyDescent="0.25">
      <c r="A3673" s="2" t="s">
        <v>5</v>
      </c>
      <c r="B3673">
        <v>51</v>
      </c>
      <c r="C3673" s="2" t="s">
        <v>128</v>
      </c>
      <c r="D3673">
        <v>62</v>
      </c>
    </row>
    <row r="3674" spans="1:4" hidden="1" x14ac:dyDescent="0.25">
      <c r="A3674" s="2" t="s">
        <v>5</v>
      </c>
      <c r="B3674">
        <v>51</v>
      </c>
      <c r="C3674" s="2" t="s">
        <v>129</v>
      </c>
      <c r="D3674">
        <v>62</v>
      </c>
    </row>
    <row r="3675" spans="1:4" hidden="1" x14ac:dyDescent="0.25">
      <c r="A3675" s="2" t="s">
        <v>5</v>
      </c>
      <c r="B3675">
        <v>51</v>
      </c>
      <c r="C3675" s="2" t="s">
        <v>130</v>
      </c>
      <c r="D3675">
        <v>55</v>
      </c>
    </row>
    <row r="3676" spans="1:4" hidden="1" x14ac:dyDescent="0.25">
      <c r="A3676" s="2" t="s">
        <v>5</v>
      </c>
      <c r="B3676">
        <v>51</v>
      </c>
      <c r="C3676" s="2" t="s">
        <v>131</v>
      </c>
      <c r="D3676">
        <v>55</v>
      </c>
    </row>
    <row r="3677" spans="1:4" hidden="1" x14ac:dyDescent="0.25">
      <c r="A3677" s="2" t="s">
        <v>5</v>
      </c>
      <c r="B3677">
        <v>51</v>
      </c>
      <c r="C3677" s="2" t="s">
        <v>132</v>
      </c>
      <c r="D3677">
        <v>47</v>
      </c>
    </row>
    <row r="3678" spans="1:4" hidden="1" x14ac:dyDescent="0.25">
      <c r="A3678" s="2" t="s">
        <v>5</v>
      </c>
      <c r="B3678">
        <v>51</v>
      </c>
      <c r="C3678" s="2" t="s">
        <v>133</v>
      </c>
      <c r="D3678">
        <v>47</v>
      </c>
    </row>
    <row r="3679" spans="1:4" hidden="1" x14ac:dyDescent="0.25">
      <c r="A3679" s="2" t="s">
        <v>5</v>
      </c>
      <c r="B3679">
        <v>51</v>
      </c>
      <c r="C3679" s="2" t="s">
        <v>134</v>
      </c>
      <c r="D3679">
        <v>42</v>
      </c>
    </row>
    <row r="3680" spans="1:4" hidden="1" x14ac:dyDescent="0.25">
      <c r="A3680" s="2" t="s">
        <v>5</v>
      </c>
      <c r="B3680">
        <v>51</v>
      </c>
      <c r="C3680" s="2" t="s">
        <v>135</v>
      </c>
      <c r="D3680">
        <v>51</v>
      </c>
    </row>
    <row r="3681" spans="1:4" hidden="1" x14ac:dyDescent="0.25">
      <c r="A3681" s="2" t="s">
        <v>5</v>
      </c>
      <c r="B3681">
        <v>51</v>
      </c>
      <c r="C3681" s="2" t="s">
        <v>136</v>
      </c>
      <c r="D3681">
        <v>51</v>
      </c>
    </row>
    <row r="3682" spans="1:4" hidden="1" x14ac:dyDescent="0.25">
      <c r="A3682" s="2" t="s">
        <v>5</v>
      </c>
      <c r="B3682">
        <v>51</v>
      </c>
      <c r="C3682" s="2" t="s">
        <v>137</v>
      </c>
      <c r="D3682">
        <v>51</v>
      </c>
    </row>
    <row r="3683" spans="1:4" hidden="1" x14ac:dyDescent="0.25">
      <c r="A3683" s="2" t="s">
        <v>5</v>
      </c>
      <c r="B3683">
        <v>51</v>
      </c>
      <c r="C3683" s="2" t="s">
        <v>138</v>
      </c>
      <c r="D3683">
        <v>51</v>
      </c>
    </row>
    <row r="3684" spans="1:4" hidden="1" x14ac:dyDescent="0.25">
      <c r="A3684" s="2" t="s">
        <v>5</v>
      </c>
      <c r="B3684">
        <v>51</v>
      </c>
      <c r="C3684" s="2" t="s">
        <v>139</v>
      </c>
      <c r="D3684">
        <v>51</v>
      </c>
    </row>
    <row r="3685" spans="1:4" hidden="1" x14ac:dyDescent="0.25">
      <c r="A3685" s="2" t="s">
        <v>5</v>
      </c>
      <c r="B3685">
        <v>51</v>
      </c>
      <c r="C3685" s="2" t="s">
        <v>140</v>
      </c>
      <c r="D3685">
        <v>51</v>
      </c>
    </row>
    <row r="3686" spans="1:4" hidden="1" x14ac:dyDescent="0.25">
      <c r="A3686" s="2" t="s">
        <v>5</v>
      </c>
      <c r="B3686">
        <v>51</v>
      </c>
      <c r="C3686" s="2" t="s">
        <v>141</v>
      </c>
      <c r="D3686">
        <v>51</v>
      </c>
    </row>
    <row r="3687" spans="1:4" hidden="1" x14ac:dyDescent="0.25">
      <c r="A3687" s="2" t="s">
        <v>5</v>
      </c>
      <c r="B3687">
        <v>51</v>
      </c>
      <c r="C3687" s="2" t="s">
        <v>142</v>
      </c>
      <c r="D3687">
        <v>51</v>
      </c>
    </row>
    <row r="3688" spans="1:4" hidden="1" x14ac:dyDescent="0.25">
      <c r="A3688" s="2" t="s">
        <v>5</v>
      </c>
      <c r="B3688">
        <v>51</v>
      </c>
      <c r="C3688" s="2" t="s">
        <v>143</v>
      </c>
      <c r="D3688">
        <v>51</v>
      </c>
    </row>
    <row r="3689" spans="1:4" hidden="1" x14ac:dyDescent="0.25">
      <c r="A3689" s="2" t="s">
        <v>5</v>
      </c>
      <c r="B3689">
        <v>51</v>
      </c>
      <c r="C3689" s="2" t="s">
        <v>144</v>
      </c>
      <c r="D3689">
        <v>51</v>
      </c>
    </row>
    <row r="3690" spans="1:4" hidden="1" x14ac:dyDescent="0.25">
      <c r="A3690" s="2" t="s">
        <v>5</v>
      </c>
      <c r="B3690">
        <v>51</v>
      </c>
      <c r="C3690" s="2" t="s">
        <v>145</v>
      </c>
      <c r="D3690">
        <v>51</v>
      </c>
    </row>
    <row r="3691" spans="1:4" hidden="1" x14ac:dyDescent="0.25">
      <c r="A3691" s="2" t="s">
        <v>5</v>
      </c>
      <c r="B3691">
        <v>51</v>
      </c>
      <c r="C3691" s="2" t="s">
        <v>146</v>
      </c>
      <c r="D3691">
        <v>51</v>
      </c>
    </row>
    <row r="3692" spans="1:4" hidden="1" x14ac:dyDescent="0.25">
      <c r="A3692" s="2" t="s">
        <v>5</v>
      </c>
      <c r="B3692">
        <v>51</v>
      </c>
      <c r="C3692" s="2" t="s">
        <v>147</v>
      </c>
      <c r="D3692">
        <v>51</v>
      </c>
    </row>
    <row r="3693" spans="1:4" hidden="1" x14ac:dyDescent="0.25">
      <c r="A3693" s="2" t="s">
        <v>5</v>
      </c>
      <c r="B3693">
        <v>51</v>
      </c>
      <c r="C3693" s="2" t="s">
        <v>148</v>
      </c>
      <c r="D3693">
        <v>51</v>
      </c>
    </row>
    <row r="3694" spans="1:4" hidden="1" x14ac:dyDescent="0.25">
      <c r="A3694" s="2" t="s">
        <v>5</v>
      </c>
      <c r="B3694">
        <v>51</v>
      </c>
      <c r="C3694" s="2" t="s">
        <v>149</v>
      </c>
      <c r="D3694">
        <v>51</v>
      </c>
    </row>
    <row r="3695" spans="1:4" hidden="1" x14ac:dyDescent="0.25">
      <c r="A3695" s="2" t="s">
        <v>5</v>
      </c>
      <c r="B3695">
        <v>51</v>
      </c>
      <c r="C3695" s="2" t="s">
        <v>150</v>
      </c>
      <c r="D3695">
        <v>51</v>
      </c>
    </row>
    <row r="3696" spans="1:4" hidden="1" x14ac:dyDescent="0.25">
      <c r="A3696" s="2" t="s">
        <v>5</v>
      </c>
      <c r="B3696">
        <v>51</v>
      </c>
      <c r="C3696" s="2" t="s">
        <v>151</v>
      </c>
      <c r="D3696">
        <v>51</v>
      </c>
    </row>
    <row r="3697" spans="1:4" hidden="1" x14ac:dyDescent="0.25">
      <c r="A3697" s="2" t="s">
        <v>5</v>
      </c>
      <c r="B3697">
        <v>51</v>
      </c>
      <c r="C3697" s="2" t="s">
        <v>152</v>
      </c>
      <c r="D3697">
        <v>51</v>
      </c>
    </row>
    <row r="3698" spans="1:4" hidden="1" x14ac:dyDescent="0.25">
      <c r="A3698" s="2" t="s">
        <v>5</v>
      </c>
      <c r="B3698">
        <v>51</v>
      </c>
      <c r="C3698" s="2" t="s">
        <v>153</v>
      </c>
      <c r="D3698">
        <v>51</v>
      </c>
    </row>
    <row r="3699" spans="1:4" hidden="1" x14ac:dyDescent="0.25">
      <c r="A3699" s="2" t="s">
        <v>5</v>
      </c>
      <c r="B3699">
        <v>51</v>
      </c>
      <c r="C3699" s="2" t="s">
        <v>154</v>
      </c>
      <c r="D3699">
        <v>51</v>
      </c>
    </row>
    <row r="3700" spans="1:4" hidden="1" x14ac:dyDescent="0.25">
      <c r="A3700" s="2" t="s">
        <v>5</v>
      </c>
      <c r="B3700">
        <v>51</v>
      </c>
      <c r="C3700" s="2" t="s">
        <v>155</v>
      </c>
      <c r="D3700">
        <v>51</v>
      </c>
    </row>
    <row r="3701" spans="1:4" hidden="1" x14ac:dyDescent="0.25">
      <c r="A3701" s="2" t="s">
        <v>5</v>
      </c>
      <c r="B3701">
        <v>51</v>
      </c>
      <c r="C3701" s="2" t="s">
        <v>156</v>
      </c>
      <c r="D3701">
        <v>51</v>
      </c>
    </row>
    <row r="3702" spans="1:4" hidden="1" x14ac:dyDescent="0.25">
      <c r="A3702" s="2" t="s">
        <v>5</v>
      </c>
      <c r="B3702">
        <v>51</v>
      </c>
      <c r="C3702" s="2" t="s">
        <v>157</v>
      </c>
      <c r="D3702">
        <v>51</v>
      </c>
    </row>
    <row r="3703" spans="1:4" hidden="1" x14ac:dyDescent="0.25">
      <c r="A3703" s="2" t="s">
        <v>5</v>
      </c>
      <c r="B3703">
        <v>51</v>
      </c>
      <c r="C3703" s="2" t="s">
        <v>158</v>
      </c>
      <c r="D3703">
        <v>51</v>
      </c>
    </row>
    <row r="3704" spans="1:4" hidden="1" x14ac:dyDescent="0.25">
      <c r="A3704" s="2" t="s">
        <v>5</v>
      </c>
      <c r="B3704">
        <v>51</v>
      </c>
      <c r="C3704" s="2" t="s">
        <v>159</v>
      </c>
      <c r="D3704">
        <v>51</v>
      </c>
    </row>
    <row r="3705" spans="1:4" hidden="1" x14ac:dyDescent="0.25">
      <c r="A3705" s="2" t="s">
        <v>5</v>
      </c>
      <c r="B3705">
        <v>51</v>
      </c>
      <c r="C3705" s="2" t="s">
        <v>160</v>
      </c>
      <c r="D3705">
        <v>51</v>
      </c>
    </row>
    <row r="3706" spans="1:4" hidden="1" x14ac:dyDescent="0.25">
      <c r="A3706" s="2" t="s">
        <v>5</v>
      </c>
      <c r="B3706">
        <v>51</v>
      </c>
      <c r="C3706" s="2" t="s">
        <v>161</v>
      </c>
      <c r="D3706">
        <v>51</v>
      </c>
    </row>
    <row r="3707" spans="1:4" hidden="1" x14ac:dyDescent="0.25">
      <c r="A3707" s="2" t="s">
        <v>5</v>
      </c>
      <c r="B3707">
        <v>51</v>
      </c>
      <c r="C3707" s="2" t="s">
        <v>162</v>
      </c>
      <c r="D3707">
        <v>51</v>
      </c>
    </row>
    <row r="3708" spans="1:4" hidden="1" x14ac:dyDescent="0.25">
      <c r="A3708" s="2" t="s">
        <v>5</v>
      </c>
      <c r="B3708">
        <v>51</v>
      </c>
      <c r="C3708" s="2" t="s">
        <v>163</v>
      </c>
      <c r="D3708">
        <v>51</v>
      </c>
    </row>
    <row r="3709" spans="1:4" hidden="1" x14ac:dyDescent="0.25">
      <c r="A3709" s="2" t="s">
        <v>5</v>
      </c>
      <c r="B3709">
        <v>51</v>
      </c>
      <c r="C3709" s="2" t="s">
        <v>164</v>
      </c>
      <c r="D3709">
        <v>51</v>
      </c>
    </row>
    <row r="3710" spans="1:4" hidden="1" x14ac:dyDescent="0.25">
      <c r="A3710" s="2" t="s">
        <v>5</v>
      </c>
      <c r="B3710">
        <v>51</v>
      </c>
      <c r="C3710" s="2" t="s">
        <v>165</v>
      </c>
      <c r="D3710">
        <v>51</v>
      </c>
    </row>
    <row r="3711" spans="1:4" hidden="1" x14ac:dyDescent="0.25">
      <c r="A3711" s="2" t="s">
        <v>5</v>
      </c>
      <c r="B3711">
        <v>51</v>
      </c>
      <c r="C3711" s="2" t="s">
        <v>166</v>
      </c>
      <c r="D3711">
        <v>51</v>
      </c>
    </row>
    <row r="3712" spans="1:4" hidden="1" x14ac:dyDescent="0.25">
      <c r="A3712" s="2" t="s">
        <v>5</v>
      </c>
      <c r="B3712">
        <v>51</v>
      </c>
      <c r="C3712" s="2" t="s">
        <v>167</v>
      </c>
      <c r="D3712">
        <v>51</v>
      </c>
    </row>
    <row r="3713" spans="1:4" hidden="1" x14ac:dyDescent="0.25">
      <c r="A3713" s="2" t="s">
        <v>5</v>
      </c>
      <c r="B3713">
        <v>51</v>
      </c>
      <c r="C3713" s="2" t="s">
        <v>168</v>
      </c>
      <c r="D3713">
        <v>51</v>
      </c>
    </row>
    <row r="3714" spans="1:4" hidden="1" x14ac:dyDescent="0.25">
      <c r="A3714" s="2" t="s">
        <v>5</v>
      </c>
      <c r="B3714">
        <v>51</v>
      </c>
      <c r="C3714" s="2" t="s">
        <v>169</v>
      </c>
      <c r="D3714">
        <v>51</v>
      </c>
    </row>
    <row r="3715" spans="1:4" hidden="1" x14ac:dyDescent="0.25">
      <c r="A3715" s="2" t="s">
        <v>5</v>
      </c>
      <c r="B3715">
        <v>51</v>
      </c>
      <c r="C3715" s="2" t="s">
        <v>170</v>
      </c>
      <c r="D3715">
        <v>51</v>
      </c>
    </row>
    <row r="3716" spans="1:4" hidden="1" x14ac:dyDescent="0.25">
      <c r="A3716" s="2" t="s">
        <v>5</v>
      </c>
      <c r="B3716">
        <v>51</v>
      </c>
      <c r="C3716" s="2" t="s">
        <v>171</v>
      </c>
      <c r="D3716">
        <v>51</v>
      </c>
    </row>
    <row r="3717" spans="1:4" hidden="1" x14ac:dyDescent="0.25">
      <c r="A3717" s="2" t="s">
        <v>5</v>
      </c>
      <c r="B3717">
        <v>51</v>
      </c>
      <c r="C3717" s="2" t="s">
        <v>172</v>
      </c>
      <c r="D3717">
        <v>51</v>
      </c>
    </row>
    <row r="3718" spans="1:4" hidden="1" x14ac:dyDescent="0.25">
      <c r="A3718" s="2" t="s">
        <v>5</v>
      </c>
      <c r="B3718">
        <v>51</v>
      </c>
      <c r="C3718" s="2" t="s">
        <v>173</v>
      </c>
      <c r="D3718">
        <v>51</v>
      </c>
    </row>
    <row r="3719" spans="1:4" hidden="1" x14ac:dyDescent="0.25">
      <c r="A3719" s="2" t="s">
        <v>5</v>
      </c>
      <c r="B3719">
        <v>51</v>
      </c>
      <c r="C3719" s="2" t="s">
        <v>174</v>
      </c>
      <c r="D3719">
        <v>51</v>
      </c>
    </row>
    <row r="3720" spans="1:4" hidden="1" x14ac:dyDescent="0.25">
      <c r="A3720" s="2" t="s">
        <v>5</v>
      </c>
      <c r="B3720">
        <v>51</v>
      </c>
      <c r="C3720" s="2" t="s">
        <v>175</v>
      </c>
      <c r="D3720">
        <v>51</v>
      </c>
    </row>
    <row r="3721" spans="1:4" hidden="1" x14ac:dyDescent="0.25">
      <c r="A3721" s="2" t="s">
        <v>5</v>
      </c>
      <c r="B3721">
        <v>51</v>
      </c>
      <c r="C3721" s="2" t="s">
        <v>176</v>
      </c>
      <c r="D3721">
        <v>51</v>
      </c>
    </row>
    <row r="3722" spans="1:4" hidden="1" x14ac:dyDescent="0.25">
      <c r="A3722" s="2" t="s">
        <v>5</v>
      </c>
      <c r="B3722">
        <v>51</v>
      </c>
      <c r="C3722" s="2" t="s">
        <v>177</v>
      </c>
      <c r="D3722">
        <v>51</v>
      </c>
    </row>
    <row r="3723" spans="1:4" hidden="1" x14ac:dyDescent="0.25">
      <c r="A3723" s="2" t="s">
        <v>5</v>
      </c>
      <c r="B3723">
        <v>51</v>
      </c>
      <c r="C3723" s="2" t="s">
        <v>178</v>
      </c>
      <c r="D3723">
        <v>51</v>
      </c>
    </row>
    <row r="3724" spans="1:4" hidden="1" x14ac:dyDescent="0.25">
      <c r="A3724" s="2" t="s">
        <v>5</v>
      </c>
      <c r="B3724">
        <v>51</v>
      </c>
      <c r="C3724" s="2" t="s">
        <v>179</v>
      </c>
      <c r="D3724">
        <v>51</v>
      </c>
    </row>
    <row r="3725" spans="1:4" hidden="1" x14ac:dyDescent="0.25">
      <c r="A3725" s="2" t="s">
        <v>60</v>
      </c>
      <c r="B3725">
        <v>51</v>
      </c>
      <c r="C3725" s="2" t="s">
        <v>183</v>
      </c>
      <c r="D3725">
        <v>13</v>
      </c>
    </row>
    <row r="3726" spans="1:4" hidden="1" x14ac:dyDescent="0.25">
      <c r="A3726" s="2" t="s">
        <v>60</v>
      </c>
      <c r="B3726">
        <v>51</v>
      </c>
      <c r="C3726" s="2" t="s">
        <v>184</v>
      </c>
      <c r="D3726">
        <v>14</v>
      </c>
    </row>
    <row r="3727" spans="1:4" hidden="1" x14ac:dyDescent="0.25">
      <c r="A3727" s="2" t="s">
        <v>60</v>
      </c>
      <c r="B3727">
        <v>51</v>
      </c>
      <c r="C3727" s="2" t="s">
        <v>185</v>
      </c>
      <c r="D3727">
        <v>24</v>
      </c>
    </row>
    <row r="3728" spans="1:4" hidden="1" x14ac:dyDescent="0.25">
      <c r="A3728" s="2" t="s">
        <v>60</v>
      </c>
      <c r="B3728">
        <v>51</v>
      </c>
      <c r="C3728" s="2" t="s">
        <v>186</v>
      </c>
      <c r="D3728">
        <v>77</v>
      </c>
    </row>
    <row r="3729" spans="1:4" hidden="1" x14ac:dyDescent="0.25">
      <c r="A3729" s="2" t="s">
        <v>60</v>
      </c>
      <c r="B3729">
        <v>51</v>
      </c>
      <c r="C3729" s="2" t="s">
        <v>187</v>
      </c>
      <c r="D3729">
        <v>79</v>
      </c>
    </row>
    <row r="3730" spans="1:4" hidden="1" x14ac:dyDescent="0.25">
      <c r="A3730" s="2" t="s">
        <v>60</v>
      </c>
      <c r="B3730">
        <v>51</v>
      </c>
      <c r="C3730" s="2" t="s">
        <v>188</v>
      </c>
      <c r="D3730">
        <v>88</v>
      </c>
    </row>
    <row r="3731" spans="1:4" hidden="1" x14ac:dyDescent="0.25">
      <c r="A3731" s="2" t="s">
        <v>60</v>
      </c>
      <c r="B3731">
        <v>51</v>
      </c>
      <c r="C3731" s="2" t="s">
        <v>189</v>
      </c>
      <c r="D3731">
        <v>97</v>
      </c>
    </row>
    <row r="3732" spans="1:4" hidden="1" x14ac:dyDescent="0.25">
      <c r="A3732" s="2" t="s">
        <v>60</v>
      </c>
      <c r="B3732">
        <v>51</v>
      </c>
      <c r="C3732" s="2" t="s">
        <v>190</v>
      </c>
      <c r="D3732">
        <v>97</v>
      </c>
    </row>
    <row r="3733" spans="1:4" hidden="1" x14ac:dyDescent="0.25">
      <c r="A3733" s="2" t="s">
        <v>60</v>
      </c>
      <c r="B3733">
        <v>51</v>
      </c>
      <c r="C3733" s="2" t="s">
        <v>191</v>
      </c>
      <c r="D3733">
        <v>97</v>
      </c>
    </row>
    <row r="3734" spans="1:4" hidden="1" x14ac:dyDescent="0.25">
      <c r="A3734" s="2" t="s">
        <v>60</v>
      </c>
      <c r="B3734">
        <v>51</v>
      </c>
      <c r="C3734" s="2" t="s">
        <v>116</v>
      </c>
      <c r="D3734">
        <v>98</v>
      </c>
    </row>
    <row r="3735" spans="1:4" hidden="1" x14ac:dyDescent="0.25">
      <c r="A3735" s="2" t="s">
        <v>60</v>
      </c>
      <c r="B3735">
        <v>51</v>
      </c>
      <c r="C3735" s="2" t="s">
        <v>117</v>
      </c>
      <c r="D3735">
        <v>99</v>
      </c>
    </row>
    <row r="3736" spans="1:4" hidden="1" x14ac:dyDescent="0.25">
      <c r="A3736" s="2" t="s">
        <v>60</v>
      </c>
      <c r="B3736">
        <v>51</v>
      </c>
      <c r="C3736" s="2" t="s">
        <v>118</v>
      </c>
      <c r="D3736">
        <v>103</v>
      </c>
    </row>
    <row r="3737" spans="1:4" hidden="1" x14ac:dyDescent="0.25">
      <c r="A3737" s="2" t="s">
        <v>60</v>
      </c>
      <c r="B3737">
        <v>51</v>
      </c>
      <c r="C3737" s="2" t="s">
        <v>119</v>
      </c>
      <c r="D3737">
        <v>85</v>
      </c>
    </row>
    <row r="3738" spans="1:4" hidden="1" x14ac:dyDescent="0.25">
      <c r="A3738" s="2" t="s">
        <v>60</v>
      </c>
      <c r="B3738">
        <v>51</v>
      </c>
      <c r="C3738" s="2" t="s">
        <v>120</v>
      </c>
      <c r="D3738">
        <v>83</v>
      </c>
    </row>
    <row r="3739" spans="1:4" hidden="1" x14ac:dyDescent="0.25">
      <c r="A3739" s="2" t="s">
        <v>60</v>
      </c>
      <c r="B3739">
        <v>51</v>
      </c>
      <c r="C3739" s="2" t="s">
        <v>121</v>
      </c>
      <c r="D3739">
        <v>81</v>
      </c>
    </row>
    <row r="3740" spans="1:4" hidden="1" x14ac:dyDescent="0.25">
      <c r="A3740" s="2" t="s">
        <v>60</v>
      </c>
      <c r="B3740">
        <v>51</v>
      </c>
      <c r="C3740" s="2" t="s">
        <v>122</v>
      </c>
      <c r="D3740">
        <v>69</v>
      </c>
    </row>
    <row r="3741" spans="1:4" hidden="1" x14ac:dyDescent="0.25">
      <c r="A3741" s="2" t="s">
        <v>60</v>
      </c>
      <c r="B3741">
        <v>51</v>
      </c>
      <c r="C3741" s="2" t="s">
        <v>123</v>
      </c>
      <c r="D3741">
        <v>53</v>
      </c>
    </row>
    <row r="3742" spans="1:4" hidden="1" x14ac:dyDescent="0.25">
      <c r="A3742" s="2" t="s">
        <v>60</v>
      </c>
      <c r="B3742">
        <v>51</v>
      </c>
      <c r="C3742" s="2" t="s">
        <v>124</v>
      </c>
      <c r="D3742">
        <v>56</v>
      </c>
    </row>
    <row r="3743" spans="1:4" hidden="1" x14ac:dyDescent="0.25">
      <c r="A3743" s="2" t="s">
        <v>60</v>
      </c>
      <c r="B3743">
        <v>51</v>
      </c>
      <c r="C3743" s="2" t="s">
        <v>125</v>
      </c>
      <c r="D3743">
        <v>38</v>
      </c>
    </row>
    <row r="3744" spans="1:4" hidden="1" x14ac:dyDescent="0.25">
      <c r="A3744" s="2" t="s">
        <v>60</v>
      </c>
      <c r="B3744">
        <v>51</v>
      </c>
      <c r="C3744" s="2" t="s">
        <v>126</v>
      </c>
      <c r="D3744">
        <v>45</v>
      </c>
    </row>
    <row r="3745" spans="1:4" hidden="1" x14ac:dyDescent="0.25">
      <c r="A3745" s="2" t="s">
        <v>60</v>
      </c>
      <c r="B3745">
        <v>51</v>
      </c>
      <c r="C3745" s="2" t="s">
        <v>127</v>
      </c>
      <c r="D3745">
        <v>47</v>
      </c>
    </row>
    <row r="3746" spans="1:4" hidden="1" x14ac:dyDescent="0.25">
      <c r="A3746" s="2" t="s">
        <v>60</v>
      </c>
      <c r="B3746">
        <v>51</v>
      </c>
      <c r="C3746" s="2" t="s">
        <v>128</v>
      </c>
      <c r="D3746">
        <v>59</v>
      </c>
    </row>
    <row r="3747" spans="1:4" hidden="1" x14ac:dyDescent="0.25">
      <c r="A3747" s="2" t="s">
        <v>60</v>
      </c>
      <c r="B3747">
        <v>51</v>
      </c>
      <c r="C3747" s="2" t="s">
        <v>129</v>
      </c>
      <c r="D3747">
        <v>47</v>
      </c>
    </row>
    <row r="3748" spans="1:4" hidden="1" x14ac:dyDescent="0.25">
      <c r="A3748" s="2" t="s">
        <v>60</v>
      </c>
      <c r="B3748">
        <v>51</v>
      </c>
      <c r="C3748" s="2" t="s">
        <v>130</v>
      </c>
      <c r="D3748">
        <v>45</v>
      </c>
    </row>
    <row r="3749" spans="1:4" hidden="1" x14ac:dyDescent="0.25">
      <c r="A3749" s="2" t="s">
        <v>60</v>
      </c>
      <c r="B3749">
        <v>51</v>
      </c>
      <c r="C3749" s="2" t="s">
        <v>131</v>
      </c>
      <c r="D3749">
        <v>45</v>
      </c>
    </row>
    <row r="3750" spans="1:4" hidden="1" x14ac:dyDescent="0.25">
      <c r="A3750" s="2" t="s">
        <v>60</v>
      </c>
      <c r="B3750">
        <v>51</v>
      </c>
      <c r="C3750" s="2" t="s">
        <v>132</v>
      </c>
      <c r="D3750">
        <v>53</v>
      </c>
    </row>
    <row r="3751" spans="1:4" hidden="1" x14ac:dyDescent="0.25">
      <c r="A3751" s="2" t="s">
        <v>60</v>
      </c>
      <c r="B3751">
        <v>51</v>
      </c>
      <c r="C3751" s="2" t="s">
        <v>133</v>
      </c>
      <c r="D3751">
        <v>47</v>
      </c>
    </row>
    <row r="3752" spans="1:4" hidden="1" x14ac:dyDescent="0.25">
      <c r="A3752" s="2" t="s">
        <v>60</v>
      </c>
      <c r="B3752">
        <v>51</v>
      </c>
      <c r="C3752" s="2" t="s">
        <v>134</v>
      </c>
      <c r="D3752">
        <v>42</v>
      </c>
    </row>
    <row r="3753" spans="1:4" hidden="1" x14ac:dyDescent="0.25">
      <c r="A3753" s="2" t="s">
        <v>60</v>
      </c>
      <c r="B3753">
        <v>51</v>
      </c>
      <c r="C3753" s="2" t="s">
        <v>135</v>
      </c>
      <c r="D3753">
        <v>51</v>
      </c>
    </row>
    <row r="3754" spans="1:4" hidden="1" x14ac:dyDescent="0.25">
      <c r="A3754" s="2" t="s">
        <v>60</v>
      </c>
      <c r="B3754">
        <v>51</v>
      </c>
      <c r="C3754" s="2" t="s">
        <v>136</v>
      </c>
      <c r="D3754">
        <v>51</v>
      </c>
    </row>
    <row r="3755" spans="1:4" hidden="1" x14ac:dyDescent="0.25">
      <c r="A3755" s="2" t="s">
        <v>60</v>
      </c>
      <c r="B3755">
        <v>51</v>
      </c>
      <c r="C3755" s="2" t="s">
        <v>137</v>
      </c>
      <c r="D3755">
        <v>51</v>
      </c>
    </row>
    <row r="3756" spans="1:4" hidden="1" x14ac:dyDescent="0.25">
      <c r="A3756" s="2" t="s">
        <v>60</v>
      </c>
      <c r="B3756">
        <v>51</v>
      </c>
      <c r="C3756" s="2" t="s">
        <v>138</v>
      </c>
      <c r="D3756">
        <v>51</v>
      </c>
    </row>
    <row r="3757" spans="1:4" hidden="1" x14ac:dyDescent="0.25">
      <c r="A3757" s="2" t="s">
        <v>60</v>
      </c>
      <c r="B3757">
        <v>51</v>
      </c>
      <c r="C3757" s="2" t="s">
        <v>139</v>
      </c>
      <c r="D3757">
        <v>51</v>
      </c>
    </row>
    <row r="3758" spans="1:4" hidden="1" x14ac:dyDescent="0.25">
      <c r="A3758" s="2" t="s">
        <v>60</v>
      </c>
      <c r="B3758">
        <v>51</v>
      </c>
      <c r="C3758" s="2" t="s">
        <v>140</v>
      </c>
      <c r="D3758">
        <v>51</v>
      </c>
    </row>
    <row r="3759" spans="1:4" hidden="1" x14ac:dyDescent="0.25">
      <c r="A3759" s="2" t="s">
        <v>60</v>
      </c>
      <c r="B3759">
        <v>51</v>
      </c>
      <c r="C3759" s="2" t="s">
        <v>141</v>
      </c>
      <c r="D3759">
        <v>51</v>
      </c>
    </row>
    <row r="3760" spans="1:4" hidden="1" x14ac:dyDescent="0.25">
      <c r="A3760" s="2" t="s">
        <v>60</v>
      </c>
      <c r="B3760">
        <v>51</v>
      </c>
      <c r="C3760" s="2" t="s">
        <v>142</v>
      </c>
      <c r="D3760">
        <v>51</v>
      </c>
    </row>
    <row r="3761" spans="1:4" hidden="1" x14ac:dyDescent="0.25">
      <c r="A3761" s="2" t="s">
        <v>60</v>
      </c>
      <c r="B3761">
        <v>51</v>
      </c>
      <c r="C3761" s="2" t="s">
        <v>143</v>
      </c>
      <c r="D3761">
        <v>51</v>
      </c>
    </row>
    <row r="3762" spans="1:4" hidden="1" x14ac:dyDescent="0.25">
      <c r="A3762" s="2" t="s">
        <v>60</v>
      </c>
      <c r="B3762">
        <v>51</v>
      </c>
      <c r="C3762" s="2" t="s">
        <v>144</v>
      </c>
      <c r="D3762">
        <v>51</v>
      </c>
    </row>
    <row r="3763" spans="1:4" hidden="1" x14ac:dyDescent="0.25">
      <c r="A3763" s="2" t="s">
        <v>60</v>
      </c>
      <c r="B3763">
        <v>51</v>
      </c>
      <c r="C3763" s="2" t="s">
        <v>145</v>
      </c>
      <c r="D3763">
        <v>51</v>
      </c>
    </row>
    <row r="3764" spans="1:4" hidden="1" x14ac:dyDescent="0.25">
      <c r="A3764" s="2" t="s">
        <v>60</v>
      </c>
      <c r="B3764">
        <v>51</v>
      </c>
      <c r="C3764" s="2" t="s">
        <v>146</v>
      </c>
      <c r="D3764">
        <v>51</v>
      </c>
    </row>
    <row r="3765" spans="1:4" hidden="1" x14ac:dyDescent="0.25">
      <c r="A3765" s="2" t="s">
        <v>60</v>
      </c>
      <c r="B3765">
        <v>51</v>
      </c>
      <c r="C3765" s="2" t="s">
        <v>147</v>
      </c>
      <c r="D3765">
        <v>51</v>
      </c>
    </row>
    <row r="3766" spans="1:4" hidden="1" x14ac:dyDescent="0.25">
      <c r="A3766" s="2" t="s">
        <v>60</v>
      </c>
      <c r="B3766">
        <v>51</v>
      </c>
      <c r="C3766" s="2" t="s">
        <v>148</v>
      </c>
      <c r="D3766">
        <v>51</v>
      </c>
    </row>
    <row r="3767" spans="1:4" hidden="1" x14ac:dyDescent="0.25">
      <c r="A3767" s="2" t="s">
        <v>60</v>
      </c>
      <c r="B3767">
        <v>51</v>
      </c>
      <c r="C3767" s="2" t="s">
        <v>149</v>
      </c>
      <c r="D3767">
        <v>51</v>
      </c>
    </row>
    <row r="3768" spans="1:4" hidden="1" x14ac:dyDescent="0.25">
      <c r="A3768" s="2" t="s">
        <v>60</v>
      </c>
      <c r="B3768">
        <v>51</v>
      </c>
      <c r="C3768" s="2" t="s">
        <v>150</v>
      </c>
      <c r="D3768">
        <v>51</v>
      </c>
    </row>
    <row r="3769" spans="1:4" hidden="1" x14ac:dyDescent="0.25">
      <c r="A3769" s="2" t="s">
        <v>60</v>
      </c>
      <c r="B3769">
        <v>51</v>
      </c>
      <c r="C3769" s="2" t="s">
        <v>151</v>
      </c>
      <c r="D3769">
        <v>51</v>
      </c>
    </row>
    <row r="3770" spans="1:4" hidden="1" x14ac:dyDescent="0.25">
      <c r="A3770" s="2" t="s">
        <v>60</v>
      </c>
      <c r="B3770">
        <v>51</v>
      </c>
      <c r="C3770" s="2" t="s">
        <v>152</v>
      </c>
      <c r="D3770">
        <v>51</v>
      </c>
    </row>
    <row r="3771" spans="1:4" hidden="1" x14ac:dyDescent="0.25">
      <c r="A3771" s="2" t="s">
        <v>60</v>
      </c>
      <c r="B3771">
        <v>51</v>
      </c>
      <c r="C3771" s="2" t="s">
        <v>153</v>
      </c>
      <c r="D3771">
        <v>51</v>
      </c>
    </row>
    <row r="3772" spans="1:4" hidden="1" x14ac:dyDescent="0.25">
      <c r="A3772" s="2" t="s">
        <v>60</v>
      </c>
      <c r="B3772">
        <v>51</v>
      </c>
      <c r="C3772" s="2" t="s">
        <v>154</v>
      </c>
      <c r="D3772">
        <v>51</v>
      </c>
    </row>
    <row r="3773" spans="1:4" hidden="1" x14ac:dyDescent="0.25">
      <c r="A3773" s="2" t="s">
        <v>60</v>
      </c>
      <c r="B3773">
        <v>51</v>
      </c>
      <c r="C3773" s="2" t="s">
        <v>155</v>
      </c>
      <c r="D3773">
        <v>51</v>
      </c>
    </row>
    <row r="3774" spans="1:4" hidden="1" x14ac:dyDescent="0.25">
      <c r="A3774" s="2" t="s">
        <v>60</v>
      </c>
      <c r="B3774">
        <v>51</v>
      </c>
      <c r="C3774" s="2" t="s">
        <v>156</v>
      </c>
      <c r="D3774">
        <v>51</v>
      </c>
    </row>
    <row r="3775" spans="1:4" hidden="1" x14ac:dyDescent="0.25">
      <c r="A3775" s="2" t="s">
        <v>60</v>
      </c>
      <c r="B3775">
        <v>51</v>
      </c>
      <c r="C3775" s="2" t="s">
        <v>157</v>
      </c>
      <c r="D3775">
        <v>51</v>
      </c>
    </row>
    <row r="3776" spans="1:4" hidden="1" x14ac:dyDescent="0.25">
      <c r="A3776" s="2" t="s">
        <v>60</v>
      </c>
      <c r="B3776">
        <v>51</v>
      </c>
      <c r="C3776" s="2" t="s">
        <v>158</v>
      </c>
      <c r="D3776">
        <v>51</v>
      </c>
    </row>
    <row r="3777" spans="1:4" hidden="1" x14ac:dyDescent="0.25">
      <c r="A3777" s="2" t="s">
        <v>60</v>
      </c>
      <c r="B3777">
        <v>51</v>
      </c>
      <c r="C3777" s="2" t="s">
        <v>159</v>
      </c>
      <c r="D3777">
        <v>51</v>
      </c>
    </row>
    <row r="3778" spans="1:4" hidden="1" x14ac:dyDescent="0.25">
      <c r="A3778" s="2" t="s">
        <v>60</v>
      </c>
      <c r="B3778">
        <v>51</v>
      </c>
      <c r="C3778" s="2" t="s">
        <v>160</v>
      </c>
      <c r="D3778">
        <v>51</v>
      </c>
    </row>
    <row r="3779" spans="1:4" hidden="1" x14ac:dyDescent="0.25">
      <c r="A3779" s="2" t="s">
        <v>60</v>
      </c>
      <c r="B3779">
        <v>51</v>
      </c>
      <c r="C3779" s="2" t="s">
        <v>161</v>
      </c>
      <c r="D3779">
        <v>51</v>
      </c>
    </row>
    <row r="3780" spans="1:4" hidden="1" x14ac:dyDescent="0.25">
      <c r="A3780" s="2" t="s">
        <v>60</v>
      </c>
      <c r="B3780">
        <v>51</v>
      </c>
      <c r="C3780" s="2" t="s">
        <v>162</v>
      </c>
      <c r="D3780">
        <v>51</v>
      </c>
    </row>
    <row r="3781" spans="1:4" hidden="1" x14ac:dyDescent="0.25">
      <c r="A3781" s="2" t="s">
        <v>60</v>
      </c>
      <c r="B3781">
        <v>51</v>
      </c>
      <c r="C3781" s="2" t="s">
        <v>163</v>
      </c>
      <c r="D3781">
        <v>51</v>
      </c>
    </row>
    <row r="3782" spans="1:4" hidden="1" x14ac:dyDescent="0.25">
      <c r="A3782" s="2" t="s">
        <v>60</v>
      </c>
      <c r="B3782">
        <v>51</v>
      </c>
      <c r="C3782" s="2" t="s">
        <v>164</v>
      </c>
      <c r="D3782">
        <v>51</v>
      </c>
    </row>
    <row r="3783" spans="1:4" hidden="1" x14ac:dyDescent="0.25">
      <c r="A3783" s="2" t="s">
        <v>60</v>
      </c>
      <c r="B3783">
        <v>51</v>
      </c>
      <c r="C3783" s="2" t="s">
        <v>165</v>
      </c>
      <c r="D3783">
        <v>51</v>
      </c>
    </row>
    <row r="3784" spans="1:4" hidden="1" x14ac:dyDescent="0.25">
      <c r="A3784" s="2" t="s">
        <v>60</v>
      </c>
      <c r="B3784">
        <v>51</v>
      </c>
      <c r="C3784" s="2" t="s">
        <v>166</v>
      </c>
      <c r="D3784">
        <v>51</v>
      </c>
    </row>
    <row r="3785" spans="1:4" hidden="1" x14ac:dyDescent="0.25">
      <c r="A3785" s="2" t="s">
        <v>60</v>
      </c>
      <c r="B3785">
        <v>51</v>
      </c>
      <c r="C3785" s="2" t="s">
        <v>167</v>
      </c>
      <c r="D3785">
        <v>51</v>
      </c>
    </row>
    <row r="3786" spans="1:4" hidden="1" x14ac:dyDescent="0.25">
      <c r="A3786" s="2" t="s">
        <v>60</v>
      </c>
      <c r="B3786">
        <v>51</v>
      </c>
      <c r="C3786" s="2" t="s">
        <v>168</v>
      </c>
      <c r="D3786">
        <v>51</v>
      </c>
    </row>
    <row r="3787" spans="1:4" hidden="1" x14ac:dyDescent="0.25">
      <c r="A3787" s="2" t="s">
        <v>60</v>
      </c>
      <c r="B3787">
        <v>51</v>
      </c>
      <c r="C3787" s="2" t="s">
        <v>169</v>
      </c>
      <c r="D3787">
        <v>51</v>
      </c>
    </row>
    <row r="3788" spans="1:4" hidden="1" x14ac:dyDescent="0.25">
      <c r="A3788" s="2" t="s">
        <v>60</v>
      </c>
      <c r="B3788">
        <v>51</v>
      </c>
      <c r="C3788" s="2" t="s">
        <v>170</v>
      </c>
      <c r="D3788">
        <v>51</v>
      </c>
    </row>
    <row r="3789" spans="1:4" hidden="1" x14ac:dyDescent="0.25">
      <c r="A3789" s="2" t="s">
        <v>60</v>
      </c>
      <c r="B3789">
        <v>51</v>
      </c>
      <c r="C3789" s="2" t="s">
        <v>171</v>
      </c>
      <c r="D3789">
        <v>51</v>
      </c>
    </row>
    <row r="3790" spans="1:4" hidden="1" x14ac:dyDescent="0.25">
      <c r="A3790" s="2" t="s">
        <v>60</v>
      </c>
      <c r="B3790">
        <v>51</v>
      </c>
      <c r="C3790" s="2" t="s">
        <v>172</v>
      </c>
      <c r="D3790">
        <v>51</v>
      </c>
    </row>
    <row r="3791" spans="1:4" hidden="1" x14ac:dyDescent="0.25">
      <c r="A3791" s="2" t="s">
        <v>60</v>
      </c>
      <c r="B3791">
        <v>51</v>
      </c>
      <c r="C3791" s="2" t="s">
        <v>173</v>
      </c>
      <c r="D3791">
        <v>51</v>
      </c>
    </row>
    <row r="3792" spans="1:4" hidden="1" x14ac:dyDescent="0.25">
      <c r="A3792" s="2" t="s">
        <v>60</v>
      </c>
      <c r="B3792">
        <v>51</v>
      </c>
      <c r="C3792" s="2" t="s">
        <v>174</v>
      </c>
      <c r="D3792">
        <v>51</v>
      </c>
    </row>
    <row r="3793" spans="1:4" hidden="1" x14ac:dyDescent="0.25">
      <c r="A3793" s="2" t="s">
        <v>60</v>
      </c>
      <c r="B3793">
        <v>51</v>
      </c>
      <c r="C3793" s="2" t="s">
        <v>175</v>
      </c>
      <c r="D3793">
        <v>51</v>
      </c>
    </row>
    <row r="3794" spans="1:4" hidden="1" x14ac:dyDescent="0.25">
      <c r="A3794" s="2" t="s">
        <v>60</v>
      </c>
      <c r="B3794">
        <v>51</v>
      </c>
      <c r="C3794" s="2" t="s">
        <v>176</v>
      </c>
      <c r="D3794">
        <v>51</v>
      </c>
    </row>
    <row r="3795" spans="1:4" hidden="1" x14ac:dyDescent="0.25">
      <c r="A3795" s="2" t="s">
        <v>60</v>
      </c>
      <c r="B3795">
        <v>51</v>
      </c>
      <c r="C3795" s="2" t="s">
        <v>177</v>
      </c>
      <c r="D3795">
        <v>51</v>
      </c>
    </row>
    <row r="3796" spans="1:4" hidden="1" x14ac:dyDescent="0.25">
      <c r="A3796" s="2" t="s">
        <v>60</v>
      </c>
      <c r="B3796">
        <v>51</v>
      </c>
      <c r="C3796" s="2" t="s">
        <v>178</v>
      </c>
      <c r="D3796">
        <v>51</v>
      </c>
    </row>
    <row r="3797" spans="1:4" hidden="1" x14ac:dyDescent="0.25">
      <c r="A3797" s="2" t="s">
        <v>60</v>
      </c>
      <c r="B3797">
        <v>51</v>
      </c>
      <c r="C3797" s="2" t="s">
        <v>179</v>
      </c>
      <c r="D3797">
        <v>51</v>
      </c>
    </row>
    <row r="3798" spans="1:4" hidden="1" x14ac:dyDescent="0.25">
      <c r="A3798" s="2" t="s">
        <v>14</v>
      </c>
      <c r="B3798">
        <v>53</v>
      </c>
      <c r="C3798" s="2" t="s">
        <v>183</v>
      </c>
      <c r="D3798">
        <v>78</v>
      </c>
    </row>
    <row r="3799" spans="1:4" hidden="1" x14ac:dyDescent="0.25">
      <c r="A3799" s="2" t="s">
        <v>14</v>
      </c>
      <c r="B3799">
        <v>53</v>
      </c>
      <c r="C3799" s="2" t="s">
        <v>184</v>
      </c>
      <c r="D3799">
        <v>77</v>
      </c>
    </row>
    <row r="3800" spans="1:4" hidden="1" x14ac:dyDescent="0.25">
      <c r="A3800" s="2" t="s">
        <v>14</v>
      </c>
      <c r="B3800">
        <v>53</v>
      </c>
      <c r="C3800" s="2" t="s">
        <v>185</v>
      </c>
      <c r="D3800">
        <v>61</v>
      </c>
    </row>
    <row r="3801" spans="1:4" hidden="1" x14ac:dyDescent="0.25">
      <c r="A3801" s="2" t="s">
        <v>14</v>
      </c>
      <c r="B3801">
        <v>53</v>
      </c>
      <c r="C3801" s="2" t="s">
        <v>186</v>
      </c>
      <c r="D3801">
        <v>68</v>
      </c>
    </row>
    <row r="3802" spans="1:4" hidden="1" x14ac:dyDescent="0.25">
      <c r="A3802" s="2" t="s">
        <v>14</v>
      </c>
      <c r="B3802">
        <v>53</v>
      </c>
      <c r="C3802" s="2" t="s">
        <v>187</v>
      </c>
      <c r="D3802">
        <v>68</v>
      </c>
    </row>
    <row r="3803" spans="1:4" hidden="1" x14ac:dyDescent="0.25">
      <c r="A3803" s="2" t="s">
        <v>14</v>
      </c>
      <c r="B3803">
        <v>53</v>
      </c>
      <c r="C3803" s="2" t="s">
        <v>188</v>
      </c>
      <c r="D3803">
        <v>68</v>
      </c>
    </row>
    <row r="3804" spans="1:4" hidden="1" x14ac:dyDescent="0.25">
      <c r="A3804" s="2" t="s">
        <v>14</v>
      </c>
      <c r="B3804">
        <v>53</v>
      </c>
      <c r="C3804" s="2" t="s">
        <v>189</v>
      </c>
      <c r="D3804">
        <v>49</v>
      </c>
    </row>
    <row r="3805" spans="1:4" hidden="1" x14ac:dyDescent="0.25">
      <c r="A3805" s="2" t="s">
        <v>14</v>
      </c>
      <c r="B3805">
        <v>53</v>
      </c>
      <c r="C3805" s="2" t="s">
        <v>190</v>
      </c>
      <c r="D3805">
        <v>49</v>
      </c>
    </row>
    <row r="3806" spans="1:4" hidden="1" x14ac:dyDescent="0.25">
      <c r="A3806" s="2" t="s">
        <v>14</v>
      </c>
      <c r="B3806">
        <v>53</v>
      </c>
      <c r="C3806" s="2" t="s">
        <v>191</v>
      </c>
      <c r="D3806">
        <v>27</v>
      </c>
    </row>
    <row r="3807" spans="1:4" hidden="1" x14ac:dyDescent="0.25">
      <c r="A3807" s="2" t="s">
        <v>14</v>
      </c>
      <c r="B3807">
        <v>53</v>
      </c>
      <c r="C3807" s="2" t="s">
        <v>116</v>
      </c>
      <c r="D3807">
        <v>31</v>
      </c>
    </row>
    <row r="3808" spans="1:4" hidden="1" x14ac:dyDescent="0.25">
      <c r="A3808" s="2" t="s">
        <v>14</v>
      </c>
      <c r="B3808">
        <v>53</v>
      </c>
      <c r="C3808" s="2" t="s">
        <v>117</v>
      </c>
      <c r="D3808">
        <v>30</v>
      </c>
    </row>
    <row r="3809" spans="1:4" hidden="1" x14ac:dyDescent="0.25">
      <c r="A3809" s="2" t="s">
        <v>14</v>
      </c>
      <c r="B3809">
        <v>53</v>
      </c>
      <c r="C3809" s="2" t="s">
        <v>118</v>
      </c>
      <c r="D3809">
        <v>29</v>
      </c>
    </row>
    <row r="3810" spans="1:4" hidden="1" x14ac:dyDescent="0.25">
      <c r="A3810" s="2" t="s">
        <v>14</v>
      </c>
      <c r="B3810">
        <v>53</v>
      </c>
      <c r="C3810" s="2" t="s">
        <v>119</v>
      </c>
      <c r="D3810">
        <v>19</v>
      </c>
    </row>
    <row r="3811" spans="1:4" hidden="1" x14ac:dyDescent="0.25">
      <c r="A3811" s="2" t="s">
        <v>14</v>
      </c>
      <c r="B3811">
        <v>53</v>
      </c>
      <c r="C3811" s="2" t="s">
        <v>120</v>
      </c>
      <c r="D3811">
        <v>21</v>
      </c>
    </row>
    <row r="3812" spans="1:4" hidden="1" x14ac:dyDescent="0.25">
      <c r="A3812" s="2" t="s">
        <v>14</v>
      </c>
      <c r="B3812">
        <v>53</v>
      </c>
      <c r="C3812" s="2" t="s">
        <v>121</v>
      </c>
      <c r="D3812">
        <v>21</v>
      </c>
    </row>
    <row r="3813" spans="1:4" hidden="1" x14ac:dyDescent="0.25">
      <c r="A3813" s="2" t="s">
        <v>14</v>
      </c>
      <c r="B3813">
        <v>53</v>
      </c>
      <c r="C3813" s="2" t="s">
        <v>122</v>
      </c>
      <c r="D3813">
        <v>10</v>
      </c>
    </row>
    <row r="3814" spans="1:4" hidden="1" x14ac:dyDescent="0.25">
      <c r="A3814" s="2" t="s">
        <v>14</v>
      </c>
      <c r="B3814">
        <v>53</v>
      </c>
      <c r="C3814" s="2" t="s">
        <v>123</v>
      </c>
      <c r="D3814">
        <v>13</v>
      </c>
    </row>
    <row r="3815" spans="1:4" hidden="1" x14ac:dyDescent="0.25">
      <c r="A3815" s="2" t="s">
        <v>14</v>
      </c>
      <c r="B3815">
        <v>53</v>
      </c>
      <c r="C3815" s="2" t="s">
        <v>124</v>
      </c>
      <c r="D3815">
        <v>18</v>
      </c>
    </row>
    <row r="3816" spans="1:4" hidden="1" x14ac:dyDescent="0.25">
      <c r="A3816" s="2" t="s">
        <v>14</v>
      </c>
      <c r="B3816">
        <v>53</v>
      </c>
      <c r="C3816" s="2" t="s">
        <v>125</v>
      </c>
      <c r="D3816">
        <v>20</v>
      </c>
    </row>
    <row r="3817" spans="1:4" hidden="1" x14ac:dyDescent="0.25">
      <c r="A3817" s="2" t="s">
        <v>14</v>
      </c>
      <c r="B3817">
        <v>53</v>
      </c>
      <c r="C3817" s="2" t="s">
        <v>126</v>
      </c>
      <c r="D3817">
        <v>27</v>
      </c>
    </row>
    <row r="3818" spans="1:4" hidden="1" x14ac:dyDescent="0.25">
      <c r="A3818" s="2" t="s">
        <v>14</v>
      </c>
      <c r="B3818">
        <v>53</v>
      </c>
      <c r="C3818" s="2" t="s">
        <v>127</v>
      </c>
      <c r="D3818">
        <v>25</v>
      </c>
    </row>
    <row r="3819" spans="1:4" hidden="1" x14ac:dyDescent="0.25">
      <c r="A3819" s="2" t="s">
        <v>14</v>
      </c>
      <c r="B3819">
        <v>53</v>
      </c>
      <c r="C3819" s="2" t="s">
        <v>128</v>
      </c>
      <c r="D3819">
        <v>34</v>
      </c>
    </row>
    <row r="3820" spans="1:4" hidden="1" x14ac:dyDescent="0.25">
      <c r="A3820" s="2" t="s">
        <v>14</v>
      </c>
      <c r="B3820">
        <v>53</v>
      </c>
      <c r="C3820" s="2" t="s">
        <v>129</v>
      </c>
      <c r="D3820">
        <v>27</v>
      </c>
    </row>
    <row r="3821" spans="1:4" hidden="1" x14ac:dyDescent="0.25">
      <c r="A3821" s="2" t="s">
        <v>14</v>
      </c>
      <c r="B3821">
        <v>53</v>
      </c>
      <c r="C3821" s="2" t="s">
        <v>130</v>
      </c>
      <c r="D3821">
        <v>39</v>
      </c>
    </row>
    <row r="3822" spans="1:4" hidden="1" x14ac:dyDescent="0.25">
      <c r="A3822" s="2" t="s">
        <v>14</v>
      </c>
      <c r="B3822">
        <v>53</v>
      </c>
      <c r="C3822" s="2" t="s">
        <v>131</v>
      </c>
      <c r="D3822">
        <v>40</v>
      </c>
    </row>
    <row r="3823" spans="1:4" hidden="1" x14ac:dyDescent="0.25">
      <c r="A3823" s="2" t="s">
        <v>14</v>
      </c>
      <c r="B3823">
        <v>53</v>
      </c>
      <c r="C3823" s="2" t="s">
        <v>132</v>
      </c>
      <c r="D3823">
        <v>44</v>
      </c>
    </row>
    <row r="3824" spans="1:4" hidden="1" x14ac:dyDescent="0.25">
      <c r="A3824" s="2" t="s">
        <v>14</v>
      </c>
      <c r="B3824">
        <v>53</v>
      </c>
      <c r="C3824" s="2" t="s">
        <v>133</v>
      </c>
      <c r="D3824">
        <v>44</v>
      </c>
    </row>
    <row r="3825" spans="1:4" hidden="1" x14ac:dyDescent="0.25">
      <c r="A3825" s="2" t="s">
        <v>14</v>
      </c>
      <c r="B3825">
        <v>53</v>
      </c>
      <c r="C3825" s="2" t="s">
        <v>134</v>
      </c>
      <c r="D3825">
        <v>47</v>
      </c>
    </row>
    <row r="3826" spans="1:4" hidden="1" x14ac:dyDescent="0.25">
      <c r="A3826" s="2" t="s">
        <v>14</v>
      </c>
      <c r="B3826">
        <v>53</v>
      </c>
      <c r="C3826" s="2" t="s">
        <v>135</v>
      </c>
      <c r="D3826">
        <v>53</v>
      </c>
    </row>
    <row r="3827" spans="1:4" hidden="1" x14ac:dyDescent="0.25">
      <c r="A3827" s="2" t="s">
        <v>14</v>
      </c>
      <c r="B3827">
        <v>53</v>
      </c>
      <c r="C3827" s="2" t="s">
        <v>136</v>
      </c>
      <c r="D3827">
        <v>53</v>
      </c>
    </row>
    <row r="3828" spans="1:4" hidden="1" x14ac:dyDescent="0.25">
      <c r="A3828" s="2" t="s">
        <v>14</v>
      </c>
      <c r="B3828">
        <v>53</v>
      </c>
      <c r="C3828" s="2" t="s">
        <v>137</v>
      </c>
      <c r="D3828">
        <v>53</v>
      </c>
    </row>
    <row r="3829" spans="1:4" hidden="1" x14ac:dyDescent="0.25">
      <c r="A3829" s="2" t="s">
        <v>14</v>
      </c>
      <c r="B3829">
        <v>53</v>
      </c>
      <c r="C3829" s="2" t="s">
        <v>138</v>
      </c>
      <c r="D3829">
        <v>53</v>
      </c>
    </row>
    <row r="3830" spans="1:4" hidden="1" x14ac:dyDescent="0.25">
      <c r="A3830" s="2" t="s">
        <v>14</v>
      </c>
      <c r="B3830">
        <v>53</v>
      </c>
      <c r="C3830" s="2" t="s">
        <v>139</v>
      </c>
      <c r="D3830">
        <v>53</v>
      </c>
    </row>
    <row r="3831" spans="1:4" hidden="1" x14ac:dyDescent="0.25">
      <c r="A3831" s="2" t="s">
        <v>14</v>
      </c>
      <c r="B3831">
        <v>53</v>
      </c>
      <c r="C3831" s="2" t="s">
        <v>140</v>
      </c>
      <c r="D3831">
        <v>53</v>
      </c>
    </row>
    <row r="3832" spans="1:4" hidden="1" x14ac:dyDescent="0.25">
      <c r="A3832" s="2" t="s">
        <v>14</v>
      </c>
      <c r="B3832">
        <v>53</v>
      </c>
      <c r="C3832" s="2" t="s">
        <v>141</v>
      </c>
      <c r="D3832">
        <v>53</v>
      </c>
    </row>
    <row r="3833" spans="1:4" hidden="1" x14ac:dyDescent="0.25">
      <c r="A3833" s="2" t="s">
        <v>14</v>
      </c>
      <c r="B3833">
        <v>53</v>
      </c>
      <c r="C3833" s="2" t="s">
        <v>142</v>
      </c>
      <c r="D3833">
        <v>53</v>
      </c>
    </row>
    <row r="3834" spans="1:4" hidden="1" x14ac:dyDescent="0.25">
      <c r="A3834" s="2" t="s">
        <v>14</v>
      </c>
      <c r="B3834">
        <v>53</v>
      </c>
      <c r="C3834" s="2" t="s">
        <v>143</v>
      </c>
      <c r="D3834">
        <v>53</v>
      </c>
    </row>
    <row r="3835" spans="1:4" hidden="1" x14ac:dyDescent="0.25">
      <c r="A3835" s="2" t="s">
        <v>14</v>
      </c>
      <c r="B3835">
        <v>53</v>
      </c>
      <c r="C3835" s="2" t="s">
        <v>144</v>
      </c>
      <c r="D3835">
        <v>53</v>
      </c>
    </row>
    <row r="3836" spans="1:4" hidden="1" x14ac:dyDescent="0.25">
      <c r="A3836" s="2" t="s">
        <v>14</v>
      </c>
      <c r="B3836">
        <v>53</v>
      </c>
      <c r="C3836" s="2" t="s">
        <v>145</v>
      </c>
      <c r="D3836">
        <v>53</v>
      </c>
    </row>
    <row r="3837" spans="1:4" hidden="1" x14ac:dyDescent="0.25">
      <c r="A3837" s="2" t="s">
        <v>14</v>
      </c>
      <c r="B3837">
        <v>53</v>
      </c>
      <c r="C3837" s="2" t="s">
        <v>146</v>
      </c>
      <c r="D3837">
        <v>53</v>
      </c>
    </row>
    <row r="3838" spans="1:4" hidden="1" x14ac:dyDescent="0.25">
      <c r="A3838" s="2" t="s">
        <v>14</v>
      </c>
      <c r="B3838">
        <v>53</v>
      </c>
      <c r="C3838" s="2" t="s">
        <v>147</v>
      </c>
      <c r="D3838">
        <v>53</v>
      </c>
    </row>
    <row r="3839" spans="1:4" hidden="1" x14ac:dyDescent="0.25">
      <c r="A3839" s="2" t="s">
        <v>14</v>
      </c>
      <c r="B3839">
        <v>53</v>
      </c>
      <c r="C3839" s="2" t="s">
        <v>148</v>
      </c>
      <c r="D3839">
        <v>53</v>
      </c>
    </row>
    <row r="3840" spans="1:4" hidden="1" x14ac:dyDescent="0.25">
      <c r="A3840" s="2" t="s">
        <v>14</v>
      </c>
      <c r="B3840">
        <v>53</v>
      </c>
      <c r="C3840" s="2" t="s">
        <v>149</v>
      </c>
      <c r="D3840">
        <v>53</v>
      </c>
    </row>
    <row r="3841" spans="1:4" hidden="1" x14ac:dyDescent="0.25">
      <c r="A3841" s="2" t="s">
        <v>14</v>
      </c>
      <c r="B3841">
        <v>53</v>
      </c>
      <c r="C3841" s="2" t="s">
        <v>150</v>
      </c>
      <c r="D3841">
        <v>53</v>
      </c>
    </row>
    <row r="3842" spans="1:4" hidden="1" x14ac:dyDescent="0.25">
      <c r="A3842" s="2" t="s">
        <v>14</v>
      </c>
      <c r="B3842">
        <v>53</v>
      </c>
      <c r="C3842" s="2" t="s">
        <v>151</v>
      </c>
      <c r="D3842">
        <v>53</v>
      </c>
    </row>
    <row r="3843" spans="1:4" hidden="1" x14ac:dyDescent="0.25">
      <c r="A3843" s="2" t="s">
        <v>14</v>
      </c>
      <c r="B3843">
        <v>53</v>
      </c>
      <c r="C3843" s="2" t="s">
        <v>152</v>
      </c>
      <c r="D3843">
        <v>53</v>
      </c>
    </row>
    <row r="3844" spans="1:4" hidden="1" x14ac:dyDescent="0.25">
      <c r="A3844" s="2" t="s">
        <v>14</v>
      </c>
      <c r="B3844">
        <v>53</v>
      </c>
      <c r="C3844" s="2" t="s">
        <v>153</v>
      </c>
      <c r="D3844">
        <v>53</v>
      </c>
    </row>
    <row r="3845" spans="1:4" hidden="1" x14ac:dyDescent="0.25">
      <c r="A3845" s="2" t="s">
        <v>14</v>
      </c>
      <c r="B3845">
        <v>53</v>
      </c>
      <c r="C3845" s="2" t="s">
        <v>154</v>
      </c>
      <c r="D3845">
        <v>53</v>
      </c>
    </row>
    <row r="3846" spans="1:4" hidden="1" x14ac:dyDescent="0.25">
      <c r="A3846" s="2" t="s">
        <v>14</v>
      </c>
      <c r="B3846">
        <v>53</v>
      </c>
      <c r="C3846" s="2" t="s">
        <v>155</v>
      </c>
      <c r="D3846">
        <v>53</v>
      </c>
    </row>
    <row r="3847" spans="1:4" hidden="1" x14ac:dyDescent="0.25">
      <c r="A3847" s="2" t="s">
        <v>14</v>
      </c>
      <c r="B3847">
        <v>53</v>
      </c>
      <c r="C3847" s="2" t="s">
        <v>156</v>
      </c>
      <c r="D3847">
        <v>53</v>
      </c>
    </row>
    <row r="3848" spans="1:4" hidden="1" x14ac:dyDescent="0.25">
      <c r="A3848" s="2" t="s">
        <v>14</v>
      </c>
      <c r="B3848">
        <v>53</v>
      </c>
      <c r="C3848" s="2" t="s">
        <v>157</v>
      </c>
      <c r="D3848">
        <v>53</v>
      </c>
    </row>
    <row r="3849" spans="1:4" hidden="1" x14ac:dyDescent="0.25">
      <c r="A3849" s="2" t="s">
        <v>14</v>
      </c>
      <c r="B3849">
        <v>53</v>
      </c>
      <c r="C3849" s="2" t="s">
        <v>158</v>
      </c>
      <c r="D3849">
        <v>53</v>
      </c>
    </row>
    <row r="3850" spans="1:4" hidden="1" x14ac:dyDescent="0.25">
      <c r="A3850" s="2" t="s">
        <v>14</v>
      </c>
      <c r="B3850">
        <v>53</v>
      </c>
      <c r="C3850" s="2" t="s">
        <v>159</v>
      </c>
      <c r="D3850">
        <v>53</v>
      </c>
    </row>
    <row r="3851" spans="1:4" hidden="1" x14ac:dyDescent="0.25">
      <c r="A3851" s="2" t="s">
        <v>14</v>
      </c>
      <c r="B3851">
        <v>53</v>
      </c>
      <c r="C3851" s="2" t="s">
        <v>160</v>
      </c>
      <c r="D3851">
        <v>53</v>
      </c>
    </row>
    <row r="3852" spans="1:4" hidden="1" x14ac:dyDescent="0.25">
      <c r="A3852" s="2" t="s">
        <v>14</v>
      </c>
      <c r="B3852">
        <v>53</v>
      </c>
      <c r="C3852" s="2" t="s">
        <v>161</v>
      </c>
      <c r="D3852">
        <v>53</v>
      </c>
    </row>
    <row r="3853" spans="1:4" hidden="1" x14ac:dyDescent="0.25">
      <c r="A3853" s="2" t="s">
        <v>14</v>
      </c>
      <c r="B3853">
        <v>53</v>
      </c>
      <c r="C3853" s="2" t="s">
        <v>162</v>
      </c>
      <c r="D3853">
        <v>53</v>
      </c>
    </row>
    <row r="3854" spans="1:4" hidden="1" x14ac:dyDescent="0.25">
      <c r="A3854" s="2" t="s">
        <v>14</v>
      </c>
      <c r="B3854">
        <v>53</v>
      </c>
      <c r="C3854" s="2" t="s">
        <v>163</v>
      </c>
      <c r="D3854">
        <v>53</v>
      </c>
    </row>
    <row r="3855" spans="1:4" hidden="1" x14ac:dyDescent="0.25">
      <c r="A3855" s="2" t="s">
        <v>14</v>
      </c>
      <c r="B3855">
        <v>53</v>
      </c>
      <c r="C3855" s="2" t="s">
        <v>164</v>
      </c>
      <c r="D3855">
        <v>53</v>
      </c>
    </row>
    <row r="3856" spans="1:4" hidden="1" x14ac:dyDescent="0.25">
      <c r="A3856" s="2" t="s">
        <v>14</v>
      </c>
      <c r="B3856">
        <v>53</v>
      </c>
      <c r="C3856" s="2" t="s">
        <v>165</v>
      </c>
      <c r="D3856">
        <v>53</v>
      </c>
    </row>
    <row r="3857" spans="1:4" hidden="1" x14ac:dyDescent="0.25">
      <c r="A3857" s="2" t="s">
        <v>14</v>
      </c>
      <c r="B3857">
        <v>53</v>
      </c>
      <c r="C3857" s="2" t="s">
        <v>166</v>
      </c>
      <c r="D3857">
        <v>53</v>
      </c>
    </row>
    <row r="3858" spans="1:4" hidden="1" x14ac:dyDescent="0.25">
      <c r="A3858" s="2" t="s">
        <v>14</v>
      </c>
      <c r="B3858">
        <v>53</v>
      </c>
      <c r="C3858" s="2" t="s">
        <v>167</v>
      </c>
      <c r="D3858">
        <v>53</v>
      </c>
    </row>
    <row r="3859" spans="1:4" hidden="1" x14ac:dyDescent="0.25">
      <c r="A3859" s="2" t="s">
        <v>14</v>
      </c>
      <c r="B3859">
        <v>53</v>
      </c>
      <c r="C3859" s="2" t="s">
        <v>168</v>
      </c>
      <c r="D3859">
        <v>53</v>
      </c>
    </row>
    <row r="3860" spans="1:4" hidden="1" x14ac:dyDescent="0.25">
      <c r="A3860" s="2" t="s">
        <v>14</v>
      </c>
      <c r="B3860">
        <v>53</v>
      </c>
      <c r="C3860" s="2" t="s">
        <v>169</v>
      </c>
      <c r="D3860">
        <v>53</v>
      </c>
    </row>
    <row r="3861" spans="1:4" hidden="1" x14ac:dyDescent="0.25">
      <c r="A3861" s="2" t="s">
        <v>14</v>
      </c>
      <c r="B3861">
        <v>53</v>
      </c>
      <c r="C3861" s="2" t="s">
        <v>170</v>
      </c>
      <c r="D3861">
        <v>53</v>
      </c>
    </row>
    <row r="3862" spans="1:4" hidden="1" x14ac:dyDescent="0.25">
      <c r="A3862" s="2" t="s">
        <v>14</v>
      </c>
      <c r="B3862">
        <v>53</v>
      </c>
      <c r="C3862" s="2" t="s">
        <v>171</v>
      </c>
      <c r="D3862">
        <v>53</v>
      </c>
    </row>
    <row r="3863" spans="1:4" hidden="1" x14ac:dyDescent="0.25">
      <c r="A3863" s="2" t="s">
        <v>14</v>
      </c>
      <c r="B3863">
        <v>53</v>
      </c>
      <c r="C3863" s="2" t="s">
        <v>172</v>
      </c>
      <c r="D3863">
        <v>53</v>
      </c>
    </row>
    <row r="3864" spans="1:4" hidden="1" x14ac:dyDescent="0.25">
      <c r="A3864" s="2" t="s">
        <v>14</v>
      </c>
      <c r="B3864">
        <v>53</v>
      </c>
      <c r="C3864" s="2" t="s">
        <v>173</v>
      </c>
      <c r="D3864">
        <v>53</v>
      </c>
    </row>
    <row r="3865" spans="1:4" hidden="1" x14ac:dyDescent="0.25">
      <c r="A3865" s="2" t="s">
        <v>14</v>
      </c>
      <c r="B3865">
        <v>53</v>
      </c>
      <c r="C3865" s="2" t="s">
        <v>174</v>
      </c>
      <c r="D3865">
        <v>53</v>
      </c>
    </row>
    <row r="3866" spans="1:4" hidden="1" x14ac:dyDescent="0.25">
      <c r="A3866" s="2" t="s">
        <v>14</v>
      </c>
      <c r="B3866">
        <v>53</v>
      </c>
      <c r="C3866" s="2" t="s">
        <v>175</v>
      </c>
      <c r="D3866">
        <v>53</v>
      </c>
    </row>
    <row r="3867" spans="1:4" hidden="1" x14ac:dyDescent="0.25">
      <c r="A3867" s="2" t="s">
        <v>14</v>
      </c>
      <c r="B3867">
        <v>53</v>
      </c>
      <c r="C3867" s="2" t="s">
        <v>176</v>
      </c>
      <c r="D3867">
        <v>53</v>
      </c>
    </row>
    <row r="3868" spans="1:4" hidden="1" x14ac:dyDescent="0.25">
      <c r="A3868" s="2" t="s">
        <v>14</v>
      </c>
      <c r="B3868">
        <v>53</v>
      </c>
      <c r="C3868" s="2" t="s">
        <v>177</v>
      </c>
      <c r="D3868">
        <v>53</v>
      </c>
    </row>
    <row r="3869" spans="1:4" hidden="1" x14ac:dyDescent="0.25">
      <c r="A3869" s="2" t="s">
        <v>14</v>
      </c>
      <c r="B3869">
        <v>53</v>
      </c>
      <c r="C3869" s="2" t="s">
        <v>178</v>
      </c>
      <c r="D3869">
        <v>53</v>
      </c>
    </row>
    <row r="3870" spans="1:4" hidden="1" x14ac:dyDescent="0.25">
      <c r="A3870" s="2" t="s">
        <v>14</v>
      </c>
      <c r="B3870">
        <v>53</v>
      </c>
      <c r="C3870" s="2" t="s">
        <v>179</v>
      </c>
      <c r="D3870">
        <v>53</v>
      </c>
    </row>
    <row r="3871" spans="1:4" hidden="1" x14ac:dyDescent="0.25">
      <c r="A3871" s="2" t="s">
        <v>57</v>
      </c>
      <c r="B3871">
        <v>53</v>
      </c>
      <c r="C3871" s="2" t="s">
        <v>183</v>
      </c>
      <c r="D3871">
        <v>65</v>
      </c>
    </row>
    <row r="3872" spans="1:4" hidden="1" x14ac:dyDescent="0.25">
      <c r="A3872" s="2" t="s">
        <v>57</v>
      </c>
      <c r="B3872">
        <v>53</v>
      </c>
      <c r="C3872" s="2" t="s">
        <v>184</v>
      </c>
      <c r="D3872">
        <v>62</v>
      </c>
    </row>
    <row r="3873" spans="1:4" hidden="1" x14ac:dyDescent="0.25">
      <c r="A3873" s="2" t="s">
        <v>57</v>
      </c>
      <c r="B3873">
        <v>53</v>
      </c>
      <c r="C3873" s="2" t="s">
        <v>185</v>
      </c>
      <c r="D3873">
        <v>75</v>
      </c>
    </row>
    <row r="3874" spans="1:4" hidden="1" x14ac:dyDescent="0.25">
      <c r="A3874" s="2" t="s">
        <v>57</v>
      </c>
      <c r="B3874">
        <v>53</v>
      </c>
      <c r="C3874" s="2" t="s">
        <v>186</v>
      </c>
      <c r="D3874">
        <v>38</v>
      </c>
    </row>
    <row r="3875" spans="1:4" hidden="1" x14ac:dyDescent="0.25">
      <c r="A3875" s="2" t="s">
        <v>57</v>
      </c>
      <c r="B3875">
        <v>53</v>
      </c>
      <c r="C3875" s="2" t="s">
        <v>187</v>
      </c>
      <c r="D3875">
        <v>39</v>
      </c>
    </row>
    <row r="3876" spans="1:4" hidden="1" x14ac:dyDescent="0.25">
      <c r="A3876" s="2" t="s">
        <v>57</v>
      </c>
      <c r="B3876">
        <v>53</v>
      </c>
      <c r="C3876" s="2" t="s">
        <v>188</v>
      </c>
      <c r="D3876">
        <v>41</v>
      </c>
    </row>
    <row r="3877" spans="1:4" hidden="1" x14ac:dyDescent="0.25">
      <c r="A3877" s="2" t="s">
        <v>57</v>
      </c>
      <c r="B3877">
        <v>53</v>
      </c>
      <c r="C3877" s="2" t="s">
        <v>189</v>
      </c>
      <c r="D3877">
        <v>49</v>
      </c>
    </row>
    <row r="3878" spans="1:4" hidden="1" x14ac:dyDescent="0.25">
      <c r="A3878" s="2" t="s">
        <v>57</v>
      </c>
      <c r="B3878">
        <v>53</v>
      </c>
      <c r="C3878" s="2" t="s">
        <v>190</v>
      </c>
      <c r="D3878">
        <v>49</v>
      </c>
    </row>
    <row r="3879" spans="1:4" hidden="1" x14ac:dyDescent="0.25">
      <c r="A3879" s="2" t="s">
        <v>57</v>
      </c>
      <c r="B3879">
        <v>53</v>
      </c>
      <c r="C3879" s="2" t="s">
        <v>191</v>
      </c>
      <c r="D3879">
        <v>52</v>
      </c>
    </row>
    <row r="3880" spans="1:4" hidden="1" x14ac:dyDescent="0.25">
      <c r="A3880" s="2" t="s">
        <v>57</v>
      </c>
      <c r="B3880">
        <v>53</v>
      </c>
      <c r="C3880" s="2" t="s">
        <v>116</v>
      </c>
      <c r="D3880">
        <v>56</v>
      </c>
    </row>
    <row r="3881" spans="1:4" hidden="1" x14ac:dyDescent="0.25">
      <c r="A3881" s="2" t="s">
        <v>57</v>
      </c>
      <c r="B3881">
        <v>53</v>
      </c>
      <c r="C3881" s="2" t="s">
        <v>117</v>
      </c>
      <c r="D3881">
        <v>51</v>
      </c>
    </row>
    <row r="3882" spans="1:4" hidden="1" x14ac:dyDescent="0.25">
      <c r="A3882" s="2" t="s">
        <v>57</v>
      </c>
      <c r="B3882">
        <v>53</v>
      </c>
      <c r="C3882" s="2" t="s">
        <v>118</v>
      </c>
      <c r="D3882">
        <v>50</v>
      </c>
    </row>
    <row r="3883" spans="1:4" hidden="1" x14ac:dyDescent="0.25">
      <c r="A3883" s="2" t="s">
        <v>57</v>
      </c>
      <c r="B3883">
        <v>53</v>
      </c>
      <c r="C3883" s="2" t="s">
        <v>119</v>
      </c>
      <c r="D3883">
        <v>46</v>
      </c>
    </row>
    <row r="3884" spans="1:4" hidden="1" x14ac:dyDescent="0.25">
      <c r="A3884" s="2" t="s">
        <v>57</v>
      </c>
      <c r="B3884">
        <v>53</v>
      </c>
      <c r="C3884" s="2" t="s">
        <v>120</v>
      </c>
      <c r="D3884">
        <v>45</v>
      </c>
    </row>
    <row r="3885" spans="1:4" hidden="1" x14ac:dyDescent="0.25">
      <c r="A3885" s="2" t="s">
        <v>57</v>
      </c>
      <c r="B3885">
        <v>53</v>
      </c>
      <c r="C3885" s="2" t="s">
        <v>121</v>
      </c>
      <c r="D3885">
        <v>39</v>
      </c>
    </row>
    <row r="3886" spans="1:4" hidden="1" x14ac:dyDescent="0.25">
      <c r="A3886" s="2" t="s">
        <v>57</v>
      </c>
      <c r="B3886">
        <v>53</v>
      </c>
      <c r="C3886" s="2" t="s">
        <v>122</v>
      </c>
      <c r="D3886">
        <v>30</v>
      </c>
    </row>
    <row r="3887" spans="1:4" hidden="1" x14ac:dyDescent="0.25">
      <c r="A3887" s="2" t="s">
        <v>57</v>
      </c>
      <c r="B3887">
        <v>53</v>
      </c>
      <c r="C3887" s="2" t="s">
        <v>123</v>
      </c>
      <c r="D3887">
        <v>38</v>
      </c>
    </row>
    <row r="3888" spans="1:4" hidden="1" x14ac:dyDescent="0.25">
      <c r="A3888" s="2" t="s">
        <v>57</v>
      </c>
      <c r="B3888">
        <v>53</v>
      </c>
      <c r="C3888" s="2" t="s">
        <v>124</v>
      </c>
      <c r="D3888">
        <v>43</v>
      </c>
    </row>
    <row r="3889" spans="1:4" hidden="1" x14ac:dyDescent="0.25">
      <c r="A3889" s="2" t="s">
        <v>57</v>
      </c>
      <c r="B3889">
        <v>53</v>
      </c>
      <c r="C3889" s="2" t="s">
        <v>125</v>
      </c>
      <c r="D3889">
        <v>54</v>
      </c>
    </row>
    <row r="3890" spans="1:4" hidden="1" x14ac:dyDescent="0.25">
      <c r="A3890" s="2" t="s">
        <v>57</v>
      </c>
      <c r="B3890">
        <v>53</v>
      </c>
      <c r="C3890" s="2" t="s">
        <v>126</v>
      </c>
      <c r="D3890">
        <v>22</v>
      </c>
    </row>
    <row r="3891" spans="1:4" hidden="1" x14ac:dyDescent="0.25">
      <c r="A3891" s="2" t="s">
        <v>57</v>
      </c>
      <c r="B3891">
        <v>53</v>
      </c>
      <c r="C3891" s="2" t="s">
        <v>127</v>
      </c>
      <c r="D3891">
        <v>25</v>
      </c>
    </row>
    <row r="3892" spans="1:4" hidden="1" x14ac:dyDescent="0.25">
      <c r="A3892" s="2" t="s">
        <v>57</v>
      </c>
      <c r="B3892">
        <v>53</v>
      </c>
      <c r="C3892" s="2" t="s">
        <v>128</v>
      </c>
      <c r="D3892">
        <v>34</v>
      </c>
    </row>
    <row r="3893" spans="1:4" hidden="1" x14ac:dyDescent="0.25">
      <c r="A3893" s="2" t="s">
        <v>57</v>
      </c>
      <c r="B3893">
        <v>53</v>
      </c>
      <c r="C3893" s="2" t="s">
        <v>129</v>
      </c>
      <c r="D3893">
        <v>43</v>
      </c>
    </row>
    <row r="3894" spans="1:4" hidden="1" x14ac:dyDescent="0.25">
      <c r="A3894" s="2" t="s">
        <v>57</v>
      </c>
      <c r="B3894">
        <v>53</v>
      </c>
      <c r="C3894" s="2" t="s">
        <v>130</v>
      </c>
      <c r="D3894">
        <v>52</v>
      </c>
    </row>
    <row r="3895" spans="1:4" hidden="1" x14ac:dyDescent="0.25">
      <c r="A3895" s="2" t="s">
        <v>57</v>
      </c>
      <c r="B3895">
        <v>53</v>
      </c>
      <c r="C3895" s="2" t="s">
        <v>131</v>
      </c>
      <c r="D3895">
        <v>40</v>
      </c>
    </row>
    <row r="3896" spans="1:4" hidden="1" x14ac:dyDescent="0.25">
      <c r="A3896" s="2" t="s">
        <v>57</v>
      </c>
      <c r="B3896">
        <v>53</v>
      </c>
      <c r="C3896" s="2" t="s">
        <v>132</v>
      </c>
      <c r="D3896">
        <v>39</v>
      </c>
    </row>
    <row r="3897" spans="1:4" hidden="1" x14ac:dyDescent="0.25">
      <c r="A3897" s="2" t="s">
        <v>57</v>
      </c>
      <c r="B3897">
        <v>53</v>
      </c>
      <c r="C3897" s="2" t="s">
        <v>133</v>
      </c>
      <c r="D3897">
        <v>39</v>
      </c>
    </row>
    <row r="3898" spans="1:4" hidden="1" x14ac:dyDescent="0.25">
      <c r="A3898" s="2" t="s">
        <v>57</v>
      </c>
      <c r="B3898">
        <v>53</v>
      </c>
      <c r="C3898" s="2" t="s">
        <v>134</v>
      </c>
      <c r="D3898">
        <v>56</v>
      </c>
    </row>
    <row r="3899" spans="1:4" hidden="1" x14ac:dyDescent="0.25">
      <c r="A3899" s="2" t="s">
        <v>57</v>
      </c>
      <c r="B3899">
        <v>53</v>
      </c>
      <c r="C3899" s="2" t="s">
        <v>135</v>
      </c>
      <c r="D3899">
        <v>53</v>
      </c>
    </row>
    <row r="3900" spans="1:4" hidden="1" x14ac:dyDescent="0.25">
      <c r="A3900" s="2" t="s">
        <v>57</v>
      </c>
      <c r="B3900">
        <v>53</v>
      </c>
      <c r="C3900" s="2" t="s">
        <v>136</v>
      </c>
      <c r="D3900">
        <v>53</v>
      </c>
    </row>
    <row r="3901" spans="1:4" hidden="1" x14ac:dyDescent="0.25">
      <c r="A3901" s="2" t="s">
        <v>57</v>
      </c>
      <c r="B3901">
        <v>53</v>
      </c>
      <c r="C3901" s="2" t="s">
        <v>137</v>
      </c>
      <c r="D3901">
        <v>53</v>
      </c>
    </row>
    <row r="3902" spans="1:4" hidden="1" x14ac:dyDescent="0.25">
      <c r="A3902" s="2" t="s">
        <v>57</v>
      </c>
      <c r="B3902">
        <v>53</v>
      </c>
      <c r="C3902" s="2" t="s">
        <v>138</v>
      </c>
      <c r="D3902">
        <v>53</v>
      </c>
    </row>
    <row r="3903" spans="1:4" hidden="1" x14ac:dyDescent="0.25">
      <c r="A3903" s="2" t="s">
        <v>57</v>
      </c>
      <c r="B3903">
        <v>53</v>
      </c>
      <c r="C3903" s="2" t="s">
        <v>139</v>
      </c>
      <c r="D3903">
        <v>53</v>
      </c>
    </row>
    <row r="3904" spans="1:4" hidden="1" x14ac:dyDescent="0.25">
      <c r="A3904" s="2" t="s">
        <v>57</v>
      </c>
      <c r="B3904">
        <v>53</v>
      </c>
      <c r="C3904" s="2" t="s">
        <v>140</v>
      </c>
      <c r="D3904">
        <v>53</v>
      </c>
    </row>
    <row r="3905" spans="1:4" hidden="1" x14ac:dyDescent="0.25">
      <c r="A3905" s="2" t="s">
        <v>57</v>
      </c>
      <c r="B3905">
        <v>53</v>
      </c>
      <c r="C3905" s="2" t="s">
        <v>141</v>
      </c>
      <c r="D3905">
        <v>53</v>
      </c>
    </row>
    <row r="3906" spans="1:4" hidden="1" x14ac:dyDescent="0.25">
      <c r="A3906" s="2" t="s">
        <v>57</v>
      </c>
      <c r="B3906">
        <v>53</v>
      </c>
      <c r="C3906" s="2" t="s">
        <v>142</v>
      </c>
      <c r="D3906">
        <v>53</v>
      </c>
    </row>
    <row r="3907" spans="1:4" hidden="1" x14ac:dyDescent="0.25">
      <c r="A3907" s="2" t="s">
        <v>57</v>
      </c>
      <c r="B3907">
        <v>53</v>
      </c>
      <c r="C3907" s="2" t="s">
        <v>143</v>
      </c>
      <c r="D3907">
        <v>53</v>
      </c>
    </row>
    <row r="3908" spans="1:4" hidden="1" x14ac:dyDescent="0.25">
      <c r="A3908" s="2" t="s">
        <v>57</v>
      </c>
      <c r="B3908">
        <v>53</v>
      </c>
      <c r="C3908" s="2" t="s">
        <v>144</v>
      </c>
      <c r="D3908">
        <v>53</v>
      </c>
    </row>
    <row r="3909" spans="1:4" hidden="1" x14ac:dyDescent="0.25">
      <c r="A3909" s="2" t="s">
        <v>57</v>
      </c>
      <c r="B3909">
        <v>53</v>
      </c>
      <c r="C3909" s="2" t="s">
        <v>145</v>
      </c>
      <c r="D3909">
        <v>53</v>
      </c>
    </row>
    <row r="3910" spans="1:4" hidden="1" x14ac:dyDescent="0.25">
      <c r="A3910" s="2" t="s">
        <v>57</v>
      </c>
      <c r="B3910">
        <v>53</v>
      </c>
      <c r="C3910" s="2" t="s">
        <v>146</v>
      </c>
      <c r="D3910">
        <v>53</v>
      </c>
    </row>
    <row r="3911" spans="1:4" hidden="1" x14ac:dyDescent="0.25">
      <c r="A3911" s="2" t="s">
        <v>57</v>
      </c>
      <c r="B3911">
        <v>53</v>
      </c>
      <c r="C3911" s="2" t="s">
        <v>147</v>
      </c>
      <c r="D3911">
        <v>53</v>
      </c>
    </row>
    <row r="3912" spans="1:4" hidden="1" x14ac:dyDescent="0.25">
      <c r="A3912" s="2" t="s">
        <v>57</v>
      </c>
      <c r="B3912">
        <v>53</v>
      </c>
      <c r="C3912" s="2" t="s">
        <v>148</v>
      </c>
      <c r="D3912">
        <v>53</v>
      </c>
    </row>
    <row r="3913" spans="1:4" hidden="1" x14ac:dyDescent="0.25">
      <c r="A3913" s="2" t="s">
        <v>57</v>
      </c>
      <c r="B3913">
        <v>53</v>
      </c>
      <c r="C3913" s="2" t="s">
        <v>149</v>
      </c>
      <c r="D3913">
        <v>53</v>
      </c>
    </row>
    <row r="3914" spans="1:4" hidden="1" x14ac:dyDescent="0.25">
      <c r="A3914" s="2" t="s">
        <v>57</v>
      </c>
      <c r="B3914">
        <v>53</v>
      </c>
      <c r="C3914" s="2" t="s">
        <v>150</v>
      </c>
      <c r="D3914">
        <v>53</v>
      </c>
    </row>
    <row r="3915" spans="1:4" hidden="1" x14ac:dyDescent="0.25">
      <c r="A3915" s="2" t="s">
        <v>57</v>
      </c>
      <c r="B3915">
        <v>53</v>
      </c>
      <c r="C3915" s="2" t="s">
        <v>151</v>
      </c>
      <c r="D3915">
        <v>53</v>
      </c>
    </row>
    <row r="3916" spans="1:4" hidden="1" x14ac:dyDescent="0.25">
      <c r="A3916" s="2" t="s">
        <v>57</v>
      </c>
      <c r="B3916">
        <v>53</v>
      </c>
      <c r="C3916" s="2" t="s">
        <v>152</v>
      </c>
      <c r="D3916">
        <v>53</v>
      </c>
    </row>
    <row r="3917" spans="1:4" hidden="1" x14ac:dyDescent="0.25">
      <c r="A3917" s="2" t="s">
        <v>57</v>
      </c>
      <c r="B3917">
        <v>53</v>
      </c>
      <c r="C3917" s="2" t="s">
        <v>153</v>
      </c>
      <c r="D3917">
        <v>53</v>
      </c>
    </row>
    <row r="3918" spans="1:4" hidden="1" x14ac:dyDescent="0.25">
      <c r="A3918" s="2" t="s">
        <v>57</v>
      </c>
      <c r="B3918">
        <v>53</v>
      </c>
      <c r="C3918" s="2" t="s">
        <v>154</v>
      </c>
      <c r="D3918">
        <v>53</v>
      </c>
    </row>
    <row r="3919" spans="1:4" hidden="1" x14ac:dyDescent="0.25">
      <c r="A3919" s="2" t="s">
        <v>57</v>
      </c>
      <c r="B3919">
        <v>53</v>
      </c>
      <c r="C3919" s="2" t="s">
        <v>155</v>
      </c>
      <c r="D3919">
        <v>53</v>
      </c>
    </row>
    <row r="3920" spans="1:4" hidden="1" x14ac:dyDescent="0.25">
      <c r="A3920" s="2" t="s">
        <v>57</v>
      </c>
      <c r="B3920">
        <v>53</v>
      </c>
      <c r="C3920" s="2" t="s">
        <v>156</v>
      </c>
      <c r="D3920">
        <v>53</v>
      </c>
    </row>
    <row r="3921" spans="1:4" hidden="1" x14ac:dyDescent="0.25">
      <c r="A3921" s="2" t="s">
        <v>57</v>
      </c>
      <c r="B3921">
        <v>53</v>
      </c>
      <c r="C3921" s="2" t="s">
        <v>157</v>
      </c>
      <c r="D3921">
        <v>53</v>
      </c>
    </row>
    <row r="3922" spans="1:4" hidden="1" x14ac:dyDescent="0.25">
      <c r="A3922" s="2" t="s">
        <v>57</v>
      </c>
      <c r="B3922">
        <v>53</v>
      </c>
      <c r="C3922" s="2" t="s">
        <v>158</v>
      </c>
      <c r="D3922">
        <v>53</v>
      </c>
    </row>
    <row r="3923" spans="1:4" hidden="1" x14ac:dyDescent="0.25">
      <c r="A3923" s="2" t="s">
        <v>57</v>
      </c>
      <c r="B3923">
        <v>53</v>
      </c>
      <c r="C3923" s="2" t="s">
        <v>159</v>
      </c>
      <c r="D3923">
        <v>53</v>
      </c>
    </row>
    <row r="3924" spans="1:4" hidden="1" x14ac:dyDescent="0.25">
      <c r="A3924" s="2" t="s">
        <v>57</v>
      </c>
      <c r="B3924">
        <v>53</v>
      </c>
      <c r="C3924" s="2" t="s">
        <v>160</v>
      </c>
      <c r="D3924">
        <v>53</v>
      </c>
    </row>
    <row r="3925" spans="1:4" hidden="1" x14ac:dyDescent="0.25">
      <c r="A3925" s="2" t="s">
        <v>57</v>
      </c>
      <c r="B3925">
        <v>53</v>
      </c>
      <c r="C3925" s="2" t="s">
        <v>161</v>
      </c>
      <c r="D3925">
        <v>53</v>
      </c>
    </row>
    <row r="3926" spans="1:4" hidden="1" x14ac:dyDescent="0.25">
      <c r="A3926" s="2" t="s">
        <v>57</v>
      </c>
      <c r="B3926">
        <v>53</v>
      </c>
      <c r="C3926" s="2" t="s">
        <v>162</v>
      </c>
      <c r="D3926">
        <v>53</v>
      </c>
    </row>
    <row r="3927" spans="1:4" hidden="1" x14ac:dyDescent="0.25">
      <c r="A3927" s="2" t="s">
        <v>57</v>
      </c>
      <c r="B3927">
        <v>53</v>
      </c>
      <c r="C3927" s="2" t="s">
        <v>163</v>
      </c>
      <c r="D3927">
        <v>53</v>
      </c>
    </row>
    <row r="3928" spans="1:4" hidden="1" x14ac:dyDescent="0.25">
      <c r="A3928" s="2" t="s">
        <v>57</v>
      </c>
      <c r="B3928">
        <v>53</v>
      </c>
      <c r="C3928" s="2" t="s">
        <v>164</v>
      </c>
      <c r="D3928">
        <v>53</v>
      </c>
    </row>
    <row r="3929" spans="1:4" hidden="1" x14ac:dyDescent="0.25">
      <c r="A3929" s="2" t="s">
        <v>57</v>
      </c>
      <c r="B3929">
        <v>53</v>
      </c>
      <c r="C3929" s="2" t="s">
        <v>165</v>
      </c>
      <c r="D3929">
        <v>53</v>
      </c>
    </row>
    <row r="3930" spans="1:4" hidden="1" x14ac:dyDescent="0.25">
      <c r="A3930" s="2" t="s">
        <v>57</v>
      </c>
      <c r="B3930">
        <v>53</v>
      </c>
      <c r="C3930" s="2" t="s">
        <v>166</v>
      </c>
      <c r="D3930">
        <v>53</v>
      </c>
    </row>
    <row r="3931" spans="1:4" hidden="1" x14ac:dyDescent="0.25">
      <c r="A3931" s="2" t="s">
        <v>57</v>
      </c>
      <c r="B3931">
        <v>53</v>
      </c>
      <c r="C3931" s="2" t="s">
        <v>167</v>
      </c>
      <c r="D3931">
        <v>53</v>
      </c>
    </row>
    <row r="3932" spans="1:4" hidden="1" x14ac:dyDescent="0.25">
      <c r="A3932" s="2" t="s">
        <v>57</v>
      </c>
      <c r="B3932">
        <v>53</v>
      </c>
      <c r="C3932" s="2" t="s">
        <v>168</v>
      </c>
      <c r="D3932">
        <v>53</v>
      </c>
    </row>
    <row r="3933" spans="1:4" hidden="1" x14ac:dyDescent="0.25">
      <c r="A3933" s="2" t="s">
        <v>57</v>
      </c>
      <c r="B3933">
        <v>53</v>
      </c>
      <c r="C3933" s="2" t="s">
        <v>169</v>
      </c>
      <c r="D3933">
        <v>53</v>
      </c>
    </row>
    <row r="3934" spans="1:4" hidden="1" x14ac:dyDescent="0.25">
      <c r="A3934" s="2" t="s">
        <v>57</v>
      </c>
      <c r="B3934">
        <v>53</v>
      </c>
      <c r="C3934" s="2" t="s">
        <v>170</v>
      </c>
      <c r="D3934">
        <v>53</v>
      </c>
    </row>
    <row r="3935" spans="1:4" hidden="1" x14ac:dyDescent="0.25">
      <c r="A3935" s="2" t="s">
        <v>57</v>
      </c>
      <c r="B3935">
        <v>53</v>
      </c>
      <c r="C3935" s="2" t="s">
        <v>171</v>
      </c>
      <c r="D3935">
        <v>53</v>
      </c>
    </row>
    <row r="3936" spans="1:4" hidden="1" x14ac:dyDescent="0.25">
      <c r="A3936" s="2" t="s">
        <v>57</v>
      </c>
      <c r="B3936">
        <v>53</v>
      </c>
      <c r="C3936" s="2" t="s">
        <v>172</v>
      </c>
      <c r="D3936">
        <v>53</v>
      </c>
    </row>
    <row r="3937" spans="1:4" hidden="1" x14ac:dyDescent="0.25">
      <c r="A3937" s="2" t="s">
        <v>57</v>
      </c>
      <c r="B3937">
        <v>53</v>
      </c>
      <c r="C3937" s="2" t="s">
        <v>173</v>
      </c>
      <c r="D3937">
        <v>53</v>
      </c>
    </row>
    <row r="3938" spans="1:4" hidden="1" x14ac:dyDescent="0.25">
      <c r="A3938" s="2" t="s">
        <v>57</v>
      </c>
      <c r="B3938">
        <v>53</v>
      </c>
      <c r="C3938" s="2" t="s">
        <v>174</v>
      </c>
      <c r="D3938">
        <v>53</v>
      </c>
    </row>
    <row r="3939" spans="1:4" hidden="1" x14ac:dyDescent="0.25">
      <c r="A3939" s="2" t="s">
        <v>57</v>
      </c>
      <c r="B3939">
        <v>53</v>
      </c>
      <c r="C3939" s="2" t="s">
        <v>175</v>
      </c>
      <c r="D3939">
        <v>53</v>
      </c>
    </row>
    <row r="3940" spans="1:4" hidden="1" x14ac:dyDescent="0.25">
      <c r="A3940" s="2" t="s">
        <v>57</v>
      </c>
      <c r="B3940">
        <v>53</v>
      </c>
      <c r="C3940" s="2" t="s">
        <v>176</v>
      </c>
      <c r="D3940">
        <v>53</v>
      </c>
    </row>
    <row r="3941" spans="1:4" hidden="1" x14ac:dyDescent="0.25">
      <c r="A3941" s="2" t="s">
        <v>57</v>
      </c>
      <c r="B3941">
        <v>53</v>
      </c>
      <c r="C3941" s="2" t="s">
        <v>177</v>
      </c>
      <c r="D3941">
        <v>53</v>
      </c>
    </row>
    <row r="3942" spans="1:4" hidden="1" x14ac:dyDescent="0.25">
      <c r="A3942" s="2" t="s">
        <v>57</v>
      </c>
      <c r="B3942">
        <v>53</v>
      </c>
      <c r="C3942" s="2" t="s">
        <v>178</v>
      </c>
      <c r="D3942">
        <v>53</v>
      </c>
    </row>
    <row r="3943" spans="1:4" hidden="1" x14ac:dyDescent="0.25">
      <c r="A3943" s="2" t="s">
        <v>57</v>
      </c>
      <c r="B3943">
        <v>53</v>
      </c>
      <c r="C3943" s="2" t="s">
        <v>179</v>
      </c>
      <c r="D3943">
        <v>53</v>
      </c>
    </row>
    <row r="3944" spans="1:4" hidden="1" x14ac:dyDescent="0.25">
      <c r="A3944" s="2" t="s">
        <v>73</v>
      </c>
      <c r="B3944">
        <v>53</v>
      </c>
      <c r="C3944" s="2" t="s">
        <v>183</v>
      </c>
      <c r="D3944">
        <v>78</v>
      </c>
    </row>
    <row r="3945" spans="1:4" hidden="1" x14ac:dyDescent="0.25">
      <c r="A3945" s="2" t="s">
        <v>73</v>
      </c>
      <c r="B3945">
        <v>53</v>
      </c>
      <c r="C3945" s="2" t="s">
        <v>184</v>
      </c>
      <c r="D3945">
        <v>77</v>
      </c>
    </row>
    <row r="3946" spans="1:4" hidden="1" x14ac:dyDescent="0.25">
      <c r="A3946" s="2" t="s">
        <v>73</v>
      </c>
      <c r="B3946">
        <v>53</v>
      </c>
      <c r="C3946" s="2" t="s">
        <v>185</v>
      </c>
      <c r="D3946">
        <v>61</v>
      </c>
    </row>
    <row r="3947" spans="1:4" hidden="1" x14ac:dyDescent="0.25">
      <c r="A3947" s="2" t="s">
        <v>73</v>
      </c>
      <c r="B3947">
        <v>53</v>
      </c>
      <c r="C3947" s="2" t="s">
        <v>186</v>
      </c>
      <c r="D3947">
        <v>32</v>
      </c>
    </row>
    <row r="3948" spans="1:4" hidden="1" x14ac:dyDescent="0.25">
      <c r="A3948" s="2" t="s">
        <v>73</v>
      </c>
      <c r="B3948">
        <v>53</v>
      </c>
      <c r="C3948" s="2" t="s">
        <v>187</v>
      </c>
      <c r="D3948">
        <v>32</v>
      </c>
    </row>
    <row r="3949" spans="1:4" hidden="1" x14ac:dyDescent="0.25">
      <c r="A3949" s="2" t="s">
        <v>73</v>
      </c>
      <c r="B3949">
        <v>53</v>
      </c>
      <c r="C3949" s="2" t="s">
        <v>188</v>
      </c>
      <c r="D3949">
        <v>33</v>
      </c>
    </row>
    <row r="3950" spans="1:4" hidden="1" x14ac:dyDescent="0.25">
      <c r="A3950" s="2" t="s">
        <v>73</v>
      </c>
      <c r="B3950">
        <v>53</v>
      </c>
      <c r="C3950" s="2" t="s">
        <v>189</v>
      </c>
      <c r="D3950">
        <v>42</v>
      </c>
    </row>
    <row r="3951" spans="1:4" hidden="1" x14ac:dyDescent="0.25">
      <c r="A3951" s="2" t="s">
        <v>73</v>
      </c>
      <c r="B3951">
        <v>53</v>
      </c>
      <c r="C3951" s="2" t="s">
        <v>190</v>
      </c>
      <c r="D3951">
        <v>43</v>
      </c>
    </row>
    <row r="3952" spans="1:4" hidden="1" x14ac:dyDescent="0.25">
      <c r="A3952" s="2" t="s">
        <v>73</v>
      </c>
      <c r="B3952">
        <v>53</v>
      </c>
      <c r="C3952" s="2" t="s">
        <v>191</v>
      </c>
      <c r="D3952">
        <v>48</v>
      </c>
    </row>
    <row r="3953" spans="1:4" hidden="1" x14ac:dyDescent="0.25">
      <c r="A3953" s="2" t="s">
        <v>73</v>
      </c>
      <c r="B3953">
        <v>53</v>
      </c>
      <c r="C3953" s="2" t="s">
        <v>116</v>
      </c>
      <c r="D3953">
        <v>50</v>
      </c>
    </row>
    <row r="3954" spans="1:4" hidden="1" x14ac:dyDescent="0.25">
      <c r="A3954" s="2" t="s">
        <v>73</v>
      </c>
      <c r="B3954">
        <v>53</v>
      </c>
      <c r="C3954" s="2" t="s">
        <v>117</v>
      </c>
      <c r="D3954">
        <v>49</v>
      </c>
    </row>
    <row r="3955" spans="1:4" hidden="1" x14ac:dyDescent="0.25">
      <c r="A3955" s="2" t="s">
        <v>73</v>
      </c>
      <c r="B3955">
        <v>53</v>
      </c>
      <c r="C3955" s="2" t="s">
        <v>118</v>
      </c>
      <c r="D3955">
        <v>53</v>
      </c>
    </row>
    <row r="3956" spans="1:4" hidden="1" x14ac:dyDescent="0.25">
      <c r="A3956" s="2" t="s">
        <v>73</v>
      </c>
      <c r="B3956">
        <v>53</v>
      </c>
      <c r="C3956" s="2" t="s">
        <v>119</v>
      </c>
      <c r="D3956">
        <v>77</v>
      </c>
    </row>
    <row r="3957" spans="1:4" hidden="1" x14ac:dyDescent="0.25">
      <c r="A3957" s="2" t="s">
        <v>73</v>
      </c>
      <c r="B3957">
        <v>53</v>
      </c>
      <c r="C3957" s="2" t="s">
        <v>120</v>
      </c>
      <c r="D3957">
        <v>81</v>
      </c>
    </row>
    <row r="3958" spans="1:4" hidden="1" x14ac:dyDescent="0.25">
      <c r="A3958" s="2" t="s">
        <v>73</v>
      </c>
      <c r="B3958">
        <v>53</v>
      </c>
      <c r="C3958" s="2" t="s">
        <v>121</v>
      </c>
      <c r="D3958">
        <v>79</v>
      </c>
    </row>
    <row r="3959" spans="1:4" hidden="1" x14ac:dyDescent="0.25">
      <c r="A3959" s="2" t="s">
        <v>73</v>
      </c>
      <c r="B3959">
        <v>53</v>
      </c>
      <c r="C3959" s="2" t="s">
        <v>122</v>
      </c>
      <c r="D3959">
        <v>78</v>
      </c>
    </row>
    <row r="3960" spans="1:4" hidden="1" x14ac:dyDescent="0.25">
      <c r="A3960" s="2" t="s">
        <v>73</v>
      </c>
      <c r="B3960">
        <v>53</v>
      </c>
      <c r="C3960" s="2" t="s">
        <v>123</v>
      </c>
      <c r="D3960">
        <v>83</v>
      </c>
    </row>
    <row r="3961" spans="1:4" hidden="1" x14ac:dyDescent="0.25">
      <c r="A3961" s="2" t="s">
        <v>73</v>
      </c>
      <c r="B3961">
        <v>53</v>
      </c>
      <c r="C3961" s="2" t="s">
        <v>124</v>
      </c>
      <c r="D3961">
        <v>85</v>
      </c>
    </row>
    <row r="3962" spans="1:4" hidden="1" x14ac:dyDescent="0.25">
      <c r="A3962" s="2" t="s">
        <v>73</v>
      </c>
      <c r="B3962">
        <v>53</v>
      </c>
      <c r="C3962" s="2" t="s">
        <v>125</v>
      </c>
      <c r="D3962">
        <v>84</v>
      </c>
    </row>
    <row r="3963" spans="1:4" hidden="1" x14ac:dyDescent="0.25">
      <c r="A3963" s="2" t="s">
        <v>73</v>
      </c>
      <c r="B3963">
        <v>53</v>
      </c>
      <c r="C3963" s="2" t="s">
        <v>126</v>
      </c>
      <c r="D3963">
        <v>87</v>
      </c>
    </row>
    <row r="3964" spans="1:4" hidden="1" x14ac:dyDescent="0.25">
      <c r="A3964" s="2" t="s">
        <v>73</v>
      </c>
      <c r="B3964">
        <v>53</v>
      </c>
      <c r="C3964" s="2" t="s">
        <v>127</v>
      </c>
      <c r="D3964">
        <v>91</v>
      </c>
    </row>
    <row r="3965" spans="1:4" hidden="1" x14ac:dyDescent="0.25">
      <c r="A3965" s="2" t="s">
        <v>73</v>
      </c>
      <c r="B3965">
        <v>53</v>
      </c>
      <c r="C3965" s="2" t="s">
        <v>128</v>
      </c>
      <c r="D3965">
        <v>70</v>
      </c>
    </row>
    <row r="3966" spans="1:4" hidden="1" x14ac:dyDescent="0.25">
      <c r="A3966" s="2" t="s">
        <v>73</v>
      </c>
      <c r="B3966">
        <v>53</v>
      </c>
      <c r="C3966" s="2" t="s">
        <v>129</v>
      </c>
      <c r="D3966">
        <v>70</v>
      </c>
    </row>
    <row r="3967" spans="1:4" hidden="1" x14ac:dyDescent="0.25">
      <c r="A3967" s="2" t="s">
        <v>73</v>
      </c>
      <c r="B3967">
        <v>53</v>
      </c>
      <c r="C3967" s="2" t="s">
        <v>130</v>
      </c>
      <c r="D3967">
        <v>69</v>
      </c>
    </row>
    <row r="3968" spans="1:4" hidden="1" x14ac:dyDescent="0.25">
      <c r="A3968" s="2" t="s">
        <v>73</v>
      </c>
      <c r="B3968">
        <v>53</v>
      </c>
      <c r="C3968" s="2" t="s">
        <v>131</v>
      </c>
      <c r="D3968">
        <v>68</v>
      </c>
    </row>
    <row r="3969" spans="1:4" hidden="1" x14ac:dyDescent="0.25">
      <c r="A3969" s="2" t="s">
        <v>73</v>
      </c>
      <c r="B3969">
        <v>53</v>
      </c>
      <c r="C3969" s="2" t="s">
        <v>132</v>
      </c>
      <c r="D3969">
        <v>69</v>
      </c>
    </row>
    <row r="3970" spans="1:4" hidden="1" x14ac:dyDescent="0.25">
      <c r="A3970" s="2" t="s">
        <v>73</v>
      </c>
      <c r="B3970">
        <v>53</v>
      </c>
      <c r="C3970" s="2" t="s">
        <v>133</v>
      </c>
      <c r="D3970">
        <v>69</v>
      </c>
    </row>
    <row r="3971" spans="1:4" hidden="1" x14ac:dyDescent="0.25">
      <c r="A3971" s="2" t="s">
        <v>73</v>
      </c>
      <c r="B3971">
        <v>53</v>
      </c>
      <c r="C3971" s="2" t="s">
        <v>134</v>
      </c>
      <c r="D3971">
        <v>68</v>
      </c>
    </row>
    <row r="3972" spans="1:4" hidden="1" x14ac:dyDescent="0.25">
      <c r="A3972" s="2" t="s">
        <v>73</v>
      </c>
      <c r="B3972">
        <v>53</v>
      </c>
      <c r="C3972" s="2" t="s">
        <v>135</v>
      </c>
      <c r="D3972">
        <v>53</v>
      </c>
    </row>
    <row r="3973" spans="1:4" hidden="1" x14ac:dyDescent="0.25">
      <c r="A3973" s="2" t="s">
        <v>73</v>
      </c>
      <c r="B3973">
        <v>53</v>
      </c>
      <c r="C3973" s="2" t="s">
        <v>136</v>
      </c>
      <c r="D3973">
        <v>53</v>
      </c>
    </row>
    <row r="3974" spans="1:4" hidden="1" x14ac:dyDescent="0.25">
      <c r="A3974" s="2" t="s">
        <v>73</v>
      </c>
      <c r="B3974">
        <v>53</v>
      </c>
      <c r="C3974" s="2" t="s">
        <v>137</v>
      </c>
      <c r="D3974">
        <v>53</v>
      </c>
    </row>
    <row r="3975" spans="1:4" hidden="1" x14ac:dyDescent="0.25">
      <c r="A3975" s="2" t="s">
        <v>73</v>
      </c>
      <c r="B3975">
        <v>53</v>
      </c>
      <c r="C3975" s="2" t="s">
        <v>138</v>
      </c>
      <c r="D3975">
        <v>53</v>
      </c>
    </row>
    <row r="3976" spans="1:4" hidden="1" x14ac:dyDescent="0.25">
      <c r="A3976" s="2" t="s">
        <v>73</v>
      </c>
      <c r="B3976">
        <v>53</v>
      </c>
      <c r="C3976" s="2" t="s">
        <v>139</v>
      </c>
      <c r="D3976">
        <v>53</v>
      </c>
    </row>
    <row r="3977" spans="1:4" hidden="1" x14ac:dyDescent="0.25">
      <c r="A3977" s="2" t="s">
        <v>73</v>
      </c>
      <c r="B3977">
        <v>53</v>
      </c>
      <c r="C3977" s="2" t="s">
        <v>140</v>
      </c>
      <c r="D3977">
        <v>53</v>
      </c>
    </row>
    <row r="3978" spans="1:4" hidden="1" x14ac:dyDescent="0.25">
      <c r="A3978" s="2" t="s">
        <v>73</v>
      </c>
      <c r="B3978">
        <v>53</v>
      </c>
      <c r="C3978" s="2" t="s">
        <v>141</v>
      </c>
      <c r="D3978">
        <v>53</v>
      </c>
    </row>
    <row r="3979" spans="1:4" hidden="1" x14ac:dyDescent="0.25">
      <c r="A3979" s="2" t="s">
        <v>73</v>
      </c>
      <c r="B3979">
        <v>53</v>
      </c>
      <c r="C3979" s="2" t="s">
        <v>142</v>
      </c>
      <c r="D3979">
        <v>53</v>
      </c>
    </row>
    <row r="3980" spans="1:4" hidden="1" x14ac:dyDescent="0.25">
      <c r="A3980" s="2" t="s">
        <v>73</v>
      </c>
      <c r="B3980">
        <v>53</v>
      </c>
      <c r="C3980" s="2" t="s">
        <v>143</v>
      </c>
      <c r="D3980">
        <v>53</v>
      </c>
    </row>
    <row r="3981" spans="1:4" hidden="1" x14ac:dyDescent="0.25">
      <c r="A3981" s="2" t="s">
        <v>73</v>
      </c>
      <c r="B3981">
        <v>53</v>
      </c>
      <c r="C3981" s="2" t="s">
        <v>144</v>
      </c>
      <c r="D3981">
        <v>53</v>
      </c>
    </row>
    <row r="3982" spans="1:4" hidden="1" x14ac:dyDescent="0.25">
      <c r="A3982" s="2" t="s">
        <v>73</v>
      </c>
      <c r="B3982">
        <v>53</v>
      </c>
      <c r="C3982" s="2" t="s">
        <v>145</v>
      </c>
      <c r="D3982">
        <v>53</v>
      </c>
    </row>
    <row r="3983" spans="1:4" hidden="1" x14ac:dyDescent="0.25">
      <c r="A3983" s="2" t="s">
        <v>73</v>
      </c>
      <c r="B3983">
        <v>53</v>
      </c>
      <c r="C3983" s="2" t="s">
        <v>146</v>
      </c>
      <c r="D3983">
        <v>53</v>
      </c>
    </row>
    <row r="3984" spans="1:4" hidden="1" x14ac:dyDescent="0.25">
      <c r="A3984" s="2" t="s">
        <v>73</v>
      </c>
      <c r="B3984">
        <v>53</v>
      </c>
      <c r="C3984" s="2" t="s">
        <v>147</v>
      </c>
      <c r="D3984">
        <v>53</v>
      </c>
    </row>
    <row r="3985" spans="1:4" hidden="1" x14ac:dyDescent="0.25">
      <c r="A3985" s="2" t="s">
        <v>73</v>
      </c>
      <c r="B3985">
        <v>53</v>
      </c>
      <c r="C3985" s="2" t="s">
        <v>148</v>
      </c>
      <c r="D3985">
        <v>53</v>
      </c>
    </row>
    <row r="3986" spans="1:4" hidden="1" x14ac:dyDescent="0.25">
      <c r="A3986" s="2" t="s">
        <v>73</v>
      </c>
      <c r="B3986">
        <v>53</v>
      </c>
      <c r="C3986" s="2" t="s">
        <v>149</v>
      </c>
      <c r="D3986">
        <v>53</v>
      </c>
    </row>
    <row r="3987" spans="1:4" hidden="1" x14ac:dyDescent="0.25">
      <c r="A3987" s="2" t="s">
        <v>73</v>
      </c>
      <c r="B3987">
        <v>53</v>
      </c>
      <c r="C3987" s="2" t="s">
        <v>150</v>
      </c>
      <c r="D3987">
        <v>53</v>
      </c>
    </row>
    <row r="3988" spans="1:4" hidden="1" x14ac:dyDescent="0.25">
      <c r="A3988" s="2" t="s">
        <v>73</v>
      </c>
      <c r="B3988">
        <v>53</v>
      </c>
      <c r="C3988" s="2" t="s">
        <v>151</v>
      </c>
      <c r="D3988">
        <v>53</v>
      </c>
    </row>
    <row r="3989" spans="1:4" hidden="1" x14ac:dyDescent="0.25">
      <c r="A3989" s="2" t="s">
        <v>73</v>
      </c>
      <c r="B3989">
        <v>53</v>
      </c>
      <c r="C3989" s="2" t="s">
        <v>152</v>
      </c>
      <c r="D3989">
        <v>53</v>
      </c>
    </row>
    <row r="3990" spans="1:4" hidden="1" x14ac:dyDescent="0.25">
      <c r="A3990" s="2" t="s">
        <v>73</v>
      </c>
      <c r="B3990">
        <v>53</v>
      </c>
      <c r="C3990" s="2" t="s">
        <v>153</v>
      </c>
      <c r="D3990">
        <v>53</v>
      </c>
    </row>
    <row r="3991" spans="1:4" hidden="1" x14ac:dyDescent="0.25">
      <c r="A3991" s="2" t="s">
        <v>73</v>
      </c>
      <c r="B3991">
        <v>53</v>
      </c>
      <c r="C3991" s="2" t="s">
        <v>154</v>
      </c>
      <c r="D3991">
        <v>53</v>
      </c>
    </row>
    <row r="3992" spans="1:4" hidden="1" x14ac:dyDescent="0.25">
      <c r="A3992" s="2" t="s">
        <v>73</v>
      </c>
      <c r="B3992">
        <v>53</v>
      </c>
      <c r="C3992" s="2" t="s">
        <v>155</v>
      </c>
      <c r="D3992">
        <v>53</v>
      </c>
    </row>
    <row r="3993" spans="1:4" hidden="1" x14ac:dyDescent="0.25">
      <c r="A3993" s="2" t="s">
        <v>73</v>
      </c>
      <c r="B3993">
        <v>53</v>
      </c>
      <c r="C3993" s="2" t="s">
        <v>156</v>
      </c>
      <c r="D3993">
        <v>53</v>
      </c>
    </row>
    <row r="3994" spans="1:4" hidden="1" x14ac:dyDescent="0.25">
      <c r="A3994" s="2" t="s">
        <v>73</v>
      </c>
      <c r="B3994">
        <v>53</v>
      </c>
      <c r="C3994" s="2" t="s">
        <v>157</v>
      </c>
      <c r="D3994">
        <v>53</v>
      </c>
    </row>
    <row r="3995" spans="1:4" hidden="1" x14ac:dyDescent="0.25">
      <c r="A3995" s="2" t="s">
        <v>73</v>
      </c>
      <c r="B3995">
        <v>53</v>
      </c>
      <c r="C3995" s="2" t="s">
        <v>158</v>
      </c>
      <c r="D3995">
        <v>53</v>
      </c>
    </row>
    <row r="3996" spans="1:4" hidden="1" x14ac:dyDescent="0.25">
      <c r="A3996" s="2" t="s">
        <v>73</v>
      </c>
      <c r="B3996">
        <v>53</v>
      </c>
      <c r="C3996" s="2" t="s">
        <v>159</v>
      </c>
      <c r="D3996">
        <v>53</v>
      </c>
    </row>
    <row r="3997" spans="1:4" hidden="1" x14ac:dyDescent="0.25">
      <c r="A3997" s="2" t="s">
        <v>73</v>
      </c>
      <c r="B3997">
        <v>53</v>
      </c>
      <c r="C3997" s="2" t="s">
        <v>160</v>
      </c>
      <c r="D3997">
        <v>53</v>
      </c>
    </row>
    <row r="3998" spans="1:4" hidden="1" x14ac:dyDescent="0.25">
      <c r="A3998" s="2" t="s">
        <v>73</v>
      </c>
      <c r="B3998">
        <v>53</v>
      </c>
      <c r="C3998" s="2" t="s">
        <v>161</v>
      </c>
      <c r="D3998">
        <v>53</v>
      </c>
    </row>
    <row r="3999" spans="1:4" hidden="1" x14ac:dyDescent="0.25">
      <c r="A3999" s="2" t="s">
        <v>73</v>
      </c>
      <c r="B3999">
        <v>53</v>
      </c>
      <c r="C3999" s="2" t="s">
        <v>162</v>
      </c>
      <c r="D3999">
        <v>53</v>
      </c>
    </row>
    <row r="4000" spans="1:4" hidden="1" x14ac:dyDescent="0.25">
      <c r="A4000" s="2" t="s">
        <v>73</v>
      </c>
      <c r="B4000">
        <v>53</v>
      </c>
      <c r="C4000" s="2" t="s">
        <v>163</v>
      </c>
      <c r="D4000">
        <v>53</v>
      </c>
    </row>
    <row r="4001" spans="1:4" hidden="1" x14ac:dyDescent="0.25">
      <c r="A4001" s="2" t="s">
        <v>73</v>
      </c>
      <c r="B4001">
        <v>53</v>
      </c>
      <c r="C4001" s="2" t="s">
        <v>164</v>
      </c>
      <c r="D4001">
        <v>53</v>
      </c>
    </row>
    <row r="4002" spans="1:4" hidden="1" x14ac:dyDescent="0.25">
      <c r="A4002" s="2" t="s">
        <v>73</v>
      </c>
      <c r="B4002">
        <v>53</v>
      </c>
      <c r="C4002" s="2" t="s">
        <v>165</v>
      </c>
      <c r="D4002">
        <v>53</v>
      </c>
    </row>
    <row r="4003" spans="1:4" hidden="1" x14ac:dyDescent="0.25">
      <c r="A4003" s="2" t="s">
        <v>73</v>
      </c>
      <c r="B4003">
        <v>53</v>
      </c>
      <c r="C4003" s="2" t="s">
        <v>166</v>
      </c>
      <c r="D4003">
        <v>53</v>
      </c>
    </row>
    <row r="4004" spans="1:4" hidden="1" x14ac:dyDescent="0.25">
      <c r="A4004" s="2" t="s">
        <v>73</v>
      </c>
      <c r="B4004">
        <v>53</v>
      </c>
      <c r="C4004" s="2" t="s">
        <v>167</v>
      </c>
      <c r="D4004">
        <v>53</v>
      </c>
    </row>
    <row r="4005" spans="1:4" hidden="1" x14ac:dyDescent="0.25">
      <c r="A4005" s="2" t="s">
        <v>73</v>
      </c>
      <c r="B4005">
        <v>53</v>
      </c>
      <c r="C4005" s="2" t="s">
        <v>168</v>
      </c>
      <c r="D4005">
        <v>53</v>
      </c>
    </row>
    <row r="4006" spans="1:4" hidden="1" x14ac:dyDescent="0.25">
      <c r="A4006" s="2" t="s">
        <v>73</v>
      </c>
      <c r="B4006">
        <v>53</v>
      </c>
      <c r="C4006" s="2" t="s">
        <v>169</v>
      </c>
      <c r="D4006">
        <v>53</v>
      </c>
    </row>
    <row r="4007" spans="1:4" hidden="1" x14ac:dyDescent="0.25">
      <c r="A4007" s="2" t="s">
        <v>73</v>
      </c>
      <c r="B4007">
        <v>53</v>
      </c>
      <c r="C4007" s="2" t="s">
        <v>170</v>
      </c>
      <c r="D4007">
        <v>53</v>
      </c>
    </row>
    <row r="4008" spans="1:4" hidden="1" x14ac:dyDescent="0.25">
      <c r="A4008" s="2" t="s">
        <v>73</v>
      </c>
      <c r="B4008">
        <v>53</v>
      </c>
      <c r="C4008" s="2" t="s">
        <v>171</v>
      </c>
      <c r="D4008">
        <v>53</v>
      </c>
    </row>
    <row r="4009" spans="1:4" hidden="1" x14ac:dyDescent="0.25">
      <c r="A4009" s="2" t="s">
        <v>73</v>
      </c>
      <c r="B4009">
        <v>53</v>
      </c>
      <c r="C4009" s="2" t="s">
        <v>172</v>
      </c>
      <c r="D4009">
        <v>53</v>
      </c>
    </row>
    <row r="4010" spans="1:4" hidden="1" x14ac:dyDescent="0.25">
      <c r="A4010" s="2" t="s">
        <v>73</v>
      </c>
      <c r="B4010">
        <v>53</v>
      </c>
      <c r="C4010" s="2" t="s">
        <v>173</v>
      </c>
      <c r="D4010">
        <v>53</v>
      </c>
    </row>
    <row r="4011" spans="1:4" hidden="1" x14ac:dyDescent="0.25">
      <c r="A4011" s="2" t="s">
        <v>73</v>
      </c>
      <c r="B4011">
        <v>53</v>
      </c>
      <c r="C4011" s="2" t="s">
        <v>174</v>
      </c>
      <c r="D4011">
        <v>53</v>
      </c>
    </row>
    <row r="4012" spans="1:4" hidden="1" x14ac:dyDescent="0.25">
      <c r="A4012" s="2" t="s">
        <v>73</v>
      </c>
      <c r="B4012">
        <v>53</v>
      </c>
      <c r="C4012" s="2" t="s">
        <v>175</v>
      </c>
      <c r="D4012">
        <v>53</v>
      </c>
    </row>
    <row r="4013" spans="1:4" hidden="1" x14ac:dyDescent="0.25">
      <c r="A4013" s="2" t="s">
        <v>73</v>
      </c>
      <c r="B4013">
        <v>53</v>
      </c>
      <c r="C4013" s="2" t="s">
        <v>176</v>
      </c>
      <c r="D4013">
        <v>53</v>
      </c>
    </row>
    <row r="4014" spans="1:4" hidden="1" x14ac:dyDescent="0.25">
      <c r="A4014" s="2" t="s">
        <v>73</v>
      </c>
      <c r="B4014">
        <v>53</v>
      </c>
      <c r="C4014" s="2" t="s">
        <v>177</v>
      </c>
      <c r="D4014">
        <v>53</v>
      </c>
    </row>
    <row r="4015" spans="1:4" hidden="1" x14ac:dyDescent="0.25">
      <c r="A4015" s="2" t="s">
        <v>73</v>
      </c>
      <c r="B4015">
        <v>53</v>
      </c>
      <c r="C4015" s="2" t="s">
        <v>178</v>
      </c>
      <c r="D4015">
        <v>53</v>
      </c>
    </row>
    <row r="4016" spans="1:4" hidden="1" x14ac:dyDescent="0.25">
      <c r="A4016" s="2" t="s">
        <v>73</v>
      </c>
      <c r="B4016">
        <v>53</v>
      </c>
      <c r="C4016" s="2" t="s">
        <v>179</v>
      </c>
      <c r="D4016">
        <v>53</v>
      </c>
    </row>
    <row r="4017" spans="1:4" hidden="1" x14ac:dyDescent="0.25">
      <c r="A4017" s="2" t="s">
        <v>13</v>
      </c>
      <c r="B4017">
        <v>56</v>
      </c>
      <c r="C4017" s="2" t="s">
        <v>183</v>
      </c>
      <c r="D4017">
        <v>78</v>
      </c>
    </row>
    <row r="4018" spans="1:4" hidden="1" x14ac:dyDescent="0.25">
      <c r="A4018" s="2" t="s">
        <v>13</v>
      </c>
      <c r="B4018">
        <v>56</v>
      </c>
      <c r="C4018" s="2" t="s">
        <v>184</v>
      </c>
      <c r="D4018">
        <v>77</v>
      </c>
    </row>
    <row r="4019" spans="1:4" hidden="1" x14ac:dyDescent="0.25">
      <c r="A4019" s="2" t="s">
        <v>13</v>
      </c>
      <c r="B4019">
        <v>56</v>
      </c>
      <c r="C4019" s="2" t="s">
        <v>185</v>
      </c>
      <c r="D4019">
        <v>61</v>
      </c>
    </row>
    <row r="4020" spans="1:4" hidden="1" x14ac:dyDescent="0.25">
      <c r="A4020" s="2" t="s">
        <v>13</v>
      </c>
      <c r="B4020">
        <v>56</v>
      </c>
      <c r="C4020" s="2" t="s">
        <v>186</v>
      </c>
      <c r="D4020">
        <v>83</v>
      </c>
    </row>
    <row r="4021" spans="1:4" hidden="1" x14ac:dyDescent="0.25">
      <c r="A4021" s="2" t="s">
        <v>13</v>
      </c>
      <c r="B4021">
        <v>56</v>
      </c>
      <c r="C4021" s="2" t="s">
        <v>187</v>
      </c>
      <c r="D4021">
        <v>77</v>
      </c>
    </row>
    <row r="4022" spans="1:4" hidden="1" x14ac:dyDescent="0.25">
      <c r="A4022" s="2" t="s">
        <v>13</v>
      </c>
      <c r="B4022">
        <v>56</v>
      </c>
      <c r="C4022" s="2" t="s">
        <v>188</v>
      </c>
      <c r="D4022">
        <v>75</v>
      </c>
    </row>
    <row r="4023" spans="1:4" hidden="1" x14ac:dyDescent="0.25">
      <c r="A4023" s="2" t="s">
        <v>13</v>
      </c>
      <c r="B4023">
        <v>56</v>
      </c>
      <c r="C4023" s="2" t="s">
        <v>189</v>
      </c>
      <c r="D4023">
        <v>81</v>
      </c>
    </row>
    <row r="4024" spans="1:4" hidden="1" x14ac:dyDescent="0.25">
      <c r="A4024" s="2" t="s">
        <v>13</v>
      </c>
      <c r="B4024">
        <v>56</v>
      </c>
      <c r="C4024" s="2" t="s">
        <v>190</v>
      </c>
      <c r="D4024">
        <v>83</v>
      </c>
    </row>
    <row r="4025" spans="1:4" hidden="1" x14ac:dyDescent="0.25">
      <c r="A4025" s="2" t="s">
        <v>13</v>
      </c>
      <c r="B4025">
        <v>56</v>
      </c>
      <c r="C4025" s="2" t="s">
        <v>191</v>
      </c>
      <c r="D4025">
        <v>82</v>
      </c>
    </row>
    <row r="4026" spans="1:4" hidden="1" x14ac:dyDescent="0.25">
      <c r="A4026" s="2" t="s">
        <v>13</v>
      </c>
      <c r="B4026">
        <v>56</v>
      </c>
      <c r="C4026" s="2" t="s">
        <v>116</v>
      </c>
      <c r="D4026">
        <v>79</v>
      </c>
    </row>
    <row r="4027" spans="1:4" hidden="1" x14ac:dyDescent="0.25">
      <c r="A4027" s="2" t="s">
        <v>13</v>
      </c>
      <c r="B4027">
        <v>56</v>
      </c>
      <c r="C4027" s="2" t="s">
        <v>117</v>
      </c>
      <c r="D4027">
        <v>75</v>
      </c>
    </row>
    <row r="4028" spans="1:4" hidden="1" x14ac:dyDescent="0.25">
      <c r="A4028" s="2" t="s">
        <v>13</v>
      </c>
      <c r="B4028">
        <v>56</v>
      </c>
      <c r="C4028" s="2" t="s">
        <v>118</v>
      </c>
      <c r="D4028">
        <v>48</v>
      </c>
    </row>
    <row r="4029" spans="1:4" hidden="1" x14ac:dyDescent="0.25">
      <c r="A4029" s="2" t="s">
        <v>13</v>
      </c>
      <c r="B4029">
        <v>56</v>
      </c>
      <c r="C4029" s="2" t="s">
        <v>119</v>
      </c>
      <c r="D4029">
        <v>43</v>
      </c>
    </row>
    <row r="4030" spans="1:4" hidden="1" x14ac:dyDescent="0.25">
      <c r="A4030" s="2" t="s">
        <v>13</v>
      </c>
      <c r="B4030">
        <v>56</v>
      </c>
      <c r="C4030" s="2" t="s">
        <v>120</v>
      </c>
      <c r="D4030">
        <v>52</v>
      </c>
    </row>
    <row r="4031" spans="1:4" hidden="1" x14ac:dyDescent="0.25">
      <c r="A4031" s="2" t="s">
        <v>13</v>
      </c>
      <c r="B4031">
        <v>56</v>
      </c>
      <c r="C4031" s="2" t="s">
        <v>121</v>
      </c>
      <c r="D4031">
        <v>51</v>
      </c>
    </row>
    <row r="4032" spans="1:4" hidden="1" x14ac:dyDescent="0.25">
      <c r="A4032" s="2" t="s">
        <v>13</v>
      </c>
      <c r="B4032">
        <v>56</v>
      </c>
      <c r="C4032" s="2" t="s">
        <v>122</v>
      </c>
      <c r="D4032">
        <v>65</v>
      </c>
    </row>
    <row r="4033" spans="1:4" hidden="1" x14ac:dyDescent="0.25">
      <c r="A4033" s="2" t="s">
        <v>13</v>
      </c>
      <c r="B4033">
        <v>56</v>
      </c>
      <c r="C4033" s="2" t="s">
        <v>123</v>
      </c>
      <c r="D4033">
        <v>46</v>
      </c>
    </row>
    <row r="4034" spans="1:4" hidden="1" x14ac:dyDescent="0.25">
      <c r="A4034" s="2" t="s">
        <v>13</v>
      </c>
      <c r="B4034">
        <v>56</v>
      </c>
      <c r="C4034" s="2" t="s">
        <v>124</v>
      </c>
      <c r="D4034">
        <v>24</v>
      </c>
    </row>
    <row r="4035" spans="1:4" hidden="1" x14ac:dyDescent="0.25">
      <c r="A4035" s="2" t="s">
        <v>13</v>
      </c>
      <c r="B4035">
        <v>56</v>
      </c>
      <c r="C4035" s="2" t="s">
        <v>125</v>
      </c>
      <c r="D4035">
        <v>49</v>
      </c>
    </row>
    <row r="4036" spans="1:4" hidden="1" x14ac:dyDescent="0.25">
      <c r="A4036" s="2" t="s">
        <v>13</v>
      </c>
      <c r="B4036">
        <v>56</v>
      </c>
      <c r="C4036" s="2" t="s">
        <v>126</v>
      </c>
      <c r="D4036">
        <v>52</v>
      </c>
    </row>
    <row r="4037" spans="1:4" hidden="1" x14ac:dyDescent="0.25">
      <c r="A4037" s="2" t="s">
        <v>13</v>
      </c>
      <c r="B4037">
        <v>56</v>
      </c>
      <c r="C4037" s="2" t="s">
        <v>127</v>
      </c>
      <c r="D4037">
        <v>51</v>
      </c>
    </row>
    <row r="4038" spans="1:4" hidden="1" x14ac:dyDescent="0.25">
      <c r="A4038" s="2" t="s">
        <v>13</v>
      </c>
      <c r="B4038">
        <v>56</v>
      </c>
      <c r="C4038" s="2" t="s">
        <v>128</v>
      </c>
      <c r="D4038">
        <v>56</v>
      </c>
    </row>
    <row r="4039" spans="1:4" hidden="1" x14ac:dyDescent="0.25">
      <c r="A4039" s="2" t="s">
        <v>13</v>
      </c>
      <c r="B4039">
        <v>56</v>
      </c>
      <c r="C4039" s="2" t="s">
        <v>129</v>
      </c>
      <c r="D4039">
        <v>74</v>
      </c>
    </row>
    <row r="4040" spans="1:4" hidden="1" x14ac:dyDescent="0.25">
      <c r="A4040" s="2" t="s">
        <v>13</v>
      </c>
      <c r="B4040">
        <v>56</v>
      </c>
      <c r="C4040" s="2" t="s">
        <v>130</v>
      </c>
      <c r="D4040">
        <v>57</v>
      </c>
    </row>
    <row r="4041" spans="1:4" hidden="1" x14ac:dyDescent="0.25">
      <c r="A4041" s="2" t="s">
        <v>13</v>
      </c>
      <c r="B4041">
        <v>56</v>
      </c>
      <c r="C4041" s="2" t="s">
        <v>131</v>
      </c>
      <c r="D4041">
        <v>45</v>
      </c>
    </row>
    <row r="4042" spans="1:4" hidden="1" x14ac:dyDescent="0.25">
      <c r="A4042" s="2" t="s">
        <v>13</v>
      </c>
      <c r="B4042">
        <v>56</v>
      </c>
      <c r="C4042" s="2" t="s">
        <v>132</v>
      </c>
      <c r="D4042">
        <v>47</v>
      </c>
    </row>
    <row r="4043" spans="1:4" hidden="1" x14ac:dyDescent="0.25">
      <c r="A4043" s="2" t="s">
        <v>13</v>
      </c>
      <c r="B4043">
        <v>56</v>
      </c>
      <c r="C4043" s="2" t="s">
        <v>133</v>
      </c>
      <c r="D4043">
        <v>47</v>
      </c>
    </row>
    <row r="4044" spans="1:4" hidden="1" x14ac:dyDescent="0.25">
      <c r="A4044" s="2" t="s">
        <v>13</v>
      </c>
      <c r="B4044">
        <v>56</v>
      </c>
      <c r="C4044" s="2" t="s">
        <v>134</v>
      </c>
      <c r="D4044">
        <v>42</v>
      </c>
    </row>
    <row r="4045" spans="1:4" hidden="1" x14ac:dyDescent="0.25">
      <c r="A4045" s="2" t="s">
        <v>13</v>
      </c>
      <c r="B4045">
        <v>56</v>
      </c>
      <c r="C4045" s="2" t="s">
        <v>135</v>
      </c>
      <c r="D4045">
        <v>56</v>
      </c>
    </row>
    <row r="4046" spans="1:4" hidden="1" x14ac:dyDescent="0.25">
      <c r="A4046" s="2" t="s">
        <v>13</v>
      </c>
      <c r="B4046">
        <v>56</v>
      </c>
      <c r="C4046" s="2" t="s">
        <v>136</v>
      </c>
      <c r="D4046">
        <v>56</v>
      </c>
    </row>
    <row r="4047" spans="1:4" hidden="1" x14ac:dyDescent="0.25">
      <c r="A4047" s="2" t="s">
        <v>13</v>
      </c>
      <c r="B4047">
        <v>56</v>
      </c>
      <c r="C4047" s="2" t="s">
        <v>137</v>
      </c>
      <c r="D4047">
        <v>56</v>
      </c>
    </row>
    <row r="4048" spans="1:4" hidden="1" x14ac:dyDescent="0.25">
      <c r="A4048" s="2" t="s">
        <v>13</v>
      </c>
      <c r="B4048">
        <v>56</v>
      </c>
      <c r="C4048" s="2" t="s">
        <v>138</v>
      </c>
      <c r="D4048">
        <v>56</v>
      </c>
    </row>
    <row r="4049" spans="1:4" hidden="1" x14ac:dyDescent="0.25">
      <c r="A4049" s="2" t="s">
        <v>13</v>
      </c>
      <c r="B4049">
        <v>56</v>
      </c>
      <c r="C4049" s="2" t="s">
        <v>139</v>
      </c>
      <c r="D4049">
        <v>56</v>
      </c>
    </row>
    <row r="4050" spans="1:4" hidden="1" x14ac:dyDescent="0.25">
      <c r="A4050" s="2" t="s">
        <v>13</v>
      </c>
      <c r="B4050">
        <v>56</v>
      </c>
      <c r="C4050" s="2" t="s">
        <v>140</v>
      </c>
      <c r="D4050">
        <v>56</v>
      </c>
    </row>
    <row r="4051" spans="1:4" hidden="1" x14ac:dyDescent="0.25">
      <c r="A4051" s="2" t="s">
        <v>13</v>
      </c>
      <c r="B4051">
        <v>56</v>
      </c>
      <c r="C4051" s="2" t="s">
        <v>141</v>
      </c>
      <c r="D4051">
        <v>56</v>
      </c>
    </row>
    <row r="4052" spans="1:4" hidden="1" x14ac:dyDescent="0.25">
      <c r="A4052" s="2" t="s">
        <v>13</v>
      </c>
      <c r="B4052">
        <v>56</v>
      </c>
      <c r="C4052" s="2" t="s">
        <v>142</v>
      </c>
      <c r="D4052">
        <v>56</v>
      </c>
    </row>
    <row r="4053" spans="1:4" hidden="1" x14ac:dyDescent="0.25">
      <c r="A4053" s="2" t="s">
        <v>13</v>
      </c>
      <c r="B4053">
        <v>56</v>
      </c>
      <c r="C4053" s="2" t="s">
        <v>143</v>
      </c>
      <c r="D4053">
        <v>56</v>
      </c>
    </row>
    <row r="4054" spans="1:4" hidden="1" x14ac:dyDescent="0.25">
      <c r="A4054" s="2" t="s">
        <v>13</v>
      </c>
      <c r="B4054">
        <v>56</v>
      </c>
      <c r="C4054" s="2" t="s">
        <v>144</v>
      </c>
      <c r="D4054">
        <v>56</v>
      </c>
    </row>
    <row r="4055" spans="1:4" hidden="1" x14ac:dyDescent="0.25">
      <c r="A4055" s="2" t="s">
        <v>13</v>
      </c>
      <c r="B4055">
        <v>56</v>
      </c>
      <c r="C4055" s="2" t="s">
        <v>145</v>
      </c>
      <c r="D4055">
        <v>56</v>
      </c>
    </row>
    <row r="4056" spans="1:4" hidden="1" x14ac:dyDescent="0.25">
      <c r="A4056" s="2" t="s">
        <v>13</v>
      </c>
      <c r="B4056">
        <v>56</v>
      </c>
      <c r="C4056" s="2" t="s">
        <v>146</v>
      </c>
      <c r="D4056">
        <v>56</v>
      </c>
    </row>
    <row r="4057" spans="1:4" hidden="1" x14ac:dyDescent="0.25">
      <c r="A4057" s="2" t="s">
        <v>13</v>
      </c>
      <c r="B4057">
        <v>56</v>
      </c>
      <c r="C4057" s="2" t="s">
        <v>147</v>
      </c>
      <c r="D4057">
        <v>56</v>
      </c>
    </row>
    <row r="4058" spans="1:4" hidden="1" x14ac:dyDescent="0.25">
      <c r="A4058" s="2" t="s">
        <v>13</v>
      </c>
      <c r="B4058">
        <v>56</v>
      </c>
      <c r="C4058" s="2" t="s">
        <v>148</v>
      </c>
      <c r="D4058">
        <v>56</v>
      </c>
    </row>
    <row r="4059" spans="1:4" hidden="1" x14ac:dyDescent="0.25">
      <c r="A4059" s="2" t="s">
        <v>13</v>
      </c>
      <c r="B4059">
        <v>56</v>
      </c>
      <c r="C4059" s="2" t="s">
        <v>149</v>
      </c>
      <c r="D4059">
        <v>56</v>
      </c>
    </row>
    <row r="4060" spans="1:4" hidden="1" x14ac:dyDescent="0.25">
      <c r="A4060" s="2" t="s">
        <v>13</v>
      </c>
      <c r="B4060">
        <v>56</v>
      </c>
      <c r="C4060" s="2" t="s">
        <v>150</v>
      </c>
      <c r="D4060">
        <v>56</v>
      </c>
    </row>
    <row r="4061" spans="1:4" hidden="1" x14ac:dyDescent="0.25">
      <c r="A4061" s="2" t="s">
        <v>13</v>
      </c>
      <c r="B4061">
        <v>56</v>
      </c>
      <c r="C4061" s="2" t="s">
        <v>151</v>
      </c>
      <c r="D4061">
        <v>56</v>
      </c>
    </row>
    <row r="4062" spans="1:4" hidden="1" x14ac:dyDescent="0.25">
      <c r="A4062" s="2" t="s">
        <v>13</v>
      </c>
      <c r="B4062">
        <v>56</v>
      </c>
      <c r="C4062" s="2" t="s">
        <v>152</v>
      </c>
      <c r="D4062">
        <v>56</v>
      </c>
    </row>
    <row r="4063" spans="1:4" hidden="1" x14ac:dyDescent="0.25">
      <c r="A4063" s="2" t="s">
        <v>13</v>
      </c>
      <c r="B4063">
        <v>56</v>
      </c>
      <c r="C4063" s="2" t="s">
        <v>153</v>
      </c>
      <c r="D4063">
        <v>56</v>
      </c>
    </row>
    <row r="4064" spans="1:4" hidden="1" x14ac:dyDescent="0.25">
      <c r="A4064" s="2" t="s">
        <v>13</v>
      </c>
      <c r="B4064">
        <v>56</v>
      </c>
      <c r="C4064" s="2" t="s">
        <v>154</v>
      </c>
      <c r="D4064">
        <v>56</v>
      </c>
    </row>
    <row r="4065" spans="1:4" hidden="1" x14ac:dyDescent="0.25">
      <c r="A4065" s="2" t="s">
        <v>13</v>
      </c>
      <c r="B4065">
        <v>56</v>
      </c>
      <c r="C4065" s="2" t="s">
        <v>155</v>
      </c>
      <c r="D4065">
        <v>56</v>
      </c>
    </row>
    <row r="4066" spans="1:4" hidden="1" x14ac:dyDescent="0.25">
      <c r="A4066" s="2" t="s">
        <v>13</v>
      </c>
      <c r="B4066">
        <v>56</v>
      </c>
      <c r="C4066" s="2" t="s">
        <v>156</v>
      </c>
      <c r="D4066">
        <v>56</v>
      </c>
    </row>
    <row r="4067" spans="1:4" hidden="1" x14ac:dyDescent="0.25">
      <c r="A4067" s="2" t="s">
        <v>13</v>
      </c>
      <c r="B4067">
        <v>56</v>
      </c>
      <c r="C4067" s="2" t="s">
        <v>157</v>
      </c>
      <c r="D4067">
        <v>56</v>
      </c>
    </row>
    <row r="4068" spans="1:4" hidden="1" x14ac:dyDescent="0.25">
      <c r="A4068" s="2" t="s">
        <v>13</v>
      </c>
      <c r="B4068">
        <v>56</v>
      </c>
      <c r="C4068" s="2" t="s">
        <v>158</v>
      </c>
      <c r="D4068">
        <v>56</v>
      </c>
    </row>
    <row r="4069" spans="1:4" hidden="1" x14ac:dyDescent="0.25">
      <c r="A4069" s="2" t="s">
        <v>13</v>
      </c>
      <c r="B4069">
        <v>56</v>
      </c>
      <c r="C4069" s="2" t="s">
        <v>159</v>
      </c>
      <c r="D4069">
        <v>56</v>
      </c>
    </row>
    <row r="4070" spans="1:4" hidden="1" x14ac:dyDescent="0.25">
      <c r="A4070" s="2" t="s">
        <v>13</v>
      </c>
      <c r="B4070">
        <v>56</v>
      </c>
      <c r="C4070" s="2" t="s">
        <v>160</v>
      </c>
      <c r="D4070">
        <v>56</v>
      </c>
    </row>
    <row r="4071" spans="1:4" hidden="1" x14ac:dyDescent="0.25">
      <c r="A4071" s="2" t="s">
        <v>13</v>
      </c>
      <c r="B4071">
        <v>56</v>
      </c>
      <c r="C4071" s="2" t="s">
        <v>161</v>
      </c>
      <c r="D4071">
        <v>56</v>
      </c>
    </row>
    <row r="4072" spans="1:4" hidden="1" x14ac:dyDescent="0.25">
      <c r="A4072" s="2" t="s">
        <v>13</v>
      </c>
      <c r="B4072">
        <v>56</v>
      </c>
      <c r="C4072" s="2" t="s">
        <v>162</v>
      </c>
      <c r="D4072">
        <v>56</v>
      </c>
    </row>
    <row r="4073" spans="1:4" hidden="1" x14ac:dyDescent="0.25">
      <c r="A4073" s="2" t="s">
        <v>13</v>
      </c>
      <c r="B4073">
        <v>56</v>
      </c>
      <c r="C4073" s="2" t="s">
        <v>163</v>
      </c>
      <c r="D4073">
        <v>56</v>
      </c>
    </row>
    <row r="4074" spans="1:4" hidden="1" x14ac:dyDescent="0.25">
      <c r="A4074" s="2" t="s">
        <v>13</v>
      </c>
      <c r="B4074">
        <v>56</v>
      </c>
      <c r="C4074" s="2" t="s">
        <v>164</v>
      </c>
      <c r="D4074">
        <v>56</v>
      </c>
    </row>
    <row r="4075" spans="1:4" hidden="1" x14ac:dyDescent="0.25">
      <c r="A4075" s="2" t="s">
        <v>13</v>
      </c>
      <c r="B4075">
        <v>56</v>
      </c>
      <c r="C4075" s="2" t="s">
        <v>165</v>
      </c>
      <c r="D4075">
        <v>56</v>
      </c>
    </row>
    <row r="4076" spans="1:4" hidden="1" x14ac:dyDescent="0.25">
      <c r="A4076" s="2" t="s">
        <v>13</v>
      </c>
      <c r="B4076">
        <v>56</v>
      </c>
      <c r="C4076" s="2" t="s">
        <v>166</v>
      </c>
      <c r="D4076">
        <v>56</v>
      </c>
    </row>
    <row r="4077" spans="1:4" hidden="1" x14ac:dyDescent="0.25">
      <c r="A4077" s="2" t="s">
        <v>13</v>
      </c>
      <c r="B4077">
        <v>56</v>
      </c>
      <c r="C4077" s="2" t="s">
        <v>167</v>
      </c>
      <c r="D4077">
        <v>56</v>
      </c>
    </row>
    <row r="4078" spans="1:4" hidden="1" x14ac:dyDescent="0.25">
      <c r="A4078" s="2" t="s">
        <v>13</v>
      </c>
      <c r="B4078">
        <v>56</v>
      </c>
      <c r="C4078" s="2" t="s">
        <v>168</v>
      </c>
      <c r="D4078">
        <v>56</v>
      </c>
    </row>
    <row r="4079" spans="1:4" hidden="1" x14ac:dyDescent="0.25">
      <c r="A4079" s="2" t="s">
        <v>13</v>
      </c>
      <c r="B4079">
        <v>56</v>
      </c>
      <c r="C4079" s="2" t="s">
        <v>169</v>
      </c>
      <c r="D4079">
        <v>56</v>
      </c>
    </row>
    <row r="4080" spans="1:4" hidden="1" x14ac:dyDescent="0.25">
      <c r="A4080" s="2" t="s">
        <v>13</v>
      </c>
      <c r="B4080">
        <v>56</v>
      </c>
      <c r="C4080" s="2" t="s">
        <v>170</v>
      </c>
      <c r="D4080">
        <v>56</v>
      </c>
    </row>
    <row r="4081" spans="1:4" hidden="1" x14ac:dyDescent="0.25">
      <c r="A4081" s="2" t="s">
        <v>13</v>
      </c>
      <c r="B4081">
        <v>56</v>
      </c>
      <c r="C4081" s="2" t="s">
        <v>171</v>
      </c>
      <c r="D4081">
        <v>56</v>
      </c>
    </row>
    <row r="4082" spans="1:4" hidden="1" x14ac:dyDescent="0.25">
      <c r="A4082" s="2" t="s">
        <v>13</v>
      </c>
      <c r="B4082">
        <v>56</v>
      </c>
      <c r="C4082" s="2" t="s">
        <v>172</v>
      </c>
      <c r="D4082">
        <v>56</v>
      </c>
    </row>
    <row r="4083" spans="1:4" hidden="1" x14ac:dyDescent="0.25">
      <c r="A4083" s="2" t="s">
        <v>13</v>
      </c>
      <c r="B4083">
        <v>56</v>
      </c>
      <c r="C4083" s="2" t="s">
        <v>173</v>
      </c>
      <c r="D4083">
        <v>56</v>
      </c>
    </row>
    <row r="4084" spans="1:4" hidden="1" x14ac:dyDescent="0.25">
      <c r="A4084" s="2" t="s">
        <v>13</v>
      </c>
      <c r="B4084">
        <v>56</v>
      </c>
      <c r="C4084" s="2" t="s">
        <v>174</v>
      </c>
      <c r="D4084">
        <v>56</v>
      </c>
    </row>
    <row r="4085" spans="1:4" hidden="1" x14ac:dyDescent="0.25">
      <c r="A4085" s="2" t="s">
        <v>13</v>
      </c>
      <c r="B4085">
        <v>56</v>
      </c>
      <c r="C4085" s="2" t="s">
        <v>175</v>
      </c>
      <c r="D4085">
        <v>56</v>
      </c>
    </row>
    <row r="4086" spans="1:4" hidden="1" x14ac:dyDescent="0.25">
      <c r="A4086" s="2" t="s">
        <v>13</v>
      </c>
      <c r="B4086">
        <v>56</v>
      </c>
      <c r="C4086" s="2" t="s">
        <v>176</v>
      </c>
      <c r="D4086">
        <v>56</v>
      </c>
    </row>
    <row r="4087" spans="1:4" hidden="1" x14ac:dyDescent="0.25">
      <c r="A4087" s="2" t="s">
        <v>13</v>
      </c>
      <c r="B4087">
        <v>56</v>
      </c>
      <c r="C4087" s="2" t="s">
        <v>177</v>
      </c>
      <c r="D4087">
        <v>56</v>
      </c>
    </row>
    <row r="4088" spans="1:4" hidden="1" x14ac:dyDescent="0.25">
      <c r="A4088" s="2" t="s">
        <v>13</v>
      </c>
      <c r="B4088">
        <v>56</v>
      </c>
      <c r="C4088" s="2" t="s">
        <v>178</v>
      </c>
      <c r="D4088">
        <v>56</v>
      </c>
    </row>
    <row r="4089" spans="1:4" hidden="1" x14ac:dyDescent="0.25">
      <c r="A4089" s="2" t="s">
        <v>13</v>
      </c>
      <c r="B4089">
        <v>56</v>
      </c>
      <c r="C4089" s="2" t="s">
        <v>179</v>
      </c>
      <c r="D4089">
        <v>56</v>
      </c>
    </row>
    <row r="4090" spans="1:4" hidden="1" x14ac:dyDescent="0.25">
      <c r="A4090" s="2" t="s">
        <v>19</v>
      </c>
      <c r="B4090">
        <v>56</v>
      </c>
      <c r="C4090" s="2" t="s">
        <v>183</v>
      </c>
      <c r="D4090">
        <v>1</v>
      </c>
    </row>
    <row r="4091" spans="1:4" hidden="1" x14ac:dyDescent="0.25">
      <c r="A4091" s="2" t="s">
        <v>19</v>
      </c>
      <c r="B4091">
        <v>56</v>
      </c>
      <c r="C4091" s="2" t="s">
        <v>184</v>
      </c>
      <c r="D4091">
        <v>1</v>
      </c>
    </row>
    <row r="4092" spans="1:4" hidden="1" x14ac:dyDescent="0.25">
      <c r="A4092" s="2" t="s">
        <v>19</v>
      </c>
      <c r="B4092">
        <v>56</v>
      </c>
      <c r="C4092" s="2" t="s">
        <v>185</v>
      </c>
      <c r="D4092">
        <v>61</v>
      </c>
    </row>
    <row r="4093" spans="1:4" hidden="1" x14ac:dyDescent="0.25">
      <c r="A4093" s="2" t="s">
        <v>19</v>
      </c>
      <c r="B4093">
        <v>56</v>
      </c>
      <c r="C4093" s="2" t="s">
        <v>186</v>
      </c>
      <c r="D4093">
        <v>83</v>
      </c>
    </row>
    <row r="4094" spans="1:4" hidden="1" x14ac:dyDescent="0.25">
      <c r="A4094" s="2" t="s">
        <v>19</v>
      </c>
      <c r="B4094">
        <v>56</v>
      </c>
      <c r="C4094" s="2" t="s">
        <v>187</v>
      </c>
      <c r="D4094">
        <v>85</v>
      </c>
    </row>
    <row r="4095" spans="1:4" hidden="1" x14ac:dyDescent="0.25">
      <c r="A4095" s="2" t="s">
        <v>19</v>
      </c>
      <c r="B4095">
        <v>56</v>
      </c>
      <c r="C4095" s="2" t="s">
        <v>188</v>
      </c>
      <c r="D4095">
        <v>84</v>
      </c>
    </row>
    <row r="4096" spans="1:4" hidden="1" x14ac:dyDescent="0.25">
      <c r="A4096" s="2" t="s">
        <v>19</v>
      </c>
      <c r="B4096">
        <v>56</v>
      </c>
      <c r="C4096" s="2" t="s">
        <v>189</v>
      </c>
      <c r="D4096">
        <v>90</v>
      </c>
    </row>
    <row r="4097" spans="1:4" hidden="1" x14ac:dyDescent="0.25">
      <c r="A4097" s="2" t="s">
        <v>19</v>
      </c>
      <c r="B4097">
        <v>56</v>
      </c>
      <c r="C4097" s="2" t="s">
        <v>190</v>
      </c>
      <c r="D4097">
        <v>94</v>
      </c>
    </row>
    <row r="4098" spans="1:4" hidden="1" x14ac:dyDescent="0.25">
      <c r="A4098" s="2" t="s">
        <v>19</v>
      </c>
      <c r="B4098">
        <v>56</v>
      </c>
      <c r="C4098" s="2" t="s">
        <v>191</v>
      </c>
      <c r="D4098">
        <v>77</v>
      </c>
    </row>
    <row r="4099" spans="1:4" hidden="1" x14ac:dyDescent="0.25">
      <c r="A4099" s="2" t="s">
        <v>19</v>
      </c>
      <c r="B4099">
        <v>56</v>
      </c>
      <c r="C4099" s="2" t="s">
        <v>116</v>
      </c>
      <c r="D4099">
        <v>79</v>
      </c>
    </row>
    <row r="4100" spans="1:4" hidden="1" x14ac:dyDescent="0.25">
      <c r="A4100" s="2" t="s">
        <v>19</v>
      </c>
      <c r="B4100">
        <v>56</v>
      </c>
      <c r="C4100" s="2" t="s">
        <v>117</v>
      </c>
      <c r="D4100">
        <v>75</v>
      </c>
    </row>
    <row r="4101" spans="1:4" hidden="1" x14ac:dyDescent="0.25">
      <c r="A4101" s="2" t="s">
        <v>19</v>
      </c>
      <c r="B4101">
        <v>56</v>
      </c>
      <c r="C4101" s="2" t="s">
        <v>118</v>
      </c>
      <c r="D4101">
        <v>76</v>
      </c>
    </row>
    <row r="4102" spans="1:4" hidden="1" x14ac:dyDescent="0.25">
      <c r="A4102" s="2" t="s">
        <v>19</v>
      </c>
      <c r="B4102">
        <v>56</v>
      </c>
      <c r="C4102" s="2" t="s">
        <v>119</v>
      </c>
      <c r="D4102">
        <v>90</v>
      </c>
    </row>
    <row r="4103" spans="1:4" hidden="1" x14ac:dyDescent="0.25">
      <c r="A4103" s="2" t="s">
        <v>19</v>
      </c>
      <c r="B4103">
        <v>56</v>
      </c>
      <c r="C4103" s="2" t="s">
        <v>120</v>
      </c>
      <c r="D4103">
        <v>92</v>
      </c>
    </row>
    <row r="4104" spans="1:4" hidden="1" x14ac:dyDescent="0.25">
      <c r="A4104" s="2" t="s">
        <v>19</v>
      </c>
      <c r="B4104">
        <v>56</v>
      </c>
      <c r="C4104" s="2" t="s">
        <v>121</v>
      </c>
      <c r="D4104">
        <v>92</v>
      </c>
    </row>
    <row r="4105" spans="1:4" hidden="1" x14ac:dyDescent="0.25">
      <c r="A4105" s="2" t="s">
        <v>19</v>
      </c>
      <c r="B4105">
        <v>56</v>
      </c>
      <c r="C4105" s="2" t="s">
        <v>122</v>
      </c>
      <c r="D4105">
        <v>108</v>
      </c>
    </row>
    <row r="4106" spans="1:4" hidden="1" x14ac:dyDescent="0.25">
      <c r="A4106" s="2" t="s">
        <v>19</v>
      </c>
      <c r="B4106">
        <v>56</v>
      </c>
      <c r="C4106" s="2" t="s">
        <v>123</v>
      </c>
      <c r="D4106">
        <v>97</v>
      </c>
    </row>
    <row r="4107" spans="1:4" hidden="1" x14ac:dyDescent="0.25">
      <c r="A4107" s="2" t="s">
        <v>19</v>
      </c>
      <c r="B4107">
        <v>56</v>
      </c>
      <c r="C4107" s="2" t="s">
        <v>124</v>
      </c>
      <c r="D4107">
        <v>99</v>
      </c>
    </row>
    <row r="4108" spans="1:4" hidden="1" x14ac:dyDescent="0.25">
      <c r="A4108" s="2" t="s">
        <v>19</v>
      </c>
      <c r="B4108">
        <v>56</v>
      </c>
      <c r="C4108" s="2" t="s">
        <v>125</v>
      </c>
      <c r="D4108">
        <v>76</v>
      </c>
    </row>
    <row r="4109" spans="1:4" hidden="1" x14ac:dyDescent="0.25">
      <c r="A4109" s="2" t="s">
        <v>19</v>
      </c>
      <c r="B4109">
        <v>56</v>
      </c>
      <c r="C4109" s="2" t="s">
        <v>126</v>
      </c>
      <c r="D4109">
        <v>76</v>
      </c>
    </row>
    <row r="4110" spans="1:4" hidden="1" x14ac:dyDescent="0.25">
      <c r="A4110" s="2" t="s">
        <v>19</v>
      </c>
      <c r="B4110">
        <v>56</v>
      </c>
      <c r="C4110" s="2" t="s">
        <v>127</v>
      </c>
      <c r="D4110">
        <v>76</v>
      </c>
    </row>
    <row r="4111" spans="1:4" hidden="1" x14ac:dyDescent="0.25">
      <c r="A4111" s="2" t="s">
        <v>19</v>
      </c>
      <c r="B4111">
        <v>56</v>
      </c>
      <c r="C4111" s="2" t="s">
        <v>128</v>
      </c>
      <c r="D4111">
        <v>70</v>
      </c>
    </row>
    <row r="4112" spans="1:4" hidden="1" x14ac:dyDescent="0.25">
      <c r="A4112" s="2" t="s">
        <v>19</v>
      </c>
      <c r="B4112">
        <v>56</v>
      </c>
      <c r="C4112" s="2" t="s">
        <v>129</v>
      </c>
      <c r="D4112">
        <v>60</v>
      </c>
    </row>
    <row r="4113" spans="1:4" hidden="1" x14ac:dyDescent="0.25">
      <c r="A4113" s="2" t="s">
        <v>19</v>
      </c>
      <c r="B4113">
        <v>56</v>
      </c>
      <c r="C4113" s="2" t="s">
        <v>130</v>
      </c>
      <c r="D4113">
        <v>40</v>
      </c>
    </row>
    <row r="4114" spans="1:4" hidden="1" x14ac:dyDescent="0.25">
      <c r="A4114" s="2" t="s">
        <v>19</v>
      </c>
      <c r="B4114">
        <v>56</v>
      </c>
      <c r="C4114" s="2" t="s">
        <v>131</v>
      </c>
      <c r="D4114">
        <v>58</v>
      </c>
    </row>
    <row r="4115" spans="1:4" hidden="1" x14ac:dyDescent="0.25">
      <c r="A4115" s="2" t="s">
        <v>19</v>
      </c>
      <c r="B4115">
        <v>56</v>
      </c>
      <c r="C4115" s="2" t="s">
        <v>132</v>
      </c>
      <c r="D4115">
        <v>59</v>
      </c>
    </row>
    <row r="4116" spans="1:4" hidden="1" x14ac:dyDescent="0.25">
      <c r="A4116" s="2" t="s">
        <v>19</v>
      </c>
      <c r="B4116">
        <v>56</v>
      </c>
      <c r="C4116" s="2" t="s">
        <v>133</v>
      </c>
      <c r="D4116">
        <v>59</v>
      </c>
    </row>
    <row r="4117" spans="1:4" hidden="1" x14ac:dyDescent="0.25">
      <c r="A4117" s="2" t="s">
        <v>19</v>
      </c>
      <c r="B4117">
        <v>56</v>
      </c>
      <c r="C4117" s="2" t="s">
        <v>134</v>
      </c>
      <c r="D4117">
        <v>58</v>
      </c>
    </row>
    <row r="4118" spans="1:4" hidden="1" x14ac:dyDescent="0.25">
      <c r="A4118" s="2" t="s">
        <v>19</v>
      </c>
      <c r="B4118">
        <v>56</v>
      </c>
      <c r="C4118" s="2" t="s">
        <v>135</v>
      </c>
      <c r="D4118">
        <v>56</v>
      </c>
    </row>
    <row r="4119" spans="1:4" hidden="1" x14ac:dyDescent="0.25">
      <c r="A4119" s="2" t="s">
        <v>19</v>
      </c>
      <c r="B4119">
        <v>56</v>
      </c>
      <c r="C4119" s="2" t="s">
        <v>136</v>
      </c>
      <c r="D4119">
        <v>56</v>
      </c>
    </row>
    <row r="4120" spans="1:4" hidden="1" x14ac:dyDescent="0.25">
      <c r="A4120" s="2" t="s">
        <v>19</v>
      </c>
      <c r="B4120">
        <v>56</v>
      </c>
      <c r="C4120" s="2" t="s">
        <v>137</v>
      </c>
      <c r="D4120">
        <v>56</v>
      </c>
    </row>
    <row r="4121" spans="1:4" hidden="1" x14ac:dyDescent="0.25">
      <c r="A4121" s="2" t="s">
        <v>19</v>
      </c>
      <c r="B4121">
        <v>56</v>
      </c>
      <c r="C4121" s="2" t="s">
        <v>138</v>
      </c>
      <c r="D4121">
        <v>56</v>
      </c>
    </row>
    <row r="4122" spans="1:4" hidden="1" x14ac:dyDescent="0.25">
      <c r="A4122" s="2" t="s">
        <v>19</v>
      </c>
      <c r="B4122">
        <v>56</v>
      </c>
      <c r="C4122" s="2" t="s">
        <v>139</v>
      </c>
      <c r="D4122">
        <v>56</v>
      </c>
    </row>
    <row r="4123" spans="1:4" hidden="1" x14ac:dyDescent="0.25">
      <c r="A4123" s="2" t="s">
        <v>19</v>
      </c>
      <c r="B4123">
        <v>56</v>
      </c>
      <c r="C4123" s="2" t="s">
        <v>140</v>
      </c>
      <c r="D4123">
        <v>56</v>
      </c>
    </row>
    <row r="4124" spans="1:4" hidden="1" x14ac:dyDescent="0.25">
      <c r="A4124" s="2" t="s">
        <v>19</v>
      </c>
      <c r="B4124">
        <v>56</v>
      </c>
      <c r="C4124" s="2" t="s">
        <v>141</v>
      </c>
      <c r="D4124">
        <v>56</v>
      </c>
    </row>
    <row r="4125" spans="1:4" hidden="1" x14ac:dyDescent="0.25">
      <c r="A4125" s="2" t="s">
        <v>19</v>
      </c>
      <c r="B4125">
        <v>56</v>
      </c>
      <c r="C4125" s="2" t="s">
        <v>142</v>
      </c>
      <c r="D4125">
        <v>56</v>
      </c>
    </row>
    <row r="4126" spans="1:4" hidden="1" x14ac:dyDescent="0.25">
      <c r="A4126" s="2" t="s">
        <v>19</v>
      </c>
      <c r="B4126">
        <v>56</v>
      </c>
      <c r="C4126" s="2" t="s">
        <v>143</v>
      </c>
      <c r="D4126">
        <v>56</v>
      </c>
    </row>
    <row r="4127" spans="1:4" hidden="1" x14ac:dyDescent="0.25">
      <c r="A4127" s="2" t="s">
        <v>19</v>
      </c>
      <c r="B4127">
        <v>56</v>
      </c>
      <c r="C4127" s="2" t="s">
        <v>144</v>
      </c>
      <c r="D4127">
        <v>56</v>
      </c>
    </row>
    <row r="4128" spans="1:4" hidden="1" x14ac:dyDescent="0.25">
      <c r="A4128" s="2" t="s">
        <v>19</v>
      </c>
      <c r="B4128">
        <v>56</v>
      </c>
      <c r="C4128" s="2" t="s">
        <v>145</v>
      </c>
      <c r="D4128">
        <v>56</v>
      </c>
    </row>
    <row r="4129" spans="1:4" hidden="1" x14ac:dyDescent="0.25">
      <c r="A4129" s="2" t="s">
        <v>19</v>
      </c>
      <c r="B4129">
        <v>56</v>
      </c>
      <c r="C4129" s="2" t="s">
        <v>146</v>
      </c>
      <c r="D4129">
        <v>56</v>
      </c>
    </row>
    <row r="4130" spans="1:4" hidden="1" x14ac:dyDescent="0.25">
      <c r="A4130" s="2" t="s">
        <v>19</v>
      </c>
      <c r="B4130">
        <v>56</v>
      </c>
      <c r="C4130" s="2" t="s">
        <v>147</v>
      </c>
      <c r="D4130">
        <v>56</v>
      </c>
    </row>
    <row r="4131" spans="1:4" hidden="1" x14ac:dyDescent="0.25">
      <c r="A4131" s="2" t="s">
        <v>19</v>
      </c>
      <c r="B4131">
        <v>56</v>
      </c>
      <c r="C4131" s="2" t="s">
        <v>148</v>
      </c>
      <c r="D4131">
        <v>56</v>
      </c>
    </row>
    <row r="4132" spans="1:4" hidden="1" x14ac:dyDescent="0.25">
      <c r="A4132" s="2" t="s">
        <v>19</v>
      </c>
      <c r="B4132">
        <v>56</v>
      </c>
      <c r="C4132" s="2" t="s">
        <v>149</v>
      </c>
      <c r="D4132">
        <v>56</v>
      </c>
    </row>
    <row r="4133" spans="1:4" hidden="1" x14ac:dyDescent="0.25">
      <c r="A4133" s="2" t="s">
        <v>19</v>
      </c>
      <c r="B4133">
        <v>56</v>
      </c>
      <c r="C4133" s="2" t="s">
        <v>150</v>
      </c>
      <c r="D4133">
        <v>56</v>
      </c>
    </row>
    <row r="4134" spans="1:4" hidden="1" x14ac:dyDescent="0.25">
      <c r="A4134" s="2" t="s">
        <v>19</v>
      </c>
      <c r="B4134">
        <v>56</v>
      </c>
      <c r="C4134" s="2" t="s">
        <v>151</v>
      </c>
      <c r="D4134">
        <v>56</v>
      </c>
    </row>
    <row r="4135" spans="1:4" hidden="1" x14ac:dyDescent="0.25">
      <c r="A4135" s="2" t="s">
        <v>19</v>
      </c>
      <c r="B4135">
        <v>56</v>
      </c>
      <c r="C4135" s="2" t="s">
        <v>152</v>
      </c>
      <c r="D4135">
        <v>56</v>
      </c>
    </row>
    <row r="4136" spans="1:4" hidden="1" x14ac:dyDescent="0.25">
      <c r="A4136" s="2" t="s">
        <v>19</v>
      </c>
      <c r="B4136">
        <v>56</v>
      </c>
      <c r="C4136" s="2" t="s">
        <v>153</v>
      </c>
      <c r="D4136">
        <v>56</v>
      </c>
    </row>
    <row r="4137" spans="1:4" hidden="1" x14ac:dyDescent="0.25">
      <c r="A4137" s="2" t="s">
        <v>19</v>
      </c>
      <c r="B4137">
        <v>56</v>
      </c>
      <c r="C4137" s="2" t="s">
        <v>154</v>
      </c>
      <c r="D4137">
        <v>56</v>
      </c>
    </row>
    <row r="4138" spans="1:4" hidden="1" x14ac:dyDescent="0.25">
      <c r="A4138" s="2" t="s">
        <v>19</v>
      </c>
      <c r="B4138">
        <v>56</v>
      </c>
      <c r="C4138" s="2" t="s">
        <v>155</v>
      </c>
      <c r="D4138">
        <v>56</v>
      </c>
    </row>
    <row r="4139" spans="1:4" hidden="1" x14ac:dyDescent="0.25">
      <c r="A4139" s="2" t="s">
        <v>19</v>
      </c>
      <c r="B4139">
        <v>56</v>
      </c>
      <c r="C4139" s="2" t="s">
        <v>156</v>
      </c>
      <c r="D4139">
        <v>56</v>
      </c>
    </row>
    <row r="4140" spans="1:4" hidden="1" x14ac:dyDescent="0.25">
      <c r="A4140" s="2" t="s">
        <v>19</v>
      </c>
      <c r="B4140">
        <v>56</v>
      </c>
      <c r="C4140" s="2" t="s">
        <v>157</v>
      </c>
      <c r="D4140">
        <v>56</v>
      </c>
    </row>
    <row r="4141" spans="1:4" hidden="1" x14ac:dyDescent="0.25">
      <c r="A4141" s="2" t="s">
        <v>19</v>
      </c>
      <c r="B4141">
        <v>56</v>
      </c>
      <c r="C4141" s="2" t="s">
        <v>158</v>
      </c>
      <c r="D4141">
        <v>56</v>
      </c>
    </row>
    <row r="4142" spans="1:4" hidden="1" x14ac:dyDescent="0.25">
      <c r="A4142" s="2" t="s">
        <v>19</v>
      </c>
      <c r="B4142">
        <v>56</v>
      </c>
      <c r="C4142" s="2" t="s">
        <v>159</v>
      </c>
      <c r="D4142">
        <v>56</v>
      </c>
    </row>
    <row r="4143" spans="1:4" hidden="1" x14ac:dyDescent="0.25">
      <c r="A4143" s="2" t="s">
        <v>19</v>
      </c>
      <c r="B4143">
        <v>56</v>
      </c>
      <c r="C4143" s="2" t="s">
        <v>160</v>
      </c>
      <c r="D4143">
        <v>56</v>
      </c>
    </row>
    <row r="4144" spans="1:4" hidden="1" x14ac:dyDescent="0.25">
      <c r="A4144" s="2" t="s">
        <v>19</v>
      </c>
      <c r="B4144">
        <v>56</v>
      </c>
      <c r="C4144" s="2" t="s">
        <v>161</v>
      </c>
      <c r="D4144">
        <v>56</v>
      </c>
    </row>
    <row r="4145" spans="1:4" hidden="1" x14ac:dyDescent="0.25">
      <c r="A4145" s="2" t="s">
        <v>19</v>
      </c>
      <c r="B4145">
        <v>56</v>
      </c>
      <c r="C4145" s="2" t="s">
        <v>162</v>
      </c>
      <c r="D4145">
        <v>56</v>
      </c>
    </row>
    <row r="4146" spans="1:4" hidden="1" x14ac:dyDescent="0.25">
      <c r="A4146" s="2" t="s">
        <v>19</v>
      </c>
      <c r="B4146">
        <v>56</v>
      </c>
      <c r="C4146" s="2" t="s">
        <v>163</v>
      </c>
      <c r="D4146">
        <v>56</v>
      </c>
    </row>
    <row r="4147" spans="1:4" hidden="1" x14ac:dyDescent="0.25">
      <c r="A4147" s="2" t="s">
        <v>19</v>
      </c>
      <c r="B4147">
        <v>56</v>
      </c>
      <c r="C4147" s="2" t="s">
        <v>164</v>
      </c>
      <c r="D4147">
        <v>56</v>
      </c>
    </row>
    <row r="4148" spans="1:4" hidden="1" x14ac:dyDescent="0.25">
      <c r="A4148" s="2" t="s">
        <v>19</v>
      </c>
      <c r="B4148">
        <v>56</v>
      </c>
      <c r="C4148" s="2" t="s">
        <v>165</v>
      </c>
      <c r="D4148">
        <v>56</v>
      </c>
    </row>
    <row r="4149" spans="1:4" hidden="1" x14ac:dyDescent="0.25">
      <c r="A4149" s="2" t="s">
        <v>19</v>
      </c>
      <c r="B4149">
        <v>56</v>
      </c>
      <c r="C4149" s="2" t="s">
        <v>166</v>
      </c>
      <c r="D4149">
        <v>56</v>
      </c>
    </row>
    <row r="4150" spans="1:4" hidden="1" x14ac:dyDescent="0.25">
      <c r="A4150" s="2" t="s">
        <v>19</v>
      </c>
      <c r="B4150">
        <v>56</v>
      </c>
      <c r="C4150" s="2" t="s">
        <v>167</v>
      </c>
      <c r="D4150">
        <v>56</v>
      </c>
    </row>
    <row r="4151" spans="1:4" hidden="1" x14ac:dyDescent="0.25">
      <c r="A4151" s="2" t="s">
        <v>19</v>
      </c>
      <c r="B4151">
        <v>56</v>
      </c>
      <c r="C4151" s="2" t="s">
        <v>168</v>
      </c>
      <c r="D4151">
        <v>56</v>
      </c>
    </row>
    <row r="4152" spans="1:4" hidden="1" x14ac:dyDescent="0.25">
      <c r="A4152" s="2" t="s">
        <v>19</v>
      </c>
      <c r="B4152">
        <v>56</v>
      </c>
      <c r="C4152" s="2" t="s">
        <v>169</v>
      </c>
      <c r="D4152">
        <v>56</v>
      </c>
    </row>
    <row r="4153" spans="1:4" hidden="1" x14ac:dyDescent="0.25">
      <c r="A4153" s="2" t="s">
        <v>19</v>
      </c>
      <c r="B4153">
        <v>56</v>
      </c>
      <c r="C4153" s="2" t="s">
        <v>170</v>
      </c>
      <c r="D4153">
        <v>56</v>
      </c>
    </row>
    <row r="4154" spans="1:4" hidden="1" x14ac:dyDescent="0.25">
      <c r="A4154" s="2" t="s">
        <v>19</v>
      </c>
      <c r="B4154">
        <v>56</v>
      </c>
      <c r="C4154" s="2" t="s">
        <v>171</v>
      </c>
      <c r="D4154">
        <v>56</v>
      </c>
    </row>
    <row r="4155" spans="1:4" hidden="1" x14ac:dyDescent="0.25">
      <c r="A4155" s="2" t="s">
        <v>19</v>
      </c>
      <c r="B4155">
        <v>56</v>
      </c>
      <c r="C4155" s="2" t="s">
        <v>172</v>
      </c>
      <c r="D4155">
        <v>56</v>
      </c>
    </row>
    <row r="4156" spans="1:4" hidden="1" x14ac:dyDescent="0.25">
      <c r="A4156" s="2" t="s">
        <v>19</v>
      </c>
      <c r="B4156">
        <v>56</v>
      </c>
      <c r="C4156" s="2" t="s">
        <v>173</v>
      </c>
      <c r="D4156">
        <v>56</v>
      </c>
    </row>
    <row r="4157" spans="1:4" hidden="1" x14ac:dyDescent="0.25">
      <c r="A4157" s="2" t="s">
        <v>19</v>
      </c>
      <c r="B4157">
        <v>56</v>
      </c>
      <c r="C4157" s="2" t="s">
        <v>174</v>
      </c>
      <c r="D4157">
        <v>56</v>
      </c>
    </row>
    <row r="4158" spans="1:4" hidden="1" x14ac:dyDescent="0.25">
      <c r="A4158" s="2" t="s">
        <v>19</v>
      </c>
      <c r="B4158">
        <v>56</v>
      </c>
      <c r="C4158" s="2" t="s">
        <v>175</v>
      </c>
      <c r="D4158">
        <v>56</v>
      </c>
    </row>
    <row r="4159" spans="1:4" hidden="1" x14ac:dyDescent="0.25">
      <c r="A4159" s="2" t="s">
        <v>19</v>
      </c>
      <c r="B4159">
        <v>56</v>
      </c>
      <c r="C4159" s="2" t="s">
        <v>176</v>
      </c>
      <c r="D4159">
        <v>56</v>
      </c>
    </row>
    <row r="4160" spans="1:4" hidden="1" x14ac:dyDescent="0.25">
      <c r="A4160" s="2" t="s">
        <v>19</v>
      </c>
      <c r="B4160">
        <v>56</v>
      </c>
      <c r="C4160" s="2" t="s">
        <v>177</v>
      </c>
      <c r="D4160">
        <v>56</v>
      </c>
    </row>
    <row r="4161" spans="1:4" hidden="1" x14ac:dyDescent="0.25">
      <c r="A4161" s="2" t="s">
        <v>19</v>
      </c>
      <c r="B4161">
        <v>56</v>
      </c>
      <c r="C4161" s="2" t="s">
        <v>178</v>
      </c>
      <c r="D4161">
        <v>56</v>
      </c>
    </row>
    <row r="4162" spans="1:4" hidden="1" x14ac:dyDescent="0.25">
      <c r="A4162" s="2" t="s">
        <v>19</v>
      </c>
      <c r="B4162">
        <v>56</v>
      </c>
      <c r="C4162" s="2" t="s">
        <v>179</v>
      </c>
      <c r="D4162">
        <v>56</v>
      </c>
    </row>
    <row r="4163" spans="1:4" hidden="1" x14ac:dyDescent="0.25">
      <c r="A4163" s="2" t="s">
        <v>83</v>
      </c>
      <c r="B4163">
        <v>58</v>
      </c>
      <c r="C4163" s="2" t="s">
        <v>183</v>
      </c>
      <c r="D4163">
        <v>78</v>
      </c>
    </row>
    <row r="4164" spans="1:4" hidden="1" x14ac:dyDescent="0.25">
      <c r="A4164" s="2" t="s">
        <v>83</v>
      </c>
      <c r="B4164">
        <v>58</v>
      </c>
      <c r="C4164" s="2" t="s">
        <v>184</v>
      </c>
      <c r="D4164">
        <v>77</v>
      </c>
    </row>
    <row r="4165" spans="1:4" hidden="1" x14ac:dyDescent="0.25">
      <c r="A4165" s="2" t="s">
        <v>83</v>
      </c>
      <c r="B4165">
        <v>58</v>
      </c>
      <c r="C4165" s="2" t="s">
        <v>185</v>
      </c>
      <c r="D4165">
        <v>82</v>
      </c>
    </row>
    <row r="4166" spans="1:4" hidden="1" x14ac:dyDescent="0.25">
      <c r="A4166" s="2" t="s">
        <v>83</v>
      </c>
      <c r="B4166">
        <v>58</v>
      </c>
      <c r="C4166" s="2" t="s">
        <v>186</v>
      </c>
      <c r="D4166">
        <v>89</v>
      </c>
    </row>
    <row r="4167" spans="1:4" hidden="1" x14ac:dyDescent="0.25">
      <c r="A4167" s="2" t="s">
        <v>83</v>
      </c>
      <c r="B4167">
        <v>58</v>
      </c>
      <c r="C4167" s="2" t="s">
        <v>187</v>
      </c>
      <c r="D4167">
        <v>89</v>
      </c>
    </row>
    <row r="4168" spans="1:4" hidden="1" x14ac:dyDescent="0.25">
      <c r="A4168" s="2" t="s">
        <v>83</v>
      </c>
      <c r="B4168">
        <v>58</v>
      </c>
      <c r="C4168" s="2" t="s">
        <v>188</v>
      </c>
      <c r="D4168">
        <v>88</v>
      </c>
    </row>
    <row r="4169" spans="1:4" hidden="1" x14ac:dyDescent="0.25">
      <c r="A4169" s="2" t="s">
        <v>83</v>
      </c>
      <c r="B4169">
        <v>58</v>
      </c>
      <c r="C4169" s="2" t="s">
        <v>189</v>
      </c>
      <c r="D4169">
        <v>93</v>
      </c>
    </row>
    <row r="4170" spans="1:4" hidden="1" x14ac:dyDescent="0.25">
      <c r="A4170" s="2" t="s">
        <v>83</v>
      </c>
      <c r="B4170">
        <v>58</v>
      </c>
      <c r="C4170" s="2" t="s">
        <v>190</v>
      </c>
      <c r="D4170">
        <v>86</v>
      </c>
    </row>
    <row r="4171" spans="1:4" hidden="1" x14ac:dyDescent="0.25">
      <c r="A4171" s="2" t="s">
        <v>83</v>
      </c>
      <c r="B4171">
        <v>58</v>
      </c>
      <c r="C4171" s="2" t="s">
        <v>191</v>
      </c>
      <c r="D4171">
        <v>85</v>
      </c>
    </row>
    <row r="4172" spans="1:4" hidden="1" x14ac:dyDescent="0.25">
      <c r="A4172" s="2" t="s">
        <v>83</v>
      </c>
      <c r="B4172">
        <v>58</v>
      </c>
      <c r="C4172" s="2" t="s">
        <v>116</v>
      </c>
      <c r="D4172">
        <v>86</v>
      </c>
    </row>
    <row r="4173" spans="1:4" hidden="1" x14ac:dyDescent="0.25">
      <c r="A4173" s="2" t="s">
        <v>83</v>
      </c>
      <c r="B4173">
        <v>58</v>
      </c>
      <c r="C4173" s="2" t="s">
        <v>117</v>
      </c>
      <c r="D4173">
        <v>82</v>
      </c>
    </row>
    <row r="4174" spans="1:4" hidden="1" x14ac:dyDescent="0.25">
      <c r="A4174" s="2" t="s">
        <v>83</v>
      </c>
      <c r="B4174">
        <v>58</v>
      </c>
      <c r="C4174" s="2" t="s">
        <v>118</v>
      </c>
      <c r="D4174">
        <v>85</v>
      </c>
    </row>
    <row r="4175" spans="1:4" hidden="1" x14ac:dyDescent="0.25">
      <c r="A4175" s="2" t="s">
        <v>83</v>
      </c>
      <c r="B4175">
        <v>58</v>
      </c>
      <c r="C4175" s="2" t="s">
        <v>119</v>
      </c>
      <c r="D4175">
        <v>59</v>
      </c>
    </row>
    <row r="4176" spans="1:4" hidden="1" x14ac:dyDescent="0.25">
      <c r="A4176" s="2" t="s">
        <v>83</v>
      </c>
      <c r="B4176">
        <v>58</v>
      </c>
      <c r="C4176" s="2" t="s">
        <v>120</v>
      </c>
      <c r="D4176">
        <v>45</v>
      </c>
    </row>
    <row r="4177" spans="1:4" hidden="1" x14ac:dyDescent="0.25">
      <c r="A4177" s="2" t="s">
        <v>83</v>
      </c>
      <c r="B4177">
        <v>58</v>
      </c>
      <c r="C4177" s="2" t="s">
        <v>121</v>
      </c>
      <c r="D4177">
        <v>45</v>
      </c>
    </row>
    <row r="4178" spans="1:4" hidden="1" x14ac:dyDescent="0.25">
      <c r="A4178" s="2" t="s">
        <v>83</v>
      </c>
      <c r="B4178">
        <v>58</v>
      </c>
      <c r="C4178" s="2" t="s">
        <v>122</v>
      </c>
      <c r="D4178">
        <v>36</v>
      </c>
    </row>
    <row r="4179" spans="1:4" hidden="1" x14ac:dyDescent="0.25">
      <c r="A4179" s="2" t="s">
        <v>83</v>
      </c>
      <c r="B4179">
        <v>58</v>
      </c>
      <c r="C4179" s="2" t="s">
        <v>123</v>
      </c>
      <c r="D4179">
        <v>18</v>
      </c>
    </row>
    <row r="4180" spans="1:4" hidden="1" x14ac:dyDescent="0.25">
      <c r="A4180" s="2" t="s">
        <v>83</v>
      </c>
      <c r="B4180">
        <v>58</v>
      </c>
      <c r="C4180" s="2" t="s">
        <v>124</v>
      </c>
      <c r="D4180">
        <v>24</v>
      </c>
    </row>
    <row r="4181" spans="1:4" hidden="1" x14ac:dyDescent="0.25">
      <c r="A4181" s="2" t="s">
        <v>83</v>
      </c>
      <c r="B4181">
        <v>58</v>
      </c>
      <c r="C4181" s="2" t="s">
        <v>125</v>
      </c>
      <c r="D4181">
        <v>26</v>
      </c>
    </row>
    <row r="4182" spans="1:4" hidden="1" x14ac:dyDescent="0.25">
      <c r="A4182" s="2" t="s">
        <v>83</v>
      </c>
      <c r="B4182">
        <v>58</v>
      </c>
      <c r="C4182" s="2" t="s">
        <v>126</v>
      </c>
      <c r="D4182">
        <v>34</v>
      </c>
    </row>
    <row r="4183" spans="1:4" hidden="1" x14ac:dyDescent="0.25">
      <c r="A4183" s="2" t="s">
        <v>83</v>
      </c>
      <c r="B4183">
        <v>58</v>
      </c>
      <c r="C4183" s="2" t="s">
        <v>127</v>
      </c>
      <c r="D4183">
        <v>36</v>
      </c>
    </row>
    <row r="4184" spans="1:4" hidden="1" x14ac:dyDescent="0.25">
      <c r="A4184" s="2" t="s">
        <v>83</v>
      </c>
      <c r="B4184">
        <v>58</v>
      </c>
      <c r="C4184" s="2" t="s">
        <v>128</v>
      </c>
      <c r="D4184">
        <v>52</v>
      </c>
    </row>
    <row r="4185" spans="1:4" hidden="1" x14ac:dyDescent="0.25">
      <c r="A4185" s="2" t="s">
        <v>83</v>
      </c>
      <c r="B4185">
        <v>58</v>
      </c>
      <c r="C4185" s="2" t="s">
        <v>129</v>
      </c>
      <c r="D4185">
        <v>39</v>
      </c>
    </row>
    <row r="4186" spans="1:4" hidden="1" x14ac:dyDescent="0.25">
      <c r="A4186" s="2" t="s">
        <v>83</v>
      </c>
      <c r="B4186">
        <v>58</v>
      </c>
      <c r="C4186" s="2" t="s">
        <v>130</v>
      </c>
      <c r="D4186">
        <v>49</v>
      </c>
    </row>
    <row r="4187" spans="1:4" hidden="1" x14ac:dyDescent="0.25">
      <c r="A4187" s="2" t="s">
        <v>83</v>
      </c>
      <c r="B4187">
        <v>58</v>
      </c>
      <c r="C4187" s="2" t="s">
        <v>131</v>
      </c>
      <c r="D4187">
        <v>49</v>
      </c>
    </row>
    <row r="4188" spans="1:4" hidden="1" x14ac:dyDescent="0.25">
      <c r="A4188" s="2" t="s">
        <v>83</v>
      </c>
      <c r="B4188">
        <v>58</v>
      </c>
      <c r="C4188" s="2" t="s">
        <v>132</v>
      </c>
      <c r="D4188">
        <v>39</v>
      </c>
    </row>
    <row r="4189" spans="1:4" hidden="1" x14ac:dyDescent="0.25">
      <c r="A4189" s="2" t="s">
        <v>83</v>
      </c>
      <c r="B4189">
        <v>58</v>
      </c>
      <c r="C4189" s="2" t="s">
        <v>133</v>
      </c>
      <c r="D4189">
        <v>39</v>
      </c>
    </row>
    <row r="4190" spans="1:4" hidden="1" x14ac:dyDescent="0.25">
      <c r="A4190" s="2" t="s">
        <v>83</v>
      </c>
      <c r="B4190">
        <v>58</v>
      </c>
      <c r="C4190" s="2" t="s">
        <v>134</v>
      </c>
      <c r="D4190">
        <v>49</v>
      </c>
    </row>
    <row r="4191" spans="1:4" hidden="1" x14ac:dyDescent="0.25">
      <c r="A4191" s="2" t="s">
        <v>83</v>
      </c>
      <c r="B4191">
        <v>58</v>
      </c>
      <c r="C4191" s="2" t="s">
        <v>135</v>
      </c>
      <c r="D4191">
        <v>58</v>
      </c>
    </row>
    <row r="4192" spans="1:4" hidden="1" x14ac:dyDescent="0.25">
      <c r="A4192" s="2" t="s">
        <v>83</v>
      </c>
      <c r="B4192">
        <v>58</v>
      </c>
      <c r="C4192" s="2" t="s">
        <v>136</v>
      </c>
      <c r="D4192">
        <v>58</v>
      </c>
    </row>
    <row r="4193" spans="1:4" hidden="1" x14ac:dyDescent="0.25">
      <c r="A4193" s="2" t="s">
        <v>83</v>
      </c>
      <c r="B4193">
        <v>58</v>
      </c>
      <c r="C4193" s="2" t="s">
        <v>137</v>
      </c>
      <c r="D4193">
        <v>58</v>
      </c>
    </row>
    <row r="4194" spans="1:4" hidden="1" x14ac:dyDescent="0.25">
      <c r="A4194" s="2" t="s">
        <v>83</v>
      </c>
      <c r="B4194">
        <v>58</v>
      </c>
      <c r="C4194" s="2" t="s">
        <v>138</v>
      </c>
      <c r="D4194">
        <v>58</v>
      </c>
    </row>
    <row r="4195" spans="1:4" hidden="1" x14ac:dyDescent="0.25">
      <c r="A4195" s="2" t="s">
        <v>83</v>
      </c>
      <c r="B4195">
        <v>58</v>
      </c>
      <c r="C4195" s="2" t="s">
        <v>139</v>
      </c>
      <c r="D4195">
        <v>58</v>
      </c>
    </row>
    <row r="4196" spans="1:4" hidden="1" x14ac:dyDescent="0.25">
      <c r="A4196" s="2" t="s">
        <v>83</v>
      </c>
      <c r="B4196">
        <v>58</v>
      </c>
      <c r="C4196" s="2" t="s">
        <v>140</v>
      </c>
      <c r="D4196">
        <v>58</v>
      </c>
    </row>
    <row r="4197" spans="1:4" hidden="1" x14ac:dyDescent="0.25">
      <c r="A4197" s="2" t="s">
        <v>83</v>
      </c>
      <c r="B4197">
        <v>58</v>
      </c>
      <c r="C4197" s="2" t="s">
        <v>141</v>
      </c>
      <c r="D4197">
        <v>58</v>
      </c>
    </row>
    <row r="4198" spans="1:4" hidden="1" x14ac:dyDescent="0.25">
      <c r="A4198" s="2" t="s">
        <v>83</v>
      </c>
      <c r="B4198">
        <v>58</v>
      </c>
      <c r="C4198" s="2" t="s">
        <v>142</v>
      </c>
      <c r="D4198">
        <v>58</v>
      </c>
    </row>
    <row r="4199" spans="1:4" hidden="1" x14ac:dyDescent="0.25">
      <c r="A4199" s="2" t="s">
        <v>83</v>
      </c>
      <c r="B4199">
        <v>58</v>
      </c>
      <c r="C4199" s="2" t="s">
        <v>143</v>
      </c>
      <c r="D4199">
        <v>58</v>
      </c>
    </row>
    <row r="4200" spans="1:4" hidden="1" x14ac:dyDescent="0.25">
      <c r="A4200" s="2" t="s">
        <v>83</v>
      </c>
      <c r="B4200">
        <v>58</v>
      </c>
      <c r="C4200" s="2" t="s">
        <v>144</v>
      </c>
      <c r="D4200">
        <v>58</v>
      </c>
    </row>
    <row r="4201" spans="1:4" hidden="1" x14ac:dyDescent="0.25">
      <c r="A4201" s="2" t="s">
        <v>83</v>
      </c>
      <c r="B4201">
        <v>58</v>
      </c>
      <c r="C4201" s="2" t="s">
        <v>145</v>
      </c>
      <c r="D4201">
        <v>58</v>
      </c>
    </row>
    <row r="4202" spans="1:4" hidden="1" x14ac:dyDescent="0.25">
      <c r="A4202" s="2" t="s">
        <v>83</v>
      </c>
      <c r="B4202">
        <v>58</v>
      </c>
      <c r="C4202" s="2" t="s">
        <v>146</v>
      </c>
      <c r="D4202">
        <v>58</v>
      </c>
    </row>
    <row r="4203" spans="1:4" hidden="1" x14ac:dyDescent="0.25">
      <c r="A4203" s="2" t="s">
        <v>83</v>
      </c>
      <c r="B4203">
        <v>58</v>
      </c>
      <c r="C4203" s="2" t="s">
        <v>147</v>
      </c>
      <c r="D4203">
        <v>58</v>
      </c>
    </row>
    <row r="4204" spans="1:4" hidden="1" x14ac:dyDescent="0.25">
      <c r="A4204" s="2" t="s">
        <v>83</v>
      </c>
      <c r="B4204">
        <v>58</v>
      </c>
      <c r="C4204" s="2" t="s">
        <v>148</v>
      </c>
      <c r="D4204">
        <v>58</v>
      </c>
    </row>
    <row r="4205" spans="1:4" hidden="1" x14ac:dyDescent="0.25">
      <c r="A4205" s="2" t="s">
        <v>83</v>
      </c>
      <c r="B4205">
        <v>58</v>
      </c>
      <c r="C4205" s="2" t="s">
        <v>149</v>
      </c>
      <c r="D4205">
        <v>58</v>
      </c>
    </row>
    <row r="4206" spans="1:4" hidden="1" x14ac:dyDescent="0.25">
      <c r="A4206" s="2" t="s">
        <v>83</v>
      </c>
      <c r="B4206">
        <v>58</v>
      </c>
      <c r="C4206" s="2" t="s">
        <v>150</v>
      </c>
      <c r="D4206">
        <v>58</v>
      </c>
    </row>
    <row r="4207" spans="1:4" hidden="1" x14ac:dyDescent="0.25">
      <c r="A4207" s="2" t="s">
        <v>83</v>
      </c>
      <c r="B4207">
        <v>58</v>
      </c>
      <c r="C4207" s="2" t="s">
        <v>151</v>
      </c>
      <c r="D4207">
        <v>58</v>
      </c>
    </row>
    <row r="4208" spans="1:4" hidden="1" x14ac:dyDescent="0.25">
      <c r="A4208" s="2" t="s">
        <v>83</v>
      </c>
      <c r="B4208">
        <v>58</v>
      </c>
      <c r="C4208" s="2" t="s">
        <v>152</v>
      </c>
      <c r="D4208">
        <v>58</v>
      </c>
    </row>
    <row r="4209" spans="1:4" hidden="1" x14ac:dyDescent="0.25">
      <c r="A4209" s="2" t="s">
        <v>83</v>
      </c>
      <c r="B4209">
        <v>58</v>
      </c>
      <c r="C4209" s="2" t="s">
        <v>153</v>
      </c>
      <c r="D4209">
        <v>58</v>
      </c>
    </row>
    <row r="4210" spans="1:4" hidden="1" x14ac:dyDescent="0.25">
      <c r="A4210" s="2" t="s">
        <v>83</v>
      </c>
      <c r="B4210">
        <v>58</v>
      </c>
      <c r="C4210" s="2" t="s">
        <v>154</v>
      </c>
      <c r="D4210">
        <v>58</v>
      </c>
    </row>
    <row r="4211" spans="1:4" hidden="1" x14ac:dyDescent="0.25">
      <c r="A4211" s="2" t="s">
        <v>83</v>
      </c>
      <c r="B4211">
        <v>58</v>
      </c>
      <c r="C4211" s="2" t="s">
        <v>155</v>
      </c>
      <c r="D4211">
        <v>58</v>
      </c>
    </row>
    <row r="4212" spans="1:4" hidden="1" x14ac:dyDescent="0.25">
      <c r="A4212" s="2" t="s">
        <v>83</v>
      </c>
      <c r="B4212">
        <v>58</v>
      </c>
      <c r="C4212" s="2" t="s">
        <v>156</v>
      </c>
      <c r="D4212">
        <v>58</v>
      </c>
    </row>
    <row r="4213" spans="1:4" hidden="1" x14ac:dyDescent="0.25">
      <c r="A4213" s="2" t="s">
        <v>83</v>
      </c>
      <c r="B4213">
        <v>58</v>
      </c>
      <c r="C4213" s="2" t="s">
        <v>157</v>
      </c>
      <c r="D4213">
        <v>58</v>
      </c>
    </row>
    <row r="4214" spans="1:4" hidden="1" x14ac:dyDescent="0.25">
      <c r="A4214" s="2" t="s">
        <v>83</v>
      </c>
      <c r="B4214">
        <v>58</v>
      </c>
      <c r="C4214" s="2" t="s">
        <v>158</v>
      </c>
      <c r="D4214">
        <v>58</v>
      </c>
    </row>
    <row r="4215" spans="1:4" hidden="1" x14ac:dyDescent="0.25">
      <c r="A4215" s="2" t="s">
        <v>83</v>
      </c>
      <c r="B4215">
        <v>58</v>
      </c>
      <c r="C4215" s="2" t="s">
        <v>159</v>
      </c>
      <c r="D4215">
        <v>58</v>
      </c>
    </row>
    <row r="4216" spans="1:4" hidden="1" x14ac:dyDescent="0.25">
      <c r="A4216" s="2" t="s">
        <v>83</v>
      </c>
      <c r="B4216">
        <v>58</v>
      </c>
      <c r="C4216" s="2" t="s">
        <v>160</v>
      </c>
      <c r="D4216">
        <v>58</v>
      </c>
    </row>
    <row r="4217" spans="1:4" hidden="1" x14ac:dyDescent="0.25">
      <c r="A4217" s="2" t="s">
        <v>83</v>
      </c>
      <c r="B4217">
        <v>58</v>
      </c>
      <c r="C4217" s="2" t="s">
        <v>161</v>
      </c>
      <c r="D4217">
        <v>58</v>
      </c>
    </row>
    <row r="4218" spans="1:4" hidden="1" x14ac:dyDescent="0.25">
      <c r="A4218" s="2" t="s">
        <v>83</v>
      </c>
      <c r="B4218">
        <v>58</v>
      </c>
      <c r="C4218" s="2" t="s">
        <v>162</v>
      </c>
      <c r="D4218">
        <v>58</v>
      </c>
    </row>
    <row r="4219" spans="1:4" hidden="1" x14ac:dyDescent="0.25">
      <c r="A4219" s="2" t="s">
        <v>83</v>
      </c>
      <c r="B4219">
        <v>58</v>
      </c>
      <c r="C4219" s="2" t="s">
        <v>163</v>
      </c>
      <c r="D4219">
        <v>58</v>
      </c>
    </row>
    <row r="4220" spans="1:4" hidden="1" x14ac:dyDescent="0.25">
      <c r="A4220" s="2" t="s">
        <v>83</v>
      </c>
      <c r="B4220">
        <v>58</v>
      </c>
      <c r="C4220" s="2" t="s">
        <v>164</v>
      </c>
      <c r="D4220">
        <v>58</v>
      </c>
    </row>
    <row r="4221" spans="1:4" hidden="1" x14ac:dyDescent="0.25">
      <c r="A4221" s="2" t="s">
        <v>83</v>
      </c>
      <c r="B4221">
        <v>58</v>
      </c>
      <c r="C4221" s="2" t="s">
        <v>165</v>
      </c>
      <c r="D4221">
        <v>58</v>
      </c>
    </row>
    <row r="4222" spans="1:4" hidden="1" x14ac:dyDescent="0.25">
      <c r="A4222" s="2" t="s">
        <v>83</v>
      </c>
      <c r="B4222">
        <v>58</v>
      </c>
      <c r="C4222" s="2" t="s">
        <v>166</v>
      </c>
      <c r="D4222">
        <v>58</v>
      </c>
    </row>
    <row r="4223" spans="1:4" hidden="1" x14ac:dyDescent="0.25">
      <c r="A4223" s="2" t="s">
        <v>83</v>
      </c>
      <c r="B4223">
        <v>58</v>
      </c>
      <c r="C4223" s="2" t="s">
        <v>167</v>
      </c>
      <c r="D4223">
        <v>58</v>
      </c>
    </row>
    <row r="4224" spans="1:4" hidden="1" x14ac:dyDescent="0.25">
      <c r="A4224" s="2" t="s">
        <v>83</v>
      </c>
      <c r="B4224">
        <v>58</v>
      </c>
      <c r="C4224" s="2" t="s">
        <v>168</v>
      </c>
      <c r="D4224">
        <v>58</v>
      </c>
    </row>
    <row r="4225" spans="1:4" hidden="1" x14ac:dyDescent="0.25">
      <c r="A4225" s="2" t="s">
        <v>83</v>
      </c>
      <c r="B4225">
        <v>58</v>
      </c>
      <c r="C4225" s="2" t="s">
        <v>169</v>
      </c>
      <c r="D4225">
        <v>58</v>
      </c>
    </row>
    <row r="4226" spans="1:4" hidden="1" x14ac:dyDescent="0.25">
      <c r="A4226" s="2" t="s">
        <v>83</v>
      </c>
      <c r="B4226">
        <v>58</v>
      </c>
      <c r="C4226" s="2" t="s">
        <v>170</v>
      </c>
      <c r="D4226">
        <v>58</v>
      </c>
    </row>
    <row r="4227" spans="1:4" hidden="1" x14ac:dyDescent="0.25">
      <c r="A4227" s="2" t="s">
        <v>83</v>
      </c>
      <c r="B4227">
        <v>58</v>
      </c>
      <c r="C4227" s="2" t="s">
        <v>171</v>
      </c>
      <c r="D4227">
        <v>58</v>
      </c>
    </row>
    <row r="4228" spans="1:4" hidden="1" x14ac:dyDescent="0.25">
      <c r="A4228" s="2" t="s">
        <v>83</v>
      </c>
      <c r="B4228">
        <v>58</v>
      </c>
      <c r="C4228" s="2" t="s">
        <v>172</v>
      </c>
      <c r="D4228">
        <v>58</v>
      </c>
    </row>
    <row r="4229" spans="1:4" hidden="1" x14ac:dyDescent="0.25">
      <c r="A4229" s="2" t="s">
        <v>83</v>
      </c>
      <c r="B4229">
        <v>58</v>
      </c>
      <c r="C4229" s="2" t="s">
        <v>173</v>
      </c>
      <c r="D4229">
        <v>58</v>
      </c>
    </row>
    <row r="4230" spans="1:4" hidden="1" x14ac:dyDescent="0.25">
      <c r="A4230" s="2" t="s">
        <v>83</v>
      </c>
      <c r="B4230">
        <v>58</v>
      </c>
      <c r="C4230" s="2" t="s">
        <v>174</v>
      </c>
      <c r="D4230">
        <v>58</v>
      </c>
    </row>
    <row r="4231" spans="1:4" hidden="1" x14ac:dyDescent="0.25">
      <c r="A4231" s="2" t="s">
        <v>83</v>
      </c>
      <c r="B4231">
        <v>58</v>
      </c>
      <c r="C4231" s="2" t="s">
        <v>175</v>
      </c>
      <c r="D4231">
        <v>58</v>
      </c>
    </row>
    <row r="4232" spans="1:4" hidden="1" x14ac:dyDescent="0.25">
      <c r="A4232" s="2" t="s">
        <v>83</v>
      </c>
      <c r="B4232">
        <v>58</v>
      </c>
      <c r="C4232" s="2" t="s">
        <v>176</v>
      </c>
      <c r="D4232">
        <v>58</v>
      </c>
    </row>
    <row r="4233" spans="1:4" hidden="1" x14ac:dyDescent="0.25">
      <c r="A4233" s="2" t="s">
        <v>83</v>
      </c>
      <c r="B4233">
        <v>58</v>
      </c>
      <c r="C4233" s="2" t="s">
        <v>177</v>
      </c>
      <c r="D4233">
        <v>58</v>
      </c>
    </row>
    <row r="4234" spans="1:4" hidden="1" x14ac:dyDescent="0.25">
      <c r="A4234" s="2" t="s">
        <v>83</v>
      </c>
      <c r="B4234">
        <v>58</v>
      </c>
      <c r="C4234" s="2" t="s">
        <v>178</v>
      </c>
      <c r="D4234">
        <v>58</v>
      </c>
    </row>
    <row r="4235" spans="1:4" hidden="1" x14ac:dyDescent="0.25">
      <c r="A4235" s="2" t="s">
        <v>83</v>
      </c>
      <c r="B4235">
        <v>58</v>
      </c>
      <c r="C4235" s="2" t="s">
        <v>179</v>
      </c>
      <c r="D4235">
        <v>58</v>
      </c>
    </row>
    <row r="4236" spans="1:4" hidden="1" x14ac:dyDescent="0.25">
      <c r="A4236" s="2" t="s">
        <v>100</v>
      </c>
      <c r="B4236">
        <v>58</v>
      </c>
      <c r="C4236" s="2" t="s">
        <v>183</v>
      </c>
      <c r="D4236">
        <v>13</v>
      </c>
    </row>
    <row r="4237" spans="1:4" hidden="1" x14ac:dyDescent="0.25">
      <c r="A4237" s="2" t="s">
        <v>100</v>
      </c>
      <c r="B4237">
        <v>58</v>
      </c>
      <c r="C4237" s="2" t="s">
        <v>184</v>
      </c>
      <c r="D4237">
        <v>14</v>
      </c>
    </row>
    <row r="4238" spans="1:4" hidden="1" x14ac:dyDescent="0.25">
      <c r="A4238" s="2" t="s">
        <v>100</v>
      </c>
      <c r="B4238">
        <v>58</v>
      </c>
      <c r="C4238" s="2" t="s">
        <v>185</v>
      </c>
      <c r="D4238">
        <v>3</v>
      </c>
    </row>
    <row r="4239" spans="1:4" hidden="1" x14ac:dyDescent="0.25">
      <c r="A4239" s="2" t="s">
        <v>100</v>
      </c>
      <c r="B4239">
        <v>58</v>
      </c>
      <c r="C4239" s="2" t="s">
        <v>186</v>
      </c>
      <c r="D4239">
        <v>38</v>
      </c>
    </row>
    <row r="4240" spans="1:4" hidden="1" x14ac:dyDescent="0.25">
      <c r="A4240" s="2" t="s">
        <v>100</v>
      </c>
      <c r="B4240">
        <v>58</v>
      </c>
      <c r="C4240" s="2" t="s">
        <v>187</v>
      </c>
      <c r="D4240">
        <v>39</v>
      </c>
    </row>
    <row r="4241" spans="1:4" hidden="1" x14ac:dyDescent="0.25">
      <c r="A4241" s="2" t="s">
        <v>100</v>
      </c>
      <c r="B4241">
        <v>58</v>
      </c>
      <c r="C4241" s="2" t="s">
        <v>188</v>
      </c>
      <c r="D4241">
        <v>41</v>
      </c>
    </row>
    <row r="4242" spans="1:4" hidden="1" x14ac:dyDescent="0.25">
      <c r="A4242" s="2" t="s">
        <v>100</v>
      </c>
      <c r="B4242">
        <v>58</v>
      </c>
      <c r="C4242" s="2" t="s">
        <v>189</v>
      </c>
      <c r="D4242">
        <v>27</v>
      </c>
    </row>
    <row r="4243" spans="1:4" hidden="1" x14ac:dyDescent="0.25">
      <c r="A4243" s="2" t="s">
        <v>100</v>
      </c>
      <c r="B4243">
        <v>58</v>
      </c>
      <c r="C4243" s="2" t="s">
        <v>190</v>
      </c>
      <c r="D4243">
        <v>27</v>
      </c>
    </row>
    <row r="4244" spans="1:4" hidden="1" x14ac:dyDescent="0.25">
      <c r="A4244" s="2" t="s">
        <v>100</v>
      </c>
      <c r="B4244">
        <v>58</v>
      </c>
      <c r="C4244" s="2" t="s">
        <v>191</v>
      </c>
      <c r="D4244">
        <v>27</v>
      </c>
    </row>
    <row r="4245" spans="1:4" hidden="1" x14ac:dyDescent="0.25">
      <c r="A4245" s="2" t="s">
        <v>100</v>
      </c>
      <c r="B4245">
        <v>58</v>
      </c>
      <c r="C4245" s="2" t="s">
        <v>116</v>
      </c>
      <c r="D4245">
        <v>25</v>
      </c>
    </row>
    <row r="4246" spans="1:4" hidden="1" x14ac:dyDescent="0.25">
      <c r="A4246" s="2" t="s">
        <v>100</v>
      </c>
      <c r="B4246">
        <v>58</v>
      </c>
      <c r="C4246" s="2" t="s">
        <v>117</v>
      </c>
      <c r="D4246">
        <v>23</v>
      </c>
    </row>
    <row r="4247" spans="1:4" hidden="1" x14ac:dyDescent="0.25">
      <c r="A4247" s="2" t="s">
        <v>100</v>
      </c>
      <c r="B4247">
        <v>58</v>
      </c>
      <c r="C4247" s="2" t="s">
        <v>118</v>
      </c>
      <c r="D4247">
        <v>22</v>
      </c>
    </row>
    <row r="4248" spans="1:4" hidden="1" x14ac:dyDescent="0.25">
      <c r="A4248" s="2" t="s">
        <v>100</v>
      </c>
      <c r="B4248">
        <v>58</v>
      </c>
      <c r="C4248" s="2" t="s">
        <v>119</v>
      </c>
      <c r="D4248">
        <v>26</v>
      </c>
    </row>
    <row r="4249" spans="1:4" hidden="1" x14ac:dyDescent="0.25">
      <c r="A4249" s="2" t="s">
        <v>100</v>
      </c>
      <c r="B4249">
        <v>58</v>
      </c>
      <c r="C4249" s="2" t="s">
        <v>120</v>
      </c>
      <c r="D4249">
        <v>27</v>
      </c>
    </row>
    <row r="4250" spans="1:4" hidden="1" x14ac:dyDescent="0.25">
      <c r="A4250" s="2" t="s">
        <v>100</v>
      </c>
      <c r="B4250">
        <v>58</v>
      </c>
      <c r="C4250" s="2" t="s">
        <v>121</v>
      </c>
      <c r="D4250">
        <v>24</v>
      </c>
    </row>
    <row r="4251" spans="1:4" hidden="1" x14ac:dyDescent="0.25">
      <c r="A4251" s="2" t="s">
        <v>100</v>
      </c>
      <c r="B4251">
        <v>58</v>
      </c>
      <c r="C4251" s="2" t="s">
        <v>122</v>
      </c>
      <c r="D4251">
        <v>27</v>
      </c>
    </row>
    <row r="4252" spans="1:4" hidden="1" x14ac:dyDescent="0.25">
      <c r="A4252" s="2" t="s">
        <v>100</v>
      </c>
      <c r="B4252">
        <v>58</v>
      </c>
      <c r="C4252" s="2" t="s">
        <v>123</v>
      </c>
      <c r="D4252">
        <v>32</v>
      </c>
    </row>
    <row r="4253" spans="1:4" hidden="1" x14ac:dyDescent="0.25">
      <c r="A4253" s="2" t="s">
        <v>100</v>
      </c>
      <c r="B4253">
        <v>58</v>
      </c>
      <c r="C4253" s="2" t="s">
        <v>124</v>
      </c>
      <c r="D4253">
        <v>37</v>
      </c>
    </row>
    <row r="4254" spans="1:4" hidden="1" x14ac:dyDescent="0.25">
      <c r="A4254" s="2" t="s">
        <v>100</v>
      </c>
      <c r="B4254">
        <v>58</v>
      </c>
      <c r="C4254" s="2" t="s">
        <v>125</v>
      </c>
      <c r="D4254">
        <v>42</v>
      </c>
    </row>
    <row r="4255" spans="1:4" hidden="1" x14ac:dyDescent="0.25">
      <c r="A4255" s="2" t="s">
        <v>100</v>
      </c>
      <c r="B4255">
        <v>58</v>
      </c>
      <c r="C4255" s="2" t="s">
        <v>126</v>
      </c>
      <c r="D4255">
        <v>41</v>
      </c>
    </row>
    <row r="4256" spans="1:4" hidden="1" x14ac:dyDescent="0.25">
      <c r="A4256" s="2" t="s">
        <v>100</v>
      </c>
      <c r="B4256">
        <v>58</v>
      </c>
      <c r="C4256" s="2" t="s">
        <v>127</v>
      </c>
      <c r="D4256">
        <v>36</v>
      </c>
    </row>
    <row r="4257" spans="1:4" hidden="1" x14ac:dyDescent="0.25">
      <c r="A4257" s="2" t="s">
        <v>100</v>
      </c>
      <c r="B4257">
        <v>58</v>
      </c>
      <c r="C4257" s="2" t="s">
        <v>128</v>
      </c>
      <c r="D4257">
        <v>40</v>
      </c>
    </row>
    <row r="4258" spans="1:4" hidden="1" x14ac:dyDescent="0.25">
      <c r="A4258" s="2" t="s">
        <v>100</v>
      </c>
      <c r="B4258">
        <v>58</v>
      </c>
      <c r="C4258" s="2" t="s">
        <v>129</v>
      </c>
      <c r="D4258">
        <v>47</v>
      </c>
    </row>
    <row r="4259" spans="1:4" hidden="1" x14ac:dyDescent="0.25">
      <c r="A4259" s="2" t="s">
        <v>100</v>
      </c>
      <c r="B4259">
        <v>58</v>
      </c>
      <c r="C4259" s="2" t="s">
        <v>130</v>
      </c>
      <c r="D4259">
        <v>61</v>
      </c>
    </row>
    <row r="4260" spans="1:4" hidden="1" x14ac:dyDescent="0.25">
      <c r="A4260" s="2" t="s">
        <v>100</v>
      </c>
      <c r="B4260">
        <v>58</v>
      </c>
      <c r="C4260" s="2" t="s">
        <v>131</v>
      </c>
      <c r="D4260">
        <v>49</v>
      </c>
    </row>
    <row r="4261" spans="1:4" hidden="1" x14ac:dyDescent="0.25">
      <c r="A4261" s="2" t="s">
        <v>100</v>
      </c>
      <c r="B4261">
        <v>58</v>
      </c>
      <c r="C4261" s="2" t="s">
        <v>132</v>
      </c>
      <c r="D4261">
        <v>50</v>
      </c>
    </row>
    <row r="4262" spans="1:4" hidden="1" x14ac:dyDescent="0.25">
      <c r="A4262" s="2" t="s">
        <v>100</v>
      </c>
      <c r="B4262">
        <v>58</v>
      </c>
      <c r="C4262" s="2" t="s">
        <v>133</v>
      </c>
      <c r="D4262">
        <v>51</v>
      </c>
    </row>
    <row r="4263" spans="1:4" hidden="1" x14ac:dyDescent="0.25">
      <c r="A4263" s="2" t="s">
        <v>100</v>
      </c>
      <c r="B4263">
        <v>58</v>
      </c>
      <c r="C4263" s="2" t="s">
        <v>134</v>
      </c>
      <c r="D4263">
        <v>49</v>
      </c>
    </row>
    <row r="4264" spans="1:4" hidden="1" x14ac:dyDescent="0.25">
      <c r="A4264" s="2" t="s">
        <v>100</v>
      </c>
      <c r="B4264">
        <v>58</v>
      </c>
      <c r="C4264" s="2" t="s">
        <v>135</v>
      </c>
      <c r="D4264">
        <v>58</v>
      </c>
    </row>
    <row r="4265" spans="1:4" hidden="1" x14ac:dyDescent="0.25">
      <c r="A4265" s="2" t="s">
        <v>100</v>
      </c>
      <c r="B4265">
        <v>58</v>
      </c>
      <c r="C4265" s="2" t="s">
        <v>136</v>
      </c>
      <c r="D4265">
        <v>58</v>
      </c>
    </row>
    <row r="4266" spans="1:4" hidden="1" x14ac:dyDescent="0.25">
      <c r="A4266" s="2" t="s">
        <v>100</v>
      </c>
      <c r="B4266">
        <v>58</v>
      </c>
      <c r="C4266" s="2" t="s">
        <v>137</v>
      </c>
      <c r="D4266">
        <v>58</v>
      </c>
    </row>
    <row r="4267" spans="1:4" hidden="1" x14ac:dyDescent="0.25">
      <c r="A4267" s="2" t="s">
        <v>100</v>
      </c>
      <c r="B4267">
        <v>58</v>
      </c>
      <c r="C4267" s="2" t="s">
        <v>138</v>
      </c>
      <c r="D4267">
        <v>58</v>
      </c>
    </row>
    <row r="4268" spans="1:4" hidden="1" x14ac:dyDescent="0.25">
      <c r="A4268" s="2" t="s">
        <v>100</v>
      </c>
      <c r="B4268">
        <v>58</v>
      </c>
      <c r="C4268" s="2" t="s">
        <v>139</v>
      </c>
      <c r="D4268">
        <v>58</v>
      </c>
    </row>
    <row r="4269" spans="1:4" hidden="1" x14ac:dyDescent="0.25">
      <c r="A4269" s="2" t="s">
        <v>100</v>
      </c>
      <c r="B4269">
        <v>58</v>
      </c>
      <c r="C4269" s="2" t="s">
        <v>140</v>
      </c>
      <c r="D4269">
        <v>58</v>
      </c>
    </row>
    <row r="4270" spans="1:4" hidden="1" x14ac:dyDescent="0.25">
      <c r="A4270" s="2" t="s">
        <v>100</v>
      </c>
      <c r="B4270">
        <v>58</v>
      </c>
      <c r="C4270" s="2" t="s">
        <v>141</v>
      </c>
      <c r="D4270">
        <v>58</v>
      </c>
    </row>
    <row r="4271" spans="1:4" hidden="1" x14ac:dyDescent="0.25">
      <c r="A4271" s="2" t="s">
        <v>100</v>
      </c>
      <c r="B4271">
        <v>58</v>
      </c>
      <c r="C4271" s="2" t="s">
        <v>142</v>
      </c>
      <c r="D4271">
        <v>58</v>
      </c>
    </row>
    <row r="4272" spans="1:4" hidden="1" x14ac:dyDescent="0.25">
      <c r="A4272" s="2" t="s">
        <v>100</v>
      </c>
      <c r="B4272">
        <v>58</v>
      </c>
      <c r="C4272" s="2" t="s">
        <v>143</v>
      </c>
      <c r="D4272">
        <v>58</v>
      </c>
    </row>
    <row r="4273" spans="1:4" hidden="1" x14ac:dyDescent="0.25">
      <c r="A4273" s="2" t="s">
        <v>100</v>
      </c>
      <c r="B4273">
        <v>58</v>
      </c>
      <c r="C4273" s="2" t="s">
        <v>144</v>
      </c>
      <c r="D4273">
        <v>58</v>
      </c>
    </row>
    <row r="4274" spans="1:4" hidden="1" x14ac:dyDescent="0.25">
      <c r="A4274" s="2" t="s">
        <v>100</v>
      </c>
      <c r="B4274">
        <v>58</v>
      </c>
      <c r="C4274" s="2" t="s">
        <v>145</v>
      </c>
      <c r="D4274">
        <v>58</v>
      </c>
    </row>
    <row r="4275" spans="1:4" hidden="1" x14ac:dyDescent="0.25">
      <c r="A4275" s="2" t="s">
        <v>100</v>
      </c>
      <c r="B4275">
        <v>58</v>
      </c>
      <c r="C4275" s="2" t="s">
        <v>146</v>
      </c>
      <c r="D4275">
        <v>58</v>
      </c>
    </row>
    <row r="4276" spans="1:4" hidden="1" x14ac:dyDescent="0.25">
      <c r="A4276" s="2" t="s">
        <v>100</v>
      </c>
      <c r="B4276">
        <v>58</v>
      </c>
      <c r="C4276" s="2" t="s">
        <v>147</v>
      </c>
      <c r="D4276">
        <v>58</v>
      </c>
    </row>
    <row r="4277" spans="1:4" hidden="1" x14ac:dyDescent="0.25">
      <c r="A4277" s="2" t="s">
        <v>100</v>
      </c>
      <c r="B4277">
        <v>58</v>
      </c>
      <c r="C4277" s="2" t="s">
        <v>148</v>
      </c>
      <c r="D4277">
        <v>58</v>
      </c>
    </row>
    <row r="4278" spans="1:4" hidden="1" x14ac:dyDescent="0.25">
      <c r="A4278" s="2" t="s">
        <v>100</v>
      </c>
      <c r="B4278">
        <v>58</v>
      </c>
      <c r="C4278" s="2" t="s">
        <v>149</v>
      </c>
      <c r="D4278">
        <v>58</v>
      </c>
    </row>
    <row r="4279" spans="1:4" hidden="1" x14ac:dyDescent="0.25">
      <c r="A4279" s="2" t="s">
        <v>100</v>
      </c>
      <c r="B4279">
        <v>58</v>
      </c>
      <c r="C4279" s="2" t="s">
        <v>150</v>
      </c>
      <c r="D4279">
        <v>58</v>
      </c>
    </row>
    <row r="4280" spans="1:4" hidden="1" x14ac:dyDescent="0.25">
      <c r="A4280" s="2" t="s">
        <v>100</v>
      </c>
      <c r="B4280">
        <v>58</v>
      </c>
      <c r="C4280" s="2" t="s">
        <v>151</v>
      </c>
      <c r="D4280">
        <v>58</v>
      </c>
    </row>
    <row r="4281" spans="1:4" hidden="1" x14ac:dyDescent="0.25">
      <c r="A4281" s="2" t="s">
        <v>100</v>
      </c>
      <c r="B4281">
        <v>58</v>
      </c>
      <c r="C4281" s="2" t="s">
        <v>152</v>
      </c>
      <c r="D4281">
        <v>58</v>
      </c>
    </row>
    <row r="4282" spans="1:4" hidden="1" x14ac:dyDescent="0.25">
      <c r="A4282" s="2" t="s">
        <v>100</v>
      </c>
      <c r="B4282">
        <v>58</v>
      </c>
      <c r="C4282" s="2" t="s">
        <v>153</v>
      </c>
      <c r="D4282">
        <v>58</v>
      </c>
    </row>
    <row r="4283" spans="1:4" hidden="1" x14ac:dyDescent="0.25">
      <c r="A4283" s="2" t="s">
        <v>100</v>
      </c>
      <c r="B4283">
        <v>58</v>
      </c>
      <c r="C4283" s="2" t="s">
        <v>154</v>
      </c>
      <c r="D4283">
        <v>58</v>
      </c>
    </row>
    <row r="4284" spans="1:4" hidden="1" x14ac:dyDescent="0.25">
      <c r="A4284" s="2" t="s">
        <v>100</v>
      </c>
      <c r="B4284">
        <v>58</v>
      </c>
      <c r="C4284" s="2" t="s">
        <v>155</v>
      </c>
      <c r="D4284">
        <v>58</v>
      </c>
    </row>
    <row r="4285" spans="1:4" hidden="1" x14ac:dyDescent="0.25">
      <c r="A4285" s="2" t="s">
        <v>100</v>
      </c>
      <c r="B4285">
        <v>58</v>
      </c>
      <c r="C4285" s="2" t="s">
        <v>156</v>
      </c>
      <c r="D4285">
        <v>58</v>
      </c>
    </row>
    <row r="4286" spans="1:4" hidden="1" x14ac:dyDescent="0.25">
      <c r="A4286" s="2" t="s">
        <v>100</v>
      </c>
      <c r="B4286">
        <v>58</v>
      </c>
      <c r="C4286" s="2" t="s">
        <v>157</v>
      </c>
      <c r="D4286">
        <v>58</v>
      </c>
    </row>
    <row r="4287" spans="1:4" hidden="1" x14ac:dyDescent="0.25">
      <c r="A4287" s="2" t="s">
        <v>100</v>
      </c>
      <c r="B4287">
        <v>58</v>
      </c>
      <c r="C4287" s="2" t="s">
        <v>158</v>
      </c>
      <c r="D4287">
        <v>58</v>
      </c>
    </row>
    <row r="4288" spans="1:4" hidden="1" x14ac:dyDescent="0.25">
      <c r="A4288" s="2" t="s">
        <v>100</v>
      </c>
      <c r="B4288">
        <v>58</v>
      </c>
      <c r="C4288" s="2" t="s">
        <v>159</v>
      </c>
      <c r="D4288">
        <v>58</v>
      </c>
    </row>
    <row r="4289" spans="1:4" hidden="1" x14ac:dyDescent="0.25">
      <c r="A4289" s="2" t="s">
        <v>100</v>
      </c>
      <c r="B4289">
        <v>58</v>
      </c>
      <c r="C4289" s="2" t="s">
        <v>160</v>
      </c>
      <c r="D4289">
        <v>58</v>
      </c>
    </row>
    <row r="4290" spans="1:4" hidden="1" x14ac:dyDescent="0.25">
      <c r="A4290" s="2" t="s">
        <v>100</v>
      </c>
      <c r="B4290">
        <v>58</v>
      </c>
      <c r="C4290" s="2" t="s">
        <v>161</v>
      </c>
      <c r="D4290">
        <v>58</v>
      </c>
    </row>
    <row r="4291" spans="1:4" hidden="1" x14ac:dyDescent="0.25">
      <c r="A4291" s="2" t="s">
        <v>100</v>
      </c>
      <c r="B4291">
        <v>58</v>
      </c>
      <c r="C4291" s="2" t="s">
        <v>162</v>
      </c>
      <c r="D4291">
        <v>58</v>
      </c>
    </row>
    <row r="4292" spans="1:4" hidden="1" x14ac:dyDescent="0.25">
      <c r="A4292" s="2" t="s">
        <v>100</v>
      </c>
      <c r="B4292">
        <v>58</v>
      </c>
      <c r="C4292" s="2" t="s">
        <v>163</v>
      </c>
      <c r="D4292">
        <v>58</v>
      </c>
    </row>
    <row r="4293" spans="1:4" hidden="1" x14ac:dyDescent="0.25">
      <c r="A4293" s="2" t="s">
        <v>100</v>
      </c>
      <c r="B4293">
        <v>58</v>
      </c>
      <c r="C4293" s="2" t="s">
        <v>164</v>
      </c>
      <c r="D4293">
        <v>58</v>
      </c>
    </row>
    <row r="4294" spans="1:4" hidden="1" x14ac:dyDescent="0.25">
      <c r="A4294" s="2" t="s">
        <v>100</v>
      </c>
      <c r="B4294">
        <v>58</v>
      </c>
      <c r="C4294" s="2" t="s">
        <v>165</v>
      </c>
      <c r="D4294">
        <v>58</v>
      </c>
    </row>
    <row r="4295" spans="1:4" hidden="1" x14ac:dyDescent="0.25">
      <c r="A4295" s="2" t="s">
        <v>100</v>
      </c>
      <c r="B4295">
        <v>58</v>
      </c>
      <c r="C4295" s="2" t="s">
        <v>166</v>
      </c>
      <c r="D4295">
        <v>58</v>
      </c>
    </row>
    <row r="4296" spans="1:4" hidden="1" x14ac:dyDescent="0.25">
      <c r="A4296" s="2" t="s">
        <v>100</v>
      </c>
      <c r="B4296">
        <v>58</v>
      </c>
      <c r="C4296" s="2" t="s">
        <v>167</v>
      </c>
      <c r="D4296">
        <v>58</v>
      </c>
    </row>
    <row r="4297" spans="1:4" hidden="1" x14ac:dyDescent="0.25">
      <c r="A4297" s="2" t="s">
        <v>100</v>
      </c>
      <c r="B4297">
        <v>58</v>
      </c>
      <c r="C4297" s="2" t="s">
        <v>168</v>
      </c>
      <c r="D4297">
        <v>58</v>
      </c>
    </row>
    <row r="4298" spans="1:4" hidden="1" x14ac:dyDescent="0.25">
      <c r="A4298" s="2" t="s">
        <v>100</v>
      </c>
      <c r="B4298">
        <v>58</v>
      </c>
      <c r="C4298" s="2" t="s">
        <v>169</v>
      </c>
      <c r="D4298">
        <v>58</v>
      </c>
    </row>
    <row r="4299" spans="1:4" hidden="1" x14ac:dyDescent="0.25">
      <c r="A4299" s="2" t="s">
        <v>100</v>
      </c>
      <c r="B4299">
        <v>58</v>
      </c>
      <c r="C4299" s="2" t="s">
        <v>170</v>
      </c>
      <c r="D4299">
        <v>58</v>
      </c>
    </row>
    <row r="4300" spans="1:4" hidden="1" x14ac:dyDescent="0.25">
      <c r="A4300" s="2" t="s">
        <v>100</v>
      </c>
      <c r="B4300">
        <v>58</v>
      </c>
      <c r="C4300" s="2" t="s">
        <v>171</v>
      </c>
      <c r="D4300">
        <v>58</v>
      </c>
    </row>
    <row r="4301" spans="1:4" hidden="1" x14ac:dyDescent="0.25">
      <c r="A4301" s="2" t="s">
        <v>100</v>
      </c>
      <c r="B4301">
        <v>58</v>
      </c>
      <c r="C4301" s="2" t="s">
        <v>172</v>
      </c>
      <c r="D4301">
        <v>58</v>
      </c>
    </row>
    <row r="4302" spans="1:4" hidden="1" x14ac:dyDescent="0.25">
      <c r="A4302" s="2" t="s">
        <v>100</v>
      </c>
      <c r="B4302">
        <v>58</v>
      </c>
      <c r="C4302" s="2" t="s">
        <v>173</v>
      </c>
      <c r="D4302">
        <v>58</v>
      </c>
    </row>
    <row r="4303" spans="1:4" hidden="1" x14ac:dyDescent="0.25">
      <c r="A4303" s="2" t="s">
        <v>100</v>
      </c>
      <c r="B4303">
        <v>58</v>
      </c>
      <c r="C4303" s="2" t="s">
        <v>174</v>
      </c>
      <c r="D4303">
        <v>58</v>
      </c>
    </row>
    <row r="4304" spans="1:4" hidden="1" x14ac:dyDescent="0.25">
      <c r="A4304" s="2" t="s">
        <v>100</v>
      </c>
      <c r="B4304">
        <v>58</v>
      </c>
      <c r="C4304" s="2" t="s">
        <v>175</v>
      </c>
      <c r="D4304">
        <v>58</v>
      </c>
    </row>
    <row r="4305" spans="1:4" hidden="1" x14ac:dyDescent="0.25">
      <c r="A4305" s="2" t="s">
        <v>100</v>
      </c>
      <c r="B4305">
        <v>58</v>
      </c>
      <c r="C4305" s="2" t="s">
        <v>176</v>
      </c>
      <c r="D4305">
        <v>58</v>
      </c>
    </row>
    <row r="4306" spans="1:4" hidden="1" x14ac:dyDescent="0.25">
      <c r="A4306" s="2" t="s">
        <v>100</v>
      </c>
      <c r="B4306">
        <v>58</v>
      </c>
      <c r="C4306" s="2" t="s">
        <v>177</v>
      </c>
      <c r="D4306">
        <v>58</v>
      </c>
    </row>
    <row r="4307" spans="1:4" hidden="1" x14ac:dyDescent="0.25">
      <c r="A4307" s="2" t="s">
        <v>100</v>
      </c>
      <c r="B4307">
        <v>58</v>
      </c>
      <c r="C4307" s="2" t="s">
        <v>178</v>
      </c>
      <c r="D4307">
        <v>58</v>
      </c>
    </row>
    <row r="4308" spans="1:4" hidden="1" x14ac:dyDescent="0.25">
      <c r="A4308" s="2" t="s">
        <v>100</v>
      </c>
      <c r="B4308">
        <v>58</v>
      </c>
      <c r="C4308" s="2" t="s">
        <v>179</v>
      </c>
      <c r="D4308">
        <v>58</v>
      </c>
    </row>
    <row r="4309" spans="1:4" hidden="1" x14ac:dyDescent="0.25">
      <c r="A4309" s="2" t="s">
        <v>35</v>
      </c>
      <c r="B4309">
        <v>60</v>
      </c>
      <c r="C4309" s="2" t="s">
        <v>183</v>
      </c>
      <c r="D4309">
        <v>13</v>
      </c>
    </row>
    <row r="4310" spans="1:4" hidden="1" x14ac:dyDescent="0.25">
      <c r="A4310" s="2" t="s">
        <v>35</v>
      </c>
      <c r="B4310">
        <v>60</v>
      </c>
      <c r="C4310" s="2" t="s">
        <v>184</v>
      </c>
      <c r="D4310">
        <v>62</v>
      </c>
    </row>
    <row r="4311" spans="1:4" hidden="1" x14ac:dyDescent="0.25">
      <c r="A4311" s="2" t="s">
        <v>35</v>
      </c>
      <c r="B4311">
        <v>60</v>
      </c>
      <c r="C4311" s="2" t="s">
        <v>185</v>
      </c>
      <c r="D4311">
        <v>75</v>
      </c>
    </row>
    <row r="4312" spans="1:4" hidden="1" x14ac:dyDescent="0.25">
      <c r="A4312" s="2" t="s">
        <v>35</v>
      </c>
      <c r="B4312">
        <v>60</v>
      </c>
      <c r="C4312" s="2" t="s">
        <v>186</v>
      </c>
      <c r="D4312">
        <v>38</v>
      </c>
    </row>
    <row r="4313" spans="1:4" hidden="1" x14ac:dyDescent="0.25">
      <c r="A4313" s="2" t="s">
        <v>35</v>
      </c>
      <c r="B4313">
        <v>60</v>
      </c>
      <c r="C4313" s="2" t="s">
        <v>187</v>
      </c>
      <c r="D4313">
        <v>39</v>
      </c>
    </row>
    <row r="4314" spans="1:4" hidden="1" x14ac:dyDescent="0.25">
      <c r="A4314" s="2" t="s">
        <v>35</v>
      </c>
      <c r="B4314">
        <v>60</v>
      </c>
      <c r="C4314" s="2" t="s">
        <v>188</v>
      </c>
      <c r="D4314">
        <v>41</v>
      </c>
    </row>
    <row r="4315" spans="1:4" hidden="1" x14ac:dyDescent="0.25">
      <c r="A4315" s="2" t="s">
        <v>35</v>
      </c>
      <c r="B4315">
        <v>60</v>
      </c>
      <c r="C4315" s="2" t="s">
        <v>189</v>
      </c>
      <c r="D4315">
        <v>27</v>
      </c>
    </row>
    <row r="4316" spans="1:4" hidden="1" x14ac:dyDescent="0.25">
      <c r="A4316" s="2" t="s">
        <v>35</v>
      </c>
      <c r="B4316">
        <v>60</v>
      </c>
      <c r="C4316" s="2" t="s">
        <v>190</v>
      </c>
      <c r="D4316">
        <v>49</v>
      </c>
    </row>
    <row r="4317" spans="1:4" hidden="1" x14ac:dyDescent="0.25">
      <c r="A4317" s="2" t="s">
        <v>35</v>
      </c>
      <c r="B4317">
        <v>60</v>
      </c>
      <c r="C4317" s="2" t="s">
        <v>191</v>
      </c>
      <c r="D4317">
        <v>27</v>
      </c>
    </row>
    <row r="4318" spans="1:4" hidden="1" x14ac:dyDescent="0.25">
      <c r="A4318" s="2" t="s">
        <v>35</v>
      </c>
      <c r="B4318">
        <v>60</v>
      </c>
      <c r="C4318" s="2" t="s">
        <v>116</v>
      </c>
      <c r="D4318">
        <v>25</v>
      </c>
    </row>
    <row r="4319" spans="1:4" hidden="1" x14ac:dyDescent="0.25">
      <c r="A4319" s="2" t="s">
        <v>35</v>
      </c>
      <c r="B4319">
        <v>60</v>
      </c>
      <c r="C4319" s="2" t="s">
        <v>117</v>
      </c>
      <c r="D4319">
        <v>23</v>
      </c>
    </row>
    <row r="4320" spans="1:4" hidden="1" x14ac:dyDescent="0.25">
      <c r="A4320" s="2" t="s">
        <v>35</v>
      </c>
      <c r="B4320">
        <v>60</v>
      </c>
      <c r="C4320" s="2" t="s">
        <v>118</v>
      </c>
      <c r="D4320">
        <v>29</v>
      </c>
    </row>
    <row r="4321" spans="1:4" hidden="1" x14ac:dyDescent="0.25">
      <c r="A4321" s="2" t="s">
        <v>35</v>
      </c>
      <c r="B4321">
        <v>60</v>
      </c>
      <c r="C4321" s="2" t="s">
        <v>119</v>
      </c>
      <c r="D4321">
        <v>51</v>
      </c>
    </row>
    <row r="4322" spans="1:4" hidden="1" x14ac:dyDescent="0.25">
      <c r="A4322" s="2" t="s">
        <v>35</v>
      </c>
      <c r="B4322">
        <v>60</v>
      </c>
      <c r="C4322" s="2" t="s">
        <v>120</v>
      </c>
      <c r="D4322">
        <v>59</v>
      </c>
    </row>
    <row r="4323" spans="1:4" hidden="1" x14ac:dyDescent="0.25">
      <c r="A4323" s="2" t="s">
        <v>35</v>
      </c>
      <c r="B4323">
        <v>60</v>
      </c>
      <c r="C4323" s="2" t="s">
        <v>121</v>
      </c>
      <c r="D4323">
        <v>55</v>
      </c>
    </row>
    <row r="4324" spans="1:4" hidden="1" x14ac:dyDescent="0.25">
      <c r="A4324" s="2" t="s">
        <v>35</v>
      </c>
      <c r="B4324">
        <v>60</v>
      </c>
      <c r="C4324" s="2" t="s">
        <v>122</v>
      </c>
      <c r="D4324">
        <v>41</v>
      </c>
    </row>
    <row r="4325" spans="1:4" hidden="1" x14ac:dyDescent="0.25">
      <c r="A4325" s="2" t="s">
        <v>35</v>
      </c>
      <c r="B4325">
        <v>60</v>
      </c>
      <c r="C4325" s="2" t="s">
        <v>123</v>
      </c>
      <c r="D4325">
        <v>28</v>
      </c>
    </row>
    <row r="4326" spans="1:4" hidden="1" x14ac:dyDescent="0.25">
      <c r="A4326" s="2" t="s">
        <v>35</v>
      </c>
      <c r="B4326">
        <v>60</v>
      </c>
      <c r="C4326" s="2" t="s">
        <v>124</v>
      </c>
      <c r="D4326">
        <v>34</v>
      </c>
    </row>
    <row r="4327" spans="1:4" hidden="1" x14ac:dyDescent="0.25">
      <c r="A4327" s="2" t="s">
        <v>35</v>
      </c>
      <c r="B4327">
        <v>60</v>
      </c>
      <c r="C4327" s="2" t="s">
        <v>125</v>
      </c>
      <c r="D4327">
        <v>35</v>
      </c>
    </row>
    <row r="4328" spans="1:4" hidden="1" x14ac:dyDescent="0.25">
      <c r="A4328" s="2" t="s">
        <v>35</v>
      </c>
      <c r="B4328">
        <v>60</v>
      </c>
      <c r="C4328" s="2" t="s">
        <v>126</v>
      </c>
      <c r="D4328">
        <v>34</v>
      </c>
    </row>
    <row r="4329" spans="1:4" hidden="1" x14ac:dyDescent="0.25">
      <c r="A4329" s="2" t="s">
        <v>35</v>
      </c>
      <c r="B4329">
        <v>60</v>
      </c>
      <c r="C4329" s="2" t="s">
        <v>127</v>
      </c>
      <c r="D4329">
        <v>36</v>
      </c>
    </row>
    <row r="4330" spans="1:4" hidden="1" x14ac:dyDescent="0.25">
      <c r="A4330" s="2" t="s">
        <v>35</v>
      </c>
      <c r="B4330">
        <v>60</v>
      </c>
      <c r="C4330" s="2" t="s">
        <v>128</v>
      </c>
      <c r="D4330">
        <v>40</v>
      </c>
    </row>
    <row r="4331" spans="1:4" hidden="1" x14ac:dyDescent="0.25">
      <c r="A4331" s="2" t="s">
        <v>35</v>
      </c>
      <c r="B4331">
        <v>60</v>
      </c>
      <c r="C4331" s="2" t="s">
        <v>129</v>
      </c>
      <c r="D4331">
        <v>47</v>
      </c>
    </row>
    <row r="4332" spans="1:4" hidden="1" x14ac:dyDescent="0.25">
      <c r="A4332" s="2" t="s">
        <v>35</v>
      </c>
      <c r="B4332">
        <v>60</v>
      </c>
      <c r="C4332" s="2" t="s">
        <v>130</v>
      </c>
      <c r="D4332">
        <v>55</v>
      </c>
    </row>
    <row r="4333" spans="1:4" hidden="1" x14ac:dyDescent="0.25">
      <c r="A4333" s="2" t="s">
        <v>35</v>
      </c>
      <c r="B4333">
        <v>60</v>
      </c>
      <c r="C4333" s="2" t="s">
        <v>131</v>
      </c>
      <c r="D4333">
        <v>55</v>
      </c>
    </row>
    <row r="4334" spans="1:4" hidden="1" x14ac:dyDescent="0.25">
      <c r="A4334" s="2" t="s">
        <v>35</v>
      </c>
      <c r="B4334">
        <v>60</v>
      </c>
      <c r="C4334" s="2" t="s">
        <v>132</v>
      </c>
      <c r="D4334">
        <v>57</v>
      </c>
    </row>
    <row r="4335" spans="1:4" hidden="1" x14ac:dyDescent="0.25">
      <c r="A4335" s="2" t="s">
        <v>35</v>
      </c>
      <c r="B4335">
        <v>60</v>
      </c>
      <c r="C4335" s="2" t="s">
        <v>133</v>
      </c>
      <c r="D4335">
        <v>57</v>
      </c>
    </row>
    <row r="4336" spans="1:4" hidden="1" x14ac:dyDescent="0.25">
      <c r="A4336" s="2" t="s">
        <v>35</v>
      </c>
      <c r="B4336">
        <v>60</v>
      </c>
      <c r="C4336" s="2" t="s">
        <v>134</v>
      </c>
      <c r="D4336">
        <v>54</v>
      </c>
    </row>
    <row r="4337" spans="1:4" hidden="1" x14ac:dyDescent="0.25">
      <c r="A4337" s="2" t="s">
        <v>35</v>
      </c>
      <c r="B4337">
        <v>60</v>
      </c>
      <c r="C4337" s="2" t="s">
        <v>135</v>
      </c>
      <c r="D4337">
        <v>60</v>
      </c>
    </row>
    <row r="4338" spans="1:4" hidden="1" x14ac:dyDescent="0.25">
      <c r="A4338" s="2" t="s">
        <v>35</v>
      </c>
      <c r="B4338">
        <v>60</v>
      </c>
      <c r="C4338" s="2" t="s">
        <v>136</v>
      </c>
      <c r="D4338">
        <v>60</v>
      </c>
    </row>
    <row r="4339" spans="1:4" hidden="1" x14ac:dyDescent="0.25">
      <c r="A4339" s="2" t="s">
        <v>35</v>
      </c>
      <c r="B4339">
        <v>60</v>
      </c>
      <c r="C4339" s="2" t="s">
        <v>137</v>
      </c>
      <c r="D4339">
        <v>60</v>
      </c>
    </row>
    <row r="4340" spans="1:4" hidden="1" x14ac:dyDescent="0.25">
      <c r="A4340" s="2" t="s">
        <v>35</v>
      </c>
      <c r="B4340">
        <v>60</v>
      </c>
      <c r="C4340" s="2" t="s">
        <v>138</v>
      </c>
      <c r="D4340">
        <v>60</v>
      </c>
    </row>
    <row r="4341" spans="1:4" hidden="1" x14ac:dyDescent="0.25">
      <c r="A4341" s="2" t="s">
        <v>35</v>
      </c>
      <c r="B4341">
        <v>60</v>
      </c>
      <c r="C4341" s="2" t="s">
        <v>139</v>
      </c>
      <c r="D4341">
        <v>60</v>
      </c>
    </row>
    <row r="4342" spans="1:4" hidden="1" x14ac:dyDescent="0.25">
      <c r="A4342" s="2" t="s">
        <v>35</v>
      </c>
      <c r="B4342">
        <v>60</v>
      </c>
      <c r="C4342" s="2" t="s">
        <v>140</v>
      </c>
      <c r="D4342">
        <v>60</v>
      </c>
    </row>
    <row r="4343" spans="1:4" hidden="1" x14ac:dyDescent="0.25">
      <c r="A4343" s="2" t="s">
        <v>35</v>
      </c>
      <c r="B4343">
        <v>60</v>
      </c>
      <c r="C4343" s="2" t="s">
        <v>141</v>
      </c>
      <c r="D4343">
        <v>60</v>
      </c>
    </row>
    <row r="4344" spans="1:4" hidden="1" x14ac:dyDescent="0.25">
      <c r="A4344" s="2" t="s">
        <v>35</v>
      </c>
      <c r="B4344">
        <v>60</v>
      </c>
      <c r="C4344" s="2" t="s">
        <v>142</v>
      </c>
      <c r="D4344">
        <v>60</v>
      </c>
    </row>
    <row r="4345" spans="1:4" hidden="1" x14ac:dyDescent="0.25">
      <c r="A4345" s="2" t="s">
        <v>35</v>
      </c>
      <c r="B4345">
        <v>60</v>
      </c>
      <c r="C4345" s="2" t="s">
        <v>143</v>
      </c>
      <c r="D4345">
        <v>60</v>
      </c>
    </row>
    <row r="4346" spans="1:4" hidden="1" x14ac:dyDescent="0.25">
      <c r="A4346" s="2" t="s">
        <v>35</v>
      </c>
      <c r="B4346">
        <v>60</v>
      </c>
      <c r="C4346" s="2" t="s">
        <v>144</v>
      </c>
      <c r="D4346">
        <v>60</v>
      </c>
    </row>
    <row r="4347" spans="1:4" hidden="1" x14ac:dyDescent="0.25">
      <c r="A4347" s="2" t="s">
        <v>35</v>
      </c>
      <c r="B4347">
        <v>60</v>
      </c>
      <c r="C4347" s="2" t="s">
        <v>145</v>
      </c>
      <c r="D4347">
        <v>60</v>
      </c>
    </row>
    <row r="4348" spans="1:4" hidden="1" x14ac:dyDescent="0.25">
      <c r="A4348" s="2" t="s">
        <v>35</v>
      </c>
      <c r="B4348">
        <v>60</v>
      </c>
      <c r="C4348" s="2" t="s">
        <v>146</v>
      </c>
      <c r="D4348">
        <v>60</v>
      </c>
    </row>
    <row r="4349" spans="1:4" hidden="1" x14ac:dyDescent="0.25">
      <c r="A4349" s="2" t="s">
        <v>35</v>
      </c>
      <c r="B4349">
        <v>60</v>
      </c>
      <c r="C4349" s="2" t="s">
        <v>147</v>
      </c>
      <c r="D4349">
        <v>60</v>
      </c>
    </row>
    <row r="4350" spans="1:4" hidden="1" x14ac:dyDescent="0.25">
      <c r="A4350" s="2" t="s">
        <v>35</v>
      </c>
      <c r="B4350">
        <v>60</v>
      </c>
      <c r="C4350" s="2" t="s">
        <v>148</v>
      </c>
      <c r="D4350">
        <v>60</v>
      </c>
    </row>
    <row r="4351" spans="1:4" hidden="1" x14ac:dyDescent="0.25">
      <c r="A4351" s="2" t="s">
        <v>35</v>
      </c>
      <c r="B4351">
        <v>60</v>
      </c>
      <c r="C4351" s="2" t="s">
        <v>149</v>
      </c>
      <c r="D4351">
        <v>60</v>
      </c>
    </row>
    <row r="4352" spans="1:4" hidden="1" x14ac:dyDescent="0.25">
      <c r="A4352" s="2" t="s">
        <v>35</v>
      </c>
      <c r="B4352">
        <v>60</v>
      </c>
      <c r="C4352" s="2" t="s">
        <v>150</v>
      </c>
      <c r="D4352">
        <v>60</v>
      </c>
    </row>
    <row r="4353" spans="1:4" hidden="1" x14ac:dyDescent="0.25">
      <c r="A4353" s="2" t="s">
        <v>35</v>
      </c>
      <c r="B4353">
        <v>60</v>
      </c>
      <c r="C4353" s="2" t="s">
        <v>151</v>
      </c>
      <c r="D4353">
        <v>60</v>
      </c>
    </row>
    <row r="4354" spans="1:4" hidden="1" x14ac:dyDescent="0.25">
      <c r="A4354" s="2" t="s">
        <v>35</v>
      </c>
      <c r="B4354">
        <v>60</v>
      </c>
      <c r="C4354" s="2" t="s">
        <v>152</v>
      </c>
      <c r="D4354">
        <v>60</v>
      </c>
    </row>
    <row r="4355" spans="1:4" hidden="1" x14ac:dyDescent="0.25">
      <c r="A4355" s="2" t="s">
        <v>35</v>
      </c>
      <c r="B4355">
        <v>60</v>
      </c>
      <c r="C4355" s="2" t="s">
        <v>153</v>
      </c>
      <c r="D4355">
        <v>60</v>
      </c>
    </row>
    <row r="4356" spans="1:4" hidden="1" x14ac:dyDescent="0.25">
      <c r="A4356" s="2" t="s">
        <v>35</v>
      </c>
      <c r="B4356">
        <v>60</v>
      </c>
      <c r="C4356" s="2" t="s">
        <v>154</v>
      </c>
      <c r="D4356">
        <v>60</v>
      </c>
    </row>
    <row r="4357" spans="1:4" hidden="1" x14ac:dyDescent="0.25">
      <c r="A4357" s="2" t="s">
        <v>35</v>
      </c>
      <c r="B4357">
        <v>60</v>
      </c>
      <c r="C4357" s="2" t="s">
        <v>155</v>
      </c>
      <c r="D4357">
        <v>60</v>
      </c>
    </row>
    <row r="4358" spans="1:4" hidden="1" x14ac:dyDescent="0.25">
      <c r="A4358" s="2" t="s">
        <v>35</v>
      </c>
      <c r="B4358">
        <v>60</v>
      </c>
      <c r="C4358" s="2" t="s">
        <v>156</v>
      </c>
      <c r="D4358">
        <v>60</v>
      </c>
    </row>
    <row r="4359" spans="1:4" hidden="1" x14ac:dyDescent="0.25">
      <c r="A4359" s="2" t="s">
        <v>35</v>
      </c>
      <c r="B4359">
        <v>60</v>
      </c>
      <c r="C4359" s="2" t="s">
        <v>157</v>
      </c>
      <c r="D4359">
        <v>60</v>
      </c>
    </row>
    <row r="4360" spans="1:4" hidden="1" x14ac:dyDescent="0.25">
      <c r="A4360" s="2" t="s">
        <v>35</v>
      </c>
      <c r="B4360">
        <v>60</v>
      </c>
      <c r="C4360" s="2" t="s">
        <v>158</v>
      </c>
      <c r="D4360">
        <v>60</v>
      </c>
    </row>
    <row r="4361" spans="1:4" hidden="1" x14ac:dyDescent="0.25">
      <c r="A4361" s="2" t="s">
        <v>35</v>
      </c>
      <c r="B4361">
        <v>60</v>
      </c>
      <c r="C4361" s="2" t="s">
        <v>159</v>
      </c>
      <c r="D4361">
        <v>60</v>
      </c>
    </row>
    <row r="4362" spans="1:4" hidden="1" x14ac:dyDescent="0.25">
      <c r="A4362" s="2" t="s">
        <v>35</v>
      </c>
      <c r="B4362">
        <v>60</v>
      </c>
      <c r="C4362" s="2" t="s">
        <v>160</v>
      </c>
      <c r="D4362">
        <v>60</v>
      </c>
    </row>
    <row r="4363" spans="1:4" hidden="1" x14ac:dyDescent="0.25">
      <c r="A4363" s="2" t="s">
        <v>35</v>
      </c>
      <c r="B4363">
        <v>60</v>
      </c>
      <c r="C4363" s="2" t="s">
        <v>161</v>
      </c>
      <c r="D4363">
        <v>60</v>
      </c>
    </row>
    <row r="4364" spans="1:4" hidden="1" x14ac:dyDescent="0.25">
      <c r="A4364" s="2" t="s">
        <v>35</v>
      </c>
      <c r="B4364">
        <v>60</v>
      </c>
      <c r="C4364" s="2" t="s">
        <v>162</v>
      </c>
      <c r="D4364">
        <v>60</v>
      </c>
    </row>
    <row r="4365" spans="1:4" hidden="1" x14ac:dyDescent="0.25">
      <c r="A4365" s="2" t="s">
        <v>35</v>
      </c>
      <c r="B4365">
        <v>60</v>
      </c>
      <c r="C4365" s="2" t="s">
        <v>163</v>
      </c>
      <c r="D4365">
        <v>60</v>
      </c>
    </row>
    <row r="4366" spans="1:4" hidden="1" x14ac:dyDescent="0.25">
      <c r="A4366" s="2" t="s">
        <v>35</v>
      </c>
      <c r="B4366">
        <v>60</v>
      </c>
      <c r="C4366" s="2" t="s">
        <v>164</v>
      </c>
      <c r="D4366">
        <v>60</v>
      </c>
    </row>
    <row r="4367" spans="1:4" hidden="1" x14ac:dyDescent="0.25">
      <c r="A4367" s="2" t="s">
        <v>35</v>
      </c>
      <c r="B4367">
        <v>60</v>
      </c>
      <c r="C4367" s="2" t="s">
        <v>165</v>
      </c>
      <c r="D4367">
        <v>60</v>
      </c>
    </row>
    <row r="4368" spans="1:4" hidden="1" x14ac:dyDescent="0.25">
      <c r="A4368" s="2" t="s">
        <v>35</v>
      </c>
      <c r="B4368">
        <v>60</v>
      </c>
      <c r="C4368" s="2" t="s">
        <v>166</v>
      </c>
      <c r="D4368">
        <v>60</v>
      </c>
    </row>
    <row r="4369" spans="1:4" hidden="1" x14ac:dyDescent="0.25">
      <c r="A4369" s="2" t="s">
        <v>35</v>
      </c>
      <c r="B4369">
        <v>60</v>
      </c>
      <c r="C4369" s="2" t="s">
        <v>167</v>
      </c>
      <c r="D4369">
        <v>60</v>
      </c>
    </row>
    <row r="4370" spans="1:4" hidden="1" x14ac:dyDescent="0.25">
      <c r="A4370" s="2" t="s">
        <v>35</v>
      </c>
      <c r="B4370">
        <v>60</v>
      </c>
      <c r="C4370" s="2" t="s">
        <v>168</v>
      </c>
      <c r="D4370">
        <v>60</v>
      </c>
    </row>
    <row r="4371" spans="1:4" hidden="1" x14ac:dyDescent="0.25">
      <c r="A4371" s="2" t="s">
        <v>35</v>
      </c>
      <c r="B4371">
        <v>60</v>
      </c>
      <c r="C4371" s="2" t="s">
        <v>169</v>
      </c>
      <c r="D4371">
        <v>60</v>
      </c>
    </row>
    <row r="4372" spans="1:4" hidden="1" x14ac:dyDescent="0.25">
      <c r="A4372" s="2" t="s">
        <v>35</v>
      </c>
      <c r="B4372">
        <v>60</v>
      </c>
      <c r="C4372" s="2" t="s">
        <v>170</v>
      </c>
      <c r="D4372">
        <v>60</v>
      </c>
    </row>
    <row r="4373" spans="1:4" hidden="1" x14ac:dyDescent="0.25">
      <c r="A4373" s="2" t="s">
        <v>35</v>
      </c>
      <c r="B4373">
        <v>60</v>
      </c>
      <c r="C4373" s="2" t="s">
        <v>171</v>
      </c>
      <c r="D4373">
        <v>60</v>
      </c>
    </row>
    <row r="4374" spans="1:4" hidden="1" x14ac:dyDescent="0.25">
      <c r="A4374" s="2" t="s">
        <v>35</v>
      </c>
      <c r="B4374">
        <v>60</v>
      </c>
      <c r="C4374" s="2" t="s">
        <v>172</v>
      </c>
      <c r="D4374">
        <v>60</v>
      </c>
    </row>
    <row r="4375" spans="1:4" hidden="1" x14ac:dyDescent="0.25">
      <c r="A4375" s="2" t="s">
        <v>35</v>
      </c>
      <c r="B4375">
        <v>60</v>
      </c>
      <c r="C4375" s="2" t="s">
        <v>173</v>
      </c>
      <c r="D4375">
        <v>60</v>
      </c>
    </row>
    <row r="4376" spans="1:4" hidden="1" x14ac:dyDescent="0.25">
      <c r="A4376" s="2" t="s">
        <v>35</v>
      </c>
      <c r="B4376">
        <v>60</v>
      </c>
      <c r="C4376" s="2" t="s">
        <v>174</v>
      </c>
      <c r="D4376">
        <v>60</v>
      </c>
    </row>
    <row r="4377" spans="1:4" hidden="1" x14ac:dyDescent="0.25">
      <c r="A4377" s="2" t="s">
        <v>35</v>
      </c>
      <c r="B4377">
        <v>60</v>
      </c>
      <c r="C4377" s="2" t="s">
        <v>175</v>
      </c>
      <c r="D4377">
        <v>60</v>
      </c>
    </row>
    <row r="4378" spans="1:4" hidden="1" x14ac:dyDescent="0.25">
      <c r="A4378" s="2" t="s">
        <v>35</v>
      </c>
      <c r="B4378">
        <v>60</v>
      </c>
      <c r="C4378" s="2" t="s">
        <v>176</v>
      </c>
      <c r="D4378">
        <v>60</v>
      </c>
    </row>
    <row r="4379" spans="1:4" hidden="1" x14ac:dyDescent="0.25">
      <c r="A4379" s="2" t="s">
        <v>35</v>
      </c>
      <c r="B4379">
        <v>60</v>
      </c>
      <c r="C4379" s="2" t="s">
        <v>177</v>
      </c>
      <c r="D4379">
        <v>60</v>
      </c>
    </row>
    <row r="4380" spans="1:4" hidden="1" x14ac:dyDescent="0.25">
      <c r="A4380" s="2" t="s">
        <v>35</v>
      </c>
      <c r="B4380">
        <v>60</v>
      </c>
      <c r="C4380" s="2" t="s">
        <v>178</v>
      </c>
      <c r="D4380">
        <v>60</v>
      </c>
    </row>
    <row r="4381" spans="1:4" hidden="1" x14ac:dyDescent="0.25">
      <c r="A4381" s="2" t="s">
        <v>35</v>
      </c>
      <c r="B4381">
        <v>60</v>
      </c>
      <c r="C4381" s="2" t="s">
        <v>179</v>
      </c>
      <c r="D4381">
        <v>60</v>
      </c>
    </row>
    <row r="4382" spans="1:4" hidden="1" x14ac:dyDescent="0.25">
      <c r="A4382" s="2" t="s">
        <v>90</v>
      </c>
      <c r="B4382">
        <v>60</v>
      </c>
      <c r="C4382" s="2" t="s">
        <v>183</v>
      </c>
      <c r="D4382">
        <v>78</v>
      </c>
    </row>
    <row r="4383" spans="1:4" hidden="1" x14ac:dyDescent="0.25">
      <c r="A4383" s="2" t="s">
        <v>90</v>
      </c>
      <c r="B4383">
        <v>60</v>
      </c>
      <c r="C4383" s="2" t="s">
        <v>184</v>
      </c>
      <c r="D4383">
        <v>77</v>
      </c>
    </row>
    <row r="4384" spans="1:4" hidden="1" x14ac:dyDescent="0.25">
      <c r="A4384" s="2" t="s">
        <v>90</v>
      </c>
      <c r="B4384">
        <v>60</v>
      </c>
      <c r="C4384" s="2" t="s">
        <v>185</v>
      </c>
      <c r="D4384">
        <v>82</v>
      </c>
    </row>
    <row r="4385" spans="1:4" hidden="1" x14ac:dyDescent="0.25">
      <c r="A4385" s="2" t="s">
        <v>90</v>
      </c>
      <c r="B4385">
        <v>60</v>
      </c>
      <c r="C4385" s="2" t="s">
        <v>186</v>
      </c>
      <c r="D4385">
        <v>54</v>
      </c>
    </row>
    <row r="4386" spans="1:4" hidden="1" x14ac:dyDescent="0.25">
      <c r="A4386" s="2" t="s">
        <v>90</v>
      </c>
      <c r="B4386">
        <v>60</v>
      </c>
      <c r="C4386" s="2" t="s">
        <v>187</v>
      </c>
      <c r="D4386">
        <v>55</v>
      </c>
    </row>
    <row r="4387" spans="1:4" hidden="1" x14ac:dyDescent="0.25">
      <c r="A4387" s="2" t="s">
        <v>90</v>
      </c>
      <c r="B4387">
        <v>60</v>
      </c>
      <c r="C4387" s="2" t="s">
        <v>188</v>
      </c>
      <c r="D4387">
        <v>53</v>
      </c>
    </row>
    <row r="4388" spans="1:4" hidden="1" x14ac:dyDescent="0.25">
      <c r="A4388" s="2" t="s">
        <v>90</v>
      </c>
      <c r="B4388">
        <v>60</v>
      </c>
      <c r="C4388" s="2" t="s">
        <v>189</v>
      </c>
      <c r="D4388">
        <v>37</v>
      </c>
    </row>
    <row r="4389" spans="1:4" hidden="1" x14ac:dyDescent="0.25">
      <c r="A4389" s="2" t="s">
        <v>90</v>
      </c>
      <c r="B4389">
        <v>60</v>
      </c>
      <c r="C4389" s="2" t="s">
        <v>190</v>
      </c>
      <c r="D4389">
        <v>27</v>
      </c>
    </row>
    <row r="4390" spans="1:4" hidden="1" x14ac:dyDescent="0.25">
      <c r="A4390" s="2" t="s">
        <v>90</v>
      </c>
      <c r="B4390">
        <v>60</v>
      </c>
      <c r="C4390" s="2" t="s">
        <v>191</v>
      </c>
      <c r="D4390">
        <v>27</v>
      </c>
    </row>
    <row r="4391" spans="1:4" hidden="1" x14ac:dyDescent="0.25">
      <c r="A4391" s="2" t="s">
        <v>90</v>
      </c>
      <c r="B4391">
        <v>60</v>
      </c>
      <c r="C4391" s="2" t="s">
        <v>116</v>
      </c>
      <c r="D4391">
        <v>31</v>
      </c>
    </row>
    <row r="4392" spans="1:4" hidden="1" x14ac:dyDescent="0.25">
      <c r="A4392" s="2" t="s">
        <v>90</v>
      </c>
      <c r="B4392">
        <v>60</v>
      </c>
      <c r="C4392" s="2" t="s">
        <v>117</v>
      </c>
      <c r="D4392">
        <v>30</v>
      </c>
    </row>
    <row r="4393" spans="1:4" hidden="1" x14ac:dyDescent="0.25">
      <c r="A4393" s="2" t="s">
        <v>90</v>
      </c>
      <c r="B4393">
        <v>60</v>
      </c>
      <c r="C4393" s="2" t="s">
        <v>118</v>
      </c>
      <c r="D4393">
        <v>29</v>
      </c>
    </row>
    <row r="4394" spans="1:4" hidden="1" x14ac:dyDescent="0.25">
      <c r="A4394" s="2" t="s">
        <v>90</v>
      </c>
      <c r="B4394">
        <v>60</v>
      </c>
      <c r="C4394" s="2" t="s">
        <v>119</v>
      </c>
      <c r="D4394">
        <v>51</v>
      </c>
    </row>
    <row r="4395" spans="1:4" hidden="1" x14ac:dyDescent="0.25">
      <c r="A4395" s="2" t="s">
        <v>90</v>
      </c>
      <c r="B4395">
        <v>60</v>
      </c>
      <c r="C4395" s="2" t="s">
        <v>120</v>
      </c>
      <c r="D4395">
        <v>56</v>
      </c>
    </row>
    <row r="4396" spans="1:4" hidden="1" x14ac:dyDescent="0.25">
      <c r="A4396" s="2" t="s">
        <v>90</v>
      </c>
      <c r="B4396">
        <v>60</v>
      </c>
      <c r="C4396" s="2" t="s">
        <v>121</v>
      </c>
      <c r="D4396">
        <v>55</v>
      </c>
    </row>
    <row r="4397" spans="1:4" hidden="1" x14ac:dyDescent="0.25">
      <c r="A4397" s="2" t="s">
        <v>90</v>
      </c>
      <c r="B4397">
        <v>60</v>
      </c>
      <c r="C4397" s="2" t="s">
        <v>122</v>
      </c>
      <c r="D4397">
        <v>41</v>
      </c>
    </row>
    <row r="4398" spans="1:4" hidden="1" x14ac:dyDescent="0.25">
      <c r="A4398" s="2" t="s">
        <v>90</v>
      </c>
      <c r="B4398">
        <v>60</v>
      </c>
      <c r="C4398" s="2" t="s">
        <v>123</v>
      </c>
      <c r="D4398">
        <v>50</v>
      </c>
    </row>
    <row r="4399" spans="1:4" hidden="1" x14ac:dyDescent="0.25">
      <c r="A4399" s="2" t="s">
        <v>90</v>
      </c>
      <c r="B4399">
        <v>60</v>
      </c>
      <c r="C4399" s="2" t="s">
        <v>124</v>
      </c>
      <c r="D4399">
        <v>51</v>
      </c>
    </row>
    <row r="4400" spans="1:4" hidden="1" x14ac:dyDescent="0.25">
      <c r="A4400" s="2" t="s">
        <v>90</v>
      </c>
      <c r="B4400">
        <v>60</v>
      </c>
      <c r="C4400" s="2" t="s">
        <v>125</v>
      </c>
      <c r="D4400">
        <v>47</v>
      </c>
    </row>
    <row r="4401" spans="1:4" hidden="1" x14ac:dyDescent="0.25">
      <c r="A4401" s="2" t="s">
        <v>90</v>
      </c>
      <c r="B4401">
        <v>60</v>
      </c>
      <c r="C4401" s="2" t="s">
        <v>126</v>
      </c>
      <c r="D4401">
        <v>45</v>
      </c>
    </row>
    <row r="4402" spans="1:4" hidden="1" x14ac:dyDescent="0.25">
      <c r="A4402" s="2" t="s">
        <v>90</v>
      </c>
      <c r="B4402">
        <v>60</v>
      </c>
      <c r="C4402" s="2" t="s">
        <v>127</v>
      </c>
      <c r="D4402">
        <v>44</v>
      </c>
    </row>
    <row r="4403" spans="1:4" hidden="1" x14ac:dyDescent="0.25">
      <c r="A4403" s="2" t="s">
        <v>90</v>
      </c>
      <c r="B4403">
        <v>60</v>
      </c>
      <c r="C4403" s="2" t="s">
        <v>128</v>
      </c>
      <c r="D4403">
        <v>48</v>
      </c>
    </row>
    <row r="4404" spans="1:4" hidden="1" x14ac:dyDescent="0.25">
      <c r="A4404" s="2" t="s">
        <v>90</v>
      </c>
      <c r="B4404">
        <v>60</v>
      </c>
      <c r="C4404" s="2" t="s">
        <v>129</v>
      </c>
      <c r="D4404">
        <v>52</v>
      </c>
    </row>
    <row r="4405" spans="1:4" hidden="1" x14ac:dyDescent="0.25">
      <c r="A4405" s="2" t="s">
        <v>90</v>
      </c>
      <c r="B4405">
        <v>60</v>
      </c>
      <c r="C4405" s="2" t="s">
        <v>130</v>
      </c>
      <c r="D4405">
        <v>64</v>
      </c>
    </row>
    <row r="4406" spans="1:4" hidden="1" x14ac:dyDescent="0.25">
      <c r="A4406" s="2" t="s">
        <v>90</v>
      </c>
      <c r="B4406">
        <v>60</v>
      </c>
      <c r="C4406" s="2" t="s">
        <v>131</v>
      </c>
      <c r="D4406">
        <v>75</v>
      </c>
    </row>
    <row r="4407" spans="1:4" hidden="1" x14ac:dyDescent="0.25">
      <c r="A4407" s="2" t="s">
        <v>90</v>
      </c>
      <c r="B4407">
        <v>60</v>
      </c>
      <c r="C4407" s="2" t="s">
        <v>132</v>
      </c>
      <c r="D4407">
        <v>78</v>
      </c>
    </row>
    <row r="4408" spans="1:4" hidden="1" x14ac:dyDescent="0.25">
      <c r="A4408" s="2" t="s">
        <v>90</v>
      </c>
      <c r="B4408">
        <v>60</v>
      </c>
      <c r="C4408" s="2" t="s">
        <v>133</v>
      </c>
      <c r="D4408">
        <v>78</v>
      </c>
    </row>
    <row r="4409" spans="1:4" hidden="1" x14ac:dyDescent="0.25">
      <c r="A4409" s="2" t="s">
        <v>90</v>
      </c>
      <c r="B4409">
        <v>60</v>
      </c>
      <c r="C4409" s="2" t="s">
        <v>134</v>
      </c>
      <c r="D4409">
        <v>77</v>
      </c>
    </row>
    <row r="4410" spans="1:4" hidden="1" x14ac:dyDescent="0.25">
      <c r="A4410" s="2" t="s">
        <v>90</v>
      </c>
      <c r="B4410">
        <v>60</v>
      </c>
      <c r="C4410" s="2" t="s">
        <v>135</v>
      </c>
      <c r="D4410">
        <v>60</v>
      </c>
    </row>
    <row r="4411" spans="1:4" hidden="1" x14ac:dyDescent="0.25">
      <c r="A4411" s="2" t="s">
        <v>90</v>
      </c>
      <c r="B4411">
        <v>60</v>
      </c>
      <c r="C4411" s="2" t="s">
        <v>136</v>
      </c>
      <c r="D4411">
        <v>60</v>
      </c>
    </row>
    <row r="4412" spans="1:4" hidden="1" x14ac:dyDescent="0.25">
      <c r="A4412" s="2" t="s">
        <v>90</v>
      </c>
      <c r="B4412">
        <v>60</v>
      </c>
      <c r="C4412" s="2" t="s">
        <v>137</v>
      </c>
      <c r="D4412">
        <v>60</v>
      </c>
    </row>
    <row r="4413" spans="1:4" hidden="1" x14ac:dyDescent="0.25">
      <c r="A4413" s="2" t="s">
        <v>90</v>
      </c>
      <c r="B4413">
        <v>60</v>
      </c>
      <c r="C4413" s="2" t="s">
        <v>138</v>
      </c>
      <c r="D4413">
        <v>60</v>
      </c>
    </row>
    <row r="4414" spans="1:4" hidden="1" x14ac:dyDescent="0.25">
      <c r="A4414" s="2" t="s">
        <v>90</v>
      </c>
      <c r="B4414">
        <v>60</v>
      </c>
      <c r="C4414" s="2" t="s">
        <v>139</v>
      </c>
      <c r="D4414">
        <v>60</v>
      </c>
    </row>
    <row r="4415" spans="1:4" hidden="1" x14ac:dyDescent="0.25">
      <c r="A4415" s="2" t="s">
        <v>90</v>
      </c>
      <c r="B4415">
        <v>60</v>
      </c>
      <c r="C4415" s="2" t="s">
        <v>140</v>
      </c>
      <c r="D4415">
        <v>60</v>
      </c>
    </row>
    <row r="4416" spans="1:4" hidden="1" x14ac:dyDescent="0.25">
      <c r="A4416" s="2" t="s">
        <v>90</v>
      </c>
      <c r="B4416">
        <v>60</v>
      </c>
      <c r="C4416" s="2" t="s">
        <v>141</v>
      </c>
      <c r="D4416">
        <v>60</v>
      </c>
    </row>
    <row r="4417" spans="1:4" hidden="1" x14ac:dyDescent="0.25">
      <c r="A4417" s="2" t="s">
        <v>90</v>
      </c>
      <c r="B4417">
        <v>60</v>
      </c>
      <c r="C4417" s="2" t="s">
        <v>142</v>
      </c>
      <c r="D4417">
        <v>60</v>
      </c>
    </row>
    <row r="4418" spans="1:4" hidden="1" x14ac:dyDescent="0.25">
      <c r="A4418" s="2" t="s">
        <v>90</v>
      </c>
      <c r="B4418">
        <v>60</v>
      </c>
      <c r="C4418" s="2" t="s">
        <v>143</v>
      </c>
      <c r="D4418">
        <v>60</v>
      </c>
    </row>
    <row r="4419" spans="1:4" hidden="1" x14ac:dyDescent="0.25">
      <c r="A4419" s="2" t="s">
        <v>90</v>
      </c>
      <c r="B4419">
        <v>60</v>
      </c>
      <c r="C4419" s="2" t="s">
        <v>144</v>
      </c>
      <c r="D4419">
        <v>60</v>
      </c>
    </row>
    <row r="4420" spans="1:4" hidden="1" x14ac:dyDescent="0.25">
      <c r="A4420" s="2" t="s">
        <v>90</v>
      </c>
      <c r="B4420">
        <v>60</v>
      </c>
      <c r="C4420" s="2" t="s">
        <v>145</v>
      </c>
      <c r="D4420">
        <v>60</v>
      </c>
    </row>
    <row r="4421" spans="1:4" hidden="1" x14ac:dyDescent="0.25">
      <c r="A4421" s="2" t="s">
        <v>90</v>
      </c>
      <c r="B4421">
        <v>60</v>
      </c>
      <c r="C4421" s="2" t="s">
        <v>146</v>
      </c>
      <c r="D4421">
        <v>60</v>
      </c>
    </row>
    <row r="4422" spans="1:4" hidden="1" x14ac:dyDescent="0.25">
      <c r="A4422" s="2" t="s">
        <v>90</v>
      </c>
      <c r="B4422">
        <v>60</v>
      </c>
      <c r="C4422" s="2" t="s">
        <v>147</v>
      </c>
      <c r="D4422">
        <v>60</v>
      </c>
    </row>
    <row r="4423" spans="1:4" hidden="1" x14ac:dyDescent="0.25">
      <c r="A4423" s="2" t="s">
        <v>90</v>
      </c>
      <c r="B4423">
        <v>60</v>
      </c>
      <c r="C4423" s="2" t="s">
        <v>148</v>
      </c>
      <c r="D4423">
        <v>60</v>
      </c>
    </row>
    <row r="4424" spans="1:4" hidden="1" x14ac:dyDescent="0.25">
      <c r="A4424" s="2" t="s">
        <v>90</v>
      </c>
      <c r="B4424">
        <v>60</v>
      </c>
      <c r="C4424" s="2" t="s">
        <v>149</v>
      </c>
      <c r="D4424">
        <v>60</v>
      </c>
    </row>
    <row r="4425" spans="1:4" hidden="1" x14ac:dyDescent="0.25">
      <c r="A4425" s="2" t="s">
        <v>90</v>
      </c>
      <c r="B4425">
        <v>60</v>
      </c>
      <c r="C4425" s="2" t="s">
        <v>150</v>
      </c>
      <c r="D4425">
        <v>60</v>
      </c>
    </row>
    <row r="4426" spans="1:4" hidden="1" x14ac:dyDescent="0.25">
      <c r="A4426" s="2" t="s">
        <v>90</v>
      </c>
      <c r="B4426">
        <v>60</v>
      </c>
      <c r="C4426" s="2" t="s">
        <v>151</v>
      </c>
      <c r="D4426">
        <v>60</v>
      </c>
    </row>
    <row r="4427" spans="1:4" hidden="1" x14ac:dyDescent="0.25">
      <c r="A4427" s="2" t="s">
        <v>90</v>
      </c>
      <c r="B4427">
        <v>60</v>
      </c>
      <c r="C4427" s="2" t="s">
        <v>152</v>
      </c>
      <c r="D4427">
        <v>60</v>
      </c>
    </row>
    <row r="4428" spans="1:4" hidden="1" x14ac:dyDescent="0.25">
      <c r="A4428" s="2" t="s">
        <v>90</v>
      </c>
      <c r="B4428">
        <v>60</v>
      </c>
      <c r="C4428" s="2" t="s">
        <v>153</v>
      </c>
      <c r="D4428">
        <v>60</v>
      </c>
    </row>
    <row r="4429" spans="1:4" hidden="1" x14ac:dyDescent="0.25">
      <c r="A4429" s="2" t="s">
        <v>90</v>
      </c>
      <c r="B4429">
        <v>60</v>
      </c>
      <c r="C4429" s="2" t="s">
        <v>154</v>
      </c>
      <c r="D4429">
        <v>60</v>
      </c>
    </row>
    <row r="4430" spans="1:4" hidden="1" x14ac:dyDescent="0.25">
      <c r="A4430" s="2" t="s">
        <v>90</v>
      </c>
      <c r="B4430">
        <v>60</v>
      </c>
      <c r="C4430" s="2" t="s">
        <v>155</v>
      </c>
      <c r="D4430">
        <v>60</v>
      </c>
    </row>
    <row r="4431" spans="1:4" hidden="1" x14ac:dyDescent="0.25">
      <c r="A4431" s="2" t="s">
        <v>90</v>
      </c>
      <c r="B4431">
        <v>60</v>
      </c>
      <c r="C4431" s="2" t="s">
        <v>156</v>
      </c>
      <c r="D4431">
        <v>60</v>
      </c>
    </row>
    <row r="4432" spans="1:4" hidden="1" x14ac:dyDescent="0.25">
      <c r="A4432" s="2" t="s">
        <v>90</v>
      </c>
      <c r="B4432">
        <v>60</v>
      </c>
      <c r="C4432" s="2" t="s">
        <v>157</v>
      </c>
      <c r="D4432">
        <v>60</v>
      </c>
    </row>
    <row r="4433" spans="1:4" hidden="1" x14ac:dyDescent="0.25">
      <c r="A4433" s="2" t="s">
        <v>90</v>
      </c>
      <c r="B4433">
        <v>60</v>
      </c>
      <c r="C4433" s="2" t="s">
        <v>158</v>
      </c>
      <c r="D4433">
        <v>60</v>
      </c>
    </row>
    <row r="4434" spans="1:4" hidden="1" x14ac:dyDescent="0.25">
      <c r="A4434" s="2" t="s">
        <v>90</v>
      </c>
      <c r="B4434">
        <v>60</v>
      </c>
      <c r="C4434" s="2" t="s">
        <v>159</v>
      </c>
      <c r="D4434">
        <v>60</v>
      </c>
    </row>
    <row r="4435" spans="1:4" hidden="1" x14ac:dyDescent="0.25">
      <c r="A4435" s="2" t="s">
        <v>90</v>
      </c>
      <c r="B4435">
        <v>60</v>
      </c>
      <c r="C4435" s="2" t="s">
        <v>160</v>
      </c>
      <c r="D4435">
        <v>60</v>
      </c>
    </row>
    <row r="4436" spans="1:4" hidden="1" x14ac:dyDescent="0.25">
      <c r="A4436" s="2" t="s">
        <v>90</v>
      </c>
      <c r="B4436">
        <v>60</v>
      </c>
      <c r="C4436" s="2" t="s">
        <v>161</v>
      </c>
      <c r="D4436">
        <v>60</v>
      </c>
    </row>
    <row r="4437" spans="1:4" hidden="1" x14ac:dyDescent="0.25">
      <c r="A4437" s="2" t="s">
        <v>90</v>
      </c>
      <c r="B4437">
        <v>60</v>
      </c>
      <c r="C4437" s="2" t="s">
        <v>162</v>
      </c>
      <c r="D4437">
        <v>60</v>
      </c>
    </row>
    <row r="4438" spans="1:4" hidden="1" x14ac:dyDescent="0.25">
      <c r="A4438" s="2" t="s">
        <v>90</v>
      </c>
      <c r="B4438">
        <v>60</v>
      </c>
      <c r="C4438" s="2" t="s">
        <v>163</v>
      </c>
      <c r="D4438">
        <v>60</v>
      </c>
    </row>
    <row r="4439" spans="1:4" hidden="1" x14ac:dyDescent="0.25">
      <c r="A4439" s="2" t="s">
        <v>90</v>
      </c>
      <c r="B4439">
        <v>60</v>
      </c>
      <c r="C4439" s="2" t="s">
        <v>164</v>
      </c>
      <c r="D4439">
        <v>60</v>
      </c>
    </row>
    <row r="4440" spans="1:4" hidden="1" x14ac:dyDescent="0.25">
      <c r="A4440" s="2" t="s">
        <v>90</v>
      </c>
      <c r="B4440">
        <v>60</v>
      </c>
      <c r="C4440" s="2" t="s">
        <v>165</v>
      </c>
      <c r="D4440">
        <v>60</v>
      </c>
    </row>
    <row r="4441" spans="1:4" hidden="1" x14ac:dyDescent="0.25">
      <c r="A4441" s="2" t="s">
        <v>90</v>
      </c>
      <c r="B4441">
        <v>60</v>
      </c>
      <c r="C4441" s="2" t="s">
        <v>166</v>
      </c>
      <c r="D4441">
        <v>60</v>
      </c>
    </row>
    <row r="4442" spans="1:4" hidden="1" x14ac:dyDescent="0.25">
      <c r="A4442" s="2" t="s">
        <v>90</v>
      </c>
      <c r="B4442">
        <v>60</v>
      </c>
      <c r="C4442" s="2" t="s">
        <v>167</v>
      </c>
      <c r="D4442">
        <v>60</v>
      </c>
    </row>
    <row r="4443" spans="1:4" hidden="1" x14ac:dyDescent="0.25">
      <c r="A4443" s="2" t="s">
        <v>90</v>
      </c>
      <c r="B4443">
        <v>60</v>
      </c>
      <c r="C4443" s="2" t="s">
        <v>168</v>
      </c>
      <c r="D4443">
        <v>60</v>
      </c>
    </row>
    <row r="4444" spans="1:4" hidden="1" x14ac:dyDescent="0.25">
      <c r="A4444" s="2" t="s">
        <v>90</v>
      </c>
      <c r="B4444">
        <v>60</v>
      </c>
      <c r="C4444" s="2" t="s">
        <v>169</v>
      </c>
      <c r="D4444">
        <v>60</v>
      </c>
    </row>
    <row r="4445" spans="1:4" hidden="1" x14ac:dyDescent="0.25">
      <c r="A4445" s="2" t="s">
        <v>90</v>
      </c>
      <c r="B4445">
        <v>60</v>
      </c>
      <c r="C4445" s="2" t="s">
        <v>170</v>
      </c>
      <c r="D4445">
        <v>60</v>
      </c>
    </row>
    <row r="4446" spans="1:4" hidden="1" x14ac:dyDescent="0.25">
      <c r="A4446" s="2" t="s">
        <v>90</v>
      </c>
      <c r="B4446">
        <v>60</v>
      </c>
      <c r="C4446" s="2" t="s">
        <v>171</v>
      </c>
      <c r="D4446">
        <v>60</v>
      </c>
    </row>
    <row r="4447" spans="1:4" hidden="1" x14ac:dyDescent="0.25">
      <c r="A4447" s="2" t="s">
        <v>90</v>
      </c>
      <c r="B4447">
        <v>60</v>
      </c>
      <c r="C4447" s="2" t="s">
        <v>172</v>
      </c>
      <c r="D4447">
        <v>60</v>
      </c>
    </row>
    <row r="4448" spans="1:4" hidden="1" x14ac:dyDescent="0.25">
      <c r="A4448" s="2" t="s">
        <v>90</v>
      </c>
      <c r="B4448">
        <v>60</v>
      </c>
      <c r="C4448" s="2" t="s">
        <v>173</v>
      </c>
      <c r="D4448">
        <v>60</v>
      </c>
    </row>
    <row r="4449" spans="1:4" hidden="1" x14ac:dyDescent="0.25">
      <c r="A4449" s="2" t="s">
        <v>90</v>
      </c>
      <c r="B4449">
        <v>60</v>
      </c>
      <c r="C4449" s="2" t="s">
        <v>174</v>
      </c>
      <c r="D4449">
        <v>60</v>
      </c>
    </row>
    <row r="4450" spans="1:4" hidden="1" x14ac:dyDescent="0.25">
      <c r="A4450" s="2" t="s">
        <v>90</v>
      </c>
      <c r="B4450">
        <v>60</v>
      </c>
      <c r="C4450" s="2" t="s">
        <v>175</v>
      </c>
      <c r="D4450">
        <v>60</v>
      </c>
    </row>
    <row r="4451" spans="1:4" hidden="1" x14ac:dyDescent="0.25">
      <c r="A4451" s="2" t="s">
        <v>90</v>
      </c>
      <c r="B4451">
        <v>60</v>
      </c>
      <c r="C4451" s="2" t="s">
        <v>176</v>
      </c>
      <c r="D4451">
        <v>60</v>
      </c>
    </row>
    <row r="4452" spans="1:4" hidden="1" x14ac:dyDescent="0.25">
      <c r="A4452" s="2" t="s">
        <v>90</v>
      </c>
      <c r="B4452">
        <v>60</v>
      </c>
      <c r="C4452" s="2" t="s">
        <v>177</v>
      </c>
      <c r="D4452">
        <v>60</v>
      </c>
    </row>
    <row r="4453" spans="1:4" hidden="1" x14ac:dyDescent="0.25">
      <c r="A4453" s="2" t="s">
        <v>90</v>
      </c>
      <c r="B4453">
        <v>60</v>
      </c>
      <c r="C4453" s="2" t="s">
        <v>178</v>
      </c>
      <c r="D4453">
        <v>60</v>
      </c>
    </row>
    <row r="4454" spans="1:4" hidden="1" x14ac:dyDescent="0.25">
      <c r="A4454" s="2" t="s">
        <v>90</v>
      </c>
      <c r="B4454">
        <v>60</v>
      </c>
      <c r="C4454" s="2" t="s">
        <v>179</v>
      </c>
      <c r="D4454">
        <v>60</v>
      </c>
    </row>
    <row r="4455" spans="1:4" hidden="1" x14ac:dyDescent="0.25">
      <c r="A4455" s="2" t="s">
        <v>49</v>
      </c>
      <c r="B4455">
        <v>62</v>
      </c>
      <c r="C4455" s="2" t="s">
        <v>183</v>
      </c>
      <c r="D4455">
        <v>13</v>
      </c>
    </row>
    <row r="4456" spans="1:4" hidden="1" x14ac:dyDescent="0.25">
      <c r="A4456" s="2" t="s">
        <v>49</v>
      </c>
      <c r="B4456">
        <v>62</v>
      </c>
      <c r="C4456" s="2" t="s">
        <v>184</v>
      </c>
      <c r="D4456">
        <v>14</v>
      </c>
    </row>
    <row r="4457" spans="1:4" hidden="1" x14ac:dyDescent="0.25">
      <c r="A4457" s="2" t="s">
        <v>49</v>
      </c>
      <c r="B4457">
        <v>62</v>
      </c>
      <c r="C4457" s="2" t="s">
        <v>185</v>
      </c>
      <c r="D4457">
        <v>24</v>
      </c>
    </row>
    <row r="4458" spans="1:4" hidden="1" x14ac:dyDescent="0.25">
      <c r="A4458" s="2" t="s">
        <v>49</v>
      </c>
      <c r="B4458">
        <v>62</v>
      </c>
      <c r="C4458" s="2" t="s">
        <v>186</v>
      </c>
      <c r="D4458">
        <v>9</v>
      </c>
    </row>
    <row r="4459" spans="1:4" hidden="1" x14ac:dyDescent="0.25">
      <c r="A4459" s="2" t="s">
        <v>49</v>
      </c>
      <c r="B4459">
        <v>62</v>
      </c>
      <c r="C4459" s="2" t="s">
        <v>187</v>
      </c>
      <c r="D4459">
        <v>9</v>
      </c>
    </row>
    <row r="4460" spans="1:4" hidden="1" x14ac:dyDescent="0.25">
      <c r="A4460" s="2" t="s">
        <v>49</v>
      </c>
      <c r="B4460">
        <v>62</v>
      </c>
      <c r="C4460" s="2" t="s">
        <v>188</v>
      </c>
      <c r="D4460">
        <v>9</v>
      </c>
    </row>
    <row r="4461" spans="1:4" hidden="1" x14ac:dyDescent="0.25">
      <c r="A4461" s="2" t="s">
        <v>49</v>
      </c>
      <c r="B4461">
        <v>62</v>
      </c>
      <c r="C4461" s="2" t="s">
        <v>189</v>
      </c>
      <c r="D4461">
        <v>27</v>
      </c>
    </row>
    <row r="4462" spans="1:4" hidden="1" x14ac:dyDescent="0.25">
      <c r="A4462" s="2" t="s">
        <v>49</v>
      </c>
      <c r="B4462">
        <v>62</v>
      </c>
      <c r="C4462" s="2" t="s">
        <v>190</v>
      </c>
      <c r="D4462">
        <v>27</v>
      </c>
    </row>
    <row r="4463" spans="1:4" hidden="1" x14ac:dyDescent="0.25">
      <c r="A4463" s="2" t="s">
        <v>49</v>
      </c>
      <c r="B4463">
        <v>62</v>
      </c>
      <c r="C4463" s="2" t="s">
        <v>191</v>
      </c>
      <c r="D4463">
        <v>41</v>
      </c>
    </row>
    <row r="4464" spans="1:4" hidden="1" x14ac:dyDescent="0.25">
      <c r="A4464" s="2" t="s">
        <v>49</v>
      </c>
      <c r="B4464">
        <v>62</v>
      </c>
      <c r="C4464" s="2" t="s">
        <v>116</v>
      </c>
      <c r="D4464">
        <v>42</v>
      </c>
    </row>
    <row r="4465" spans="1:4" hidden="1" x14ac:dyDescent="0.25">
      <c r="A4465" s="2" t="s">
        <v>49</v>
      </c>
      <c r="B4465">
        <v>62</v>
      </c>
      <c r="C4465" s="2" t="s">
        <v>117</v>
      </c>
      <c r="D4465">
        <v>40</v>
      </c>
    </row>
    <row r="4466" spans="1:4" hidden="1" x14ac:dyDescent="0.25">
      <c r="A4466" s="2" t="s">
        <v>49</v>
      </c>
      <c r="B4466">
        <v>62</v>
      </c>
      <c r="C4466" s="2" t="s">
        <v>118</v>
      </c>
      <c r="D4466">
        <v>41</v>
      </c>
    </row>
    <row r="4467" spans="1:4" hidden="1" x14ac:dyDescent="0.25">
      <c r="A4467" s="2" t="s">
        <v>49</v>
      </c>
      <c r="B4467">
        <v>62</v>
      </c>
      <c r="C4467" s="2" t="s">
        <v>119</v>
      </c>
      <c r="D4467">
        <v>22</v>
      </c>
    </row>
    <row r="4468" spans="1:4" hidden="1" x14ac:dyDescent="0.25">
      <c r="A4468" s="2" t="s">
        <v>49</v>
      </c>
      <c r="B4468">
        <v>62</v>
      </c>
      <c r="C4468" s="2" t="s">
        <v>120</v>
      </c>
      <c r="D4468">
        <v>29</v>
      </c>
    </row>
    <row r="4469" spans="1:4" hidden="1" x14ac:dyDescent="0.25">
      <c r="A4469" s="2" t="s">
        <v>49</v>
      </c>
      <c r="B4469">
        <v>62</v>
      </c>
      <c r="C4469" s="2" t="s">
        <v>121</v>
      </c>
      <c r="D4469">
        <v>32</v>
      </c>
    </row>
    <row r="4470" spans="1:4" hidden="1" x14ac:dyDescent="0.25">
      <c r="A4470" s="2" t="s">
        <v>49</v>
      </c>
      <c r="B4470">
        <v>62</v>
      </c>
      <c r="C4470" s="2" t="s">
        <v>122</v>
      </c>
      <c r="D4470">
        <v>36</v>
      </c>
    </row>
    <row r="4471" spans="1:4" hidden="1" x14ac:dyDescent="0.25">
      <c r="A4471" s="2" t="s">
        <v>49</v>
      </c>
      <c r="B4471">
        <v>62</v>
      </c>
      <c r="C4471" s="2" t="s">
        <v>123</v>
      </c>
      <c r="D4471">
        <v>45</v>
      </c>
    </row>
    <row r="4472" spans="1:4" hidden="1" x14ac:dyDescent="0.25">
      <c r="A4472" s="2" t="s">
        <v>49</v>
      </c>
      <c r="B4472">
        <v>62</v>
      </c>
      <c r="C4472" s="2" t="s">
        <v>124</v>
      </c>
      <c r="D4472">
        <v>22</v>
      </c>
    </row>
    <row r="4473" spans="1:4" hidden="1" x14ac:dyDescent="0.25">
      <c r="A4473" s="2" t="s">
        <v>49</v>
      </c>
      <c r="B4473">
        <v>62</v>
      </c>
      <c r="C4473" s="2" t="s">
        <v>125</v>
      </c>
      <c r="D4473">
        <v>23</v>
      </c>
    </row>
    <row r="4474" spans="1:4" hidden="1" x14ac:dyDescent="0.25">
      <c r="A4474" s="2" t="s">
        <v>49</v>
      </c>
      <c r="B4474">
        <v>62</v>
      </c>
      <c r="C4474" s="2" t="s">
        <v>126</v>
      </c>
      <c r="D4474">
        <v>24</v>
      </c>
    </row>
    <row r="4475" spans="1:4" hidden="1" x14ac:dyDescent="0.25">
      <c r="A4475" s="2" t="s">
        <v>49</v>
      </c>
      <c r="B4475">
        <v>62</v>
      </c>
      <c r="C4475" s="2" t="s">
        <v>127</v>
      </c>
      <c r="D4475">
        <v>24</v>
      </c>
    </row>
    <row r="4476" spans="1:4" hidden="1" x14ac:dyDescent="0.25">
      <c r="A4476" s="2" t="s">
        <v>49</v>
      </c>
      <c r="B4476">
        <v>62</v>
      </c>
      <c r="C4476" s="2" t="s">
        <v>128</v>
      </c>
      <c r="D4476">
        <v>33</v>
      </c>
    </row>
    <row r="4477" spans="1:4" hidden="1" x14ac:dyDescent="0.25">
      <c r="A4477" s="2" t="s">
        <v>49</v>
      </c>
      <c r="B4477">
        <v>62</v>
      </c>
      <c r="C4477" s="2" t="s">
        <v>129</v>
      </c>
      <c r="D4477">
        <v>39</v>
      </c>
    </row>
    <row r="4478" spans="1:4" hidden="1" x14ac:dyDescent="0.25">
      <c r="A4478" s="2" t="s">
        <v>49</v>
      </c>
      <c r="B4478">
        <v>62</v>
      </c>
      <c r="C4478" s="2" t="s">
        <v>130</v>
      </c>
      <c r="D4478">
        <v>53</v>
      </c>
    </row>
    <row r="4479" spans="1:4" hidden="1" x14ac:dyDescent="0.25">
      <c r="A4479" s="2" t="s">
        <v>49</v>
      </c>
      <c r="B4479">
        <v>62</v>
      </c>
      <c r="C4479" s="2" t="s">
        <v>131</v>
      </c>
      <c r="D4479">
        <v>52</v>
      </c>
    </row>
    <row r="4480" spans="1:4" hidden="1" x14ac:dyDescent="0.25">
      <c r="A4480" s="2" t="s">
        <v>49</v>
      </c>
      <c r="B4480">
        <v>62</v>
      </c>
      <c r="C4480" s="2" t="s">
        <v>132</v>
      </c>
      <c r="D4480">
        <v>55</v>
      </c>
    </row>
    <row r="4481" spans="1:4" hidden="1" x14ac:dyDescent="0.25">
      <c r="A4481" s="2" t="s">
        <v>49</v>
      </c>
      <c r="B4481">
        <v>62</v>
      </c>
      <c r="C4481" s="2" t="s">
        <v>133</v>
      </c>
      <c r="D4481">
        <v>55</v>
      </c>
    </row>
    <row r="4482" spans="1:4" hidden="1" x14ac:dyDescent="0.25">
      <c r="A4482" s="2" t="s">
        <v>49</v>
      </c>
      <c r="B4482">
        <v>62</v>
      </c>
      <c r="C4482" s="2" t="s">
        <v>134</v>
      </c>
      <c r="D4482">
        <v>56</v>
      </c>
    </row>
    <row r="4483" spans="1:4" hidden="1" x14ac:dyDescent="0.25">
      <c r="A4483" s="2" t="s">
        <v>49</v>
      </c>
      <c r="B4483">
        <v>62</v>
      </c>
      <c r="C4483" s="2" t="s">
        <v>135</v>
      </c>
      <c r="D4483">
        <v>62</v>
      </c>
    </row>
    <row r="4484" spans="1:4" hidden="1" x14ac:dyDescent="0.25">
      <c r="A4484" s="2" t="s">
        <v>49</v>
      </c>
      <c r="B4484">
        <v>62</v>
      </c>
      <c r="C4484" s="2" t="s">
        <v>136</v>
      </c>
      <c r="D4484">
        <v>62</v>
      </c>
    </row>
    <row r="4485" spans="1:4" hidden="1" x14ac:dyDescent="0.25">
      <c r="A4485" s="2" t="s">
        <v>49</v>
      </c>
      <c r="B4485">
        <v>62</v>
      </c>
      <c r="C4485" s="2" t="s">
        <v>137</v>
      </c>
      <c r="D4485">
        <v>62</v>
      </c>
    </row>
    <row r="4486" spans="1:4" hidden="1" x14ac:dyDescent="0.25">
      <c r="A4486" s="2" t="s">
        <v>49</v>
      </c>
      <c r="B4486">
        <v>62</v>
      </c>
      <c r="C4486" s="2" t="s">
        <v>138</v>
      </c>
      <c r="D4486">
        <v>62</v>
      </c>
    </row>
    <row r="4487" spans="1:4" hidden="1" x14ac:dyDescent="0.25">
      <c r="A4487" s="2" t="s">
        <v>49</v>
      </c>
      <c r="B4487">
        <v>62</v>
      </c>
      <c r="C4487" s="2" t="s">
        <v>139</v>
      </c>
      <c r="D4487">
        <v>62</v>
      </c>
    </row>
    <row r="4488" spans="1:4" hidden="1" x14ac:dyDescent="0.25">
      <c r="A4488" s="2" t="s">
        <v>49</v>
      </c>
      <c r="B4488">
        <v>62</v>
      </c>
      <c r="C4488" s="2" t="s">
        <v>140</v>
      </c>
      <c r="D4488">
        <v>62</v>
      </c>
    </row>
    <row r="4489" spans="1:4" hidden="1" x14ac:dyDescent="0.25">
      <c r="A4489" s="2" t="s">
        <v>49</v>
      </c>
      <c r="B4489">
        <v>62</v>
      </c>
      <c r="C4489" s="2" t="s">
        <v>141</v>
      </c>
      <c r="D4489">
        <v>62</v>
      </c>
    </row>
    <row r="4490" spans="1:4" hidden="1" x14ac:dyDescent="0.25">
      <c r="A4490" s="2" t="s">
        <v>49</v>
      </c>
      <c r="B4490">
        <v>62</v>
      </c>
      <c r="C4490" s="2" t="s">
        <v>142</v>
      </c>
      <c r="D4490">
        <v>62</v>
      </c>
    </row>
    <row r="4491" spans="1:4" hidden="1" x14ac:dyDescent="0.25">
      <c r="A4491" s="2" t="s">
        <v>49</v>
      </c>
      <c r="B4491">
        <v>62</v>
      </c>
      <c r="C4491" s="2" t="s">
        <v>143</v>
      </c>
      <c r="D4491">
        <v>62</v>
      </c>
    </row>
    <row r="4492" spans="1:4" hidden="1" x14ac:dyDescent="0.25">
      <c r="A4492" s="2" t="s">
        <v>49</v>
      </c>
      <c r="B4492">
        <v>62</v>
      </c>
      <c r="C4492" s="2" t="s">
        <v>144</v>
      </c>
      <c r="D4492">
        <v>62</v>
      </c>
    </row>
    <row r="4493" spans="1:4" hidden="1" x14ac:dyDescent="0.25">
      <c r="A4493" s="2" t="s">
        <v>49</v>
      </c>
      <c r="B4493">
        <v>62</v>
      </c>
      <c r="C4493" s="2" t="s">
        <v>145</v>
      </c>
      <c r="D4493">
        <v>62</v>
      </c>
    </row>
    <row r="4494" spans="1:4" hidden="1" x14ac:dyDescent="0.25">
      <c r="A4494" s="2" t="s">
        <v>49</v>
      </c>
      <c r="B4494">
        <v>62</v>
      </c>
      <c r="C4494" s="2" t="s">
        <v>146</v>
      </c>
      <c r="D4494">
        <v>62</v>
      </c>
    </row>
    <row r="4495" spans="1:4" hidden="1" x14ac:dyDescent="0.25">
      <c r="A4495" s="2" t="s">
        <v>49</v>
      </c>
      <c r="B4495">
        <v>62</v>
      </c>
      <c r="C4495" s="2" t="s">
        <v>147</v>
      </c>
      <c r="D4495">
        <v>62</v>
      </c>
    </row>
    <row r="4496" spans="1:4" hidden="1" x14ac:dyDescent="0.25">
      <c r="A4496" s="2" t="s">
        <v>49</v>
      </c>
      <c r="B4496">
        <v>62</v>
      </c>
      <c r="C4496" s="2" t="s">
        <v>148</v>
      </c>
      <c r="D4496">
        <v>62</v>
      </c>
    </row>
    <row r="4497" spans="1:4" hidden="1" x14ac:dyDescent="0.25">
      <c r="A4497" s="2" t="s">
        <v>49</v>
      </c>
      <c r="B4497">
        <v>62</v>
      </c>
      <c r="C4497" s="2" t="s">
        <v>149</v>
      </c>
      <c r="D4497">
        <v>62</v>
      </c>
    </row>
    <row r="4498" spans="1:4" hidden="1" x14ac:dyDescent="0.25">
      <c r="A4498" s="2" t="s">
        <v>49</v>
      </c>
      <c r="B4498">
        <v>62</v>
      </c>
      <c r="C4498" s="2" t="s">
        <v>150</v>
      </c>
      <c r="D4498">
        <v>62</v>
      </c>
    </row>
    <row r="4499" spans="1:4" hidden="1" x14ac:dyDescent="0.25">
      <c r="A4499" s="2" t="s">
        <v>49</v>
      </c>
      <c r="B4499">
        <v>62</v>
      </c>
      <c r="C4499" s="2" t="s">
        <v>151</v>
      </c>
      <c r="D4499">
        <v>62</v>
      </c>
    </row>
    <row r="4500" spans="1:4" hidden="1" x14ac:dyDescent="0.25">
      <c r="A4500" s="2" t="s">
        <v>49</v>
      </c>
      <c r="B4500">
        <v>62</v>
      </c>
      <c r="C4500" s="2" t="s">
        <v>152</v>
      </c>
      <c r="D4500">
        <v>62</v>
      </c>
    </row>
    <row r="4501" spans="1:4" hidden="1" x14ac:dyDescent="0.25">
      <c r="A4501" s="2" t="s">
        <v>49</v>
      </c>
      <c r="B4501">
        <v>62</v>
      </c>
      <c r="C4501" s="2" t="s">
        <v>153</v>
      </c>
      <c r="D4501">
        <v>62</v>
      </c>
    </row>
    <row r="4502" spans="1:4" hidden="1" x14ac:dyDescent="0.25">
      <c r="A4502" s="2" t="s">
        <v>49</v>
      </c>
      <c r="B4502">
        <v>62</v>
      </c>
      <c r="C4502" s="2" t="s">
        <v>154</v>
      </c>
      <c r="D4502">
        <v>62</v>
      </c>
    </row>
    <row r="4503" spans="1:4" hidden="1" x14ac:dyDescent="0.25">
      <c r="A4503" s="2" t="s">
        <v>49</v>
      </c>
      <c r="B4503">
        <v>62</v>
      </c>
      <c r="C4503" s="2" t="s">
        <v>155</v>
      </c>
      <c r="D4503">
        <v>62</v>
      </c>
    </row>
    <row r="4504" spans="1:4" hidden="1" x14ac:dyDescent="0.25">
      <c r="A4504" s="2" t="s">
        <v>49</v>
      </c>
      <c r="B4504">
        <v>62</v>
      </c>
      <c r="C4504" s="2" t="s">
        <v>156</v>
      </c>
      <c r="D4504">
        <v>62</v>
      </c>
    </row>
    <row r="4505" spans="1:4" hidden="1" x14ac:dyDescent="0.25">
      <c r="A4505" s="2" t="s">
        <v>49</v>
      </c>
      <c r="B4505">
        <v>62</v>
      </c>
      <c r="C4505" s="2" t="s">
        <v>157</v>
      </c>
      <c r="D4505">
        <v>62</v>
      </c>
    </row>
    <row r="4506" spans="1:4" hidden="1" x14ac:dyDescent="0.25">
      <c r="A4506" s="2" t="s">
        <v>49</v>
      </c>
      <c r="B4506">
        <v>62</v>
      </c>
      <c r="C4506" s="2" t="s">
        <v>158</v>
      </c>
      <c r="D4506">
        <v>62</v>
      </c>
    </row>
    <row r="4507" spans="1:4" hidden="1" x14ac:dyDescent="0.25">
      <c r="A4507" s="2" t="s">
        <v>49</v>
      </c>
      <c r="B4507">
        <v>62</v>
      </c>
      <c r="C4507" s="2" t="s">
        <v>159</v>
      </c>
      <c r="D4507">
        <v>62</v>
      </c>
    </row>
    <row r="4508" spans="1:4" hidden="1" x14ac:dyDescent="0.25">
      <c r="A4508" s="2" t="s">
        <v>49</v>
      </c>
      <c r="B4508">
        <v>62</v>
      </c>
      <c r="C4508" s="2" t="s">
        <v>160</v>
      </c>
      <c r="D4508">
        <v>62</v>
      </c>
    </row>
    <row r="4509" spans="1:4" hidden="1" x14ac:dyDescent="0.25">
      <c r="A4509" s="2" t="s">
        <v>49</v>
      </c>
      <c r="B4509">
        <v>62</v>
      </c>
      <c r="C4509" s="2" t="s">
        <v>161</v>
      </c>
      <c r="D4509">
        <v>62</v>
      </c>
    </row>
    <row r="4510" spans="1:4" hidden="1" x14ac:dyDescent="0.25">
      <c r="A4510" s="2" t="s">
        <v>49</v>
      </c>
      <c r="B4510">
        <v>62</v>
      </c>
      <c r="C4510" s="2" t="s">
        <v>162</v>
      </c>
      <c r="D4510">
        <v>62</v>
      </c>
    </row>
    <row r="4511" spans="1:4" hidden="1" x14ac:dyDescent="0.25">
      <c r="A4511" s="2" t="s">
        <v>49</v>
      </c>
      <c r="B4511">
        <v>62</v>
      </c>
      <c r="C4511" s="2" t="s">
        <v>163</v>
      </c>
      <c r="D4511">
        <v>62</v>
      </c>
    </row>
    <row r="4512" spans="1:4" hidden="1" x14ac:dyDescent="0.25">
      <c r="A4512" s="2" t="s">
        <v>49</v>
      </c>
      <c r="B4512">
        <v>62</v>
      </c>
      <c r="C4512" s="2" t="s">
        <v>164</v>
      </c>
      <c r="D4512">
        <v>62</v>
      </c>
    </row>
    <row r="4513" spans="1:4" hidden="1" x14ac:dyDescent="0.25">
      <c r="A4513" s="2" t="s">
        <v>49</v>
      </c>
      <c r="B4513">
        <v>62</v>
      </c>
      <c r="C4513" s="2" t="s">
        <v>165</v>
      </c>
      <c r="D4513">
        <v>62</v>
      </c>
    </row>
    <row r="4514" spans="1:4" hidden="1" x14ac:dyDescent="0.25">
      <c r="A4514" s="2" t="s">
        <v>49</v>
      </c>
      <c r="B4514">
        <v>62</v>
      </c>
      <c r="C4514" s="2" t="s">
        <v>166</v>
      </c>
      <c r="D4514">
        <v>62</v>
      </c>
    </row>
    <row r="4515" spans="1:4" hidden="1" x14ac:dyDescent="0.25">
      <c r="A4515" s="2" t="s">
        <v>49</v>
      </c>
      <c r="B4515">
        <v>62</v>
      </c>
      <c r="C4515" s="2" t="s">
        <v>167</v>
      </c>
      <c r="D4515">
        <v>62</v>
      </c>
    </row>
    <row r="4516" spans="1:4" hidden="1" x14ac:dyDescent="0.25">
      <c r="A4516" s="2" t="s">
        <v>49</v>
      </c>
      <c r="B4516">
        <v>62</v>
      </c>
      <c r="C4516" s="2" t="s">
        <v>168</v>
      </c>
      <c r="D4516">
        <v>62</v>
      </c>
    </row>
    <row r="4517" spans="1:4" hidden="1" x14ac:dyDescent="0.25">
      <c r="A4517" s="2" t="s">
        <v>49</v>
      </c>
      <c r="B4517">
        <v>62</v>
      </c>
      <c r="C4517" s="2" t="s">
        <v>169</v>
      </c>
      <c r="D4517">
        <v>62</v>
      </c>
    </row>
    <row r="4518" spans="1:4" hidden="1" x14ac:dyDescent="0.25">
      <c r="A4518" s="2" t="s">
        <v>49</v>
      </c>
      <c r="B4518">
        <v>62</v>
      </c>
      <c r="C4518" s="2" t="s">
        <v>170</v>
      </c>
      <c r="D4518">
        <v>62</v>
      </c>
    </row>
    <row r="4519" spans="1:4" hidden="1" x14ac:dyDescent="0.25">
      <c r="A4519" s="2" t="s">
        <v>49</v>
      </c>
      <c r="B4519">
        <v>62</v>
      </c>
      <c r="C4519" s="2" t="s">
        <v>171</v>
      </c>
      <c r="D4519">
        <v>62</v>
      </c>
    </row>
    <row r="4520" spans="1:4" hidden="1" x14ac:dyDescent="0.25">
      <c r="A4520" s="2" t="s">
        <v>49</v>
      </c>
      <c r="B4520">
        <v>62</v>
      </c>
      <c r="C4520" s="2" t="s">
        <v>172</v>
      </c>
      <c r="D4520">
        <v>62</v>
      </c>
    </row>
    <row r="4521" spans="1:4" hidden="1" x14ac:dyDescent="0.25">
      <c r="A4521" s="2" t="s">
        <v>49</v>
      </c>
      <c r="B4521">
        <v>62</v>
      </c>
      <c r="C4521" s="2" t="s">
        <v>173</v>
      </c>
      <c r="D4521">
        <v>62</v>
      </c>
    </row>
    <row r="4522" spans="1:4" hidden="1" x14ac:dyDescent="0.25">
      <c r="A4522" s="2" t="s">
        <v>49</v>
      </c>
      <c r="B4522">
        <v>62</v>
      </c>
      <c r="C4522" s="2" t="s">
        <v>174</v>
      </c>
      <c r="D4522">
        <v>62</v>
      </c>
    </row>
    <row r="4523" spans="1:4" hidden="1" x14ac:dyDescent="0.25">
      <c r="A4523" s="2" t="s">
        <v>49</v>
      </c>
      <c r="B4523">
        <v>62</v>
      </c>
      <c r="C4523" s="2" t="s">
        <v>175</v>
      </c>
      <c r="D4523">
        <v>62</v>
      </c>
    </row>
    <row r="4524" spans="1:4" hidden="1" x14ac:dyDescent="0.25">
      <c r="A4524" s="2" t="s">
        <v>49</v>
      </c>
      <c r="B4524">
        <v>62</v>
      </c>
      <c r="C4524" s="2" t="s">
        <v>176</v>
      </c>
      <c r="D4524">
        <v>62</v>
      </c>
    </row>
    <row r="4525" spans="1:4" hidden="1" x14ac:dyDescent="0.25">
      <c r="A4525" s="2" t="s">
        <v>49</v>
      </c>
      <c r="B4525">
        <v>62</v>
      </c>
      <c r="C4525" s="2" t="s">
        <v>177</v>
      </c>
      <c r="D4525">
        <v>62</v>
      </c>
    </row>
    <row r="4526" spans="1:4" hidden="1" x14ac:dyDescent="0.25">
      <c r="A4526" s="2" t="s">
        <v>49</v>
      </c>
      <c r="B4526">
        <v>62</v>
      </c>
      <c r="C4526" s="2" t="s">
        <v>178</v>
      </c>
      <c r="D4526">
        <v>62</v>
      </c>
    </row>
    <row r="4527" spans="1:4" hidden="1" x14ac:dyDescent="0.25">
      <c r="A4527" s="2" t="s">
        <v>49</v>
      </c>
      <c r="B4527">
        <v>62</v>
      </c>
      <c r="C4527" s="2" t="s">
        <v>179</v>
      </c>
      <c r="D4527">
        <v>62</v>
      </c>
    </row>
    <row r="4528" spans="1:4" hidden="1" x14ac:dyDescent="0.25">
      <c r="A4528" s="2" t="s">
        <v>89</v>
      </c>
      <c r="B4528">
        <v>62</v>
      </c>
      <c r="C4528" s="2" t="s">
        <v>183</v>
      </c>
      <c r="D4528">
        <v>78</v>
      </c>
    </row>
    <row r="4529" spans="1:4" hidden="1" x14ac:dyDescent="0.25">
      <c r="A4529" s="2" t="s">
        <v>89</v>
      </c>
      <c r="B4529">
        <v>62</v>
      </c>
      <c r="C4529" s="2" t="s">
        <v>184</v>
      </c>
      <c r="D4529">
        <v>77</v>
      </c>
    </row>
    <row r="4530" spans="1:4" hidden="1" x14ac:dyDescent="0.25">
      <c r="A4530" s="2" t="s">
        <v>89</v>
      </c>
      <c r="B4530">
        <v>62</v>
      </c>
      <c r="C4530" s="2" t="s">
        <v>185</v>
      </c>
      <c r="D4530">
        <v>82</v>
      </c>
    </row>
    <row r="4531" spans="1:4" hidden="1" x14ac:dyDescent="0.25">
      <c r="A4531" s="2" t="s">
        <v>89</v>
      </c>
      <c r="B4531">
        <v>62</v>
      </c>
      <c r="C4531" s="2" t="s">
        <v>186</v>
      </c>
      <c r="D4531">
        <v>89</v>
      </c>
    </row>
    <row r="4532" spans="1:4" hidden="1" x14ac:dyDescent="0.25">
      <c r="A4532" s="2" t="s">
        <v>89</v>
      </c>
      <c r="B4532">
        <v>62</v>
      </c>
      <c r="C4532" s="2" t="s">
        <v>187</v>
      </c>
      <c r="D4532">
        <v>89</v>
      </c>
    </row>
    <row r="4533" spans="1:4" hidden="1" x14ac:dyDescent="0.25">
      <c r="A4533" s="2" t="s">
        <v>89</v>
      </c>
      <c r="B4533">
        <v>62</v>
      </c>
      <c r="C4533" s="2" t="s">
        <v>188</v>
      </c>
      <c r="D4533">
        <v>93</v>
      </c>
    </row>
    <row r="4534" spans="1:4" hidden="1" x14ac:dyDescent="0.25">
      <c r="A4534" s="2" t="s">
        <v>89</v>
      </c>
      <c r="B4534">
        <v>62</v>
      </c>
      <c r="C4534" s="2" t="s">
        <v>189</v>
      </c>
      <c r="D4534">
        <v>82</v>
      </c>
    </row>
    <row r="4535" spans="1:4" hidden="1" x14ac:dyDescent="0.25">
      <c r="A4535" s="2" t="s">
        <v>89</v>
      </c>
      <c r="B4535">
        <v>62</v>
      </c>
      <c r="C4535" s="2" t="s">
        <v>190</v>
      </c>
      <c r="D4535">
        <v>86</v>
      </c>
    </row>
    <row r="4536" spans="1:4" hidden="1" x14ac:dyDescent="0.25">
      <c r="A4536" s="2" t="s">
        <v>89</v>
      </c>
      <c r="B4536">
        <v>62</v>
      </c>
      <c r="C4536" s="2" t="s">
        <v>191</v>
      </c>
      <c r="D4536">
        <v>95</v>
      </c>
    </row>
    <row r="4537" spans="1:4" hidden="1" x14ac:dyDescent="0.25">
      <c r="A4537" s="2" t="s">
        <v>89</v>
      </c>
      <c r="B4537">
        <v>62</v>
      </c>
      <c r="C4537" s="2" t="s">
        <v>116</v>
      </c>
      <c r="D4537">
        <v>86</v>
      </c>
    </row>
    <row r="4538" spans="1:4" hidden="1" x14ac:dyDescent="0.25">
      <c r="A4538" s="2" t="s">
        <v>89</v>
      </c>
      <c r="B4538">
        <v>62</v>
      </c>
      <c r="C4538" s="2" t="s">
        <v>117</v>
      </c>
      <c r="D4538">
        <v>88</v>
      </c>
    </row>
    <row r="4539" spans="1:4" hidden="1" x14ac:dyDescent="0.25">
      <c r="A4539" s="2" t="s">
        <v>89</v>
      </c>
      <c r="B4539">
        <v>62</v>
      </c>
      <c r="C4539" s="2" t="s">
        <v>118</v>
      </c>
      <c r="D4539">
        <v>92</v>
      </c>
    </row>
    <row r="4540" spans="1:4" hidden="1" x14ac:dyDescent="0.25">
      <c r="A4540" s="2" t="s">
        <v>89</v>
      </c>
      <c r="B4540">
        <v>62</v>
      </c>
      <c r="C4540" s="2" t="s">
        <v>119</v>
      </c>
      <c r="D4540">
        <v>73</v>
      </c>
    </row>
    <row r="4541" spans="1:4" hidden="1" x14ac:dyDescent="0.25">
      <c r="A4541" s="2" t="s">
        <v>89</v>
      </c>
      <c r="B4541">
        <v>62</v>
      </c>
      <c r="C4541" s="2" t="s">
        <v>120</v>
      </c>
      <c r="D4541">
        <v>70</v>
      </c>
    </row>
    <row r="4542" spans="1:4" hidden="1" x14ac:dyDescent="0.25">
      <c r="A4542" s="2" t="s">
        <v>89</v>
      </c>
      <c r="B4542">
        <v>62</v>
      </c>
      <c r="C4542" s="2" t="s">
        <v>121</v>
      </c>
      <c r="D4542">
        <v>69</v>
      </c>
    </row>
    <row r="4543" spans="1:4" hidden="1" x14ac:dyDescent="0.25">
      <c r="A4543" s="2" t="s">
        <v>89</v>
      </c>
      <c r="B4543">
        <v>62</v>
      </c>
      <c r="C4543" s="2" t="s">
        <v>122</v>
      </c>
      <c r="D4543">
        <v>59</v>
      </c>
    </row>
    <row r="4544" spans="1:4" hidden="1" x14ac:dyDescent="0.25">
      <c r="A4544" s="2" t="s">
        <v>89</v>
      </c>
      <c r="B4544">
        <v>62</v>
      </c>
      <c r="C4544" s="2" t="s">
        <v>123</v>
      </c>
      <c r="D4544">
        <v>64</v>
      </c>
    </row>
    <row r="4545" spans="1:4" hidden="1" x14ac:dyDescent="0.25">
      <c r="A4545" s="2" t="s">
        <v>89</v>
      </c>
      <c r="B4545">
        <v>62</v>
      </c>
      <c r="C4545" s="2" t="s">
        <v>124</v>
      </c>
      <c r="D4545">
        <v>43</v>
      </c>
    </row>
    <row r="4546" spans="1:4" hidden="1" x14ac:dyDescent="0.25">
      <c r="A4546" s="2" t="s">
        <v>89</v>
      </c>
      <c r="B4546">
        <v>62</v>
      </c>
      <c r="C4546" s="2" t="s">
        <v>125</v>
      </c>
      <c r="D4546">
        <v>54</v>
      </c>
    </row>
    <row r="4547" spans="1:4" hidden="1" x14ac:dyDescent="0.25">
      <c r="A4547" s="2" t="s">
        <v>89</v>
      </c>
      <c r="B4547">
        <v>62</v>
      </c>
      <c r="C4547" s="2" t="s">
        <v>126</v>
      </c>
      <c r="D4547">
        <v>58</v>
      </c>
    </row>
    <row r="4548" spans="1:4" hidden="1" x14ac:dyDescent="0.25">
      <c r="A4548" s="2" t="s">
        <v>89</v>
      </c>
      <c r="B4548">
        <v>62</v>
      </c>
      <c r="C4548" s="2" t="s">
        <v>127</v>
      </c>
      <c r="D4548">
        <v>60</v>
      </c>
    </row>
    <row r="4549" spans="1:4" hidden="1" x14ac:dyDescent="0.25">
      <c r="A4549" s="2" t="s">
        <v>89</v>
      </c>
      <c r="B4549">
        <v>62</v>
      </c>
      <c r="C4549" s="2" t="s">
        <v>128</v>
      </c>
      <c r="D4549">
        <v>66</v>
      </c>
    </row>
    <row r="4550" spans="1:4" hidden="1" x14ac:dyDescent="0.25">
      <c r="A4550" s="2" t="s">
        <v>89</v>
      </c>
      <c r="B4550">
        <v>62</v>
      </c>
      <c r="C4550" s="2" t="s">
        <v>129</v>
      </c>
      <c r="D4550">
        <v>67</v>
      </c>
    </row>
    <row r="4551" spans="1:4" hidden="1" x14ac:dyDescent="0.25">
      <c r="A4551" s="2" t="s">
        <v>89</v>
      </c>
      <c r="B4551">
        <v>62</v>
      </c>
      <c r="C4551" s="2" t="s">
        <v>130</v>
      </c>
      <c r="D4551">
        <v>57</v>
      </c>
    </row>
    <row r="4552" spans="1:4" hidden="1" x14ac:dyDescent="0.25">
      <c r="A4552" s="2" t="s">
        <v>89</v>
      </c>
      <c r="B4552">
        <v>62</v>
      </c>
      <c r="C4552" s="2" t="s">
        <v>131</v>
      </c>
      <c r="D4552">
        <v>60</v>
      </c>
    </row>
    <row r="4553" spans="1:4" hidden="1" x14ac:dyDescent="0.25">
      <c r="A4553" s="2" t="s">
        <v>89</v>
      </c>
      <c r="B4553">
        <v>62</v>
      </c>
      <c r="C4553" s="2" t="s">
        <v>132</v>
      </c>
      <c r="D4553">
        <v>63</v>
      </c>
    </row>
    <row r="4554" spans="1:4" hidden="1" x14ac:dyDescent="0.25">
      <c r="A4554" s="2" t="s">
        <v>89</v>
      </c>
      <c r="B4554">
        <v>62</v>
      </c>
      <c r="C4554" s="2" t="s">
        <v>133</v>
      </c>
      <c r="D4554">
        <v>63</v>
      </c>
    </row>
    <row r="4555" spans="1:4" hidden="1" x14ac:dyDescent="0.25">
      <c r="A4555" s="2" t="s">
        <v>89</v>
      </c>
      <c r="B4555">
        <v>62</v>
      </c>
      <c r="C4555" s="2" t="s">
        <v>134</v>
      </c>
      <c r="D4555">
        <v>62</v>
      </c>
    </row>
    <row r="4556" spans="1:4" hidden="1" x14ac:dyDescent="0.25">
      <c r="A4556" s="2" t="s">
        <v>89</v>
      </c>
      <c r="B4556">
        <v>62</v>
      </c>
      <c r="C4556" s="2" t="s">
        <v>135</v>
      </c>
      <c r="D4556">
        <v>62</v>
      </c>
    </row>
    <row r="4557" spans="1:4" hidden="1" x14ac:dyDescent="0.25">
      <c r="A4557" s="2" t="s">
        <v>89</v>
      </c>
      <c r="B4557">
        <v>62</v>
      </c>
      <c r="C4557" s="2" t="s">
        <v>136</v>
      </c>
      <c r="D4557">
        <v>62</v>
      </c>
    </row>
    <row r="4558" spans="1:4" hidden="1" x14ac:dyDescent="0.25">
      <c r="A4558" s="2" t="s">
        <v>89</v>
      </c>
      <c r="B4558">
        <v>62</v>
      </c>
      <c r="C4558" s="2" t="s">
        <v>137</v>
      </c>
      <c r="D4558">
        <v>62</v>
      </c>
    </row>
    <row r="4559" spans="1:4" hidden="1" x14ac:dyDescent="0.25">
      <c r="A4559" s="2" t="s">
        <v>89</v>
      </c>
      <c r="B4559">
        <v>62</v>
      </c>
      <c r="C4559" s="2" t="s">
        <v>138</v>
      </c>
      <c r="D4559">
        <v>62</v>
      </c>
    </row>
    <row r="4560" spans="1:4" hidden="1" x14ac:dyDescent="0.25">
      <c r="A4560" s="2" t="s">
        <v>89</v>
      </c>
      <c r="B4560">
        <v>62</v>
      </c>
      <c r="C4560" s="2" t="s">
        <v>139</v>
      </c>
      <c r="D4560">
        <v>62</v>
      </c>
    </row>
    <row r="4561" spans="1:4" hidden="1" x14ac:dyDescent="0.25">
      <c r="A4561" s="2" t="s">
        <v>89</v>
      </c>
      <c r="B4561">
        <v>62</v>
      </c>
      <c r="C4561" s="2" t="s">
        <v>140</v>
      </c>
      <c r="D4561">
        <v>62</v>
      </c>
    </row>
    <row r="4562" spans="1:4" hidden="1" x14ac:dyDescent="0.25">
      <c r="A4562" s="2" t="s">
        <v>89</v>
      </c>
      <c r="B4562">
        <v>62</v>
      </c>
      <c r="C4562" s="2" t="s">
        <v>141</v>
      </c>
      <c r="D4562">
        <v>62</v>
      </c>
    </row>
    <row r="4563" spans="1:4" hidden="1" x14ac:dyDescent="0.25">
      <c r="A4563" s="2" t="s">
        <v>89</v>
      </c>
      <c r="B4563">
        <v>62</v>
      </c>
      <c r="C4563" s="2" t="s">
        <v>142</v>
      </c>
      <c r="D4563">
        <v>62</v>
      </c>
    </row>
    <row r="4564" spans="1:4" hidden="1" x14ac:dyDescent="0.25">
      <c r="A4564" s="2" t="s">
        <v>89</v>
      </c>
      <c r="B4564">
        <v>62</v>
      </c>
      <c r="C4564" s="2" t="s">
        <v>143</v>
      </c>
      <c r="D4564">
        <v>62</v>
      </c>
    </row>
    <row r="4565" spans="1:4" hidden="1" x14ac:dyDescent="0.25">
      <c r="A4565" s="2" t="s">
        <v>89</v>
      </c>
      <c r="B4565">
        <v>62</v>
      </c>
      <c r="C4565" s="2" t="s">
        <v>144</v>
      </c>
      <c r="D4565">
        <v>62</v>
      </c>
    </row>
    <row r="4566" spans="1:4" hidden="1" x14ac:dyDescent="0.25">
      <c r="A4566" s="2" t="s">
        <v>89</v>
      </c>
      <c r="B4566">
        <v>62</v>
      </c>
      <c r="C4566" s="2" t="s">
        <v>145</v>
      </c>
      <c r="D4566">
        <v>62</v>
      </c>
    </row>
    <row r="4567" spans="1:4" hidden="1" x14ac:dyDescent="0.25">
      <c r="A4567" s="2" t="s">
        <v>89</v>
      </c>
      <c r="B4567">
        <v>62</v>
      </c>
      <c r="C4567" s="2" t="s">
        <v>146</v>
      </c>
      <c r="D4567">
        <v>62</v>
      </c>
    </row>
    <row r="4568" spans="1:4" hidden="1" x14ac:dyDescent="0.25">
      <c r="A4568" s="2" t="s">
        <v>89</v>
      </c>
      <c r="B4568">
        <v>62</v>
      </c>
      <c r="C4568" s="2" t="s">
        <v>147</v>
      </c>
      <c r="D4568">
        <v>62</v>
      </c>
    </row>
    <row r="4569" spans="1:4" hidden="1" x14ac:dyDescent="0.25">
      <c r="A4569" s="2" t="s">
        <v>89</v>
      </c>
      <c r="B4569">
        <v>62</v>
      </c>
      <c r="C4569" s="2" t="s">
        <v>148</v>
      </c>
      <c r="D4569">
        <v>62</v>
      </c>
    </row>
    <row r="4570" spans="1:4" hidden="1" x14ac:dyDescent="0.25">
      <c r="A4570" s="2" t="s">
        <v>89</v>
      </c>
      <c r="B4570">
        <v>62</v>
      </c>
      <c r="C4570" s="2" t="s">
        <v>149</v>
      </c>
      <c r="D4570">
        <v>62</v>
      </c>
    </row>
    <row r="4571" spans="1:4" hidden="1" x14ac:dyDescent="0.25">
      <c r="A4571" s="2" t="s">
        <v>89</v>
      </c>
      <c r="B4571">
        <v>62</v>
      </c>
      <c r="C4571" s="2" t="s">
        <v>150</v>
      </c>
      <c r="D4571">
        <v>62</v>
      </c>
    </row>
    <row r="4572" spans="1:4" hidden="1" x14ac:dyDescent="0.25">
      <c r="A4572" s="2" t="s">
        <v>89</v>
      </c>
      <c r="B4572">
        <v>62</v>
      </c>
      <c r="C4572" s="2" t="s">
        <v>151</v>
      </c>
      <c r="D4572">
        <v>62</v>
      </c>
    </row>
    <row r="4573" spans="1:4" hidden="1" x14ac:dyDescent="0.25">
      <c r="A4573" s="2" t="s">
        <v>89</v>
      </c>
      <c r="B4573">
        <v>62</v>
      </c>
      <c r="C4573" s="2" t="s">
        <v>152</v>
      </c>
      <c r="D4573">
        <v>62</v>
      </c>
    </row>
    <row r="4574" spans="1:4" hidden="1" x14ac:dyDescent="0.25">
      <c r="A4574" s="2" t="s">
        <v>89</v>
      </c>
      <c r="B4574">
        <v>62</v>
      </c>
      <c r="C4574" s="2" t="s">
        <v>153</v>
      </c>
      <c r="D4574">
        <v>62</v>
      </c>
    </row>
    <row r="4575" spans="1:4" hidden="1" x14ac:dyDescent="0.25">
      <c r="A4575" s="2" t="s">
        <v>89</v>
      </c>
      <c r="B4575">
        <v>62</v>
      </c>
      <c r="C4575" s="2" t="s">
        <v>154</v>
      </c>
      <c r="D4575">
        <v>62</v>
      </c>
    </row>
    <row r="4576" spans="1:4" hidden="1" x14ac:dyDescent="0.25">
      <c r="A4576" s="2" t="s">
        <v>89</v>
      </c>
      <c r="B4576">
        <v>62</v>
      </c>
      <c r="C4576" s="2" t="s">
        <v>155</v>
      </c>
      <c r="D4576">
        <v>62</v>
      </c>
    </row>
    <row r="4577" spans="1:4" hidden="1" x14ac:dyDescent="0.25">
      <c r="A4577" s="2" t="s">
        <v>89</v>
      </c>
      <c r="B4577">
        <v>62</v>
      </c>
      <c r="C4577" s="2" t="s">
        <v>156</v>
      </c>
      <c r="D4577">
        <v>62</v>
      </c>
    </row>
    <row r="4578" spans="1:4" hidden="1" x14ac:dyDescent="0.25">
      <c r="A4578" s="2" t="s">
        <v>89</v>
      </c>
      <c r="B4578">
        <v>62</v>
      </c>
      <c r="C4578" s="2" t="s">
        <v>157</v>
      </c>
      <c r="D4578">
        <v>62</v>
      </c>
    </row>
    <row r="4579" spans="1:4" hidden="1" x14ac:dyDescent="0.25">
      <c r="A4579" s="2" t="s">
        <v>89</v>
      </c>
      <c r="B4579">
        <v>62</v>
      </c>
      <c r="C4579" s="2" t="s">
        <v>158</v>
      </c>
      <c r="D4579">
        <v>62</v>
      </c>
    </row>
    <row r="4580" spans="1:4" hidden="1" x14ac:dyDescent="0.25">
      <c r="A4580" s="2" t="s">
        <v>89</v>
      </c>
      <c r="B4580">
        <v>62</v>
      </c>
      <c r="C4580" s="2" t="s">
        <v>159</v>
      </c>
      <c r="D4580">
        <v>62</v>
      </c>
    </row>
    <row r="4581" spans="1:4" hidden="1" x14ac:dyDescent="0.25">
      <c r="A4581" s="2" t="s">
        <v>89</v>
      </c>
      <c r="B4581">
        <v>62</v>
      </c>
      <c r="C4581" s="2" t="s">
        <v>160</v>
      </c>
      <c r="D4581">
        <v>62</v>
      </c>
    </row>
    <row r="4582" spans="1:4" hidden="1" x14ac:dyDescent="0.25">
      <c r="A4582" s="2" t="s">
        <v>89</v>
      </c>
      <c r="B4582">
        <v>62</v>
      </c>
      <c r="C4582" s="2" t="s">
        <v>161</v>
      </c>
      <c r="D4582">
        <v>62</v>
      </c>
    </row>
    <row r="4583" spans="1:4" hidden="1" x14ac:dyDescent="0.25">
      <c r="A4583" s="2" t="s">
        <v>89</v>
      </c>
      <c r="B4583">
        <v>62</v>
      </c>
      <c r="C4583" s="2" t="s">
        <v>162</v>
      </c>
      <c r="D4583">
        <v>62</v>
      </c>
    </row>
    <row r="4584" spans="1:4" hidden="1" x14ac:dyDescent="0.25">
      <c r="A4584" s="2" t="s">
        <v>89</v>
      </c>
      <c r="B4584">
        <v>62</v>
      </c>
      <c r="C4584" s="2" t="s">
        <v>163</v>
      </c>
      <c r="D4584">
        <v>62</v>
      </c>
    </row>
    <row r="4585" spans="1:4" hidden="1" x14ac:dyDescent="0.25">
      <c r="A4585" s="2" t="s">
        <v>89</v>
      </c>
      <c r="B4585">
        <v>62</v>
      </c>
      <c r="C4585" s="2" t="s">
        <v>164</v>
      </c>
      <c r="D4585">
        <v>62</v>
      </c>
    </row>
    <row r="4586" spans="1:4" hidden="1" x14ac:dyDescent="0.25">
      <c r="A4586" s="2" t="s">
        <v>89</v>
      </c>
      <c r="B4586">
        <v>62</v>
      </c>
      <c r="C4586" s="2" t="s">
        <v>165</v>
      </c>
      <c r="D4586">
        <v>62</v>
      </c>
    </row>
    <row r="4587" spans="1:4" hidden="1" x14ac:dyDescent="0.25">
      <c r="A4587" s="2" t="s">
        <v>89</v>
      </c>
      <c r="B4587">
        <v>62</v>
      </c>
      <c r="C4587" s="2" t="s">
        <v>166</v>
      </c>
      <c r="D4587">
        <v>62</v>
      </c>
    </row>
    <row r="4588" spans="1:4" hidden="1" x14ac:dyDescent="0.25">
      <c r="A4588" s="2" t="s">
        <v>89</v>
      </c>
      <c r="B4588">
        <v>62</v>
      </c>
      <c r="C4588" s="2" t="s">
        <v>167</v>
      </c>
      <c r="D4588">
        <v>62</v>
      </c>
    </row>
    <row r="4589" spans="1:4" hidden="1" x14ac:dyDescent="0.25">
      <c r="A4589" s="2" t="s">
        <v>89</v>
      </c>
      <c r="B4589">
        <v>62</v>
      </c>
      <c r="C4589" s="2" t="s">
        <v>168</v>
      </c>
      <c r="D4589">
        <v>62</v>
      </c>
    </row>
    <row r="4590" spans="1:4" hidden="1" x14ac:dyDescent="0.25">
      <c r="A4590" s="2" t="s">
        <v>89</v>
      </c>
      <c r="B4590">
        <v>62</v>
      </c>
      <c r="C4590" s="2" t="s">
        <v>169</v>
      </c>
      <c r="D4590">
        <v>62</v>
      </c>
    </row>
    <row r="4591" spans="1:4" hidden="1" x14ac:dyDescent="0.25">
      <c r="A4591" s="2" t="s">
        <v>89</v>
      </c>
      <c r="B4591">
        <v>62</v>
      </c>
      <c r="C4591" s="2" t="s">
        <v>170</v>
      </c>
      <c r="D4591">
        <v>62</v>
      </c>
    </row>
    <row r="4592" spans="1:4" hidden="1" x14ac:dyDescent="0.25">
      <c r="A4592" s="2" t="s">
        <v>89</v>
      </c>
      <c r="B4592">
        <v>62</v>
      </c>
      <c r="C4592" s="2" t="s">
        <v>171</v>
      </c>
      <c r="D4592">
        <v>62</v>
      </c>
    </row>
    <row r="4593" spans="1:4" hidden="1" x14ac:dyDescent="0.25">
      <c r="A4593" s="2" t="s">
        <v>89</v>
      </c>
      <c r="B4593">
        <v>62</v>
      </c>
      <c r="C4593" s="2" t="s">
        <v>172</v>
      </c>
      <c r="D4593">
        <v>62</v>
      </c>
    </row>
    <row r="4594" spans="1:4" hidden="1" x14ac:dyDescent="0.25">
      <c r="A4594" s="2" t="s">
        <v>89</v>
      </c>
      <c r="B4594">
        <v>62</v>
      </c>
      <c r="C4594" s="2" t="s">
        <v>173</v>
      </c>
      <c r="D4594">
        <v>62</v>
      </c>
    </row>
    <row r="4595" spans="1:4" hidden="1" x14ac:dyDescent="0.25">
      <c r="A4595" s="2" t="s">
        <v>89</v>
      </c>
      <c r="B4595">
        <v>62</v>
      </c>
      <c r="C4595" s="2" t="s">
        <v>174</v>
      </c>
      <c r="D4595">
        <v>62</v>
      </c>
    </row>
    <row r="4596" spans="1:4" hidden="1" x14ac:dyDescent="0.25">
      <c r="A4596" s="2" t="s">
        <v>89</v>
      </c>
      <c r="B4596">
        <v>62</v>
      </c>
      <c r="C4596" s="2" t="s">
        <v>175</v>
      </c>
      <c r="D4596">
        <v>62</v>
      </c>
    </row>
    <row r="4597" spans="1:4" hidden="1" x14ac:dyDescent="0.25">
      <c r="A4597" s="2" t="s">
        <v>89</v>
      </c>
      <c r="B4597">
        <v>62</v>
      </c>
      <c r="C4597" s="2" t="s">
        <v>176</v>
      </c>
      <c r="D4597">
        <v>62</v>
      </c>
    </row>
    <row r="4598" spans="1:4" hidden="1" x14ac:dyDescent="0.25">
      <c r="A4598" s="2" t="s">
        <v>89</v>
      </c>
      <c r="B4598">
        <v>62</v>
      </c>
      <c r="C4598" s="2" t="s">
        <v>177</v>
      </c>
      <c r="D4598">
        <v>62</v>
      </c>
    </row>
    <row r="4599" spans="1:4" hidden="1" x14ac:dyDescent="0.25">
      <c r="A4599" s="2" t="s">
        <v>89</v>
      </c>
      <c r="B4599">
        <v>62</v>
      </c>
      <c r="C4599" s="2" t="s">
        <v>178</v>
      </c>
      <c r="D4599">
        <v>62</v>
      </c>
    </row>
    <row r="4600" spans="1:4" hidden="1" x14ac:dyDescent="0.25">
      <c r="A4600" s="2" t="s">
        <v>89</v>
      </c>
      <c r="B4600">
        <v>62</v>
      </c>
      <c r="C4600" s="2" t="s">
        <v>179</v>
      </c>
      <c r="D4600">
        <v>62</v>
      </c>
    </row>
    <row r="4601" spans="1:4" hidden="1" x14ac:dyDescent="0.25">
      <c r="A4601" s="2" t="s">
        <v>8</v>
      </c>
      <c r="B4601">
        <v>64</v>
      </c>
      <c r="C4601" s="2" t="s">
        <v>183</v>
      </c>
      <c r="D4601">
        <v>13</v>
      </c>
    </row>
    <row r="4602" spans="1:4" hidden="1" x14ac:dyDescent="0.25">
      <c r="A4602" s="2" t="s">
        <v>8</v>
      </c>
      <c r="B4602">
        <v>64</v>
      </c>
      <c r="C4602" s="2" t="s">
        <v>184</v>
      </c>
      <c r="D4602">
        <v>14</v>
      </c>
    </row>
    <row r="4603" spans="1:4" hidden="1" x14ac:dyDescent="0.25">
      <c r="A4603" s="2" t="s">
        <v>8</v>
      </c>
      <c r="B4603">
        <v>64</v>
      </c>
      <c r="C4603" s="2" t="s">
        <v>185</v>
      </c>
      <c r="D4603">
        <v>52</v>
      </c>
    </row>
    <row r="4604" spans="1:4" hidden="1" x14ac:dyDescent="0.25">
      <c r="A4604" s="2" t="s">
        <v>8</v>
      </c>
      <c r="B4604">
        <v>64</v>
      </c>
      <c r="C4604" s="2" t="s">
        <v>186</v>
      </c>
      <c r="D4604">
        <v>27</v>
      </c>
    </row>
    <row r="4605" spans="1:4" hidden="1" x14ac:dyDescent="0.25">
      <c r="A4605" s="2" t="s">
        <v>8</v>
      </c>
      <c r="B4605">
        <v>64</v>
      </c>
      <c r="C4605" s="2" t="s">
        <v>187</v>
      </c>
      <c r="D4605">
        <v>27</v>
      </c>
    </row>
    <row r="4606" spans="1:4" hidden="1" x14ac:dyDescent="0.25">
      <c r="A4606" s="2" t="s">
        <v>8</v>
      </c>
      <c r="B4606">
        <v>64</v>
      </c>
      <c r="C4606" s="2" t="s">
        <v>188</v>
      </c>
      <c r="D4606">
        <v>23</v>
      </c>
    </row>
    <row r="4607" spans="1:4" hidden="1" x14ac:dyDescent="0.25">
      <c r="A4607" s="2" t="s">
        <v>8</v>
      </c>
      <c r="B4607">
        <v>64</v>
      </c>
      <c r="C4607" s="2" t="s">
        <v>189</v>
      </c>
      <c r="D4607">
        <v>16</v>
      </c>
    </row>
    <row r="4608" spans="1:4" hidden="1" x14ac:dyDescent="0.25">
      <c r="A4608" s="2" t="s">
        <v>8</v>
      </c>
      <c r="B4608">
        <v>64</v>
      </c>
      <c r="C4608" s="2" t="s">
        <v>190</v>
      </c>
      <c r="D4608">
        <v>20</v>
      </c>
    </row>
    <row r="4609" spans="1:4" hidden="1" x14ac:dyDescent="0.25">
      <c r="A4609" s="2" t="s">
        <v>8</v>
      </c>
      <c r="B4609">
        <v>64</v>
      </c>
      <c r="C4609" s="2" t="s">
        <v>191</v>
      </c>
      <c r="D4609">
        <v>25</v>
      </c>
    </row>
    <row r="4610" spans="1:4" hidden="1" x14ac:dyDescent="0.25">
      <c r="A4610" s="2" t="s">
        <v>8</v>
      </c>
      <c r="B4610">
        <v>64</v>
      </c>
      <c r="C4610" s="2" t="s">
        <v>116</v>
      </c>
      <c r="D4610">
        <v>25</v>
      </c>
    </row>
    <row r="4611" spans="1:4" hidden="1" x14ac:dyDescent="0.25">
      <c r="A4611" s="2" t="s">
        <v>8</v>
      </c>
      <c r="B4611">
        <v>64</v>
      </c>
      <c r="C4611" s="2" t="s">
        <v>117</v>
      </c>
      <c r="D4611">
        <v>23</v>
      </c>
    </row>
    <row r="4612" spans="1:4" hidden="1" x14ac:dyDescent="0.25">
      <c r="A4612" s="2" t="s">
        <v>8</v>
      </c>
      <c r="B4612">
        <v>64</v>
      </c>
      <c r="C4612" s="2" t="s">
        <v>118</v>
      </c>
      <c r="D4612">
        <v>22</v>
      </c>
    </row>
    <row r="4613" spans="1:4" hidden="1" x14ac:dyDescent="0.25">
      <c r="A4613" s="2" t="s">
        <v>8</v>
      </c>
      <c r="B4613">
        <v>64</v>
      </c>
      <c r="C4613" s="2" t="s">
        <v>119</v>
      </c>
      <c r="D4613">
        <v>16</v>
      </c>
    </row>
    <row r="4614" spans="1:4" hidden="1" x14ac:dyDescent="0.25">
      <c r="A4614" s="2" t="s">
        <v>8</v>
      </c>
      <c r="B4614">
        <v>64</v>
      </c>
      <c r="C4614" s="2" t="s">
        <v>120</v>
      </c>
      <c r="D4614">
        <v>15</v>
      </c>
    </row>
    <row r="4615" spans="1:4" hidden="1" x14ac:dyDescent="0.25">
      <c r="A4615" s="2" t="s">
        <v>8</v>
      </c>
      <c r="B4615">
        <v>64</v>
      </c>
      <c r="C4615" s="2" t="s">
        <v>121</v>
      </c>
      <c r="D4615">
        <v>16</v>
      </c>
    </row>
    <row r="4616" spans="1:4" hidden="1" x14ac:dyDescent="0.25">
      <c r="A4616" s="2" t="s">
        <v>8</v>
      </c>
      <c r="B4616">
        <v>64</v>
      </c>
      <c r="C4616" s="2" t="s">
        <v>122</v>
      </c>
      <c r="D4616">
        <v>19</v>
      </c>
    </row>
    <row r="4617" spans="1:4" hidden="1" x14ac:dyDescent="0.25">
      <c r="A4617" s="2" t="s">
        <v>8</v>
      </c>
      <c r="B4617">
        <v>64</v>
      </c>
      <c r="C4617" s="2" t="s">
        <v>123</v>
      </c>
      <c r="D4617">
        <v>23</v>
      </c>
    </row>
    <row r="4618" spans="1:4" hidden="1" x14ac:dyDescent="0.25">
      <c r="A4618" s="2" t="s">
        <v>8</v>
      </c>
      <c r="B4618">
        <v>64</v>
      </c>
      <c r="C4618" s="2" t="s">
        <v>124</v>
      </c>
      <c r="D4618">
        <v>29</v>
      </c>
    </row>
    <row r="4619" spans="1:4" hidden="1" x14ac:dyDescent="0.25">
      <c r="A4619" s="2" t="s">
        <v>8</v>
      </c>
      <c r="B4619">
        <v>64</v>
      </c>
      <c r="C4619" s="2" t="s">
        <v>125</v>
      </c>
      <c r="D4619">
        <v>31</v>
      </c>
    </row>
    <row r="4620" spans="1:4" hidden="1" x14ac:dyDescent="0.25">
      <c r="A4620" s="2" t="s">
        <v>8</v>
      </c>
      <c r="B4620">
        <v>64</v>
      </c>
      <c r="C4620" s="2" t="s">
        <v>126</v>
      </c>
      <c r="D4620">
        <v>39</v>
      </c>
    </row>
    <row r="4621" spans="1:4" hidden="1" x14ac:dyDescent="0.25">
      <c r="A4621" s="2" t="s">
        <v>8</v>
      </c>
      <c r="B4621">
        <v>64</v>
      </c>
      <c r="C4621" s="2" t="s">
        <v>127</v>
      </c>
      <c r="D4621">
        <v>44</v>
      </c>
    </row>
    <row r="4622" spans="1:4" hidden="1" x14ac:dyDescent="0.25">
      <c r="A4622" s="2" t="s">
        <v>8</v>
      </c>
      <c r="B4622">
        <v>64</v>
      </c>
      <c r="C4622" s="2" t="s">
        <v>128</v>
      </c>
      <c r="D4622">
        <v>48</v>
      </c>
    </row>
    <row r="4623" spans="1:4" hidden="1" x14ac:dyDescent="0.25">
      <c r="A4623" s="2" t="s">
        <v>8</v>
      </c>
      <c r="B4623">
        <v>64</v>
      </c>
      <c r="C4623" s="2" t="s">
        <v>129</v>
      </c>
      <c r="D4623">
        <v>52</v>
      </c>
    </row>
    <row r="4624" spans="1:4" hidden="1" x14ac:dyDescent="0.25">
      <c r="A4624" s="2" t="s">
        <v>8</v>
      </c>
      <c r="B4624">
        <v>64</v>
      </c>
      <c r="C4624" s="2" t="s">
        <v>130</v>
      </c>
      <c r="D4624">
        <v>57</v>
      </c>
    </row>
    <row r="4625" spans="1:4" hidden="1" x14ac:dyDescent="0.25">
      <c r="A4625" s="2" t="s">
        <v>8</v>
      </c>
      <c r="B4625">
        <v>64</v>
      </c>
      <c r="C4625" s="2" t="s">
        <v>131</v>
      </c>
      <c r="D4625">
        <v>57</v>
      </c>
    </row>
    <row r="4626" spans="1:4" hidden="1" x14ac:dyDescent="0.25">
      <c r="A4626" s="2" t="s">
        <v>8</v>
      </c>
      <c r="B4626">
        <v>64</v>
      </c>
      <c r="C4626" s="2" t="s">
        <v>132</v>
      </c>
      <c r="D4626">
        <v>58</v>
      </c>
    </row>
    <row r="4627" spans="1:4" hidden="1" x14ac:dyDescent="0.25">
      <c r="A4627" s="2" t="s">
        <v>8</v>
      </c>
      <c r="B4627">
        <v>64</v>
      </c>
      <c r="C4627" s="2" t="s">
        <v>133</v>
      </c>
      <c r="D4627">
        <v>58</v>
      </c>
    </row>
    <row r="4628" spans="1:4" hidden="1" x14ac:dyDescent="0.25">
      <c r="A4628" s="2" t="s">
        <v>8</v>
      </c>
      <c r="B4628">
        <v>64</v>
      </c>
      <c r="C4628" s="2" t="s">
        <v>134</v>
      </c>
      <c r="D4628">
        <v>59</v>
      </c>
    </row>
    <row r="4629" spans="1:4" hidden="1" x14ac:dyDescent="0.25">
      <c r="A4629" s="2" t="s">
        <v>8</v>
      </c>
      <c r="B4629">
        <v>64</v>
      </c>
      <c r="C4629" s="2" t="s">
        <v>135</v>
      </c>
      <c r="D4629">
        <v>64</v>
      </c>
    </row>
    <row r="4630" spans="1:4" hidden="1" x14ac:dyDescent="0.25">
      <c r="A4630" s="2" t="s">
        <v>8</v>
      </c>
      <c r="B4630">
        <v>64</v>
      </c>
      <c r="C4630" s="2" t="s">
        <v>136</v>
      </c>
      <c r="D4630">
        <v>64</v>
      </c>
    </row>
    <row r="4631" spans="1:4" hidden="1" x14ac:dyDescent="0.25">
      <c r="A4631" s="2" t="s">
        <v>8</v>
      </c>
      <c r="B4631">
        <v>64</v>
      </c>
      <c r="C4631" s="2" t="s">
        <v>137</v>
      </c>
      <c r="D4631">
        <v>64</v>
      </c>
    </row>
    <row r="4632" spans="1:4" hidden="1" x14ac:dyDescent="0.25">
      <c r="A4632" s="2" t="s">
        <v>8</v>
      </c>
      <c r="B4632">
        <v>64</v>
      </c>
      <c r="C4632" s="2" t="s">
        <v>138</v>
      </c>
      <c r="D4632">
        <v>64</v>
      </c>
    </row>
    <row r="4633" spans="1:4" hidden="1" x14ac:dyDescent="0.25">
      <c r="A4633" s="2" t="s">
        <v>8</v>
      </c>
      <c r="B4633">
        <v>64</v>
      </c>
      <c r="C4633" s="2" t="s">
        <v>139</v>
      </c>
      <c r="D4633">
        <v>64</v>
      </c>
    </row>
    <row r="4634" spans="1:4" hidden="1" x14ac:dyDescent="0.25">
      <c r="A4634" s="2" t="s">
        <v>8</v>
      </c>
      <c r="B4634">
        <v>64</v>
      </c>
      <c r="C4634" s="2" t="s">
        <v>140</v>
      </c>
      <c r="D4634">
        <v>64</v>
      </c>
    </row>
    <row r="4635" spans="1:4" hidden="1" x14ac:dyDescent="0.25">
      <c r="A4635" s="2" t="s">
        <v>8</v>
      </c>
      <c r="B4635">
        <v>64</v>
      </c>
      <c r="C4635" s="2" t="s">
        <v>141</v>
      </c>
      <c r="D4635">
        <v>64</v>
      </c>
    </row>
    <row r="4636" spans="1:4" hidden="1" x14ac:dyDescent="0.25">
      <c r="A4636" s="2" t="s">
        <v>8</v>
      </c>
      <c r="B4636">
        <v>64</v>
      </c>
      <c r="C4636" s="2" t="s">
        <v>142</v>
      </c>
      <c r="D4636">
        <v>64</v>
      </c>
    </row>
    <row r="4637" spans="1:4" hidden="1" x14ac:dyDescent="0.25">
      <c r="A4637" s="2" t="s">
        <v>8</v>
      </c>
      <c r="B4637">
        <v>64</v>
      </c>
      <c r="C4637" s="2" t="s">
        <v>143</v>
      </c>
      <c r="D4637">
        <v>64</v>
      </c>
    </row>
    <row r="4638" spans="1:4" hidden="1" x14ac:dyDescent="0.25">
      <c r="A4638" s="2" t="s">
        <v>8</v>
      </c>
      <c r="B4638">
        <v>64</v>
      </c>
      <c r="C4638" s="2" t="s">
        <v>144</v>
      </c>
      <c r="D4638">
        <v>64</v>
      </c>
    </row>
    <row r="4639" spans="1:4" hidden="1" x14ac:dyDescent="0.25">
      <c r="A4639" s="2" t="s">
        <v>8</v>
      </c>
      <c r="B4639">
        <v>64</v>
      </c>
      <c r="C4639" s="2" t="s">
        <v>145</v>
      </c>
      <c r="D4639">
        <v>64</v>
      </c>
    </row>
    <row r="4640" spans="1:4" hidden="1" x14ac:dyDescent="0.25">
      <c r="A4640" s="2" t="s">
        <v>8</v>
      </c>
      <c r="B4640">
        <v>64</v>
      </c>
      <c r="C4640" s="2" t="s">
        <v>146</v>
      </c>
      <c r="D4640">
        <v>64</v>
      </c>
    </row>
    <row r="4641" spans="1:4" hidden="1" x14ac:dyDescent="0.25">
      <c r="A4641" s="2" t="s">
        <v>8</v>
      </c>
      <c r="B4641">
        <v>64</v>
      </c>
      <c r="C4641" s="2" t="s">
        <v>147</v>
      </c>
      <c r="D4641">
        <v>64</v>
      </c>
    </row>
    <row r="4642" spans="1:4" hidden="1" x14ac:dyDescent="0.25">
      <c r="A4642" s="2" t="s">
        <v>8</v>
      </c>
      <c r="B4642">
        <v>64</v>
      </c>
      <c r="C4642" s="2" t="s">
        <v>148</v>
      </c>
      <c r="D4642">
        <v>64</v>
      </c>
    </row>
    <row r="4643" spans="1:4" hidden="1" x14ac:dyDescent="0.25">
      <c r="A4643" s="2" t="s">
        <v>8</v>
      </c>
      <c r="B4643">
        <v>64</v>
      </c>
      <c r="C4643" s="2" t="s">
        <v>149</v>
      </c>
      <c r="D4643">
        <v>64</v>
      </c>
    </row>
    <row r="4644" spans="1:4" hidden="1" x14ac:dyDescent="0.25">
      <c r="A4644" s="2" t="s">
        <v>8</v>
      </c>
      <c r="B4644">
        <v>64</v>
      </c>
      <c r="C4644" s="2" t="s">
        <v>150</v>
      </c>
      <c r="D4644">
        <v>64</v>
      </c>
    </row>
    <row r="4645" spans="1:4" hidden="1" x14ac:dyDescent="0.25">
      <c r="A4645" s="2" t="s">
        <v>8</v>
      </c>
      <c r="B4645">
        <v>64</v>
      </c>
      <c r="C4645" s="2" t="s">
        <v>151</v>
      </c>
      <c r="D4645">
        <v>64</v>
      </c>
    </row>
    <row r="4646" spans="1:4" hidden="1" x14ac:dyDescent="0.25">
      <c r="A4646" s="2" t="s">
        <v>8</v>
      </c>
      <c r="B4646">
        <v>64</v>
      </c>
      <c r="C4646" s="2" t="s">
        <v>152</v>
      </c>
      <c r="D4646">
        <v>64</v>
      </c>
    </row>
    <row r="4647" spans="1:4" hidden="1" x14ac:dyDescent="0.25">
      <c r="A4647" s="2" t="s">
        <v>8</v>
      </c>
      <c r="B4647">
        <v>64</v>
      </c>
      <c r="C4647" s="2" t="s">
        <v>153</v>
      </c>
      <c r="D4647">
        <v>64</v>
      </c>
    </row>
    <row r="4648" spans="1:4" hidden="1" x14ac:dyDescent="0.25">
      <c r="A4648" s="2" t="s">
        <v>8</v>
      </c>
      <c r="B4648">
        <v>64</v>
      </c>
      <c r="C4648" s="2" t="s">
        <v>154</v>
      </c>
      <c r="D4648">
        <v>64</v>
      </c>
    </row>
    <row r="4649" spans="1:4" hidden="1" x14ac:dyDescent="0.25">
      <c r="A4649" s="2" t="s">
        <v>8</v>
      </c>
      <c r="B4649">
        <v>64</v>
      </c>
      <c r="C4649" s="2" t="s">
        <v>155</v>
      </c>
      <c r="D4649">
        <v>64</v>
      </c>
    </row>
    <row r="4650" spans="1:4" hidden="1" x14ac:dyDescent="0.25">
      <c r="A4650" s="2" t="s">
        <v>8</v>
      </c>
      <c r="B4650">
        <v>64</v>
      </c>
      <c r="C4650" s="2" t="s">
        <v>156</v>
      </c>
      <c r="D4650">
        <v>64</v>
      </c>
    </row>
    <row r="4651" spans="1:4" hidden="1" x14ac:dyDescent="0.25">
      <c r="A4651" s="2" t="s">
        <v>8</v>
      </c>
      <c r="B4651">
        <v>64</v>
      </c>
      <c r="C4651" s="2" t="s">
        <v>157</v>
      </c>
      <c r="D4651">
        <v>64</v>
      </c>
    </row>
    <row r="4652" spans="1:4" hidden="1" x14ac:dyDescent="0.25">
      <c r="A4652" s="2" t="s">
        <v>8</v>
      </c>
      <c r="B4652">
        <v>64</v>
      </c>
      <c r="C4652" s="2" t="s">
        <v>158</v>
      </c>
      <c r="D4652">
        <v>64</v>
      </c>
    </row>
    <row r="4653" spans="1:4" hidden="1" x14ac:dyDescent="0.25">
      <c r="A4653" s="2" t="s">
        <v>8</v>
      </c>
      <c r="B4653">
        <v>64</v>
      </c>
      <c r="C4653" s="2" t="s">
        <v>159</v>
      </c>
      <c r="D4653">
        <v>64</v>
      </c>
    </row>
    <row r="4654" spans="1:4" hidden="1" x14ac:dyDescent="0.25">
      <c r="A4654" s="2" t="s">
        <v>8</v>
      </c>
      <c r="B4654">
        <v>64</v>
      </c>
      <c r="C4654" s="2" t="s">
        <v>160</v>
      </c>
      <c r="D4654">
        <v>64</v>
      </c>
    </row>
    <row r="4655" spans="1:4" hidden="1" x14ac:dyDescent="0.25">
      <c r="A4655" s="2" t="s">
        <v>8</v>
      </c>
      <c r="B4655">
        <v>64</v>
      </c>
      <c r="C4655" s="2" t="s">
        <v>161</v>
      </c>
      <c r="D4655">
        <v>64</v>
      </c>
    </row>
    <row r="4656" spans="1:4" hidden="1" x14ac:dyDescent="0.25">
      <c r="A4656" s="2" t="s">
        <v>8</v>
      </c>
      <c r="B4656">
        <v>64</v>
      </c>
      <c r="C4656" s="2" t="s">
        <v>162</v>
      </c>
      <c r="D4656">
        <v>64</v>
      </c>
    </row>
    <row r="4657" spans="1:4" hidden="1" x14ac:dyDescent="0.25">
      <c r="A4657" s="2" t="s">
        <v>8</v>
      </c>
      <c r="B4657">
        <v>64</v>
      </c>
      <c r="C4657" s="2" t="s">
        <v>163</v>
      </c>
      <c r="D4657">
        <v>64</v>
      </c>
    </row>
    <row r="4658" spans="1:4" hidden="1" x14ac:dyDescent="0.25">
      <c r="A4658" s="2" t="s">
        <v>8</v>
      </c>
      <c r="B4658">
        <v>64</v>
      </c>
      <c r="C4658" s="2" t="s">
        <v>164</v>
      </c>
      <c r="D4658">
        <v>64</v>
      </c>
    </row>
    <row r="4659" spans="1:4" hidden="1" x14ac:dyDescent="0.25">
      <c r="A4659" s="2" t="s">
        <v>8</v>
      </c>
      <c r="B4659">
        <v>64</v>
      </c>
      <c r="C4659" s="2" t="s">
        <v>165</v>
      </c>
      <c r="D4659">
        <v>64</v>
      </c>
    </row>
    <row r="4660" spans="1:4" hidden="1" x14ac:dyDescent="0.25">
      <c r="A4660" s="2" t="s">
        <v>8</v>
      </c>
      <c r="B4660">
        <v>64</v>
      </c>
      <c r="C4660" s="2" t="s">
        <v>166</v>
      </c>
      <c r="D4660">
        <v>64</v>
      </c>
    </row>
    <row r="4661" spans="1:4" hidden="1" x14ac:dyDescent="0.25">
      <c r="A4661" s="2" t="s">
        <v>8</v>
      </c>
      <c r="B4661">
        <v>64</v>
      </c>
      <c r="C4661" s="2" t="s">
        <v>167</v>
      </c>
      <c r="D4661">
        <v>64</v>
      </c>
    </row>
    <row r="4662" spans="1:4" hidden="1" x14ac:dyDescent="0.25">
      <c r="A4662" s="2" t="s">
        <v>8</v>
      </c>
      <c r="B4662">
        <v>64</v>
      </c>
      <c r="C4662" s="2" t="s">
        <v>168</v>
      </c>
      <c r="D4662">
        <v>64</v>
      </c>
    </row>
    <row r="4663" spans="1:4" hidden="1" x14ac:dyDescent="0.25">
      <c r="A4663" s="2" t="s">
        <v>8</v>
      </c>
      <c r="B4663">
        <v>64</v>
      </c>
      <c r="C4663" s="2" t="s">
        <v>169</v>
      </c>
      <c r="D4663">
        <v>64</v>
      </c>
    </row>
    <row r="4664" spans="1:4" hidden="1" x14ac:dyDescent="0.25">
      <c r="A4664" s="2" t="s">
        <v>8</v>
      </c>
      <c r="B4664">
        <v>64</v>
      </c>
      <c r="C4664" s="2" t="s">
        <v>170</v>
      </c>
      <c r="D4664">
        <v>64</v>
      </c>
    </row>
    <row r="4665" spans="1:4" hidden="1" x14ac:dyDescent="0.25">
      <c r="A4665" s="2" t="s">
        <v>8</v>
      </c>
      <c r="B4665">
        <v>64</v>
      </c>
      <c r="C4665" s="2" t="s">
        <v>171</v>
      </c>
      <c r="D4665">
        <v>64</v>
      </c>
    </row>
    <row r="4666" spans="1:4" hidden="1" x14ac:dyDescent="0.25">
      <c r="A4666" s="2" t="s">
        <v>8</v>
      </c>
      <c r="B4666">
        <v>64</v>
      </c>
      <c r="C4666" s="2" t="s">
        <v>172</v>
      </c>
      <c r="D4666">
        <v>64</v>
      </c>
    </row>
    <row r="4667" spans="1:4" hidden="1" x14ac:dyDescent="0.25">
      <c r="A4667" s="2" t="s">
        <v>8</v>
      </c>
      <c r="B4667">
        <v>64</v>
      </c>
      <c r="C4667" s="2" t="s">
        <v>173</v>
      </c>
      <c r="D4667">
        <v>64</v>
      </c>
    </row>
    <row r="4668" spans="1:4" hidden="1" x14ac:dyDescent="0.25">
      <c r="A4668" s="2" t="s">
        <v>8</v>
      </c>
      <c r="B4668">
        <v>64</v>
      </c>
      <c r="C4668" s="2" t="s">
        <v>174</v>
      </c>
      <c r="D4668">
        <v>64</v>
      </c>
    </row>
    <row r="4669" spans="1:4" hidden="1" x14ac:dyDescent="0.25">
      <c r="A4669" s="2" t="s">
        <v>8</v>
      </c>
      <c r="B4669">
        <v>64</v>
      </c>
      <c r="C4669" s="2" t="s">
        <v>175</v>
      </c>
      <c r="D4669">
        <v>64</v>
      </c>
    </row>
    <row r="4670" spans="1:4" hidden="1" x14ac:dyDescent="0.25">
      <c r="A4670" s="2" t="s">
        <v>8</v>
      </c>
      <c r="B4670">
        <v>64</v>
      </c>
      <c r="C4670" s="2" t="s">
        <v>176</v>
      </c>
      <c r="D4670">
        <v>64</v>
      </c>
    </row>
    <row r="4671" spans="1:4" hidden="1" x14ac:dyDescent="0.25">
      <c r="A4671" s="2" t="s">
        <v>8</v>
      </c>
      <c r="B4671">
        <v>64</v>
      </c>
      <c r="C4671" s="2" t="s">
        <v>177</v>
      </c>
      <c r="D4671">
        <v>64</v>
      </c>
    </row>
    <row r="4672" spans="1:4" hidden="1" x14ac:dyDescent="0.25">
      <c r="A4672" s="2" t="s">
        <v>8</v>
      </c>
      <c r="B4672">
        <v>64</v>
      </c>
      <c r="C4672" s="2" t="s">
        <v>178</v>
      </c>
      <c r="D4672">
        <v>64</v>
      </c>
    </row>
    <row r="4673" spans="1:4" hidden="1" x14ac:dyDescent="0.25">
      <c r="A4673" s="2" t="s">
        <v>8</v>
      </c>
      <c r="B4673">
        <v>64</v>
      </c>
      <c r="C4673" s="2" t="s">
        <v>179</v>
      </c>
      <c r="D4673">
        <v>64</v>
      </c>
    </row>
    <row r="4674" spans="1:4" hidden="1" x14ac:dyDescent="0.25">
      <c r="A4674" s="2" t="s">
        <v>36</v>
      </c>
      <c r="B4674">
        <v>64</v>
      </c>
      <c r="C4674" s="2" t="s">
        <v>183</v>
      </c>
      <c r="D4674">
        <v>13</v>
      </c>
    </row>
    <row r="4675" spans="1:4" hidden="1" x14ac:dyDescent="0.25">
      <c r="A4675" s="2" t="s">
        <v>36</v>
      </c>
      <c r="B4675">
        <v>64</v>
      </c>
      <c r="C4675" s="2" t="s">
        <v>184</v>
      </c>
      <c r="D4675">
        <v>14</v>
      </c>
    </row>
    <row r="4676" spans="1:4" hidden="1" x14ac:dyDescent="0.25">
      <c r="A4676" s="2" t="s">
        <v>36</v>
      </c>
      <c r="B4676">
        <v>64</v>
      </c>
      <c r="C4676" s="2" t="s">
        <v>185</v>
      </c>
      <c r="D4676">
        <v>52</v>
      </c>
    </row>
    <row r="4677" spans="1:4" hidden="1" x14ac:dyDescent="0.25">
      <c r="A4677" s="2" t="s">
        <v>36</v>
      </c>
      <c r="B4677">
        <v>64</v>
      </c>
      <c r="C4677" s="2" t="s">
        <v>186</v>
      </c>
      <c r="D4677">
        <v>27</v>
      </c>
    </row>
    <row r="4678" spans="1:4" hidden="1" x14ac:dyDescent="0.25">
      <c r="A4678" s="2" t="s">
        <v>36</v>
      </c>
      <c r="B4678">
        <v>64</v>
      </c>
      <c r="C4678" s="2" t="s">
        <v>187</v>
      </c>
      <c r="D4678">
        <v>27</v>
      </c>
    </row>
    <row r="4679" spans="1:4" hidden="1" x14ac:dyDescent="0.25">
      <c r="A4679" s="2" t="s">
        <v>36</v>
      </c>
      <c r="B4679">
        <v>64</v>
      </c>
      <c r="C4679" s="2" t="s">
        <v>188</v>
      </c>
      <c r="D4679">
        <v>23</v>
      </c>
    </row>
    <row r="4680" spans="1:4" hidden="1" x14ac:dyDescent="0.25">
      <c r="A4680" s="2" t="s">
        <v>36</v>
      </c>
      <c r="B4680">
        <v>64</v>
      </c>
      <c r="C4680" s="2" t="s">
        <v>189</v>
      </c>
      <c r="D4680">
        <v>16</v>
      </c>
    </row>
    <row r="4681" spans="1:4" hidden="1" x14ac:dyDescent="0.25">
      <c r="A4681" s="2" t="s">
        <v>36</v>
      </c>
      <c r="B4681">
        <v>64</v>
      </c>
      <c r="C4681" s="2" t="s">
        <v>190</v>
      </c>
      <c r="D4681">
        <v>20</v>
      </c>
    </row>
    <row r="4682" spans="1:4" hidden="1" x14ac:dyDescent="0.25">
      <c r="A4682" s="2" t="s">
        <v>36</v>
      </c>
      <c r="B4682">
        <v>64</v>
      </c>
      <c r="C4682" s="2" t="s">
        <v>191</v>
      </c>
      <c r="D4682">
        <v>25</v>
      </c>
    </row>
    <row r="4683" spans="1:4" hidden="1" x14ac:dyDescent="0.25">
      <c r="A4683" s="2" t="s">
        <v>36</v>
      </c>
      <c r="B4683">
        <v>64</v>
      </c>
      <c r="C4683" s="2" t="s">
        <v>116</v>
      </c>
      <c r="D4683">
        <v>25</v>
      </c>
    </row>
    <row r="4684" spans="1:4" hidden="1" x14ac:dyDescent="0.25">
      <c r="A4684" s="2" t="s">
        <v>36</v>
      </c>
      <c r="B4684">
        <v>64</v>
      </c>
      <c r="C4684" s="2" t="s">
        <v>117</v>
      </c>
      <c r="D4684">
        <v>30</v>
      </c>
    </row>
    <row r="4685" spans="1:4" hidden="1" x14ac:dyDescent="0.25">
      <c r="A4685" s="2" t="s">
        <v>36</v>
      </c>
      <c r="B4685">
        <v>64</v>
      </c>
      <c r="C4685" s="2" t="s">
        <v>118</v>
      </c>
      <c r="D4685">
        <v>29</v>
      </c>
    </row>
    <row r="4686" spans="1:4" hidden="1" x14ac:dyDescent="0.25">
      <c r="A4686" s="2" t="s">
        <v>36</v>
      </c>
      <c r="B4686">
        <v>64</v>
      </c>
      <c r="C4686" s="2" t="s">
        <v>119</v>
      </c>
      <c r="D4686">
        <v>30</v>
      </c>
    </row>
    <row r="4687" spans="1:4" hidden="1" x14ac:dyDescent="0.25">
      <c r="A4687" s="2" t="s">
        <v>36</v>
      </c>
      <c r="B4687">
        <v>64</v>
      </c>
      <c r="C4687" s="2" t="s">
        <v>120</v>
      </c>
      <c r="D4687">
        <v>39</v>
      </c>
    </row>
    <row r="4688" spans="1:4" hidden="1" x14ac:dyDescent="0.25">
      <c r="A4688" s="2" t="s">
        <v>36</v>
      </c>
      <c r="B4688">
        <v>64</v>
      </c>
      <c r="C4688" s="2" t="s">
        <v>121</v>
      </c>
      <c r="D4688">
        <v>34</v>
      </c>
    </row>
    <row r="4689" spans="1:4" hidden="1" x14ac:dyDescent="0.25">
      <c r="A4689" s="2" t="s">
        <v>36</v>
      </c>
      <c r="B4689">
        <v>64</v>
      </c>
      <c r="C4689" s="2" t="s">
        <v>122</v>
      </c>
      <c r="D4689">
        <v>46</v>
      </c>
    </row>
    <row r="4690" spans="1:4" hidden="1" x14ac:dyDescent="0.25">
      <c r="A4690" s="2" t="s">
        <v>36</v>
      </c>
      <c r="B4690">
        <v>64</v>
      </c>
      <c r="C4690" s="2" t="s">
        <v>123</v>
      </c>
      <c r="D4690">
        <v>53</v>
      </c>
    </row>
    <row r="4691" spans="1:4" hidden="1" x14ac:dyDescent="0.25">
      <c r="A4691" s="2" t="s">
        <v>36</v>
      </c>
      <c r="B4691">
        <v>64</v>
      </c>
      <c r="C4691" s="2" t="s">
        <v>124</v>
      </c>
      <c r="D4691">
        <v>56</v>
      </c>
    </row>
    <row r="4692" spans="1:4" hidden="1" x14ac:dyDescent="0.25">
      <c r="A4692" s="2" t="s">
        <v>36</v>
      </c>
      <c r="B4692">
        <v>64</v>
      </c>
      <c r="C4692" s="2" t="s">
        <v>125</v>
      </c>
      <c r="D4692">
        <v>67</v>
      </c>
    </row>
    <row r="4693" spans="1:4" hidden="1" x14ac:dyDescent="0.25">
      <c r="A4693" s="2" t="s">
        <v>36</v>
      </c>
      <c r="B4693">
        <v>64</v>
      </c>
      <c r="C4693" s="2" t="s">
        <v>126</v>
      </c>
      <c r="D4693">
        <v>74</v>
      </c>
    </row>
    <row r="4694" spans="1:4" hidden="1" x14ac:dyDescent="0.25">
      <c r="A4694" s="2" t="s">
        <v>36</v>
      </c>
      <c r="B4694">
        <v>64</v>
      </c>
      <c r="C4694" s="2" t="s">
        <v>127</v>
      </c>
      <c r="D4694">
        <v>62</v>
      </c>
    </row>
    <row r="4695" spans="1:4" hidden="1" x14ac:dyDescent="0.25">
      <c r="A4695" s="2" t="s">
        <v>36</v>
      </c>
      <c r="B4695">
        <v>64</v>
      </c>
      <c r="C4695" s="2" t="s">
        <v>128</v>
      </c>
      <c r="D4695">
        <v>56</v>
      </c>
    </row>
    <row r="4696" spans="1:4" hidden="1" x14ac:dyDescent="0.25">
      <c r="A4696" s="2" t="s">
        <v>36</v>
      </c>
      <c r="B4696">
        <v>64</v>
      </c>
      <c r="C4696" s="2" t="s">
        <v>129</v>
      </c>
      <c r="D4696">
        <v>62</v>
      </c>
    </row>
    <row r="4697" spans="1:4" hidden="1" x14ac:dyDescent="0.25">
      <c r="A4697" s="2" t="s">
        <v>36</v>
      </c>
      <c r="B4697">
        <v>64</v>
      </c>
      <c r="C4697" s="2" t="s">
        <v>130</v>
      </c>
      <c r="D4697">
        <v>69</v>
      </c>
    </row>
    <row r="4698" spans="1:4" hidden="1" x14ac:dyDescent="0.25">
      <c r="A4698" s="2" t="s">
        <v>36</v>
      </c>
      <c r="B4698">
        <v>64</v>
      </c>
      <c r="C4698" s="2" t="s">
        <v>131</v>
      </c>
      <c r="D4698">
        <v>82</v>
      </c>
    </row>
    <row r="4699" spans="1:4" hidden="1" x14ac:dyDescent="0.25">
      <c r="A4699" s="2" t="s">
        <v>36</v>
      </c>
      <c r="B4699">
        <v>64</v>
      </c>
      <c r="C4699" s="2" t="s">
        <v>132</v>
      </c>
      <c r="D4699">
        <v>81</v>
      </c>
    </row>
    <row r="4700" spans="1:4" hidden="1" x14ac:dyDescent="0.25">
      <c r="A4700" s="2" t="s">
        <v>36</v>
      </c>
      <c r="B4700">
        <v>64</v>
      </c>
      <c r="C4700" s="2" t="s">
        <v>133</v>
      </c>
      <c r="D4700">
        <v>81</v>
      </c>
    </row>
    <row r="4701" spans="1:4" hidden="1" x14ac:dyDescent="0.25">
      <c r="A4701" s="2" t="s">
        <v>36</v>
      </c>
      <c r="B4701">
        <v>64</v>
      </c>
      <c r="C4701" s="2" t="s">
        <v>134</v>
      </c>
      <c r="D4701">
        <v>81</v>
      </c>
    </row>
    <row r="4702" spans="1:4" hidden="1" x14ac:dyDescent="0.25">
      <c r="A4702" s="2" t="s">
        <v>36</v>
      </c>
      <c r="B4702">
        <v>64</v>
      </c>
      <c r="C4702" s="2" t="s">
        <v>135</v>
      </c>
      <c r="D4702">
        <v>64</v>
      </c>
    </row>
    <row r="4703" spans="1:4" hidden="1" x14ac:dyDescent="0.25">
      <c r="A4703" s="2" t="s">
        <v>36</v>
      </c>
      <c r="B4703">
        <v>64</v>
      </c>
      <c r="C4703" s="2" t="s">
        <v>136</v>
      </c>
      <c r="D4703">
        <v>64</v>
      </c>
    </row>
    <row r="4704" spans="1:4" hidden="1" x14ac:dyDescent="0.25">
      <c r="A4704" s="2" t="s">
        <v>36</v>
      </c>
      <c r="B4704">
        <v>64</v>
      </c>
      <c r="C4704" s="2" t="s">
        <v>137</v>
      </c>
      <c r="D4704">
        <v>64</v>
      </c>
    </row>
    <row r="4705" spans="1:4" hidden="1" x14ac:dyDescent="0.25">
      <c r="A4705" s="2" t="s">
        <v>36</v>
      </c>
      <c r="B4705">
        <v>64</v>
      </c>
      <c r="C4705" s="2" t="s">
        <v>138</v>
      </c>
      <c r="D4705">
        <v>64</v>
      </c>
    </row>
    <row r="4706" spans="1:4" hidden="1" x14ac:dyDescent="0.25">
      <c r="A4706" s="2" t="s">
        <v>36</v>
      </c>
      <c r="B4706">
        <v>64</v>
      </c>
      <c r="C4706" s="2" t="s">
        <v>139</v>
      </c>
      <c r="D4706">
        <v>64</v>
      </c>
    </row>
    <row r="4707" spans="1:4" hidden="1" x14ac:dyDescent="0.25">
      <c r="A4707" s="2" t="s">
        <v>36</v>
      </c>
      <c r="B4707">
        <v>64</v>
      </c>
      <c r="C4707" s="2" t="s">
        <v>140</v>
      </c>
      <c r="D4707">
        <v>64</v>
      </c>
    </row>
    <row r="4708" spans="1:4" hidden="1" x14ac:dyDescent="0.25">
      <c r="A4708" s="2" t="s">
        <v>36</v>
      </c>
      <c r="B4708">
        <v>64</v>
      </c>
      <c r="C4708" s="2" t="s">
        <v>141</v>
      </c>
      <c r="D4708">
        <v>64</v>
      </c>
    </row>
    <row r="4709" spans="1:4" hidden="1" x14ac:dyDescent="0.25">
      <c r="A4709" s="2" t="s">
        <v>36</v>
      </c>
      <c r="B4709">
        <v>64</v>
      </c>
      <c r="C4709" s="2" t="s">
        <v>142</v>
      </c>
      <c r="D4709">
        <v>64</v>
      </c>
    </row>
    <row r="4710" spans="1:4" hidden="1" x14ac:dyDescent="0.25">
      <c r="A4710" s="2" t="s">
        <v>36</v>
      </c>
      <c r="B4710">
        <v>64</v>
      </c>
      <c r="C4710" s="2" t="s">
        <v>143</v>
      </c>
      <c r="D4710">
        <v>64</v>
      </c>
    </row>
    <row r="4711" spans="1:4" hidden="1" x14ac:dyDescent="0.25">
      <c r="A4711" s="2" t="s">
        <v>36</v>
      </c>
      <c r="B4711">
        <v>64</v>
      </c>
      <c r="C4711" s="2" t="s">
        <v>144</v>
      </c>
      <c r="D4711">
        <v>64</v>
      </c>
    </row>
    <row r="4712" spans="1:4" hidden="1" x14ac:dyDescent="0.25">
      <c r="A4712" s="2" t="s">
        <v>36</v>
      </c>
      <c r="B4712">
        <v>64</v>
      </c>
      <c r="C4712" s="2" t="s">
        <v>145</v>
      </c>
      <c r="D4712">
        <v>64</v>
      </c>
    </row>
    <row r="4713" spans="1:4" hidden="1" x14ac:dyDescent="0.25">
      <c r="A4713" s="2" t="s">
        <v>36</v>
      </c>
      <c r="B4713">
        <v>64</v>
      </c>
      <c r="C4713" s="2" t="s">
        <v>146</v>
      </c>
      <c r="D4713">
        <v>64</v>
      </c>
    </row>
    <row r="4714" spans="1:4" hidden="1" x14ac:dyDescent="0.25">
      <c r="A4714" s="2" t="s">
        <v>36</v>
      </c>
      <c r="B4714">
        <v>64</v>
      </c>
      <c r="C4714" s="2" t="s">
        <v>147</v>
      </c>
      <c r="D4714">
        <v>64</v>
      </c>
    </row>
    <row r="4715" spans="1:4" hidden="1" x14ac:dyDescent="0.25">
      <c r="A4715" s="2" t="s">
        <v>36</v>
      </c>
      <c r="B4715">
        <v>64</v>
      </c>
      <c r="C4715" s="2" t="s">
        <v>148</v>
      </c>
      <c r="D4715">
        <v>64</v>
      </c>
    </row>
    <row r="4716" spans="1:4" hidden="1" x14ac:dyDescent="0.25">
      <c r="A4716" s="2" t="s">
        <v>36</v>
      </c>
      <c r="B4716">
        <v>64</v>
      </c>
      <c r="C4716" s="2" t="s">
        <v>149</v>
      </c>
      <c r="D4716">
        <v>64</v>
      </c>
    </row>
    <row r="4717" spans="1:4" hidden="1" x14ac:dyDescent="0.25">
      <c r="A4717" s="2" t="s">
        <v>36</v>
      </c>
      <c r="B4717">
        <v>64</v>
      </c>
      <c r="C4717" s="2" t="s">
        <v>150</v>
      </c>
      <c r="D4717">
        <v>64</v>
      </c>
    </row>
    <row r="4718" spans="1:4" hidden="1" x14ac:dyDescent="0.25">
      <c r="A4718" s="2" t="s">
        <v>36</v>
      </c>
      <c r="B4718">
        <v>64</v>
      </c>
      <c r="C4718" s="2" t="s">
        <v>151</v>
      </c>
      <c r="D4718">
        <v>64</v>
      </c>
    </row>
    <row r="4719" spans="1:4" hidden="1" x14ac:dyDescent="0.25">
      <c r="A4719" s="2" t="s">
        <v>36</v>
      </c>
      <c r="B4719">
        <v>64</v>
      </c>
      <c r="C4719" s="2" t="s">
        <v>152</v>
      </c>
      <c r="D4719">
        <v>64</v>
      </c>
    </row>
    <row r="4720" spans="1:4" hidden="1" x14ac:dyDescent="0.25">
      <c r="A4720" s="2" t="s">
        <v>36</v>
      </c>
      <c r="B4720">
        <v>64</v>
      </c>
      <c r="C4720" s="2" t="s">
        <v>153</v>
      </c>
      <c r="D4720">
        <v>64</v>
      </c>
    </row>
    <row r="4721" spans="1:4" hidden="1" x14ac:dyDescent="0.25">
      <c r="A4721" s="2" t="s">
        <v>36</v>
      </c>
      <c r="B4721">
        <v>64</v>
      </c>
      <c r="C4721" s="2" t="s">
        <v>154</v>
      </c>
      <c r="D4721">
        <v>64</v>
      </c>
    </row>
    <row r="4722" spans="1:4" hidden="1" x14ac:dyDescent="0.25">
      <c r="A4722" s="2" t="s">
        <v>36</v>
      </c>
      <c r="B4722">
        <v>64</v>
      </c>
      <c r="C4722" s="2" t="s">
        <v>155</v>
      </c>
      <c r="D4722">
        <v>64</v>
      </c>
    </row>
    <row r="4723" spans="1:4" hidden="1" x14ac:dyDescent="0.25">
      <c r="A4723" s="2" t="s">
        <v>36</v>
      </c>
      <c r="B4723">
        <v>64</v>
      </c>
      <c r="C4723" s="2" t="s">
        <v>156</v>
      </c>
      <c r="D4723">
        <v>64</v>
      </c>
    </row>
    <row r="4724" spans="1:4" hidden="1" x14ac:dyDescent="0.25">
      <c r="A4724" s="2" t="s">
        <v>36</v>
      </c>
      <c r="B4724">
        <v>64</v>
      </c>
      <c r="C4724" s="2" t="s">
        <v>157</v>
      </c>
      <c r="D4724">
        <v>64</v>
      </c>
    </row>
    <row r="4725" spans="1:4" hidden="1" x14ac:dyDescent="0.25">
      <c r="A4725" s="2" t="s">
        <v>36</v>
      </c>
      <c r="B4725">
        <v>64</v>
      </c>
      <c r="C4725" s="2" t="s">
        <v>158</v>
      </c>
      <c r="D4725">
        <v>64</v>
      </c>
    </row>
    <row r="4726" spans="1:4" hidden="1" x14ac:dyDescent="0.25">
      <c r="A4726" s="2" t="s">
        <v>36</v>
      </c>
      <c r="B4726">
        <v>64</v>
      </c>
      <c r="C4726" s="2" t="s">
        <v>159</v>
      </c>
      <c r="D4726">
        <v>64</v>
      </c>
    </row>
    <row r="4727" spans="1:4" hidden="1" x14ac:dyDescent="0.25">
      <c r="A4727" s="2" t="s">
        <v>36</v>
      </c>
      <c r="B4727">
        <v>64</v>
      </c>
      <c r="C4727" s="2" t="s">
        <v>160</v>
      </c>
      <c r="D4727">
        <v>64</v>
      </c>
    </row>
    <row r="4728" spans="1:4" hidden="1" x14ac:dyDescent="0.25">
      <c r="A4728" s="2" t="s">
        <v>36</v>
      </c>
      <c r="B4728">
        <v>64</v>
      </c>
      <c r="C4728" s="2" t="s">
        <v>161</v>
      </c>
      <c r="D4728">
        <v>64</v>
      </c>
    </row>
    <row r="4729" spans="1:4" hidden="1" x14ac:dyDescent="0.25">
      <c r="A4729" s="2" t="s">
        <v>36</v>
      </c>
      <c r="B4729">
        <v>64</v>
      </c>
      <c r="C4729" s="2" t="s">
        <v>162</v>
      </c>
      <c r="D4729">
        <v>64</v>
      </c>
    </row>
    <row r="4730" spans="1:4" hidden="1" x14ac:dyDescent="0.25">
      <c r="A4730" s="2" t="s">
        <v>36</v>
      </c>
      <c r="B4730">
        <v>64</v>
      </c>
      <c r="C4730" s="2" t="s">
        <v>163</v>
      </c>
      <c r="D4730">
        <v>64</v>
      </c>
    </row>
    <row r="4731" spans="1:4" hidden="1" x14ac:dyDescent="0.25">
      <c r="A4731" s="2" t="s">
        <v>36</v>
      </c>
      <c r="B4731">
        <v>64</v>
      </c>
      <c r="C4731" s="2" t="s">
        <v>164</v>
      </c>
      <c r="D4731">
        <v>64</v>
      </c>
    </row>
    <row r="4732" spans="1:4" hidden="1" x14ac:dyDescent="0.25">
      <c r="A4732" s="2" t="s">
        <v>36</v>
      </c>
      <c r="B4732">
        <v>64</v>
      </c>
      <c r="C4732" s="2" t="s">
        <v>165</v>
      </c>
      <c r="D4732">
        <v>64</v>
      </c>
    </row>
    <row r="4733" spans="1:4" hidden="1" x14ac:dyDescent="0.25">
      <c r="A4733" s="2" t="s">
        <v>36</v>
      </c>
      <c r="B4733">
        <v>64</v>
      </c>
      <c r="C4733" s="2" t="s">
        <v>166</v>
      </c>
      <c r="D4733">
        <v>64</v>
      </c>
    </row>
    <row r="4734" spans="1:4" hidden="1" x14ac:dyDescent="0.25">
      <c r="A4734" s="2" t="s">
        <v>36</v>
      </c>
      <c r="B4734">
        <v>64</v>
      </c>
      <c r="C4734" s="2" t="s">
        <v>167</v>
      </c>
      <c r="D4734">
        <v>64</v>
      </c>
    </row>
    <row r="4735" spans="1:4" hidden="1" x14ac:dyDescent="0.25">
      <c r="A4735" s="2" t="s">
        <v>36</v>
      </c>
      <c r="B4735">
        <v>64</v>
      </c>
      <c r="C4735" s="2" t="s">
        <v>168</v>
      </c>
      <c r="D4735">
        <v>64</v>
      </c>
    </row>
    <row r="4736" spans="1:4" hidden="1" x14ac:dyDescent="0.25">
      <c r="A4736" s="2" t="s">
        <v>36</v>
      </c>
      <c r="B4736">
        <v>64</v>
      </c>
      <c r="C4736" s="2" t="s">
        <v>169</v>
      </c>
      <c r="D4736">
        <v>64</v>
      </c>
    </row>
    <row r="4737" spans="1:4" hidden="1" x14ac:dyDescent="0.25">
      <c r="A4737" s="2" t="s">
        <v>36</v>
      </c>
      <c r="B4737">
        <v>64</v>
      </c>
      <c r="C4737" s="2" t="s">
        <v>170</v>
      </c>
      <c r="D4737">
        <v>64</v>
      </c>
    </row>
    <row r="4738" spans="1:4" hidden="1" x14ac:dyDescent="0.25">
      <c r="A4738" s="2" t="s">
        <v>36</v>
      </c>
      <c r="B4738">
        <v>64</v>
      </c>
      <c r="C4738" s="2" t="s">
        <v>171</v>
      </c>
      <c r="D4738">
        <v>64</v>
      </c>
    </row>
    <row r="4739" spans="1:4" hidden="1" x14ac:dyDescent="0.25">
      <c r="A4739" s="2" t="s">
        <v>36</v>
      </c>
      <c r="B4739">
        <v>64</v>
      </c>
      <c r="C4739" s="2" t="s">
        <v>172</v>
      </c>
      <c r="D4739">
        <v>64</v>
      </c>
    </row>
    <row r="4740" spans="1:4" hidden="1" x14ac:dyDescent="0.25">
      <c r="A4740" s="2" t="s">
        <v>36</v>
      </c>
      <c r="B4740">
        <v>64</v>
      </c>
      <c r="C4740" s="2" t="s">
        <v>173</v>
      </c>
      <c r="D4740">
        <v>64</v>
      </c>
    </row>
    <row r="4741" spans="1:4" hidden="1" x14ac:dyDescent="0.25">
      <c r="A4741" s="2" t="s">
        <v>36</v>
      </c>
      <c r="B4741">
        <v>64</v>
      </c>
      <c r="C4741" s="2" t="s">
        <v>174</v>
      </c>
      <c r="D4741">
        <v>64</v>
      </c>
    </row>
    <row r="4742" spans="1:4" hidden="1" x14ac:dyDescent="0.25">
      <c r="A4742" s="2" t="s">
        <v>36</v>
      </c>
      <c r="B4742">
        <v>64</v>
      </c>
      <c r="C4742" s="2" t="s">
        <v>175</v>
      </c>
      <c r="D4742">
        <v>64</v>
      </c>
    </row>
    <row r="4743" spans="1:4" hidden="1" x14ac:dyDescent="0.25">
      <c r="A4743" s="2" t="s">
        <v>36</v>
      </c>
      <c r="B4743">
        <v>64</v>
      </c>
      <c r="C4743" s="2" t="s">
        <v>176</v>
      </c>
      <c r="D4743">
        <v>64</v>
      </c>
    </row>
    <row r="4744" spans="1:4" hidden="1" x14ac:dyDescent="0.25">
      <c r="A4744" s="2" t="s">
        <v>36</v>
      </c>
      <c r="B4744">
        <v>64</v>
      </c>
      <c r="C4744" s="2" t="s">
        <v>177</v>
      </c>
      <c r="D4744">
        <v>64</v>
      </c>
    </row>
    <row r="4745" spans="1:4" hidden="1" x14ac:dyDescent="0.25">
      <c r="A4745" s="2" t="s">
        <v>36</v>
      </c>
      <c r="B4745">
        <v>64</v>
      </c>
      <c r="C4745" s="2" t="s">
        <v>178</v>
      </c>
      <c r="D4745">
        <v>64</v>
      </c>
    </row>
    <row r="4746" spans="1:4" hidden="1" x14ac:dyDescent="0.25">
      <c r="A4746" s="2" t="s">
        <v>36</v>
      </c>
      <c r="B4746">
        <v>64</v>
      </c>
      <c r="C4746" s="2" t="s">
        <v>179</v>
      </c>
      <c r="D4746">
        <v>64</v>
      </c>
    </row>
    <row r="4747" spans="1:4" hidden="1" x14ac:dyDescent="0.25">
      <c r="A4747" s="2" t="s">
        <v>51</v>
      </c>
      <c r="B4747">
        <v>64</v>
      </c>
      <c r="C4747" s="2" t="s">
        <v>183</v>
      </c>
      <c r="D4747">
        <v>13</v>
      </c>
    </row>
    <row r="4748" spans="1:4" hidden="1" x14ac:dyDescent="0.25">
      <c r="A4748" s="2" t="s">
        <v>51</v>
      </c>
      <c r="B4748">
        <v>64</v>
      </c>
      <c r="C4748" s="2" t="s">
        <v>184</v>
      </c>
      <c r="D4748">
        <v>14</v>
      </c>
    </row>
    <row r="4749" spans="1:4" hidden="1" x14ac:dyDescent="0.25">
      <c r="A4749" s="2" t="s">
        <v>51</v>
      </c>
      <c r="B4749">
        <v>64</v>
      </c>
      <c r="C4749" s="2" t="s">
        <v>185</v>
      </c>
      <c r="D4749">
        <v>82</v>
      </c>
    </row>
    <row r="4750" spans="1:4" hidden="1" x14ac:dyDescent="0.25">
      <c r="A4750" s="2" t="s">
        <v>51</v>
      </c>
      <c r="B4750">
        <v>64</v>
      </c>
      <c r="C4750" s="2" t="s">
        <v>186</v>
      </c>
      <c r="D4750">
        <v>54</v>
      </c>
    </row>
    <row r="4751" spans="1:4" hidden="1" x14ac:dyDescent="0.25">
      <c r="A4751" s="2" t="s">
        <v>51</v>
      </c>
      <c r="B4751">
        <v>64</v>
      </c>
      <c r="C4751" s="2" t="s">
        <v>187</v>
      </c>
      <c r="D4751">
        <v>55</v>
      </c>
    </row>
    <row r="4752" spans="1:4" hidden="1" x14ac:dyDescent="0.25">
      <c r="A4752" s="2" t="s">
        <v>51</v>
      </c>
      <c r="B4752">
        <v>64</v>
      </c>
      <c r="C4752" s="2" t="s">
        <v>188</v>
      </c>
      <c r="D4752">
        <v>53</v>
      </c>
    </row>
    <row r="4753" spans="1:4" hidden="1" x14ac:dyDescent="0.25">
      <c r="A4753" s="2" t="s">
        <v>51</v>
      </c>
      <c r="B4753">
        <v>64</v>
      </c>
      <c r="C4753" s="2" t="s">
        <v>189</v>
      </c>
      <c r="D4753">
        <v>61</v>
      </c>
    </row>
    <row r="4754" spans="1:4" hidden="1" x14ac:dyDescent="0.25">
      <c r="A4754" s="2" t="s">
        <v>51</v>
      </c>
      <c r="B4754">
        <v>64</v>
      </c>
      <c r="C4754" s="2" t="s">
        <v>190</v>
      </c>
      <c r="D4754">
        <v>65</v>
      </c>
    </row>
    <row r="4755" spans="1:4" hidden="1" x14ac:dyDescent="0.25">
      <c r="A4755" s="2" t="s">
        <v>51</v>
      </c>
      <c r="B4755">
        <v>64</v>
      </c>
      <c r="C4755" s="2" t="s">
        <v>191</v>
      </c>
      <c r="D4755">
        <v>64</v>
      </c>
    </row>
    <row r="4756" spans="1:4" hidden="1" x14ac:dyDescent="0.25">
      <c r="A4756" s="2" t="s">
        <v>51</v>
      </c>
      <c r="B4756">
        <v>64</v>
      </c>
      <c r="C4756" s="2" t="s">
        <v>116</v>
      </c>
      <c r="D4756">
        <v>65</v>
      </c>
    </row>
    <row r="4757" spans="1:4" hidden="1" x14ac:dyDescent="0.25">
      <c r="A4757" s="2" t="s">
        <v>51</v>
      </c>
      <c r="B4757">
        <v>64</v>
      </c>
      <c r="C4757" s="2" t="s">
        <v>117</v>
      </c>
      <c r="D4757">
        <v>75</v>
      </c>
    </row>
    <row r="4758" spans="1:4" hidden="1" x14ac:dyDescent="0.25">
      <c r="A4758" s="2" t="s">
        <v>51</v>
      </c>
      <c r="B4758">
        <v>64</v>
      </c>
      <c r="C4758" s="2" t="s">
        <v>118</v>
      </c>
      <c r="D4758">
        <v>76</v>
      </c>
    </row>
    <row r="4759" spans="1:4" hidden="1" x14ac:dyDescent="0.25">
      <c r="A4759" s="2" t="s">
        <v>51</v>
      </c>
      <c r="B4759">
        <v>64</v>
      </c>
      <c r="C4759" s="2" t="s">
        <v>119</v>
      </c>
      <c r="D4759">
        <v>94</v>
      </c>
    </row>
    <row r="4760" spans="1:4" hidden="1" x14ac:dyDescent="0.25">
      <c r="A4760" s="2" t="s">
        <v>51</v>
      </c>
      <c r="B4760">
        <v>64</v>
      </c>
      <c r="C4760" s="2" t="s">
        <v>120</v>
      </c>
      <c r="D4760">
        <v>96</v>
      </c>
    </row>
    <row r="4761" spans="1:4" hidden="1" x14ac:dyDescent="0.25">
      <c r="A4761" s="2" t="s">
        <v>51</v>
      </c>
      <c r="B4761">
        <v>64</v>
      </c>
      <c r="C4761" s="2" t="s">
        <v>121</v>
      </c>
      <c r="D4761">
        <v>103</v>
      </c>
    </row>
    <row r="4762" spans="1:4" hidden="1" x14ac:dyDescent="0.25">
      <c r="A4762" s="2" t="s">
        <v>51</v>
      </c>
      <c r="B4762">
        <v>64</v>
      </c>
      <c r="C4762" s="2" t="s">
        <v>122</v>
      </c>
      <c r="D4762">
        <v>104</v>
      </c>
    </row>
    <row r="4763" spans="1:4" hidden="1" x14ac:dyDescent="0.25">
      <c r="A4763" s="2" t="s">
        <v>51</v>
      </c>
      <c r="B4763">
        <v>64</v>
      </c>
      <c r="C4763" s="2" t="s">
        <v>123</v>
      </c>
      <c r="D4763">
        <v>107</v>
      </c>
    </row>
    <row r="4764" spans="1:4" hidden="1" x14ac:dyDescent="0.25">
      <c r="A4764" s="2" t="s">
        <v>51</v>
      </c>
      <c r="B4764">
        <v>64</v>
      </c>
      <c r="C4764" s="2" t="s">
        <v>124</v>
      </c>
      <c r="D4764">
        <v>108</v>
      </c>
    </row>
    <row r="4765" spans="1:4" hidden="1" x14ac:dyDescent="0.25">
      <c r="A4765" s="2" t="s">
        <v>51</v>
      </c>
      <c r="B4765">
        <v>64</v>
      </c>
      <c r="C4765" s="2" t="s">
        <v>125</v>
      </c>
      <c r="D4765">
        <v>90</v>
      </c>
    </row>
    <row r="4766" spans="1:4" hidden="1" x14ac:dyDescent="0.25">
      <c r="A4766" s="2" t="s">
        <v>51</v>
      </c>
      <c r="B4766">
        <v>64</v>
      </c>
      <c r="C4766" s="2" t="s">
        <v>126</v>
      </c>
      <c r="D4766">
        <v>87</v>
      </c>
    </row>
    <row r="4767" spans="1:4" hidden="1" x14ac:dyDescent="0.25">
      <c r="A4767" s="2" t="s">
        <v>51</v>
      </c>
      <c r="B4767">
        <v>64</v>
      </c>
      <c r="C4767" s="2" t="s">
        <v>127</v>
      </c>
      <c r="D4767">
        <v>89</v>
      </c>
    </row>
    <row r="4768" spans="1:4" hidden="1" x14ac:dyDescent="0.25">
      <c r="A4768" s="2" t="s">
        <v>51</v>
      </c>
      <c r="B4768">
        <v>64</v>
      </c>
      <c r="C4768" s="2" t="s">
        <v>128</v>
      </c>
      <c r="D4768">
        <v>94</v>
      </c>
    </row>
    <row r="4769" spans="1:4" hidden="1" x14ac:dyDescent="0.25">
      <c r="A4769" s="2" t="s">
        <v>51</v>
      </c>
      <c r="B4769">
        <v>64</v>
      </c>
      <c r="C4769" s="2" t="s">
        <v>129</v>
      </c>
      <c r="D4769">
        <v>80</v>
      </c>
    </row>
    <row r="4770" spans="1:4" hidden="1" x14ac:dyDescent="0.25">
      <c r="A4770" s="2" t="s">
        <v>51</v>
      </c>
      <c r="B4770">
        <v>64</v>
      </c>
      <c r="C4770" s="2" t="s">
        <v>130</v>
      </c>
      <c r="D4770">
        <v>68</v>
      </c>
    </row>
    <row r="4771" spans="1:4" hidden="1" x14ac:dyDescent="0.25">
      <c r="A4771" s="2" t="s">
        <v>51</v>
      </c>
      <c r="B4771">
        <v>64</v>
      </c>
      <c r="C4771" s="2" t="s">
        <v>131</v>
      </c>
      <c r="D4771">
        <v>66</v>
      </c>
    </row>
    <row r="4772" spans="1:4" hidden="1" x14ac:dyDescent="0.25">
      <c r="A4772" s="2" t="s">
        <v>51</v>
      </c>
      <c r="B4772">
        <v>64</v>
      </c>
      <c r="C4772" s="2" t="s">
        <v>132</v>
      </c>
      <c r="D4772">
        <v>72</v>
      </c>
    </row>
    <row r="4773" spans="1:4" hidden="1" x14ac:dyDescent="0.25">
      <c r="A4773" s="2" t="s">
        <v>51</v>
      </c>
      <c r="B4773">
        <v>64</v>
      </c>
      <c r="C4773" s="2" t="s">
        <v>133</v>
      </c>
      <c r="D4773">
        <v>72</v>
      </c>
    </row>
    <row r="4774" spans="1:4" hidden="1" x14ac:dyDescent="0.25">
      <c r="A4774" s="2" t="s">
        <v>51</v>
      </c>
      <c r="B4774">
        <v>64</v>
      </c>
      <c r="C4774" s="2" t="s">
        <v>134</v>
      </c>
      <c r="D4774">
        <v>66</v>
      </c>
    </row>
    <row r="4775" spans="1:4" hidden="1" x14ac:dyDescent="0.25">
      <c r="A4775" s="2" t="s">
        <v>51</v>
      </c>
      <c r="B4775">
        <v>64</v>
      </c>
      <c r="C4775" s="2" t="s">
        <v>135</v>
      </c>
      <c r="D4775">
        <v>64</v>
      </c>
    </row>
    <row r="4776" spans="1:4" hidden="1" x14ac:dyDescent="0.25">
      <c r="A4776" s="2" t="s">
        <v>51</v>
      </c>
      <c r="B4776">
        <v>64</v>
      </c>
      <c r="C4776" s="2" t="s">
        <v>136</v>
      </c>
      <c r="D4776">
        <v>64</v>
      </c>
    </row>
    <row r="4777" spans="1:4" hidden="1" x14ac:dyDescent="0.25">
      <c r="A4777" s="2" t="s">
        <v>51</v>
      </c>
      <c r="B4777">
        <v>64</v>
      </c>
      <c r="C4777" s="2" t="s">
        <v>137</v>
      </c>
      <c r="D4777">
        <v>64</v>
      </c>
    </row>
    <row r="4778" spans="1:4" hidden="1" x14ac:dyDescent="0.25">
      <c r="A4778" s="2" t="s">
        <v>51</v>
      </c>
      <c r="B4778">
        <v>64</v>
      </c>
      <c r="C4778" s="2" t="s">
        <v>138</v>
      </c>
      <c r="D4778">
        <v>64</v>
      </c>
    </row>
    <row r="4779" spans="1:4" hidden="1" x14ac:dyDescent="0.25">
      <c r="A4779" s="2" t="s">
        <v>51</v>
      </c>
      <c r="B4779">
        <v>64</v>
      </c>
      <c r="C4779" s="2" t="s">
        <v>139</v>
      </c>
      <c r="D4779">
        <v>64</v>
      </c>
    </row>
    <row r="4780" spans="1:4" hidden="1" x14ac:dyDescent="0.25">
      <c r="A4780" s="2" t="s">
        <v>51</v>
      </c>
      <c r="B4780">
        <v>64</v>
      </c>
      <c r="C4780" s="2" t="s">
        <v>140</v>
      </c>
      <c r="D4780">
        <v>64</v>
      </c>
    </row>
    <row r="4781" spans="1:4" hidden="1" x14ac:dyDescent="0.25">
      <c r="A4781" s="2" t="s">
        <v>51</v>
      </c>
      <c r="B4781">
        <v>64</v>
      </c>
      <c r="C4781" s="2" t="s">
        <v>141</v>
      </c>
      <c r="D4781">
        <v>64</v>
      </c>
    </row>
    <row r="4782" spans="1:4" hidden="1" x14ac:dyDescent="0.25">
      <c r="A4782" s="2" t="s">
        <v>51</v>
      </c>
      <c r="B4782">
        <v>64</v>
      </c>
      <c r="C4782" s="2" t="s">
        <v>142</v>
      </c>
      <c r="D4782">
        <v>64</v>
      </c>
    </row>
    <row r="4783" spans="1:4" hidden="1" x14ac:dyDescent="0.25">
      <c r="A4783" s="2" t="s">
        <v>51</v>
      </c>
      <c r="B4783">
        <v>64</v>
      </c>
      <c r="C4783" s="2" t="s">
        <v>143</v>
      </c>
      <c r="D4783">
        <v>64</v>
      </c>
    </row>
    <row r="4784" spans="1:4" hidden="1" x14ac:dyDescent="0.25">
      <c r="A4784" s="2" t="s">
        <v>51</v>
      </c>
      <c r="B4784">
        <v>64</v>
      </c>
      <c r="C4784" s="2" t="s">
        <v>144</v>
      </c>
      <c r="D4784">
        <v>64</v>
      </c>
    </row>
    <row r="4785" spans="1:4" hidden="1" x14ac:dyDescent="0.25">
      <c r="A4785" s="2" t="s">
        <v>51</v>
      </c>
      <c r="B4785">
        <v>64</v>
      </c>
      <c r="C4785" s="2" t="s">
        <v>145</v>
      </c>
      <c r="D4785">
        <v>64</v>
      </c>
    </row>
    <row r="4786" spans="1:4" hidden="1" x14ac:dyDescent="0.25">
      <c r="A4786" s="2" t="s">
        <v>51</v>
      </c>
      <c r="B4786">
        <v>64</v>
      </c>
      <c r="C4786" s="2" t="s">
        <v>146</v>
      </c>
      <c r="D4786">
        <v>64</v>
      </c>
    </row>
    <row r="4787" spans="1:4" hidden="1" x14ac:dyDescent="0.25">
      <c r="A4787" s="2" t="s">
        <v>51</v>
      </c>
      <c r="B4787">
        <v>64</v>
      </c>
      <c r="C4787" s="2" t="s">
        <v>147</v>
      </c>
      <c r="D4787">
        <v>64</v>
      </c>
    </row>
    <row r="4788" spans="1:4" hidden="1" x14ac:dyDescent="0.25">
      <c r="A4788" s="2" t="s">
        <v>51</v>
      </c>
      <c r="B4788">
        <v>64</v>
      </c>
      <c r="C4788" s="2" t="s">
        <v>148</v>
      </c>
      <c r="D4788">
        <v>64</v>
      </c>
    </row>
    <row r="4789" spans="1:4" hidden="1" x14ac:dyDescent="0.25">
      <c r="A4789" s="2" t="s">
        <v>51</v>
      </c>
      <c r="B4789">
        <v>64</v>
      </c>
      <c r="C4789" s="2" t="s">
        <v>149</v>
      </c>
      <c r="D4789">
        <v>64</v>
      </c>
    </row>
    <row r="4790" spans="1:4" hidden="1" x14ac:dyDescent="0.25">
      <c r="A4790" s="2" t="s">
        <v>51</v>
      </c>
      <c r="B4790">
        <v>64</v>
      </c>
      <c r="C4790" s="2" t="s">
        <v>150</v>
      </c>
      <c r="D4790">
        <v>64</v>
      </c>
    </row>
    <row r="4791" spans="1:4" hidden="1" x14ac:dyDescent="0.25">
      <c r="A4791" s="2" t="s">
        <v>51</v>
      </c>
      <c r="B4791">
        <v>64</v>
      </c>
      <c r="C4791" s="2" t="s">
        <v>151</v>
      </c>
      <c r="D4791">
        <v>64</v>
      </c>
    </row>
    <row r="4792" spans="1:4" hidden="1" x14ac:dyDescent="0.25">
      <c r="A4792" s="2" t="s">
        <v>51</v>
      </c>
      <c r="B4792">
        <v>64</v>
      </c>
      <c r="C4792" s="2" t="s">
        <v>152</v>
      </c>
      <c r="D4792">
        <v>64</v>
      </c>
    </row>
    <row r="4793" spans="1:4" hidden="1" x14ac:dyDescent="0.25">
      <c r="A4793" s="2" t="s">
        <v>51</v>
      </c>
      <c r="B4793">
        <v>64</v>
      </c>
      <c r="C4793" s="2" t="s">
        <v>153</v>
      </c>
      <c r="D4793">
        <v>64</v>
      </c>
    </row>
    <row r="4794" spans="1:4" hidden="1" x14ac:dyDescent="0.25">
      <c r="A4794" s="2" t="s">
        <v>51</v>
      </c>
      <c r="B4794">
        <v>64</v>
      </c>
      <c r="C4794" s="2" t="s">
        <v>154</v>
      </c>
      <c r="D4794">
        <v>64</v>
      </c>
    </row>
    <row r="4795" spans="1:4" hidden="1" x14ac:dyDescent="0.25">
      <c r="A4795" s="2" t="s">
        <v>51</v>
      </c>
      <c r="B4795">
        <v>64</v>
      </c>
      <c r="C4795" s="2" t="s">
        <v>155</v>
      </c>
      <c r="D4795">
        <v>64</v>
      </c>
    </row>
    <row r="4796" spans="1:4" hidden="1" x14ac:dyDescent="0.25">
      <c r="A4796" s="2" t="s">
        <v>51</v>
      </c>
      <c r="B4796">
        <v>64</v>
      </c>
      <c r="C4796" s="2" t="s">
        <v>156</v>
      </c>
      <c r="D4796">
        <v>64</v>
      </c>
    </row>
    <row r="4797" spans="1:4" hidden="1" x14ac:dyDescent="0.25">
      <c r="A4797" s="2" t="s">
        <v>51</v>
      </c>
      <c r="B4797">
        <v>64</v>
      </c>
      <c r="C4797" s="2" t="s">
        <v>157</v>
      </c>
      <c r="D4797">
        <v>64</v>
      </c>
    </row>
    <row r="4798" spans="1:4" hidden="1" x14ac:dyDescent="0.25">
      <c r="A4798" s="2" t="s">
        <v>51</v>
      </c>
      <c r="B4798">
        <v>64</v>
      </c>
      <c r="C4798" s="2" t="s">
        <v>158</v>
      </c>
      <c r="D4798">
        <v>64</v>
      </c>
    </row>
    <row r="4799" spans="1:4" hidden="1" x14ac:dyDescent="0.25">
      <c r="A4799" s="2" t="s">
        <v>51</v>
      </c>
      <c r="B4799">
        <v>64</v>
      </c>
      <c r="C4799" s="2" t="s">
        <v>159</v>
      </c>
      <c r="D4799">
        <v>64</v>
      </c>
    </row>
    <row r="4800" spans="1:4" hidden="1" x14ac:dyDescent="0.25">
      <c r="A4800" s="2" t="s">
        <v>51</v>
      </c>
      <c r="B4800">
        <v>64</v>
      </c>
      <c r="C4800" s="2" t="s">
        <v>160</v>
      </c>
      <c r="D4800">
        <v>64</v>
      </c>
    </row>
    <row r="4801" spans="1:4" hidden="1" x14ac:dyDescent="0.25">
      <c r="A4801" s="2" t="s">
        <v>51</v>
      </c>
      <c r="B4801">
        <v>64</v>
      </c>
      <c r="C4801" s="2" t="s">
        <v>161</v>
      </c>
      <c r="D4801">
        <v>64</v>
      </c>
    </row>
    <row r="4802" spans="1:4" hidden="1" x14ac:dyDescent="0.25">
      <c r="A4802" s="2" t="s">
        <v>51</v>
      </c>
      <c r="B4802">
        <v>64</v>
      </c>
      <c r="C4802" s="2" t="s">
        <v>162</v>
      </c>
      <c r="D4802">
        <v>64</v>
      </c>
    </row>
    <row r="4803" spans="1:4" hidden="1" x14ac:dyDescent="0.25">
      <c r="A4803" s="2" t="s">
        <v>51</v>
      </c>
      <c r="B4803">
        <v>64</v>
      </c>
      <c r="C4803" s="2" t="s">
        <v>163</v>
      </c>
      <c r="D4803">
        <v>64</v>
      </c>
    </row>
    <row r="4804" spans="1:4" hidden="1" x14ac:dyDescent="0.25">
      <c r="A4804" s="2" t="s">
        <v>51</v>
      </c>
      <c r="B4804">
        <v>64</v>
      </c>
      <c r="C4804" s="2" t="s">
        <v>164</v>
      </c>
      <c r="D4804">
        <v>64</v>
      </c>
    </row>
    <row r="4805" spans="1:4" hidden="1" x14ac:dyDescent="0.25">
      <c r="A4805" s="2" t="s">
        <v>51</v>
      </c>
      <c r="B4805">
        <v>64</v>
      </c>
      <c r="C4805" s="2" t="s">
        <v>165</v>
      </c>
      <c r="D4805">
        <v>64</v>
      </c>
    </row>
    <row r="4806" spans="1:4" hidden="1" x14ac:dyDescent="0.25">
      <c r="A4806" s="2" t="s">
        <v>51</v>
      </c>
      <c r="B4806">
        <v>64</v>
      </c>
      <c r="C4806" s="2" t="s">
        <v>166</v>
      </c>
      <c r="D4806">
        <v>64</v>
      </c>
    </row>
    <row r="4807" spans="1:4" hidden="1" x14ac:dyDescent="0.25">
      <c r="A4807" s="2" t="s">
        <v>51</v>
      </c>
      <c r="B4807">
        <v>64</v>
      </c>
      <c r="C4807" s="2" t="s">
        <v>167</v>
      </c>
      <c r="D4807">
        <v>64</v>
      </c>
    </row>
    <row r="4808" spans="1:4" hidden="1" x14ac:dyDescent="0.25">
      <c r="A4808" s="2" t="s">
        <v>51</v>
      </c>
      <c r="B4808">
        <v>64</v>
      </c>
      <c r="C4808" s="2" t="s">
        <v>168</v>
      </c>
      <c r="D4808">
        <v>64</v>
      </c>
    </row>
    <row r="4809" spans="1:4" hidden="1" x14ac:dyDescent="0.25">
      <c r="A4809" s="2" t="s">
        <v>51</v>
      </c>
      <c r="B4809">
        <v>64</v>
      </c>
      <c r="C4809" s="2" t="s">
        <v>169</v>
      </c>
      <c r="D4809">
        <v>64</v>
      </c>
    </row>
    <row r="4810" spans="1:4" hidden="1" x14ac:dyDescent="0.25">
      <c r="A4810" s="2" t="s">
        <v>51</v>
      </c>
      <c r="B4810">
        <v>64</v>
      </c>
      <c r="C4810" s="2" t="s">
        <v>170</v>
      </c>
      <c r="D4810">
        <v>64</v>
      </c>
    </row>
    <row r="4811" spans="1:4" hidden="1" x14ac:dyDescent="0.25">
      <c r="A4811" s="2" t="s">
        <v>51</v>
      </c>
      <c r="B4811">
        <v>64</v>
      </c>
      <c r="C4811" s="2" t="s">
        <v>171</v>
      </c>
      <c r="D4811">
        <v>64</v>
      </c>
    </row>
    <row r="4812" spans="1:4" hidden="1" x14ac:dyDescent="0.25">
      <c r="A4812" s="2" t="s">
        <v>51</v>
      </c>
      <c r="B4812">
        <v>64</v>
      </c>
      <c r="C4812" s="2" t="s">
        <v>172</v>
      </c>
      <c r="D4812">
        <v>64</v>
      </c>
    </row>
    <row r="4813" spans="1:4" hidden="1" x14ac:dyDescent="0.25">
      <c r="A4813" s="2" t="s">
        <v>51</v>
      </c>
      <c r="B4813">
        <v>64</v>
      </c>
      <c r="C4813" s="2" t="s">
        <v>173</v>
      </c>
      <c r="D4813">
        <v>64</v>
      </c>
    </row>
    <row r="4814" spans="1:4" hidden="1" x14ac:dyDescent="0.25">
      <c r="A4814" s="2" t="s">
        <v>51</v>
      </c>
      <c r="B4814">
        <v>64</v>
      </c>
      <c r="C4814" s="2" t="s">
        <v>174</v>
      </c>
      <c r="D4814">
        <v>64</v>
      </c>
    </row>
    <row r="4815" spans="1:4" hidden="1" x14ac:dyDescent="0.25">
      <c r="A4815" s="2" t="s">
        <v>51</v>
      </c>
      <c r="B4815">
        <v>64</v>
      </c>
      <c r="C4815" s="2" t="s">
        <v>175</v>
      </c>
      <c r="D4815">
        <v>64</v>
      </c>
    </row>
    <row r="4816" spans="1:4" hidden="1" x14ac:dyDescent="0.25">
      <c r="A4816" s="2" t="s">
        <v>51</v>
      </c>
      <c r="B4816">
        <v>64</v>
      </c>
      <c r="C4816" s="2" t="s">
        <v>176</v>
      </c>
      <c r="D4816">
        <v>64</v>
      </c>
    </row>
    <row r="4817" spans="1:4" hidden="1" x14ac:dyDescent="0.25">
      <c r="A4817" s="2" t="s">
        <v>51</v>
      </c>
      <c r="B4817">
        <v>64</v>
      </c>
      <c r="C4817" s="2" t="s">
        <v>177</v>
      </c>
      <c r="D4817">
        <v>64</v>
      </c>
    </row>
    <row r="4818" spans="1:4" hidden="1" x14ac:dyDescent="0.25">
      <c r="A4818" s="2" t="s">
        <v>51</v>
      </c>
      <c r="B4818">
        <v>64</v>
      </c>
      <c r="C4818" s="2" t="s">
        <v>178</v>
      </c>
      <c r="D4818">
        <v>64</v>
      </c>
    </row>
    <row r="4819" spans="1:4" hidden="1" x14ac:dyDescent="0.25">
      <c r="A4819" s="2" t="s">
        <v>51</v>
      </c>
      <c r="B4819">
        <v>64</v>
      </c>
      <c r="C4819" s="2" t="s">
        <v>179</v>
      </c>
      <c r="D4819">
        <v>64</v>
      </c>
    </row>
    <row r="4820" spans="1:4" hidden="1" x14ac:dyDescent="0.25">
      <c r="A4820" s="2" t="s">
        <v>82</v>
      </c>
      <c r="B4820">
        <v>64</v>
      </c>
      <c r="C4820" s="2" t="s">
        <v>183</v>
      </c>
      <c r="D4820">
        <v>65</v>
      </c>
    </row>
    <row r="4821" spans="1:4" hidden="1" x14ac:dyDescent="0.25">
      <c r="A4821" s="2" t="s">
        <v>82</v>
      </c>
      <c r="B4821">
        <v>64</v>
      </c>
      <c r="C4821" s="2" t="s">
        <v>184</v>
      </c>
      <c r="D4821">
        <v>62</v>
      </c>
    </row>
    <row r="4822" spans="1:4" hidden="1" x14ac:dyDescent="0.25">
      <c r="A4822" s="2" t="s">
        <v>82</v>
      </c>
      <c r="B4822">
        <v>64</v>
      </c>
      <c r="C4822" s="2" t="s">
        <v>185</v>
      </c>
      <c r="D4822">
        <v>75</v>
      </c>
    </row>
    <row r="4823" spans="1:4" hidden="1" x14ac:dyDescent="0.25">
      <c r="A4823" s="2" t="s">
        <v>82</v>
      </c>
      <c r="B4823">
        <v>64</v>
      </c>
      <c r="C4823" s="2" t="s">
        <v>186</v>
      </c>
      <c r="D4823">
        <v>38</v>
      </c>
    </row>
    <row r="4824" spans="1:4" hidden="1" x14ac:dyDescent="0.25">
      <c r="A4824" s="2" t="s">
        <v>82</v>
      </c>
      <c r="B4824">
        <v>64</v>
      </c>
      <c r="C4824" s="2" t="s">
        <v>187</v>
      </c>
      <c r="D4824">
        <v>39</v>
      </c>
    </row>
    <row r="4825" spans="1:4" hidden="1" x14ac:dyDescent="0.25">
      <c r="A4825" s="2" t="s">
        <v>82</v>
      </c>
      <c r="B4825">
        <v>64</v>
      </c>
      <c r="C4825" s="2" t="s">
        <v>188</v>
      </c>
      <c r="D4825">
        <v>41</v>
      </c>
    </row>
    <row r="4826" spans="1:4" hidden="1" x14ac:dyDescent="0.25">
      <c r="A4826" s="2" t="s">
        <v>82</v>
      </c>
      <c r="B4826">
        <v>64</v>
      </c>
      <c r="C4826" s="2" t="s">
        <v>189</v>
      </c>
      <c r="D4826">
        <v>61</v>
      </c>
    </row>
    <row r="4827" spans="1:4" hidden="1" x14ac:dyDescent="0.25">
      <c r="A4827" s="2" t="s">
        <v>82</v>
      </c>
      <c r="B4827">
        <v>64</v>
      </c>
      <c r="C4827" s="2" t="s">
        <v>190</v>
      </c>
      <c r="D4827">
        <v>49</v>
      </c>
    </row>
    <row r="4828" spans="1:4" hidden="1" x14ac:dyDescent="0.25">
      <c r="A4828" s="2" t="s">
        <v>82</v>
      </c>
      <c r="B4828">
        <v>64</v>
      </c>
      <c r="C4828" s="2" t="s">
        <v>191</v>
      </c>
      <c r="D4828">
        <v>52</v>
      </c>
    </row>
    <row r="4829" spans="1:4" hidden="1" x14ac:dyDescent="0.25">
      <c r="A4829" s="2" t="s">
        <v>82</v>
      </c>
      <c r="B4829">
        <v>64</v>
      </c>
      <c r="C4829" s="2" t="s">
        <v>116</v>
      </c>
      <c r="D4829">
        <v>56</v>
      </c>
    </row>
    <row r="4830" spans="1:4" hidden="1" x14ac:dyDescent="0.25">
      <c r="A4830" s="2" t="s">
        <v>82</v>
      </c>
      <c r="B4830">
        <v>64</v>
      </c>
      <c r="C4830" s="2" t="s">
        <v>117</v>
      </c>
      <c r="D4830">
        <v>51</v>
      </c>
    </row>
    <row r="4831" spans="1:4" hidden="1" x14ac:dyDescent="0.25">
      <c r="A4831" s="2" t="s">
        <v>82</v>
      </c>
      <c r="B4831">
        <v>64</v>
      </c>
      <c r="C4831" s="2" t="s">
        <v>118</v>
      </c>
      <c r="D4831">
        <v>54</v>
      </c>
    </row>
    <row r="4832" spans="1:4" hidden="1" x14ac:dyDescent="0.25">
      <c r="A4832" s="2" t="s">
        <v>82</v>
      </c>
      <c r="B4832">
        <v>64</v>
      </c>
      <c r="C4832" s="2" t="s">
        <v>119</v>
      </c>
      <c r="D4832">
        <v>33</v>
      </c>
    </row>
    <row r="4833" spans="1:4" hidden="1" x14ac:dyDescent="0.25">
      <c r="A4833" s="2" t="s">
        <v>82</v>
      </c>
      <c r="B4833">
        <v>64</v>
      </c>
      <c r="C4833" s="2" t="s">
        <v>120</v>
      </c>
      <c r="D4833">
        <v>43</v>
      </c>
    </row>
    <row r="4834" spans="1:4" hidden="1" x14ac:dyDescent="0.25">
      <c r="A4834" s="2" t="s">
        <v>82</v>
      </c>
      <c r="B4834">
        <v>64</v>
      </c>
      <c r="C4834" s="2" t="s">
        <v>121</v>
      </c>
      <c r="D4834">
        <v>43</v>
      </c>
    </row>
    <row r="4835" spans="1:4" hidden="1" x14ac:dyDescent="0.25">
      <c r="A4835" s="2" t="s">
        <v>82</v>
      </c>
      <c r="B4835">
        <v>64</v>
      </c>
      <c r="C4835" s="2" t="s">
        <v>122</v>
      </c>
      <c r="D4835">
        <v>35</v>
      </c>
    </row>
    <row r="4836" spans="1:4" hidden="1" x14ac:dyDescent="0.25">
      <c r="A4836" s="2" t="s">
        <v>82</v>
      </c>
      <c r="B4836">
        <v>64</v>
      </c>
      <c r="C4836" s="2" t="s">
        <v>123</v>
      </c>
      <c r="D4836">
        <v>43</v>
      </c>
    </row>
    <row r="4837" spans="1:4" hidden="1" x14ac:dyDescent="0.25">
      <c r="A4837" s="2" t="s">
        <v>82</v>
      </c>
      <c r="B4837">
        <v>64</v>
      </c>
      <c r="C4837" s="2" t="s">
        <v>124</v>
      </c>
      <c r="D4837">
        <v>48</v>
      </c>
    </row>
    <row r="4838" spans="1:4" hidden="1" x14ac:dyDescent="0.25">
      <c r="A4838" s="2" t="s">
        <v>82</v>
      </c>
      <c r="B4838">
        <v>64</v>
      </c>
      <c r="C4838" s="2" t="s">
        <v>125</v>
      </c>
      <c r="D4838">
        <v>23</v>
      </c>
    </row>
    <row r="4839" spans="1:4" hidden="1" x14ac:dyDescent="0.25">
      <c r="A4839" s="2" t="s">
        <v>82</v>
      </c>
      <c r="B4839">
        <v>64</v>
      </c>
      <c r="C4839" s="2" t="s">
        <v>126</v>
      </c>
      <c r="D4839">
        <v>31</v>
      </c>
    </row>
    <row r="4840" spans="1:4" hidden="1" x14ac:dyDescent="0.25">
      <c r="A4840" s="2" t="s">
        <v>82</v>
      </c>
      <c r="B4840">
        <v>64</v>
      </c>
      <c r="C4840" s="2" t="s">
        <v>127</v>
      </c>
      <c r="D4840">
        <v>32</v>
      </c>
    </row>
    <row r="4841" spans="1:4" hidden="1" x14ac:dyDescent="0.25">
      <c r="A4841" s="2" t="s">
        <v>82</v>
      </c>
      <c r="B4841">
        <v>64</v>
      </c>
      <c r="C4841" s="2" t="s">
        <v>128</v>
      </c>
      <c r="D4841">
        <v>48</v>
      </c>
    </row>
    <row r="4842" spans="1:4" hidden="1" x14ac:dyDescent="0.25">
      <c r="A4842" s="2" t="s">
        <v>82</v>
      </c>
      <c r="B4842">
        <v>64</v>
      </c>
      <c r="C4842" s="2" t="s">
        <v>129</v>
      </c>
      <c r="D4842">
        <v>52</v>
      </c>
    </row>
    <row r="4843" spans="1:4" hidden="1" x14ac:dyDescent="0.25">
      <c r="A4843" s="2" t="s">
        <v>82</v>
      </c>
      <c r="B4843">
        <v>64</v>
      </c>
      <c r="C4843" s="2" t="s">
        <v>130</v>
      </c>
      <c r="D4843">
        <v>57</v>
      </c>
    </row>
    <row r="4844" spans="1:4" hidden="1" x14ac:dyDescent="0.25">
      <c r="A4844" s="2" t="s">
        <v>82</v>
      </c>
      <c r="B4844">
        <v>64</v>
      </c>
      <c r="C4844" s="2" t="s">
        <v>131</v>
      </c>
      <c r="D4844">
        <v>60</v>
      </c>
    </row>
    <row r="4845" spans="1:4" hidden="1" x14ac:dyDescent="0.25">
      <c r="A4845" s="2" t="s">
        <v>82</v>
      </c>
      <c r="B4845">
        <v>64</v>
      </c>
      <c r="C4845" s="2" t="s">
        <v>132</v>
      </c>
      <c r="D4845">
        <v>68</v>
      </c>
    </row>
    <row r="4846" spans="1:4" hidden="1" x14ac:dyDescent="0.25">
      <c r="A4846" s="2" t="s">
        <v>82</v>
      </c>
      <c r="B4846">
        <v>64</v>
      </c>
      <c r="C4846" s="2" t="s">
        <v>133</v>
      </c>
      <c r="D4846">
        <v>68</v>
      </c>
    </row>
    <row r="4847" spans="1:4" hidden="1" x14ac:dyDescent="0.25">
      <c r="A4847" s="2" t="s">
        <v>82</v>
      </c>
      <c r="B4847">
        <v>64</v>
      </c>
      <c r="C4847" s="2" t="s">
        <v>134</v>
      </c>
      <c r="D4847">
        <v>66</v>
      </c>
    </row>
    <row r="4848" spans="1:4" hidden="1" x14ac:dyDescent="0.25">
      <c r="A4848" s="2" t="s">
        <v>82</v>
      </c>
      <c r="B4848">
        <v>64</v>
      </c>
      <c r="C4848" s="2" t="s">
        <v>135</v>
      </c>
      <c r="D4848">
        <v>64</v>
      </c>
    </row>
    <row r="4849" spans="1:4" hidden="1" x14ac:dyDescent="0.25">
      <c r="A4849" s="2" t="s">
        <v>82</v>
      </c>
      <c r="B4849">
        <v>64</v>
      </c>
      <c r="C4849" s="2" t="s">
        <v>136</v>
      </c>
      <c r="D4849">
        <v>64</v>
      </c>
    </row>
    <row r="4850" spans="1:4" hidden="1" x14ac:dyDescent="0.25">
      <c r="A4850" s="2" t="s">
        <v>82</v>
      </c>
      <c r="B4850">
        <v>64</v>
      </c>
      <c r="C4850" s="2" t="s">
        <v>137</v>
      </c>
      <c r="D4850">
        <v>64</v>
      </c>
    </row>
    <row r="4851" spans="1:4" hidden="1" x14ac:dyDescent="0.25">
      <c r="A4851" s="2" t="s">
        <v>82</v>
      </c>
      <c r="B4851">
        <v>64</v>
      </c>
      <c r="C4851" s="2" t="s">
        <v>138</v>
      </c>
      <c r="D4851">
        <v>64</v>
      </c>
    </row>
    <row r="4852" spans="1:4" hidden="1" x14ac:dyDescent="0.25">
      <c r="A4852" s="2" t="s">
        <v>82</v>
      </c>
      <c r="B4852">
        <v>64</v>
      </c>
      <c r="C4852" s="2" t="s">
        <v>139</v>
      </c>
      <c r="D4852">
        <v>64</v>
      </c>
    </row>
    <row r="4853" spans="1:4" hidden="1" x14ac:dyDescent="0.25">
      <c r="A4853" s="2" t="s">
        <v>82</v>
      </c>
      <c r="B4853">
        <v>64</v>
      </c>
      <c r="C4853" s="2" t="s">
        <v>140</v>
      </c>
      <c r="D4853">
        <v>64</v>
      </c>
    </row>
    <row r="4854" spans="1:4" hidden="1" x14ac:dyDescent="0.25">
      <c r="A4854" s="2" t="s">
        <v>82</v>
      </c>
      <c r="B4854">
        <v>64</v>
      </c>
      <c r="C4854" s="2" t="s">
        <v>141</v>
      </c>
      <c r="D4854">
        <v>64</v>
      </c>
    </row>
    <row r="4855" spans="1:4" hidden="1" x14ac:dyDescent="0.25">
      <c r="A4855" s="2" t="s">
        <v>82</v>
      </c>
      <c r="B4855">
        <v>64</v>
      </c>
      <c r="C4855" s="2" t="s">
        <v>142</v>
      </c>
      <c r="D4855">
        <v>64</v>
      </c>
    </row>
    <row r="4856" spans="1:4" hidden="1" x14ac:dyDescent="0.25">
      <c r="A4856" s="2" t="s">
        <v>82</v>
      </c>
      <c r="B4856">
        <v>64</v>
      </c>
      <c r="C4856" s="2" t="s">
        <v>143</v>
      </c>
      <c r="D4856">
        <v>64</v>
      </c>
    </row>
    <row r="4857" spans="1:4" hidden="1" x14ac:dyDescent="0.25">
      <c r="A4857" s="2" t="s">
        <v>82</v>
      </c>
      <c r="B4857">
        <v>64</v>
      </c>
      <c r="C4857" s="2" t="s">
        <v>144</v>
      </c>
      <c r="D4857">
        <v>64</v>
      </c>
    </row>
    <row r="4858" spans="1:4" hidden="1" x14ac:dyDescent="0.25">
      <c r="A4858" s="2" t="s">
        <v>82</v>
      </c>
      <c r="B4858">
        <v>64</v>
      </c>
      <c r="C4858" s="2" t="s">
        <v>145</v>
      </c>
      <c r="D4858">
        <v>64</v>
      </c>
    </row>
    <row r="4859" spans="1:4" hidden="1" x14ac:dyDescent="0.25">
      <c r="A4859" s="2" t="s">
        <v>82</v>
      </c>
      <c r="B4859">
        <v>64</v>
      </c>
      <c r="C4859" s="2" t="s">
        <v>146</v>
      </c>
      <c r="D4859">
        <v>64</v>
      </c>
    </row>
    <row r="4860" spans="1:4" hidden="1" x14ac:dyDescent="0.25">
      <c r="A4860" s="2" t="s">
        <v>82</v>
      </c>
      <c r="B4860">
        <v>64</v>
      </c>
      <c r="C4860" s="2" t="s">
        <v>147</v>
      </c>
      <c r="D4860">
        <v>64</v>
      </c>
    </row>
    <row r="4861" spans="1:4" hidden="1" x14ac:dyDescent="0.25">
      <c r="A4861" s="2" t="s">
        <v>82</v>
      </c>
      <c r="B4861">
        <v>64</v>
      </c>
      <c r="C4861" s="2" t="s">
        <v>148</v>
      </c>
      <c r="D4861">
        <v>64</v>
      </c>
    </row>
    <row r="4862" spans="1:4" hidden="1" x14ac:dyDescent="0.25">
      <c r="A4862" s="2" t="s">
        <v>82</v>
      </c>
      <c r="B4862">
        <v>64</v>
      </c>
      <c r="C4862" s="2" t="s">
        <v>149</v>
      </c>
      <c r="D4862">
        <v>64</v>
      </c>
    </row>
    <row r="4863" spans="1:4" hidden="1" x14ac:dyDescent="0.25">
      <c r="A4863" s="2" t="s">
        <v>82</v>
      </c>
      <c r="B4863">
        <v>64</v>
      </c>
      <c r="C4863" s="2" t="s">
        <v>150</v>
      </c>
      <c r="D4863">
        <v>64</v>
      </c>
    </row>
    <row r="4864" spans="1:4" hidden="1" x14ac:dyDescent="0.25">
      <c r="A4864" s="2" t="s">
        <v>82</v>
      </c>
      <c r="B4864">
        <v>64</v>
      </c>
      <c r="C4864" s="2" t="s">
        <v>151</v>
      </c>
      <c r="D4864">
        <v>64</v>
      </c>
    </row>
    <row r="4865" spans="1:4" hidden="1" x14ac:dyDescent="0.25">
      <c r="A4865" s="2" t="s">
        <v>82</v>
      </c>
      <c r="B4865">
        <v>64</v>
      </c>
      <c r="C4865" s="2" t="s">
        <v>152</v>
      </c>
      <c r="D4865">
        <v>64</v>
      </c>
    </row>
    <row r="4866" spans="1:4" hidden="1" x14ac:dyDescent="0.25">
      <c r="A4866" s="2" t="s">
        <v>82</v>
      </c>
      <c r="B4866">
        <v>64</v>
      </c>
      <c r="C4866" s="2" t="s">
        <v>153</v>
      </c>
      <c r="D4866">
        <v>64</v>
      </c>
    </row>
    <row r="4867" spans="1:4" hidden="1" x14ac:dyDescent="0.25">
      <c r="A4867" s="2" t="s">
        <v>82</v>
      </c>
      <c r="B4867">
        <v>64</v>
      </c>
      <c r="C4867" s="2" t="s">
        <v>154</v>
      </c>
      <c r="D4867">
        <v>64</v>
      </c>
    </row>
    <row r="4868" spans="1:4" hidden="1" x14ac:dyDescent="0.25">
      <c r="A4868" s="2" t="s">
        <v>82</v>
      </c>
      <c r="B4868">
        <v>64</v>
      </c>
      <c r="C4868" s="2" t="s">
        <v>155</v>
      </c>
      <c r="D4868">
        <v>64</v>
      </c>
    </row>
    <row r="4869" spans="1:4" hidden="1" x14ac:dyDescent="0.25">
      <c r="A4869" s="2" t="s">
        <v>82</v>
      </c>
      <c r="B4869">
        <v>64</v>
      </c>
      <c r="C4869" s="2" t="s">
        <v>156</v>
      </c>
      <c r="D4869">
        <v>64</v>
      </c>
    </row>
    <row r="4870" spans="1:4" hidden="1" x14ac:dyDescent="0.25">
      <c r="A4870" s="2" t="s">
        <v>82</v>
      </c>
      <c r="B4870">
        <v>64</v>
      </c>
      <c r="C4870" s="2" t="s">
        <v>157</v>
      </c>
      <c r="D4870">
        <v>64</v>
      </c>
    </row>
    <row r="4871" spans="1:4" hidden="1" x14ac:dyDescent="0.25">
      <c r="A4871" s="2" t="s">
        <v>82</v>
      </c>
      <c r="B4871">
        <v>64</v>
      </c>
      <c r="C4871" s="2" t="s">
        <v>158</v>
      </c>
      <c r="D4871">
        <v>64</v>
      </c>
    </row>
    <row r="4872" spans="1:4" hidden="1" x14ac:dyDescent="0.25">
      <c r="A4872" s="2" t="s">
        <v>82</v>
      </c>
      <c r="B4872">
        <v>64</v>
      </c>
      <c r="C4872" s="2" t="s">
        <v>159</v>
      </c>
      <c r="D4872">
        <v>64</v>
      </c>
    </row>
    <row r="4873" spans="1:4" hidden="1" x14ac:dyDescent="0.25">
      <c r="A4873" s="2" t="s">
        <v>82</v>
      </c>
      <c r="B4873">
        <v>64</v>
      </c>
      <c r="C4873" s="2" t="s">
        <v>160</v>
      </c>
      <c r="D4873">
        <v>64</v>
      </c>
    </row>
    <row r="4874" spans="1:4" hidden="1" x14ac:dyDescent="0.25">
      <c r="A4874" s="2" t="s">
        <v>82</v>
      </c>
      <c r="B4874">
        <v>64</v>
      </c>
      <c r="C4874" s="2" t="s">
        <v>161</v>
      </c>
      <c r="D4874">
        <v>64</v>
      </c>
    </row>
    <row r="4875" spans="1:4" hidden="1" x14ac:dyDescent="0.25">
      <c r="A4875" s="2" t="s">
        <v>82</v>
      </c>
      <c r="B4875">
        <v>64</v>
      </c>
      <c r="C4875" s="2" t="s">
        <v>162</v>
      </c>
      <c r="D4875">
        <v>64</v>
      </c>
    </row>
    <row r="4876" spans="1:4" hidden="1" x14ac:dyDescent="0.25">
      <c r="A4876" s="2" t="s">
        <v>82</v>
      </c>
      <c r="B4876">
        <v>64</v>
      </c>
      <c r="C4876" s="2" t="s">
        <v>163</v>
      </c>
      <c r="D4876">
        <v>64</v>
      </c>
    </row>
    <row r="4877" spans="1:4" hidden="1" x14ac:dyDescent="0.25">
      <c r="A4877" s="2" t="s">
        <v>82</v>
      </c>
      <c r="B4877">
        <v>64</v>
      </c>
      <c r="C4877" s="2" t="s">
        <v>164</v>
      </c>
      <c r="D4877">
        <v>64</v>
      </c>
    </row>
    <row r="4878" spans="1:4" hidden="1" x14ac:dyDescent="0.25">
      <c r="A4878" s="2" t="s">
        <v>82</v>
      </c>
      <c r="B4878">
        <v>64</v>
      </c>
      <c r="C4878" s="2" t="s">
        <v>165</v>
      </c>
      <c r="D4878">
        <v>64</v>
      </c>
    </row>
    <row r="4879" spans="1:4" hidden="1" x14ac:dyDescent="0.25">
      <c r="A4879" s="2" t="s">
        <v>82</v>
      </c>
      <c r="B4879">
        <v>64</v>
      </c>
      <c r="C4879" s="2" t="s">
        <v>166</v>
      </c>
      <c r="D4879">
        <v>64</v>
      </c>
    </row>
    <row r="4880" spans="1:4" hidden="1" x14ac:dyDescent="0.25">
      <c r="A4880" s="2" t="s">
        <v>82</v>
      </c>
      <c r="B4880">
        <v>64</v>
      </c>
      <c r="C4880" s="2" t="s">
        <v>167</v>
      </c>
      <c r="D4880">
        <v>64</v>
      </c>
    </row>
    <row r="4881" spans="1:4" hidden="1" x14ac:dyDescent="0.25">
      <c r="A4881" s="2" t="s">
        <v>82</v>
      </c>
      <c r="B4881">
        <v>64</v>
      </c>
      <c r="C4881" s="2" t="s">
        <v>168</v>
      </c>
      <c r="D4881">
        <v>64</v>
      </c>
    </row>
    <row r="4882" spans="1:4" hidden="1" x14ac:dyDescent="0.25">
      <c r="A4882" s="2" t="s">
        <v>82</v>
      </c>
      <c r="B4882">
        <v>64</v>
      </c>
      <c r="C4882" s="2" t="s">
        <v>169</v>
      </c>
      <c r="D4882">
        <v>64</v>
      </c>
    </row>
    <row r="4883" spans="1:4" hidden="1" x14ac:dyDescent="0.25">
      <c r="A4883" s="2" t="s">
        <v>82</v>
      </c>
      <c r="B4883">
        <v>64</v>
      </c>
      <c r="C4883" s="2" t="s">
        <v>170</v>
      </c>
      <c r="D4883">
        <v>64</v>
      </c>
    </row>
    <row r="4884" spans="1:4" hidden="1" x14ac:dyDescent="0.25">
      <c r="A4884" s="2" t="s">
        <v>82</v>
      </c>
      <c r="B4884">
        <v>64</v>
      </c>
      <c r="C4884" s="2" t="s">
        <v>171</v>
      </c>
      <c r="D4884">
        <v>64</v>
      </c>
    </row>
    <row r="4885" spans="1:4" hidden="1" x14ac:dyDescent="0.25">
      <c r="A4885" s="2" t="s">
        <v>82</v>
      </c>
      <c r="B4885">
        <v>64</v>
      </c>
      <c r="C4885" s="2" t="s">
        <v>172</v>
      </c>
      <c r="D4885">
        <v>64</v>
      </c>
    </row>
    <row r="4886" spans="1:4" hidden="1" x14ac:dyDescent="0.25">
      <c r="A4886" s="2" t="s">
        <v>82</v>
      </c>
      <c r="B4886">
        <v>64</v>
      </c>
      <c r="C4886" s="2" t="s">
        <v>173</v>
      </c>
      <c r="D4886">
        <v>64</v>
      </c>
    </row>
    <row r="4887" spans="1:4" hidden="1" x14ac:dyDescent="0.25">
      <c r="A4887" s="2" t="s">
        <v>82</v>
      </c>
      <c r="B4887">
        <v>64</v>
      </c>
      <c r="C4887" s="2" t="s">
        <v>174</v>
      </c>
      <c r="D4887">
        <v>64</v>
      </c>
    </row>
    <row r="4888" spans="1:4" hidden="1" x14ac:dyDescent="0.25">
      <c r="A4888" s="2" t="s">
        <v>82</v>
      </c>
      <c r="B4888">
        <v>64</v>
      </c>
      <c r="C4888" s="2" t="s">
        <v>175</v>
      </c>
      <c r="D4888">
        <v>64</v>
      </c>
    </row>
    <row r="4889" spans="1:4" hidden="1" x14ac:dyDescent="0.25">
      <c r="A4889" s="2" t="s">
        <v>82</v>
      </c>
      <c r="B4889">
        <v>64</v>
      </c>
      <c r="C4889" s="2" t="s">
        <v>176</v>
      </c>
      <c r="D4889">
        <v>64</v>
      </c>
    </row>
    <row r="4890" spans="1:4" hidden="1" x14ac:dyDescent="0.25">
      <c r="A4890" s="2" t="s">
        <v>82</v>
      </c>
      <c r="B4890">
        <v>64</v>
      </c>
      <c r="C4890" s="2" t="s">
        <v>177</v>
      </c>
      <c r="D4890">
        <v>64</v>
      </c>
    </row>
    <row r="4891" spans="1:4" hidden="1" x14ac:dyDescent="0.25">
      <c r="A4891" s="2" t="s">
        <v>82</v>
      </c>
      <c r="B4891">
        <v>64</v>
      </c>
      <c r="C4891" s="2" t="s">
        <v>178</v>
      </c>
      <c r="D4891">
        <v>64</v>
      </c>
    </row>
    <row r="4892" spans="1:4" hidden="1" x14ac:dyDescent="0.25">
      <c r="A4892" s="2" t="s">
        <v>82</v>
      </c>
      <c r="B4892">
        <v>64</v>
      </c>
      <c r="C4892" s="2" t="s">
        <v>179</v>
      </c>
      <c r="D4892">
        <v>64</v>
      </c>
    </row>
    <row r="4893" spans="1:4" hidden="1" x14ac:dyDescent="0.25">
      <c r="A4893" s="2" t="s">
        <v>88</v>
      </c>
      <c r="B4893">
        <v>64</v>
      </c>
      <c r="C4893" s="2" t="s">
        <v>183</v>
      </c>
      <c r="D4893">
        <v>13</v>
      </c>
    </row>
    <row r="4894" spans="1:4" hidden="1" x14ac:dyDescent="0.25">
      <c r="A4894" s="2" t="s">
        <v>88</v>
      </c>
      <c r="B4894">
        <v>64</v>
      </c>
      <c r="C4894" s="2" t="s">
        <v>184</v>
      </c>
      <c r="D4894">
        <v>14</v>
      </c>
    </row>
    <row r="4895" spans="1:4" hidden="1" x14ac:dyDescent="0.25">
      <c r="A4895" s="2" t="s">
        <v>88</v>
      </c>
      <c r="B4895">
        <v>64</v>
      </c>
      <c r="C4895" s="2" t="s">
        <v>185</v>
      </c>
      <c r="D4895">
        <v>24</v>
      </c>
    </row>
    <row r="4896" spans="1:4" hidden="1" x14ac:dyDescent="0.25">
      <c r="A4896" s="2" t="s">
        <v>88</v>
      </c>
      <c r="B4896">
        <v>64</v>
      </c>
      <c r="C4896" s="2" t="s">
        <v>186</v>
      </c>
      <c r="D4896">
        <v>9</v>
      </c>
    </row>
    <row r="4897" spans="1:4" hidden="1" x14ac:dyDescent="0.25">
      <c r="A4897" s="2" t="s">
        <v>88</v>
      </c>
      <c r="B4897">
        <v>64</v>
      </c>
      <c r="C4897" s="2" t="s">
        <v>187</v>
      </c>
      <c r="D4897">
        <v>9</v>
      </c>
    </row>
    <row r="4898" spans="1:4" hidden="1" x14ac:dyDescent="0.25">
      <c r="A4898" s="2" t="s">
        <v>88</v>
      </c>
      <c r="B4898">
        <v>64</v>
      </c>
      <c r="C4898" s="2" t="s">
        <v>188</v>
      </c>
      <c r="D4898">
        <v>23</v>
      </c>
    </row>
    <row r="4899" spans="1:4" hidden="1" x14ac:dyDescent="0.25">
      <c r="A4899" s="2" t="s">
        <v>88</v>
      </c>
      <c r="B4899">
        <v>64</v>
      </c>
      <c r="C4899" s="2" t="s">
        <v>189</v>
      </c>
      <c r="D4899">
        <v>37</v>
      </c>
    </row>
    <row r="4900" spans="1:4" hidden="1" x14ac:dyDescent="0.25">
      <c r="A4900" s="2" t="s">
        <v>88</v>
      </c>
      <c r="B4900">
        <v>64</v>
      </c>
      <c r="C4900" s="2" t="s">
        <v>190</v>
      </c>
      <c r="D4900">
        <v>27</v>
      </c>
    </row>
    <row r="4901" spans="1:4" hidden="1" x14ac:dyDescent="0.25">
      <c r="A4901" s="2" t="s">
        <v>88</v>
      </c>
      <c r="B4901">
        <v>64</v>
      </c>
      <c r="C4901" s="2" t="s">
        <v>191</v>
      </c>
      <c r="D4901">
        <v>41</v>
      </c>
    </row>
    <row r="4902" spans="1:4" hidden="1" x14ac:dyDescent="0.25">
      <c r="A4902" s="2" t="s">
        <v>88</v>
      </c>
      <c r="B4902">
        <v>64</v>
      </c>
      <c r="C4902" s="2" t="s">
        <v>116</v>
      </c>
      <c r="D4902">
        <v>42</v>
      </c>
    </row>
    <row r="4903" spans="1:4" hidden="1" x14ac:dyDescent="0.25">
      <c r="A4903" s="2" t="s">
        <v>88</v>
      </c>
      <c r="B4903">
        <v>64</v>
      </c>
      <c r="C4903" s="2" t="s">
        <v>117</v>
      </c>
      <c r="D4903">
        <v>40</v>
      </c>
    </row>
    <row r="4904" spans="1:4" hidden="1" x14ac:dyDescent="0.25">
      <c r="A4904" s="2" t="s">
        <v>88</v>
      </c>
      <c r="B4904">
        <v>64</v>
      </c>
      <c r="C4904" s="2" t="s">
        <v>118</v>
      </c>
      <c r="D4904">
        <v>50</v>
      </c>
    </row>
    <row r="4905" spans="1:4" hidden="1" x14ac:dyDescent="0.25">
      <c r="A4905" s="2" t="s">
        <v>88</v>
      </c>
      <c r="B4905">
        <v>64</v>
      </c>
      <c r="C4905" s="2" t="s">
        <v>119</v>
      </c>
      <c r="D4905">
        <v>51</v>
      </c>
    </row>
    <row r="4906" spans="1:4" hidden="1" x14ac:dyDescent="0.25">
      <c r="A4906" s="2" t="s">
        <v>88</v>
      </c>
      <c r="B4906">
        <v>64</v>
      </c>
      <c r="C4906" s="2" t="s">
        <v>120</v>
      </c>
      <c r="D4906">
        <v>59</v>
      </c>
    </row>
    <row r="4907" spans="1:4" hidden="1" x14ac:dyDescent="0.25">
      <c r="A4907" s="2" t="s">
        <v>88</v>
      </c>
      <c r="B4907">
        <v>64</v>
      </c>
      <c r="C4907" s="2" t="s">
        <v>121</v>
      </c>
      <c r="D4907">
        <v>55</v>
      </c>
    </row>
    <row r="4908" spans="1:4" hidden="1" x14ac:dyDescent="0.25">
      <c r="A4908" s="2" t="s">
        <v>88</v>
      </c>
      <c r="B4908">
        <v>64</v>
      </c>
      <c r="C4908" s="2" t="s">
        <v>122</v>
      </c>
      <c r="D4908">
        <v>63</v>
      </c>
    </row>
    <row r="4909" spans="1:4" hidden="1" x14ac:dyDescent="0.25">
      <c r="A4909" s="2" t="s">
        <v>88</v>
      </c>
      <c r="B4909">
        <v>64</v>
      </c>
      <c r="C4909" s="2" t="s">
        <v>123</v>
      </c>
      <c r="D4909">
        <v>68</v>
      </c>
    </row>
    <row r="4910" spans="1:4" hidden="1" x14ac:dyDescent="0.25">
      <c r="A4910" s="2" t="s">
        <v>88</v>
      </c>
      <c r="B4910">
        <v>64</v>
      </c>
      <c r="C4910" s="2" t="s">
        <v>124</v>
      </c>
      <c r="D4910">
        <v>63</v>
      </c>
    </row>
    <row r="4911" spans="1:4" hidden="1" x14ac:dyDescent="0.25">
      <c r="A4911" s="2" t="s">
        <v>88</v>
      </c>
      <c r="B4911">
        <v>64</v>
      </c>
      <c r="C4911" s="2" t="s">
        <v>125</v>
      </c>
      <c r="D4911">
        <v>57</v>
      </c>
    </row>
    <row r="4912" spans="1:4" hidden="1" x14ac:dyDescent="0.25">
      <c r="A4912" s="2" t="s">
        <v>88</v>
      </c>
      <c r="B4912">
        <v>64</v>
      </c>
      <c r="C4912" s="2" t="s">
        <v>126</v>
      </c>
      <c r="D4912">
        <v>55</v>
      </c>
    </row>
    <row r="4913" spans="1:4" hidden="1" x14ac:dyDescent="0.25">
      <c r="A4913" s="2" t="s">
        <v>88</v>
      </c>
      <c r="B4913">
        <v>64</v>
      </c>
      <c r="C4913" s="2" t="s">
        <v>127</v>
      </c>
      <c r="D4913">
        <v>56</v>
      </c>
    </row>
    <row r="4914" spans="1:4" hidden="1" x14ac:dyDescent="0.25">
      <c r="A4914" s="2" t="s">
        <v>88</v>
      </c>
      <c r="B4914">
        <v>64</v>
      </c>
      <c r="C4914" s="2" t="s">
        <v>128</v>
      </c>
      <c r="D4914">
        <v>62</v>
      </c>
    </row>
    <row r="4915" spans="1:4" hidden="1" x14ac:dyDescent="0.25">
      <c r="A4915" s="2" t="s">
        <v>88</v>
      </c>
      <c r="B4915">
        <v>64</v>
      </c>
      <c r="C4915" s="2" t="s">
        <v>129</v>
      </c>
      <c r="D4915">
        <v>62</v>
      </c>
    </row>
    <row r="4916" spans="1:4" hidden="1" x14ac:dyDescent="0.25">
      <c r="A4916" s="2" t="s">
        <v>88</v>
      </c>
      <c r="B4916">
        <v>64</v>
      </c>
      <c r="C4916" s="2" t="s">
        <v>130</v>
      </c>
      <c r="D4916">
        <v>69</v>
      </c>
    </row>
    <row r="4917" spans="1:4" hidden="1" x14ac:dyDescent="0.25">
      <c r="A4917" s="2" t="s">
        <v>88</v>
      </c>
      <c r="B4917">
        <v>64</v>
      </c>
      <c r="C4917" s="2" t="s">
        <v>131</v>
      </c>
      <c r="D4917">
        <v>76</v>
      </c>
    </row>
    <row r="4918" spans="1:4" hidden="1" x14ac:dyDescent="0.25">
      <c r="A4918" s="2" t="s">
        <v>88</v>
      </c>
      <c r="B4918">
        <v>64</v>
      </c>
      <c r="C4918" s="2" t="s">
        <v>132</v>
      </c>
      <c r="D4918">
        <v>81</v>
      </c>
    </row>
    <row r="4919" spans="1:4" hidden="1" x14ac:dyDescent="0.25">
      <c r="A4919" s="2" t="s">
        <v>88</v>
      </c>
      <c r="B4919">
        <v>64</v>
      </c>
      <c r="C4919" s="2" t="s">
        <v>133</v>
      </c>
      <c r="D4919">
        <v>81</v>
      </c>
    </row>
    <row r="4920" spans="1:4" hidden="1" x14ac:dyDescent="0.25">
      <c r="A4920" s="2" t="s">
        <v>88</v>
      </c>
      <c r="B4920">
        <v>64</v>
      </c>
      <c r="C4920" s="2" t="s">
        <v>134</v>
      </c>
      <c r="D4920">
        <v>81</v>
      </c>
    </row>
    <row r="4921" spans="1:4" hidden="1" x14ac:dyDescent="0.25">
      <c r="A4921" s="2" t="s">
        <v>88</v>
      </c>
      <c r="B4921">
        <v>64</v>
      </c>
      <c r="C4921" s="2" t="s">
        <v>135</v>
      </c>
      <c r="D4921">
        <v>64</v>
      </c>
    </row>
    <row r="4922" spans="1:4" hidden="1" x14ac:dyDescent="0.25">
      <c r="A4922" s="2" t="s">
        <v>88</v>
      </c>
      <c r="B4922">
        <v>64</v>
      </c>
      <c r="C4922" s="2" t="s">
        <v>136</v>
      </c>
      <c r="D4922">
        <v>64</v>
      </c>
    </row>
    <row r="4923" spans="1:4" hidden="1" x14ac:dyDescent="0.25">
      <c r="A4923" s="2" t="s">
        <v>88</v>
      </c>
      <c r="B4923">
        <v>64</v>
      </c>
      <c r="C4923" s="2" t="s">
        <v>137</v>
      </c>
      <c r="D4923">
        <v>64</v>
      </c>
    </row>
    <row r="4924" spans="1:4" hidden="1" x14ac:dyDescent="0.25">
      <c r="A4924" s="2" t="s">
        <v>88</v>
      </c>
      <c r="B4924">
        <v>64</v>
      </c>
      <c r="C4924" s="2" t="s">
        <v>138</v>
      </c>
      <c r="D4924">
        <v>64</v>
      </c>
    </row>
    <row r="4925" spans="1:4" hidden="1" x14ac:dyDescent="0.25">
      <c r="A4925" s="2" t="s">
        <v>88</v>
      </c>
      <c r="B4925">
        <v>64</v>
      </c>
      <c r="C4925" s="2" t="s">
        <v>139</v>
      </c>
      <c r="D4925">
        <v>64</v>
      </c>
    </row>
    <row r="4926" spans="1:4" hidden="1" x14ac:dyDescent="0.25">
      <c r="A4926" s="2" t="s">
        <v>88</v>
      </c>
      <c r="B4926">
        <v>64</v>
      </c>
      <c r="C4926" s="2" t="s">
        <v>140</v>
      </c>
      <c r="D4926">
        <v>64</v>
      </c>
    </row>
    <row r="4927" spans="1:4" hidden="1" x14ac:dyDescent="0.25">
      <c r="A4927" s="2" t="s">
        <v>88</v>
      </c>
      <c r="B4927">
        <v>64</v>
      </c>
      <c r="C4927" s="2" t="s">
        <v>141</v>
      </c>
      <c r="D4927">
        <v>64</v>
      </c>
    </row>
    <row r="4928" spans="1:4" hidden="1" x14ac:dyDescent="0.25">
      <c r="A4928" s="2" t="s">
        <v>88</v>
      </c>
      <c r="B4928">
        <v>64</v>
      </c>
      <c r="C4928" s="2" t="s">
        <v>142</v>
      </c>
      <c r="D4928">
        <v>64</v>
      </c>
    </row>
    <row r="4929" spans="1:4" hidden="1" x14ac:dyDescent="0.25">
      <c r="A4929" s="2" t="s">
        <v>88</v>
      </c>
      <c r="B4929">
        <v>64</v>
      </c>
      <c r="C4929" s="2" t="s">
        <v>143</v>
      </c>
      <c r="D4929">
        <v>64</v>
      </c>
    </row>
    <row r="4930" spans="1:4" hidden="1" x14ac:dyDescent="0.25">
      <c r="A4930" s="2" t="s">
        <v>88</v>
      </c>
      <c r="B4930">
        <v>64</v>
      </c>
      <c r="C4930" s="2" t="s">
        <v>144</v>
      </c>
      <c r="D4930">
        <v>64</v>
      </c>
    </row>
    <row r="4931" spans="1:4" hidden="1" x14ac:dyDescent="0.25">
      <c r="A4931" s="2" t="s">
        <v>88</v>
      </c>
      <c r="B4931">
        <v>64</v>
      </c>
      <c r="C4931" s="2" t="s">
        <v>145</v>
      </c>
      <c r="D4931">
        <v>64</v>
      </c>
    </row>
    <row r="4932" spans="1:4" hidden="1" x14ac:dyDescent="0.25">
      <c r="A4932" s="2" t="s">
        <v>88</v>
      </c>
      <c r="B4932">
        <v>64</v>
      </c>
      <c r="C4932" s="2" t="s">
        <v>146</v>
      </c>
      <c r="D4932">
        <v>64</v>
      </c>
    </row>
    <row r="4933" spans="1:4" hidden="1" x14ac:dyDescent="0.25">
      <c r="A4933" s="2" t="s">
        <v>88</v>
      </c>
      <c r="B4933">
        <v>64</v>
      </c>
      <c r="C4933" s="2" t="s">
        <v>147</v>
      </c>
      <c r="D4933">
        <v>64</v>
      </c>
    </row>
    <row r="4934" spans="1:4" hidden="1" x14ac:dyDescent="0.25">
      <c r="A4934" s="2" t="s">
        <v>88</v>
      </c>
      <c r="B4934">
        <v>64</v>
      </c>
      <c r="C4934" s="2" t="s">
        <v>148</v>
      </c>
      <c r="D4934">
        <v>64</v>
      </c>
    </row>
    <row r="4935" spans="1:4" hidden="1" x14ac:dyDescent="0.25">
      <c r="A4935" s="2" t="s">
        <v>88</v>
      </c>
      <c r="B4935">
        <v>64</v>
      </c>
      <c r="C4935" s="2" t="s">
        <v>149</v>
      </c>
      <c r="D4935">
        <v>64</v>
      </c>
    </row>
    <row r="4936" spans="1:4" hidden="1" x14ac:dyDescent="0.25">
      <c r="A4936" s="2" t="s">
        <v>88</v>
      </c>
      <c r="B4936">
        <v>64</v>
      </c>
      <c r="C4936" s="2" t="s">
        <v>150</v>
      </c>
      <c r="D4936">
        <v>64</v>
      </c>
    </row>
    <row r="4937" spans="1:4" hidden="1" x14ac:dyDescent="0.25">
      <c r="A4937" s="2" t="s">
        <v>88</v>
      </c>
      <c r="B4937">
        <v>64</v>
      </c>
      <c r="C4937" s="2" t="s">
        <v>151</v>
      </c>
      <c r="D4937">
        <v>64</v>
      </c>
    </row>
    <row r="4938" spans="1:4" hidden="1" x14ac:dyDescent="0.25">
      <c r="A4938" s="2" t="s">
        <v>88</v>
      </c>
      <c r="B4938">
        <v>64</v>
      </c>
      <c r="C4938" s="2" t="s">
        <v>152</v>
      </c>
      <c r="D4938">
        <v>64</v>
      </c>
    </row>
    <row r="4939" spans="1:4" hidden="1" x14ac:dyDescent="0.25">
      <c r="A4939" s="2" t="s">
        <v>88</v>
      </c>
      <c r="B4939">
        <v>64</v>
      </c>
      <c r="C4939" s="2" t="s">
        <v>153</v>
      </c>
      <c r="D4939">
        <v>64</v>
      </c>
    </row>
    <row r="4940" spans="1:4" hidden="1" x14ac:dyDescent="0.25">
      <c r="A4940" s="2" t="s">
        <v>88</v>
      </c>
      <c r="B4940">
        <v>64</v>
      </c>
      <c r="C4940" s="2" t="s">
        <v>154</v>
      </c>
      <c r="D4940">
        <v>64</v>
      </c>
    </row>
    <row r="4941" spans="1:4" hidden="1" x14ac:dyDescent="0.25">
      <c r="A4941" s="2" t="s">
        <v>88</v>
      </c>
      <c r="B4941">
        <v>64</v>
      </c>
      <c r="C4941" s="2" t="s">
        <v>155</v>
      </c>
      <c r="D4941">
        <v>64</v>
      </c>
    </row>
    <row r="4942" spans="1:4" hidden="1" x14ac:dyDescent="0.25">
      <c r="A4942" s="2" t="s">
        <v>88</v>
      </c>
      <c r="B4942">
        <v>64</v>
      </c>
      <c r="C4942" s="2" t="s">
        <v>156</v>
      </c>
      <c r="D4942">
        <v>64</v>
      </c>
    </row>
    <row r="4943" spans="1:4" hidden="1" x14ac:dyDescent="0.25">
      <c r="A4943" s="2" t="s">
        <v>88</v>
      </c>
      <c r="B4943">
        <v>64</v>
      </c>
      <c r="C4943" s="2" t="s">
        <v>157</v>
      </c>
      <c r="D4943">
        <v>64</v>
      </c>
    </row>
    <row r="4944" spans="1:4" hidden="1" x14ac:dyDescent="0.25">
      <c r="A4944" s="2" t="s">
        <v>88</v>
      </c>
      <c r="B4944">
        <v>64</v>
      </c>
      <c r="C4944" s="2" t="s">
        <v>158</v>
      </c>
      <c r="D4944">
        <v>64</v>
      </c>
    </row>
    <row r="4945" spans="1:4" hidden="1" x14ac:dyDescent="0.25">
      <c r="A4945" s="2" t="s">
        <v>88</v>
      </c>
      <c r="B4945">
        <v>64</v>
      </c>
      <c r="C4945" s="2" t="s">
        <v>159</v>
      </c>
      <c r="D4945">
        <v>64</v>
      </c>
    </row>
    <row r="4946" spans="1:4" hidden="1" x14ac:dyDescent="0.25">
      <c r="A4946" s="2" t="s">
        <v>88</v>
      </c>
      <c r="B4946">
        <v>64</v>
      </c>
      <c r="C4946" s="2" t="s">
        <v>160</v>
      </c>
      <c r="D4946">
        <v>64</v>
      </c>
    </row>
    <row r="4947" spans="1:4" hidden="1" x14ac:dyDescent="0.25">
      <c r="A4947" s="2" t="s">
        <v>88</v>
      </c>
      <c r="B4947">
        <v>64</v>
      </c>
      <c r="C4947" s="2" t="s">
        <v>161</v>
      </c>
      <c r="D4947">
        <v>64</v>
      </c>
    </row>
    <row r="4948" spans="1:4" hidden="1" x14ac:dyDescent="0.25">
      <c r="A4948" s="2" t="s">
        <v>88</v>
      </c>
      <c r="B4948">
        <v>64</v>
      </c>
      <c r="C4948" s="2" t="s">
        <v>162</v>
      </c>
      <c r="D4948">
        <v>64</v>
      </c>
    </row>
    <row r="4949" spans="1:4" hidden="1" x14ac:dyDescent="0.25">
      <c r="A4949" s="2" t="s">
        <v>88</v>
      </c>
      <c r="B4949">
        <v>64</v>
      </c>
      <c r="C4949" s="2" t="s">
        <v>163</v>
      </c>
      <c r="D4949">
        <v>64</v>
      </c>
    </row>
    <row r="4950" spans="1:4" hidden="1" x14ac:dyDescent="0.25">
      <c r="A4950" s="2" t="s">
        <v>88</v>
      </c>
      <c r="B4950">
        <v>64</v>
      </c>
      <c r="C4950" s="2" t="s">
        <v>164</v>
      </c>
      <c r="D4950">
        <v>64</v>
      </c>
    </row>
    <row r="4951" spans="1:4" hidden="1" x14ac:dyDescent="0.25">
      <c r="A4951" s="2" t="s">
        <v>88</v>
      </c>
      <c r="B4951">
        <v>64</v>
      </c>
      <c r="C4951" s="2" t="s">
        <v>165</v>
      </c>
      <c r="D4951">
        <v>64</v>
      </c>
    </row>
    <row r="4952" spans="1:4" hidden="1" x14ac:dyDescent="0.25">
      <c r="A4952" s="2" t="s">
        <v>88</v>
      </c>
      <c r="B4952">
        <v>64</v>
      </c>
      <c r="C4952" s="2" t="s">
        <v>166</v>
      </c>
      <c r="D4952">
        <v>64</v>
      </c>
    </row>
    <row r="4953" spans="1:4" hidden="1" x14ac:dyDescent="0.25">
      <c r="A4953" s="2" t="s">
        <v>88</v>
      </c>
      <c r="B4953">
        <v>64</v>
      </c>
      <c r="C4953" s="2" t="s">
        <v>167</v>
      </c>
      <c r="D4953">
        <v>64</v>
      </c>
    </row>
    <row r="4954" spans="1:4" hidden="1" x14ac:dyDescent="0.25">
      <c r="A4954" s="2" t="s">
        <v>88</v>
      </c>
      <c r="B4954">
        <v>64</v>
      </c>
      <c r="C4954" s="2" t="s">
        <v>168</v>
      </c>
      <c r="D4954">
        <v>64</v>
      </c>
    </row>
    <row r="4955" spans="1:4" hidden="1" x14ac:dyDescent="0.25">
      <c r="A4955" s="2" t="s">
        <v>88</v>
      </c>
      <c r="B4955">
        <v>64</v>
      </c>
      <c r="C4955" s="2" t="s">
        <v>169</v>
      </c>
      <c r="D4955">
        <v>64</v>
      </c>
    </row>
    <row r="4956" spans="1:4" hidden="1" x14ac:dyDescent="0.25">
      <c r="A4956" s="2" t="s">
        <v>88</v>
      </c>
      <c r="B4956">
        <v>64</v>
      </c>
      <c r="C4956" s="2" t="s">
        <v>170</v>
      </c>
      <c r="D4956">
        <v>64</v>
      </c>
    </row>
    <row r="4957" spans="1:4" hidden="1" x14ac:dyDescent="0.25">
      <c r="A4957" s="2" t="s">
        <v>88</v>
      </c>
      <c r="B4957">
        <v>64</v>
      </c>
      <c r="C4957" s="2" t="s">
        <v>171</v>
      </c>
      <c r="D4957">
        <v>64</v>
      </c>
    </row>
    <row r="4958" spans="1:4" hidden="1" x14ac:dyDescent="0.25">
      <c r="A4958" s="2" t="s">
        <v>88</v>
      </c>
      <c r="B4958">
        <v>64</v>
      </c>
      <c r="C4958" s="2" t="s">
        <v>172</v>
      </c>
      <c r="D4958">
        <v>64</v>
      </c>
    </row>
    <row r="4959" spans="1:4" hidden="1" x14ac:dyDescent="0.25">
      <c r="A4959" s="2" t="s">
        <v>88</v>
      </c>
      <c r="B4959">
        <v>64</v>
      </c>
      <c r="C4959" s="2" t="s">
        <v>173</v>
      </c>
      <c r="D4959">
        <v>64</v>
      </c>
    </row>
    <row r="4960" spans="1:4" hidden="1" x14ac:dyDescent="0.25">
      <c r="A4960" s="2" t="s">
        <v>88</v>
      </c>
      <c r="B4960">
        <v>64</v>
      </c>
      <c r="C4960" s="2" t="s">
        <v>174</v>
      </c>
      <c r="D4960">
        <v>64</v>
      </c>
    </row>
    <row r="4961" spans="1:4" hidden="1" x14ac:dyDescent="0.25">
      <c r="A4961" s="2" t="s">
        <v>88</v>
      </c>
      <c r="B4961">
        <v>64</v>
      </c>
      <c r="C4961" s="2" t="s">
        <v>175</v>
      </c>
      <c r="D4961">
        <v>64</v>
      </c>
    </row>
    <row r="4962" spans="1:4" hidden="1" x14ac:dyDescent="0.25">
      <c r="A4962" s="2" t="s">
        <v>88</v>
      </c>
      <c r="B4962">
        <v>64</v>
      </c>
      <c r="C4962" s="2" t="s">
        <v>176</v>
      </c>
      <c r="D4962">
        <v>64</v>
      </c>
    </row>
    <row r="4963" spans="1:4" hidden="1" x14ac:dyDescent="0.25">
      <c r="A4963" s="2" t="s">
        <v>88</v>
      </c>
      <c r="B4963">
        <v>64</v>
      </c>
      <c r="C4963" s="2" t="s">
        <v>177</v>
      </c>
      <c r="D4963">
        <v>64</v>
      </c>
    </row>
    <row r="4964" spans="1:4" hidden="1" x14ac:dyDescent="0.25">
      <c r="A4964" s="2" t="s">
        <v>88</v>
      </c>
      <c r="B4964">
        <v>64</v>
      </c>
      <c r="C4964" s="2" t="s">
        <v>178</v>
      </c>
      <c r="D4964">
        <v>64</v>
      </c>
    </row>
    <row r="4965" spans="1:4" hidden="1" x14ac:dyDescent="0.25">
      <c r="A4965" s="2" t="s">
        <v>88</v>
      </c>
      <c r="B4965">
        <v>64</v>
      </c>
      <c r="C4965" s="2" t="s">
        <v>179</v>
      </c>
      <c r="D4965">
        <v>64</v>
      </c>
    </row>
    <row r="4966" spans="1:4" hidden="1" x14ac:dyDescent="0.25">
      <c r="A4966" s="2" t="s">
        <v>32</v>
      </c>
      <c r="B4966">
        <v>69</v>
      </c>
      <c r="C4966" s="2" t="s">
        <v>183</v>
      </c>
      <c r="D4966">
        <v>13</v>
      </c>
    </row>
    <row r="4967" spans="1:4" hidden="1" x14ac:dyDescent="0.25">
      <c r="A4967" s="2" t="s">
        <v>32</v>
      </c>
      <c r="B4967">
        <v>69</v>
      </c>
      <c r="C4967" s="2" t="s">
        <v>184</v>
      </c>
      <c r="D4967">
        <v>14</v>
      </c>
    </row>
    <row r="4968" spans="1:4" hidden="1" x14ac:dyDescent="0.25">
      <c r="A4968" s="2" t="s">
        <v>32</v>
      </c>
      <c r="B4968">
        <v>69</v>
      </c>
      <c r="C4968" s="2" t="s">
        <v>185</v>
      </c>
      <c r="D4968">
        <v>52</v>
      </c>
    </row>
    <row r="4969" spans="1:4" hidden="1" x14ac:dyDescent="0.25">
      <c r="A4969" s="2" t="s">
        <v>32</v>
      </c>
      <c r="B4969">
        <v>69</v>
      </c>
      <c r="C4969" s="2" t="s">
        <v>186</v>
      </c>
      <c r="D4969">
        <v>77</v>
      </c>
    </row>
    <row r="4970" spans="1:4" hidden="1" x14ac:dyDescent="0.25">
      <c r="A4970" s="2" t="s">
        <v>32</v>
      </c>
      <c r="B4970">
        <v>69</v>
      </c>
      <c r="C4970" s="2" t="s">
        <v>187</v>
      </c>
      <c r="D4970">
        <v>79</v>
      </c>
    </row>
    <row r="4971" spans="1:4" hidden="1" x14ac:dyDescent="0.25">
      <c r="A4971" s="2" t="s">
        <v>32</v>
      </c>
      <c r="B4971">
        <v>69</v>
      </c>
      <c r="C4971" s="2" t="s">
        <v>188</v>
      </c>
      <c r="D4971">
        <v>77</v>
      </c>
    </row>
    <row r="4972" spans="1:4" hidden="1" x14ac:dyDescent="0.25">
      <c r="A4972" s="2" t="s">
        <v>32</v>
      </c>
      <c r="B4972">
        <v>69</v>
      </c>
      <c r="C4972" s="2" t="s">
        <v>189</v>
      </c>
      <c r="D4972">
        <v>82</v>
      </c>
    </row>
    <row r="4973" spans="1:4" hidden="1" x14ac:dyDescent="0.25">
      <c r="A4973" s="2" t="s">
        <v>32</v>
      </c>
      <c r="B4973">
        <v>69</v>
      </c>
      <c r="C4973" s="2" t="s">
        <v>190</v>
      </c>
      <c r="D4973">
        <v>80</v>
      </c>
    </row>
    <row r="4974" spans="1:4" hidden="1" x14ac:dyDescent="0.25">
      <c r="A4974" s="2" t="s">
        <v>32</v>
      </c>
      <c r="B4974">
        <v>69</v>
      </c>
      <c r="C4974" s="2" t="s">
        <v>191</v>
      </c>
      <c r="D4974">
        <v>85</v>
      </c>
    </row>
    <row r="4975" spans="1:4" hidden="1" x14ac:dyDescent="0.25">
      <c r="A4975" s="2" t="s">
        <v>32</v>
      </c>
      <c r="B4975">
        <v>69</v>
      </c>
      <c r="C4975" s="2" t="s">
        <v>116</v>
      </c>
      <c r="D4975">
        <v>86</v>
      </c>
    </row>
    <row r="4976" spans="1:4" hidden="1" x14ac:dyDescent="0.25">
      <c r="A4976" s="2" t="s">
        <v>32</v>
      </c>
      <c r="B4976">
        <v>69</v>
      </c>
      <c r="C4976" s="2" t="s">
        <v>117</v>
      </c>
      <c r="D4976">
        <v>82</v>
      </c>
    </row>
    <row r="4977" spans="1:4" hidden="1" x14ac:dyDescent="0.25">
      <c r="A4977" s="2" t="s">
        <v>32</v>
      </c>
      <c r="B4977">
        <v>69</v>
      </c>
      <c r="C4977" s="2" t="s">
        <v>118</v>
      </c>
      <c r="D4977">
        <v>81</v>
      </c>
    </row>
    <row r="4978" spans="1:4" hidden="1" x14ac:dyDescent="0.25">
      <c r="A4978" s="2" t="s">
        <v>32</v>
      </c>
      <c r="B4978">
        <v>69</v>
      </c>
      <c r="C4978" s="2" t="s">
        <v>119</v>
      </c>
      <c r="D4978">
        <v>98</v>
      </c>
    </row>
    <row r="4979" spans="1:4" hidden="1" x14ac:dyDescent="0.25">
      <c r="A4979" s="2" t="s">
        <v>32</v>
      </c>
      <c r="B4979">
        <v>69</v>
      </c>
      <c r="C4979" s="2" t="s">
        <v>120</v>
      </c>
      <c r="D4979">
        <v>100</v>
      </c>
    </row>
    <row r="4980" spans="1:4" hidden="1" x14ac:dyDescent="0.25">
      <c r="A4980" s="2" t="s">
        <v>32</v>
      </c>
      <c r="B4980">
        <v>69</v>
      </c>
      <c r="C4980" s="2" t="s">
        <v>121</v>
      </c>
      <c r="D4980">
        <v>100</v>
      </c>
    </row>
    <row r="4981" spans="1:4" hidden="1" x14ac:dyDescent="0.25">
      <c r="A4981" s="2" t="s">
        <v>32</v>
      </c>
      <c r="B4981">
        <v>69</v>
      </c>
      <c r="C4981" s="2" t="s">
        <v>122</v>
      </c>
      <c r="D4981">
        <v>98</v>
      </c>
    </row>
    <row r="4982" spans="1:4" hidden="1" x14ac:dyDescent="0.25">
      <c r="A4982" s="2" t="s">
        <v>32</v>
      </c>
      <c r="B4982">
        <v>69</v>
      </c>
      <c r="C4982" s="2" t="s">
        <v>123</v>
      </c>
      <c r="D4982">
        <v>104</v>
      </c>
    </row>
    <row r="4983" spans="1:4" hidden="1" x14ac:dyDescent="0.25">
      <c r="A4983" s="2" t="s">
        <v>32</v>
      </c>
      <c r="B4983">
        <v>69</v>
      </c>
      <c r="C4983" s="2" t="s">
        <v>124</v>
      </c>
      <c r="D4983">
        <v>104</v>
      </c>
    </row>
    <row r="4984" spans="1:4" hidden="1" x14ac:dyDescent="0.25">
      <c r="A4984" s="2" t="s">
        <v>32</v>
      </c>
      <c r="B4984">
        <v>69</v>
      </c>
      <c r="C4984" s="2" t="s">
        <v>125</v>
      </c>
      <c r="D4984">
        <v>95</v>
      </c>
    </row>
    <row r="4985" spans="1:4" hidden="1" x14ac:dyDescent="0.25">
      <c r="A4985" s="2" t="s">
        <v>32</v>
      </c>
      <c r="B4985">
        <v>69</v>
      </c>
      <c r="C4985" s="2" t="s">
        <v>126</v>
      </c>
      <c r="D4985">
        <v>98</v>
      </c>
    </row>
    <row r="4986" spans="1:4" hidden="1" x14ac:dyDescent="0.25">
      <c r="A4986" s="2" t="s">
        <v>32</v>
      </c>
      <c r="B4986">
        <v>69</v>
      </c>
      <c r="C4986" s="2" t="s">
        <v>127</v>
      </c>
      <c r="D4986">
        <v>100</v>
      </c>
    </row>
    <row r="4987" spans="1:4" hidden="1" x14ac:dyDescent="0.25">
      <c r="A4987" s="2" t="s">
        <v>32</v>
      </c>
      <c r="B4987">
        <v>69</v>
      </c>
      <c r="C4987" s="2" t="s">
        <v>128</v>
      </c>
      <c r="D4987">
        <v>93</v>
      </c>
    </row>
    <row r="4988" spans="1:4" hidden="1" x14ac:dyDescent="0.25">
      <c r="A4988" s="2" t="s">
        <v>32</v>
      </c>
      <c r="B4988">
        <v>69</v>
      </c>
      <c r="C4988" s="2" t="s">
        <v>129</v>
      </c>
      <c r="D4988">
        <v>89</v>
      </c>
    </row>
    <row r="4989" spans="1:4" hidden="1" x14ac:dyDescent="0.25">
      <c r="A4989" s="2" t="s">
        <v>32</v>
      </c>
      <c r="B4989">
        <v>69</v>
      </c>
      <c r="C4989" s="2" t="s">
        <v>130</v>
      </c>
      <c r="D4989">
        <v>83</v>
      </c>
    </row>
    <row r="4990" spans="1:4" hidden="1" x14ac:dyDescent="0.25">
      <c r="A4990" s="2" t="s">
        <v>32</v>
      </c>
      <c r="B4990">
        <v>69</v>
      </c>
      <c r="C4990" s="2" t="s">
        <v>131</v>
      </c>
      <c r="D4990">
        <v>79</v>
      </c>
    </row>
    <row r="4991" spans="1:4" hidden="1" x14ac:dyDescent="0.25">
      <c r="A4991" s="2" t="s">
        <v>32</v>
      </c>
      <c r="B4991">
        <v>69</v>
      </c>
      <c r="C4991" s="2" t="s">
        <v>132</v>
      </c>
      <c r="D4991">
        <v>59</v>
      </c>
    </row>
    <row r="4992" spans="1:4" hidden="1" x14ac:dyDescent="0.25">
      <c r="A4992" s="2" t="s">
        <v>32</v>
      </c>
      <c r="B4992">
        <v>69</v>
      </c>
      <c r="C4992" s="2" t="s">
        <v>133</v>
      </c>
      <c r="D4992">
        <v>59</v>
      </c>
    </row>
    <row r="4993" spans="1:4" hidden="1" x14ac:dyDescent="0.25">
      <c r="A4993" s="2" t="s">
        <v>32</v>
      </c>
      <c r="B4993">
        <v>69</v>
      </c>
      <c r="C4993" s="2" t="s">
        <v>134</v>
      </c>
      <c r="D4993">
        <v>60</v>
      </c>
    </row>
    <row r="4994" spans="1:4" hidden="1" x14ac:dyDescent="0.25">
      <c r="A4994" s="2" t="s">
        <v>32</v>
      </c>
      <c r="B4994">
        <v>69</v>
      </c>
      <c r="C4994" s="2" t="s">
        <v>135</v>
      </c>
      <c r="D4994">
        <v>69</v>
      </c>
    </row>
    <row r="4995" spans="1:4" hidden="1" x14ac:dyDescent="0.25">
      <c r="A4995" s="2" t="s">
        <v>32</v>
      </c>
      <c r="B4995">
        <v>69</v>
      </c>
      <c r="C4995" s="2" t="s">
        <v>136</v>
      </c>
      <c r="D4995">
        <v>69</v>
      </c>
    </row>
    <row r="4996" spans="1:4" hidden="1" x14ac:dyDescent="0.25">
      <c r="A4996" s="2" t="s">
        <v>32</v>
      </c>
      <c r="B4996">
        <v>69</v>
      </c>
      <c r="C4996" s="2" t="s">
        <v>137</v>
      </c>
      <c r="D4996">
        <v>69</v>
      </c>
    </row>
    <row r="4997" spans="1:4" hidden="1" x14ac:dyDescent="0.25">
      <c r="A4997" s="2" t="s">
        <v>32</v>
      </c>
      <c r="B4997">
        <v>69</v>
      </c>
      <c r="C4997" s="2" t="s">
        <v>138</v>
      </c>
      <c r="D4997">
        <v>69</v>
      </c>
    </row>
    <row r="4998" spans="1:4" hidden="1" x14ac:dyDescent="0.25">
      <c r="A4998" s="2" t="s">
        <v>32</v>
      </c>
      <c r="B4998">
        <v>69</v>
      </c>
      <c r="C4998" s="2" t="s">
        <v>139</v>
      </c>
      <c r="D4998">
        <v>69</v>
      </c>
    </row>
    <row r="4999" spans="1:4" hidden="1" x14ac:dyDescent="0.25">
      <c r="A4999" s="2" t="s">
        <v>32</v>
      </c>
      <c r="B4999">
        <v>69</v>
      </c>
      <c r="C4999" s="2" t="s">
        <v>140</v>
      </c>
      <c r="D4999">
        <v>69</v>
      </c>
    </row>
    <row r="5000" spans="1:4" hidden="1" x14ac:dyDescent="0.25">
      <c r="A5000" s="2" t="s">
        <v>32</v>
      </c>
      <c r="B5000">
        <v>69</v>
      </c>
      <c r="C5000" s="2" t="s">
        <v>141</v>
      </c>
      <c r="D5000">
        <v>69</v>
      </c>
    </row>
    <row r="5001" spans="1:4" hidden="1" x14ac:dyDescent="0.25">
      <c r="A5001" s="2" t="s">
        <v>32</v>
      </c>
      <c r="B5001">
        <v>69</v>
      </c>
      <c r="C5001" s="2" t="s">
        <v>142</v>
      </c>
      <c r="D5001">
        <v>69</v>
      </c>
    </row>
    <row r="5002" spans="1:4" hidden="1" x14ac:dyDescent="0.25">
      <c r="A5002" s="2" t="s">
        <v>32</v>
      </c>
      <c r="B5002">
        <v>69</v>
      </c>
      <c r="C5002" s="2" t="s">
        <v>143</v>
      </c>
      <c r="D5002">
        <v>69</v>
      </c>
    </row>
    <row r="5003" spans="1:4" hidden="1" x14ac:dyDescent="0.25">
      <c r="A5003" s="2" t="s">
        <v>32</v>
      </c>
      <c r="B5003">
        <v>69</v>
      </c>
      <c r="C5003" s="2" t="s">
        <v>144</v>
      </c>
      <c r="D5003">
        <v>69</v>
      </c>
    </row>
    <row r="5004" spans="1:4" hidden="1" x14ac:dyDescent="0.25">
      <c r="A5004" s="2" t="s">
        <v>32</v>
      </c>
      <c r="B5004">
        <v>69</v>
      </c>
      <c r="C5004" s="2" t="s">
        <v>145</v>
      </c>
      <c r="D5004">
        <v>69</v>
      </c>
    </row>
    <row r="5005" spans="1:4" hidden="1" x14ac:dyDescent="0.25">
      <c r="A5005" s="2" t="s">
        <v>32</v>
      </c>
      <c r="B5005">
        <v>69</v>
      </c>
      <c r="C5005" s="2" t="s">
        <v>146</v>
      </c>
      <c r="D5005">
        <v>69</v>
      </c>
    </row>
    <row r="5006" spans="1:4" hidden="1" x14ac:dyDescent="0.25">
      <c r="A5006" s="2" t="s">
        <v>32</v>
      </c>
      <c r="B5006">
        <v>69</v>
      </c>
      <c r="C5006" s="2" t="s">
        <v>147</v>
      </c>
      <c r="D5006">
        <v>69</v>
      </c>
    </row>
    <row r="5007" spans="1:4" hidden="1" x14ac:dyDescent="0.25">
      <c r="A5007" s="2" t="s">
        <v>32</v>
      </c>
      <c r="B5007">
        <v>69</v>
      </c>
      <c r="C5007" s="2" t="s">
        <v>148</v>
      </c>
      <c r="D5007">
        <v>69</v>
      </c>
    </row>
    <row r="5008" spans="1:4" hidden="1" x14ac:dyDescent="0.25">
      <c r="A5008" s="2" t="s">
        <v>32</v>
      </c>
      <c r="B5008">
        <v>69</v>
      </c>
      <c r="C5008" s="2" t="s">
        <v>149</v>
      </c>
      <c r="D5008">
        <v>69</v>
      </c>
    </row>
    <row r="5009" spans="1:4" hidden="1" x14ac:dyDescent="0.25">
      <c r="A5009" s="2" t="s">
        <v>32</v>
      </c>
      <c r="B5009">
        <v>69</v>
      </c>
      <c r="C5009" s="2" t="s">
        <v>150</v>
      </c>
      <c r="D5009">
        <v>69</v>
      </c>
    </row>
    <row r="5010" spans="1:4" hidden="1" x14ac:dyDescent="0.25">
      <c r="A5010" s="2" t="s">
        <v>32</v>
      </c>
      <c r="B5010">
        <v>69</v>
      </c>
      <c r="C5010" s="2" t="s">
        <v>151</v>
      </c>
      <c r="D5010">
        <v>69</v>
      </c>
    </row>
    <row r="5011" spans="1:4" hidden="1" x14ac:dyDescent="0.25">
      <c r="A5011" s="2" t="s">
        <v>32</v>
      </c>
      <c r="B5011">
        <v>69</v>
      </c>
      <c r="C5011" s="2" t="s">
        <v>152</v>
      </c>
      <c r="D5011">
        <v>69</v>
      </c>
    </row>
    <row r="5012" spans="1:4" hidden="1" x14ac:dyDescent="0.25">
      <c r="A5012" s="2" t="s">
        <v>32</v>
      </c>
      <c r="B5012">
        <v>69</v>
      </c>
      <c r="C5012" s="2" t="s">
        <v>153</v>
      </c>
      <c r="D5012">
        <v>69</v>
      </c>
    </row>
    <row r="5013" spans="1:4" hidden="1" x14ac:dyDescent="0.25">
      <c r="A5013" s="2" t="s">
        <v>32</v>
      </c>
      <c r="B5013">
        <v>69</v>
      </c>
      <c r="C5013" s="2" t="s">
        <v>154</v>
      </c>
      <c r="D5013">
        <v>69</v>
      </c>
    </row>
    <row r="5014" spans="1:4" hidden="1" x14ac:dyDescent="0.25">
      <c r="A5014" s="2" t="s">
        <v>32</v>
      </c>
      <c r="B5014">
        <v>69</v>
      </c>
      <c r="C5014" s="2" t="s">
        <v>155</v>
      </c>
      <c r="D5014">
        <v>69</v>
      </c>
    </row>
    <row r="5015" spans="1:4" hidden="1" x14ac:dyDescent="0.25">
      <c r="A5015" s="2" t="s">
        <v>32</v>
      </c>
      <c r="B5015">
        <v>69</v>
      </c>
      <c r="C5015" s="2" t="s">
        <v>156</v>
      </c>
      <c r="D5015">
        <v>69</v>
      </c>
    </row>
    <row r="5016" spans="1:4" hidden="1" x14ac:dyDescent="0.25">
      <c r="A5016" s="2" t="s">
        <v>32</v>
      </c>
      <c r="B5016">
        <v>69</v>
      </c>
      <c r="C5016" s="2" t="s">
        <v>157</v>
      </c>
      <c r="D5016">
        <v>69</v>
      </c>
    </row>
    <row r="5017" spans="1:4" hidden="1" x14ac:dyDescent="0.25">
      <c r="A5017" s="2" t="s">
        <v>32</v>
      </c>
      <c r="B5017">
        <v>69</v>
      </c>
      <c r="C5017" s="2" t="s">
        <v>158</v>
      </c>
      <c r="D5017">
        <v>69</v>
      </c>
    </row>
    <row r="5018" spans="1:4" hidden="1" x14ac:dyDescent="0.25">
      <c r="A5018" s="2" t="s">
        <v>32</v>
      </c>
      <c r="B5018">
        <v>69</v>
      </c>
      <c r="C5018" s="2" t="s">
        <v>159</v>
      </c>
      <c r="D5018">
        <v>69</v>
      </c>
    </row>
    <row r="5019" spans="1:4" hidden="1" x14ac:dyDescent="0.25">
      <c r="A5019" s="2" t="s">
        <v>32</v>
      </c>
      <c r="B5019">
        <v>69</v>
      </c>
      <c r="C5019" s="2" t="s">
        <v>160</v>
      </c>
      <c r="D5019">
        <v>69</v>
      </c>
    </row>
    <row r="5020" spans="1:4" hidden="1" x14ac:dyDescent="0.25">
      <c r="A5020" s="2" t="s">
        <v>32</v>
      </c>
      <c r="B5020">
        <v>69</v>
      </c>
      <c r="C5020" s="2" t="s">
        <v>161</v>
      </c>
      <c r="D5020">
        <v>69</v>
      </c>
    </row>
    <row r="5021" spans="1:4" hidden="1" x14ac:dyDescent="0.25">
      <c r="A5021" s="2" t="s">
        <v>32</v>
      </c>
      <c r="B5021">
        <v>69</v>
      </c>
      <c r="C5021" s="2" t="s">
        <v>162</v>
      </c>
      <c r="D5021">
        <v>69</v>
      </c>
    </row>
    <row r="5022" spans="1:4" hidden="1" x14ac:dyDescent="0.25">
      <c r="A5022" s="2" t="s">
        <v>32</v>
      </c>
      <c r="B5022">
        <v>69</v>
      </c>
      <c r="C5022" s="2" t="s">
        <v>163</v>
      </c>
      <c r="D5022">
        <v>69</v>
      </c>
    </row>
    <row r="5023" spans="1:4" hidden="1" x14ac:dyDescent="0.25">
      <c r="A5023" s="2" t="s">
        <v>32</v>
      </c>
      <c r="B5023">
        <v>69</v>
      </c>
      <c r="C5023" s="2" t="s">
        <v>164</v>
      </c>
      <c r="D5023">
        <v>69</v>
      </c>
    </row>
    <row r="5024" spans="1:4" hidden="1" x14ac:dyDescent="0.25">
      <c r="A5024" s="2" t="s">
        <v>32</v>
      </c>
      <c r="B5024">
        <v>69</v>
      </c>
      <c r="C5024" s="2" t="s">
        <v>165</v>
      </c>
      <c r="D5024">
        <v>69</v>
      </c>
    </row>
    <row r="5025" spans="1:4" hidden="1" x14ac:dyDescent="0.25">
      <c r="A5025" s="2" t="s">
        <v>32</v>
      </c>
      <c r="B5025">
        <v>69</v>
      </c>
      <c r="C5025" s="2" t="s">
        <v>166</v>
      </c>
      <c r="D5025">
        <v>69</v>
      </c>
    </row>
    <row r="5026" spans="1:4" hidden="1" x14ac:dyDescent="0.25">
      <c r="A5026" s="2" t="s">
        <v>32</v>
      </c>
      <c r="B5026">
        <v>69</v>
      </c>
      <c r="C5026" s="2" t="s">
        <v>167</v>
      </c>
      <c r="D5026">
        <v>69</v>
      </c>
    </row>
    <row r="5027" spans="1:4" hidden="1" x14ac:dyDescent="0.25">
      <c r="A5027" s="2" t="s">
        <v>32</v>
      </c>
      <c r="B5027">
        <v>69</v>
      </c>
      <c r="C5027" s="2" t="s">
        <v>168</v>
      </c>
      <c r="D5027">
        <v>69</v>
      </c>
    </row>
    <row r="5028" spans="1:4" hidden="1" x14ac:dyDescent="0.25">
      <c r="A5028" s="2" t="s">
        <v>32</v>
      </c>
      <c r="B5028">
        <v>69</v>
      </c>
      <c r="C5028" s="2" t="s">
        <v>169</v>
      </c>
      <c r="D5028">
        <v>69</v>
      </c>
    </row>
    <row r="5029" spans="1:4" hidden="1" x14ac:dyDescent="0.25">
      <c r="A5029" s="2" t="s">
        <v>32</v>
      </c>
      <c r="B5029">
        <v>69</v>
      </c>
      <c r="C5029" s="2" t="s">
        <v>170</v>
      </c>
      <c r="D5029">
        <v>69</v>
      </c>
    </row>
    <row r="5030" spans="1:4" hidden="1" x14ac:dyDescent="0.25">
      <c r="A5030" s="2" t="s">
        <v>32</v>
      </c>
      <c r="B5030">
        <v>69</v>
      </c>
      <c r="C5030" s="2" t="s">
        <v>171</v>
      </c>
      <c r="D5030">
        <v>69</v>
      </c>
    </row>
    <row r="5031" spans="1:4" hidden="1" x14ac:dyDescent="0.25">
      <c r="A5031" s="2" t="s">
        <v>32</v>
      </c>
      <c r="B5031">
        <v>69</v>
      </c>
      <c r="C5031" s="2" t="s">
        <v>172</v>
      </c>
      <c r="D5031">
        <v>69</v>
      </c>
    </row>
    <row r="5032" spans="1:4" hidden="1" x14ac:dyDescent="0.25">
      <c r="A5032" s="2" t="s">
        <v>32</v>
      </c>
      <c r="B5032">
        <v>69</v>
      </c>
      <c r="C5032" s="2" t="s">
        <v>173</v>
      </c>
      <c r="D5032">
        <v>69</v>
      </c>
    </row>
    <row r="5033" spans="1:4" hidden="1" x14ac:dyDescent="0.25">
      <c r="A5033" s="2" t="s">
        <v>32</v>
      </c>
      <c r="B5033">
        <v>69</v>
      </c>
      <c r="C5033" s="2" t="s">
        <v>174</v>
      </c>
      <c r="D5033">
        <v>69</v>
      </c>
    </row>
    <row r="5034" spans="1:4" hidden="1" x14ac:dyDescent="0.25">
      <c r="A5034" s="2" t="s">
        <v>32</v>
      </c>
      <c r="B5034">
        <v>69</v>
      </c>
      <c r="C5034" s="2" t="s">
        <v>175</v>
      </c>
      <c r="D5034">
        <v>69</v>
      </c>
    </row>
    <row r="5035" spans="1:4" hidden="1" x14ac:dyDescent="0.25">
      <c r="A5035" s="2" t="s">
        <v>32</v>
      </c>
      <c r="B5035">
        <v>69</v>
      </c>
      <c r="C5035" s="2" t="s">
        <v>176</v>
      </c>
      <c r="D5035">
        <v>69</v>
      </c>
    </row>
    <row r="5036" spans="1:4" hidden="1" x14ac:dyDescent="0.25">
      <c r="A5036" s="2" t="s">
        <v>32</v>
      </c>
      <c r="B5036">
        <v>69</v>
      </c>
      <c r="C5036" s="2" t="s">
        <v>177</v>
      </c>
      <c r="D5036">
        <v>69</v>
      </c>
    </row>
    <row r="5037" spans="1:4" hidden="1" x14ac:dyDescent="0.25">
      <c r="A5037" s="2" t="s">
        <v>32</v>
      </c>
      <c r="B5037">
        <v>69</v>
      </c>
      <c r="C5037" s="2" t="s">
        <v>178</v>
      </c>
      <c r="D5037">
        <v>69</v>
      </c>
    </row>
    <row r="5038" spans="1:4" hidden="1" x14ac:dyDescent="0.25">
      <c r="A5038" s="2" t="s">
        <v>32</v>
      </c>
      <c r="B5038">
        <v>69</v>
      </c>
      <c r="C5038" s="2" t="s">
        <v>179</v>
      </c>
      <c r="D5038">
        <v>69</v>
      </c>
    </row>
    <row r="5039" spans="1:4" hidden="1" x14ac:dyDescent="0.25">
      <c r="A5039" s="2" t="s">
        <v>22</v>
      </c>
      <c r="B5039">
        <v>70</v>
      </c>
      <c r="C5039" s="2" t="s">
        <v>183</v>
      </c>
      <c r="D5039">
        <v>78</v>
      </c>
    </row>
    <row r="5040" spans="1:4" hidden="1" x14ac:dyDescent="0.25">
      <c r="A5040" s="2" t="s">
        <v>22</v>
      </c>
      <c r="B5040">
        <v>70</v>
      </c>
      <c r="C5040" s="2" t="s">
        <v>184</v>
      </c>
      <c r="D5040">
        <v>77</v>
      </c>
    </row>
    <row r="5041" spans="1:4" hidden="1" x14ac:dyDescent="0.25">
      <c r="A5041" s="2" t="s">
        <v>22</v>
      </c>
      <c r="B5041">
        <v>70</v>
      </c>
      <c r="C5041" s="2" t="s">
        <v>185</v>
      </c>
      <c r="D5041">
        <v>82</v>
      </c>
    </row>
    <row r="5042" spans="1:4" hidden="1" x14ac:dyDescent="0.25">
      <c r="A5042" s="2" t="s">
        <v>22</v>
      </c>
      <c r="B5042">
        <v>70</v>
      </c>
      <c r="C5042" s="2" t="s">
        <v>186</v>
      </c>
      <c r="D5042">
        <v>98</v>
      </c>
    </row>
    <row r="5043" spans="1:4" hidden="1" x14ac:dyDescent="0.25">
      <c r="A5043" s="2" t="s">
        <v>22</v>
      </c>
      <c r="B5043">
        <v>70</v>
      </c>
      <c r="C5043" s="2" t="s">
        <v>187</v>
      </c>
      <c r="D5043">
        <v>98</v>
      </c>
    </row>
    <row r="5044" spans="1:4" hidden="1" x14ac:dyDescent="0.25">
      <c r="A5044" s="2" t="s">
        <v>22</v>
      </c>
      <c r="B5044">
        <v>70</v>
      </c>
      <c r="C5044" s="2" t="s">
        <v>188</v>
      </c>
      <c r="D5044">
        <v>100</v>
      </c>
    </row>
    <row r="5045" spans="1:4" hidden="1" x14ac:dyDescent="0.25">
      <c r="A5045" s="2" t="s">
        <v>22</v>
      </c>
      <c r="B5045">
        <v>70</v>
      </c>
      <c r="C5045" s="2" t="s">
        <v>189</v>
      </c>
      <c r="D5045">
        <v>103</v>
      </c>
    </row>
    <row r="5046" spans="1:4" hidden="1" x14ac:dyDescent="0.25">
      <c r="A5046" s="2" t="s">
        <v>22</v>
      </c>
      <c r="B5046">
        <v>70</v>
      </c>
      <c r="C5046" s="2" t="s">
        <v>190</v>
      </c>
      <c r="D5046">
        <v>102</v>
      </c>
    </row>
    <row r="5047" spans="1:4" hidden="1" x14ac:dyDescent="0.25">
      <c r="A5047" s="2" t="s">
        <v>22</v>
      </c>
      <c r="B5047">
        <v>70</v>
      </c>
      <c r="C5047" s="2" t="s">
        <v>191</v>
      </c>
      <c r="D5047">
        <v>102</v>
      </c>
    </row>
    <row r="5048" spans="1:4" hidden="1" x14ac:dyDescent="0.25">
      <c r="A5048" s="2" t="s">
        <v>22</v>
      </c>
      <c r="B5048">
        <v>70</v>
      </c>
      <c r="C5048" s="2" t="s">
        <v>116</v>
      </c>
      <c r="D5048">
        <v>103</v>
      </c>
    </row>
    <row r="5049" spans="1:4" hidden="1" x14ac:dyDescent="0.25">
      <c r="A5049" s="2" t="s">
        <v>22</v>
      </c>
      <c r="B5049">
        <v>70</v>
      </c>
      <c r="C5049" s="2" t="s">
        <v>117</v>
      </c>
      <c r="D5049">
        <v>99</v>
      </c>
    </row>
    <row r="5050" spans="1:4" hidden="1" x14ac:dyDescent="0.25">
      <c r="A5050" s="2" t="s">
        <v>22</v>
      </c>
      <c r="B5050">
        <v>70</v>
      </c>
      <c r="C5050" s="2" t="s">
        <v>118</v>
      </c>
      <c r="D5050">
        <v>98</v>
      </c>
    </row>
    <row r="5051" spans="1:4" hidden="1" x14ac:dyDescent="0.25">
      <c r="A5051" s="2" t="s">
        <v>22</v>
      </c>
      <c r="B5051">
        <v>70</v>
      </c>
      <c r="C5051" s="2" t="s">
        <v>119</v>
      </c>
      <c r="D5051">
        <v>80</v>
      </c>
    </row>
    <row r="5052" spans="1:4" hidden="1" x14ac:dyDescent="0.25">
      <c r="A5052" s="2" t="s">
        <v>22</v>
      </c>
      <c r="B5052">
        <v>70</v>
      </c>
      <c r="C5052" s="2" t="s">
        <v>120</v>
      </c>
      <c r="D5052">
        <v>83</v>
      </c>
    </row>
    <row r="5053" spans="1:4" hidden="1" x14ac:dyDescent="0.25">
      <c r="A5053" s="2" t="s">
        <v>22</v>
      </c>
      <c r="B5053">
        <v>70</v>
      </c>
      <c r="C5053" s="2" t="s">
        <v>121</v>
      </c>
      <c r="D5053">
        <v>81</v>
      </c>
    </row>
    <row r="5054" spans="1:4" hidden="1" x14ac:dyDescent="0.25">
      <c r="A5054" s="2" t="s">
        <v>22</v>
      </c>
      <c r="B5054">
        <v>70</v>
      </c>
      <c r="C5054" s="2" t="s">
        <v>122</v>
      </c>
      <c r="D5054">
        <v>84</v>
      </c>
    </row>
    <row r="5055" spans="1:4" hidden="1" x14ac:dyDescent="0.25">
      <c r="A5055" s="2" t="s">
        <v>22</v>
      </c>
      <c r="B5055">
        <v>70</v>
      </c>
      <c r="C5055" s="2" t="s">
        <v>123</v>
      </c>
      <c r="D5055">
        <v>87</v>
      </c>
    </row>
    <row r="5056" spans="1:4" hidden="1" x14ac:dyDescent="0.25">
      <c r="A5056" s="2" t="s">
        <v>22</v>
      </c>
      <c r="B5056">
        <v>70</v>
      </c>
      <c r="C5056" s="2" t="s">
        <v>124</v>
      </c>
      <c r="D5056">
        <v>70</v>
      </c>
    </row>
    <row r="5057" spans="1:4" hidden="1" x14ac:dyDescent="0.25">
      <c r="A5057" s="2" t="s">
        <v>22</v>
      </c>
      <c r="B5057">
        <v>70</v>
      </c>
      <c r="C5057" s="2" t="s">
        <v>125</v>
      </c>
      <c r="D5057">
        <v>67</v>
      </c>
    </row>
    <row r="5058" spans="1:4" hidden="1" x14ac:dyDescent="0.25">
      <c r="A5058" s="2" t="s">
        <v>22</v>
      </c>
      <c r="B5058">
        <v>70</v>
      </c>
      <c r="C5058" s="2" t="s">
        <v>126</v>
      </c>
      <c r="D5058">
        <v>67</v>
      </c>
    </row>
    <row r="5059" spans="1:4" hidden="1" x14ac:dyDescent="0.25">
      <c r="A5059" s="2" t="s">
        <v>22</v>
      </c>
      <c r="B5059">
        <v>70</v>
      </c>
      <c r="C5059" s="2" t="s">
        <v>127</v>
      </c>
      <c r="D5059">
        <v>73</v>
      </c>
    </row>
    <row r="5060" spans="1:4" hidden="1" x14ac:dyDescent="0.25">
      <c r="A5060" s="2" t="s">
        <v>22</v>
      </c>
      <c r="B5060">
        <v>70</v>
      </c>
      <c r="C5060" s="2" t="s">
        <v>128</v>
      </c>
      <c r="D5060">
        <v>75</v>
      </c>
    </row>
    <row r="5061" spans="1:4" hidden="1" x14ac:dyDescent="0.25">
      <c r="A5061" s="2" t="s">
        <v>22</v>
      </c>
      <c r="B5061">
        <v>70</v>
      </c>
      <c r="C5061" s="2" t="s">
        <v>129</v>
      </c>
      <c r="D5061">
        <v>77</v>
      </c>
    </row>
    <row r="5062" spans="1:4" hidden="1" x14ac:dyDescent="0.25">
      <c r="A5062" s="2" t="s">
        <v>22</v>
      </c>
      <c r="B5062">
        <v>70</v>
      </c>
      <c r="C5062" s="2" t="s">
        <v>130</v>
      </c>
      <c r="D5062">
        <v>64</v>
      </c>
    </row>
    <row r="5063" spans="1:4" hidden="1" x14ac:dyDescent="0.25">
      <c r="A5063" s="2" t="s">
        <v>22</v>
      </c>
      <c r="B5063">
        <v>70</v>
      </c>
      <c r="C5063" s="2" t="s">
        <v>131</v>
      </c>
      <c r="D5063">
        <v>66</v>
      </c>
    </row>
    <row r="5064" spans="1:4" hidden="1" x14ac:dyDescent="0.25">
      <c r="A5064" s="2" t="s">
        <v>22</v>
      </c>
      <c r="B5064">
        <v>70</v>
      </c>
      <c r="C5064" s="2" t="s">
        <v>132</v>
      </c>
      <c r="D5064">
        <v>72</v>
      </c>
    </row>
    <row r="5065" spans="1:4" hidden="1" x14ac:dyDescent="0.25">
      <c r="A5065" s="2" t="s">
        <v>22</v>
      </c>
      <c r="B5065">
        <v>70</v>
      </c>
      <c r="C5065" s="2" t="s">
        <v>133</v>
      </c>
      <c r="D5065">
        <v>72</v>
      </c>
    </row>
    <row r="5066" spans="1:4" hidden="1" x14ac:dyDescent="0.25">
      <c r="A5066" s="2" t="s">
        <v>22</v>
      </c>
      <c r="B5066">
        <v>70</v>
      </c>
      <c r="C5066" s="2" t="s">
        <v>134</v>
      </c>
      <c r="D5066">
        <v>71</v>
      </c>
    </row>
    <row r="5067" spans="1:4" hidden="1" x14ac:dyDescent="0.25">
      <c r="A5067" s="2" t="s">
        <v>22</v>
      </c>
      <c r="B5067">
        <v>70</v>
      </c>
      <c r="C5067" s="2" t="s">
        <v>135</v>
      </c>
      <c r="D5067">
        <v>70</v>
      </c>
    </row>
    <row r="5068" spans="1:4" hidden="1" x14ac:dyDescent="0.25">
      <c r="A5068" s="2" t="s">
        <v>22</v>
      </c>
      <c r="B5068">
        <v>70</v>
      </c>
      <c r="C5068" s="2" t="s">
        <v>136</v>
      </c>
      <c r="D5068">
        <v>70</v>
      </c>
    </row>
    <row r="5069" spans="1:4" hidden="1" x14ac:dyDescent="0.25">
      <c r="A5069" s="2" t="s">
        <v>22</v>
      </c>
      <c r="B5069">
        <v>70</v>
      </c>
      <c r="C5069" s="2" t="s">
        <v>137</v>
      </c>
      <c r="D5069">
        <v>70</v>
      </c>
    </row>
    <row r="5070" spans="1:4" hidden="1" x14ac:dyDescent="0.25">
      <c r="A5070" s="2" t="s">
        <v>22</v>
      </c>
      <c r="B5070">
        <v>70</v>
      </c>
      <c r="C5070" s="2" t="s">
        <v>138</v>
      </c>
      <c r="D5070">
        <v>70</v>
      </c>
    </row>
    <row r="5071" spans="1:4" hidden="1" x14ac:dyDescent="0.25">
      <c r="A5071" s="2" t="s">
        <v>22</v>
      </c>
      <c r="B5071">
        <v>70</v>
      </c>
      <c r="C5071" s="2" t="s">
        <v>139</v>
      </c>
      <c r="D5071">
        <v>70</v>
      </c>
    </row>
    <row r="5072" spans="1:4" hidden="1" x14ac:dyDescent="0.25">
      <c r="A5072" s="2" t="s">
        <v>22</v>
      </c>
      <c r="B5072">
        <v>70</v>
      </c>
      <c r="C5072" s="2" t="s">
        <v>140</v>
      </c>
      <c r="D5072">
        <v>70</v>
      </c>
    </row>
    <row r="5073" spans="1:4" hidden="1" x14ac:dyDescent="0.25">
      <c r="A5073" s="2" t="s">
        <v>22</v>
      </c>
      <c r="B5073">
        <v>70</v>
      </c>
      <c r="C5073" s="2" t="s">
        <v>141</v>
      </c>
      <c r="D5073">
        <v>70</v>
      </c>
    </row>
    <row r="5074" spans="1:4" hidden="1" x14ac:dyDescent="0.25">
      <c r="A5074" s="2" t="s">
        <v>22</v>
      </c>
      <c r="B5074">
        <v>70</v>
      </c>
      <c r="C5074" s="2" t="s">
        <v>142</v>
      </c>
      <c r="D5074">
        <v>70</v>
      </c>
    </row>
    <row r="5075" spans="1:4" hidden="1" x14ac:dyDescent="0.25">
      <c r="A5075" s="2" t="s">
        <v>22</v>
      </c>
      <c r="B5075">
        <v>70</v>
      </c>
      <c r="C5075" s="2" t="s">
        <v>143</v>
      </c>
      <c r="D5075">
        <v>70</v>
      </c>
    </row>
    <row r="5076" spans="1:4" hidden="1" x14ac:dyDescent="0.25">
      <c r="A5076" s="2" t="s">
        <v>22</v>
      </c>
      <c r="B5076">
        <v>70</v>
      </c>
      <c r="C5076" s="2" t="s">
        <v>144</v>
      </c>
      <c r="D5076">
        <v>70</v>
      </c>
    </row>
    <row r="5077" spans="1:4" hidden="1" x14ac:dyDescent="0.25">
      <c r="A5077" s="2" t="s">
        <v>22</v>
      </c>
      <c r="B5077">
        <v>70</v>
      </c>
      <c r="C5077" s="2" t="s">
        <v>145</v>
      </c>
      <c r="D5077">
        <v>70</v>
      </c>
    </row>
    <row r="5078" spans="1:4" hidden="1" x14ac:dyDescent="0.25">
      <c r="A5078" s="2" t="s">
        <v>22</v>
      </c>
      <c r="B5078">
        <v>70</v>
      </c>
      <c r="C5078" s="2" t="s">
        <v>146</v>
      </c>
      <c r="D5078">
        <v>70</v>
      </c>
    </row>
    <row r="5079" spans="1:4" hidden="1" x14ac:dyDescent="0.25">
      <c r="A5079" s="2" t="s">
        <v>22</v>
      </c>
      <c r="B5079">
        <v>70</v>
      </c>
      <c r="C5079" s="2" t="s">
        <v>147</v>
      </c>
      <c r="D5079">
        <v>70</v>
      </c>
    </row>
    <row r="5080" spans="1:4" hidden="1" x14ac:dyDescent="0.25">
      <c r="A5080" s="2" t="s">
        <v>22</v>
      </c>
      <c r="B5080">
        <v>70</v>
      </c>
      <c r="C5080" s="2" t="s">
        <v>148</v>
      </c>
      <c r="D5080">
        <v>70</v>
      </c>
    </row>
    <row r="5081" spans="1:4" hidden="1" x14ac:dyDescent="0.25">
      <c r="A5081" s="2" t="s">
        <v>22</v>
      </c>
      <c r="B5081">
        <v>70</v>
      </c>
      <c r="C5081" s="2" t="s">
        <v>149</v>
      </c>
      <c r="D5081">
        <v>70</v>
      </c>
    </row>
    <row r="5082" spans="1:4" hidden="1" x14ac:dyDescent="0.25">
      <c r="A5082" s="2" t="s">
        <v>22</v>
      </c>
      <c r="B5082">
        <v>70</v>
      </c>
      <c r="C5082" s="2" t="s">
        <v>150</v>
      </c>
      <c r="D5082">
        <v>70</v>
      </c>
    </row>
    <row r="5083" spans="1:4" hidden="1" x14ac:dyDescent="0.25">
      <c r="A5083" s="2" t="s">
        <v>22</v>
      </c>
      <c r="B5083">
        <v>70</v>
      </c>
      <c r="C5083" s="2" t="s">
        <v>151</v>
      </c>
      <c r="D5083">
        <v>70</v>
      </c>
    </row>
    <row r="5084" spans="1:4" hidden="1" x14ac:dyDescent="0.25">
      <c r="A5084" s="2" t="s">
        <v>22</v>
      </c>
      <c r="B5084">
        <v>70</v>
      </c>
      <c r="C5084" s="2" t="s">
        <v>152</v>
      </c>
      <c r="D5084">
        <v>70</v>
      </c>
    </row>
    <row r="5085" spans="1:4" hidden="1" x14ac:dyDescent="0.25">
      <c r="A5085" s="2" t="s">
        <v>22</v>
      </c>
      <c r="B5085">
        <v>70</v>
      </c>
      <c r="C5085" s="2" t="s">
        <v>153</v>
      </c>
      <c r="D5085">
        <v>70</v>
      </c>
    </row>
    <row r="5086" spans="1:4" hidden="1" x14ac:dyDescent="0.25">
      <c r="A5086" s="2" t="s">
        <v>22</v>
      </c>
      <c r="B5086">
        <v>70</v>
      </c>
      <c r="C5086" s="2" t="s">
        <v>154</v>
      </c>
      <c r="D5086">
        <v>70</v>
      </c>
    </row>
    <row r="5087" spans="1:4" hidden="1" x14ac:dyDescent="0.25">
      <c r="A5087" s="2" t="s">
        <v>22</v>
      </c>
      <c r="B5087">
        <v>70</v>
      </c>
      <c r="C5087" s="2" t="s">
        <v>155</v>
      </c>
      <c r="D5087">
        <v>70</v>
      </c>
    </row>
    <row r="5088" spans="1:4" hidden="1" x14ac:dyDescent="0.25">
      <c r="A5088" s="2" t="s">
        <v>22</v>
      </c>
      <c r="B5088">
        <v>70</v>
      </c>
      <c r="C5088" s="2" t="s">
        <v>156</v>
      </c>
      <c r="D5088">
        <v>70</v>
      </c>
    </row>
    <row r="5089" spans="1:4" hidden="1" x14ac:dyDescent="0.25">
      <c r="A5089" s="2" t="s">
        <v>22</v>
      </c>
      <c r="B5089">
        <v>70</v>
      </c>
      <c r="C5089" s="2" t="s">
        <v>157</v>
      </c>
      <c r="D5089">
        <v>70</v>
      </c>
    </row>
    <row r="5090" spans="1:4" hidden="1" x14ac:dyDescent="0.25">
      <c r="A5090" s="2" t="s">
        <v>22</v>
      </c>
      <c r="B5090">
        <v>70</v>
      </c>
      <c r="C5090" s="2" t="s">
        <v>158</v>
      </c>
      <c r="D5090">
        <v>70</v>
      </c>
    </row>
    <row r="5091" spans="1:4" hidden="1" x14ac:dyDescent="0.25">
      <c r="A5091" s="2" t="s">
        <v>22</v>
      </c>
      <c r="B5091">
        <v>70</v>
      </c>
      <c r="C5091" s="2" t="s">
        <v>159</v>
      </c>
      <c r="D5091">
        <v>70</v>
      </c>
    </row>
    <row r="5092" spans="1:4" hidden="1" x14ac:dyDescent="0.25">
      <c r="A5092" s="2" t="s">
        <v>22</v>
      </c>
      <c r="B5092">
        <v>70</v>
      </c>
      <c r="C5092" s="2" t="s">
        <v>160</v>
      </c>
      <c r="D5092">
        <v>70</v>
      </c>
    </row>
    <row r="5093" spans="1:4" hidden="1" x14ac:dyDescent="0.25">
      <c r="A5093" s="2" t="s">
        <v>22</v>
      </c>
      <c r="B5093">
        <v>70</v>
      </c>
      <c r="C5093" s="2" t="s">
        <v>161</v>
      </c>
      <c r="D5093">
        <v>70</v>
      </c>
    </row>
    <row r="5094" spans="1:4" hidden="1" x14ac:dyDescent="0.25">
      <c r="A5094" s="2" t="s">
        <v>22</v>
      </c>
      <c r="B5094">
        <v>70</v>
      </c>
      <c r="C5094" s="2" t="s">
        <v>162</v>
      </c>
      <c r="D5094">
        <v>70</v>
      </c>
    </row>
    <row r="5095" spans="1:4" hidden="1" x14ac:dyDescent="0.25">
      <c r="A5095" s="2" t="s">
        <v>22</v>
      </c>
      <c r="B5095">
        <v>70</v>
      </c>
      <c r="C5095" s="2" t="s">
        <v>163</v>
      </c>
      <c r="D5095">
        <v>70</v>
      </c>
    </row>
    <row r="5096" spans="1:4" hidden="1" x14ac:dyDescent="0.25">
      <c r="A5096" s="2" t="s">
        <v>22</v>
      </c>
      <c r="B5096">
        <v>70</v>
      </c>
      <c r="C5096" s="2" t="s">
        <v>164</v>
      </c>
      <c r="D5096">
        <v>70</v>
      </c>
    </row>
    <row r="5097" spans="1:4" hidden="1" x14ac:dyDescent="0.25">
      <c r="A5097" s="2" t="s">
        <v>22</v>
      </c>
      <c r="B5097">
        <v>70</v>
      </c>
      <c r="C5097" s="2" t="s">
        <v>165</v>
      </c>
      <c r="D5097">
        <v>70</v>
      </c>
    </row>
    <row r="5098" spans="1:4" hidden="1" x14ac:dyDescent="0.25">
      <c r="A5098" s="2" t="s">
        <v>22</v>
      </c>
      <c r="B5098">
        <v>70</v>
      </c>
      <c r="C5098" s="2" t="s">
        <v>166</v>
      </c>
      <c r="D5098">
        <v>70</v>
      </c>
    </row>
    <row r="5099" spans="1:4" hidden="1" x14ac:dyDescent="0.25">
      <c r="A5099" s="2" t="s">
        <v>22</v>
      </c>
      <c r="B5099">
        <v>70</v>
      </c>
      <c r="C5099" s="2" t="s">
        <v>167</v>
      </c>
      <c r="D5099">
        <v>70</v>
      </c>
    </row>
    <row r="5100" spans="1:4" hidden="1" x14ac:dyDescent="0.25">
      <c r="A5100" s="2" t="s">
        <v>22</v>
      </c>
      <c r="B5100">
        <v>70</v>
      </c>
      <c r="C5100" s="2" t="s">
        <v>168</v>
      </c>
      <c r="D5100">
        <v>70</v>
      </c>
    </row>
    <row r="5101" spans="1:4" hidden="1" x14ac:dyDescent="0.25">
      <c r="A5101" s="2" t="s">
        <v>22</v>
      </c>
      <c r="B5101">
        <v>70</v>
      </c>
      <c r="C5101" s="2" t="s">
        <v>169</v>
      </c>
      <c r="D5101">
        <v>70</v>
      </c>
    </row>
    <row r="5102" spans="1:4" hidden="1" x14ac:dyDescent="0.25">
      <c r="A5102" s="2" t="s">
        <v>22</v>
      </c>
      <c r="B5102">
        <v>70</v>
      </c>
      <c r="C5102" s="2" t="s">
        <v>170</v>
      </c>
      <c r="D5102">
        <v>70</v>
      </c>
    </row>
    <row r="5103" spans="1:4" hidden="1" x14ac:dyDescent="0.25">
      <c r="A5103" s="2" t="s">
        <v>22</v>
      </c>
      <c r="B5103">
        <v>70</v>
      </c>
      <c r="C5103" s="2" t="s">
        <v>171</v>
      </c>
      <c r="D5103">
        <v>70</v>
      </c>
    </row>
    <row r="5104" spans="1:4" hidden="1" x14ac:dyDescent="0.25">
      <c r="A5104" s="2" t="s">
        <v>22</v>
      </c>
      <c r="B5104">
        <v>70</v>
      </c>
      <c r="C5104" s="2" t="s">
        <v>172</v>
      </c>
      <c r="D5104">
        <v>70</v>
      </c>
    </row>
    <row r="5105" spans="1:4" hidden="1" x14ac:dyDescent="0.25">
      <c r="A5105" s="2" t="s">
        <v>22</v>
      </c>
      <c r="B5105">
        <v>70</v>
      </c>
      <c r="C5105" s="2" t="s">
        <v>173</v>
      </c>
      <c r="D5105">
        <v>70</v>
      </c>
    </row>
    <row r="5106" spans="1:4" hidden="1" x14ac:dyDescent="0.25">
      <c r="A5106" s="2" t="s">
        <v>22</v>
      </c>
      <c r="B5106">
        <v>70</v>
      </c>
      <c r="C5106" s="2" t="s">
        <v>174</v>
      </c>
      <c r="D5106">
        <v>70</v>
      </c>
    </row>
    <row r="5107" spans="1:4" hidden="1" x14ac:dyDescent="0.25">
      <c r="A5107" s="2" t="s">
        <v>22</v>
      </c>
      <c r="B5107">
        <v>70</v>
      </c>
      <c r="C5107" s="2" t="s">
        <v>175</v>
      </c>
      <c r="D5107">
        <v>70</v>
      </c>
    </row>
    <row r="5108" spans="1:4" hidden="1" x14ac:dyDescent="0.25">
      <c r="A5108" s="2" t="s">
        <v>22</v>
      </c>
      <c r="B5108">
        <v>70</v>
      </c>
      <c r="C5108" s="2" t="s">
        <v>176</v>
      </c>
      <c r="D5108">
        <v>70</v>
      </c>
    </row>
    <row r="5109" spans="1:4" hidden="1" x14ac:dyDescent="0.25">
      <c r="A5109" s="2" t="s">
        <v>22</v>
      </c>
      <c r="B5109">
        <v>70</v>
      </c>
      <c r="C5109" s="2" t="s">
        <v>177</v>
      </c>
      <c r="D5109">
        <v>70</v>
      </c>
    </row>
    <row r="5110" spans="1:4" hidden="1" x14ac:dyDescent="0.25">
      <c r="A5110" s="2" t="s">
        <v>22</v>
      </c>
      <c r="B5110">
        <v>70</v>
      </c>
      <c r="C5110" s="2" t="s">
        <v>178</v>
      </c>
      <c r="D5110">
        <v>70</v>
      </c>
    </row>
    <row r="5111" spans="1:4" hidden="1" x14ac:dyDescent="0.25">
      <c r="A5111" s="2" t="s">
        <v>22</v>
      </c>
      <c r="B5111">
        <v>70</v>
      </c>
      <c r="C5111" s="2" t="s">
        <v>179</v>
      </c>
      <c r="D5111">
        <v>70</v>
      </c>
    </row>
    <row r="5112" spans="1:4" hidden="1" x14ac:dyDescent="0.25">
      <c r="A5112" s="2" t="s">
        <v>4</v>
      </c>
      <c r="B5112">
        <v>71</v>
      </c>
      <c r="C5112" s="2" t="s">
        <v>183</v>
      </c>
      <c r="D5112">
        <v>65</v>
      </c>
    </row>
    <row r="5113" spans="1:4" hidden="1" x14ac:dyDescent="0.25">
      <c r="A5113" s="2" t="s">
        <v>4</v>
      </c>
      <c r="B5113">
        <v>71</v>
      </c>
      <c r="C5113" s="2" t="s">
        <v>184</v>
      </c>
      <c r="D5113">
        <v>62</v>
      </c>
    </row>
    <row r="5114" spans="1:4" hidden="1" x14ac:dyDescent="0.25">
      <c r="A5114" s="2" t="s">
        <v>4</v>
      </c>
      <c r="B5114">
        <v>71</v>
      </c>
      <c r="C5114" s="2" t="s">
        <v>185</v>
      </c>
      <c r="D5114">
        <v>110</v>
      </c>
    </row>
    <row r="5115" spans="1:4" hidden="1" x14ac:dyDescent="0.25">
      <c r="A5115" s="2" t="s">
        <v>4</v>
      </c>
      <c r="B5115">
        <v>71</v>
      </c>
      <c r="C5115" s="2" t="s">
        <v>186</v>
      </c>
      <c r="D5115">
        <v>113</v>
      </c>
    </row>
    <row r="5116" spans="1:4" hidden="1" x14ac:dyDescent="0.25">
      <c r="A5116" s="2" t="s">
        <v>4</v>
      </c>
      <c r="B5116">
        <v>71</v>
      </c>
      <c r="C5116" s="2" t="s">
        <v>187</v>
      </c>
      <c r="D5116">
        <v>113</v>
      </c>
    </row>
    <row r="5117" spans="1:4" hidden="1" x14ac:dyDescent="0.25">
      <c r="A5117" s="2" t="s">
        <v>4</v>
      </c>
      <c r="B5117">
        <v>71</v>
      </c>
      <c r="C5117" s="2" t="s">
        <v>188</v>
      </c>
      <c r="D5117">
        <v>113</v>
      </c>
    </row>
    <row r="5118" spans="1:4" hidden="1" x14ac:dyDescent="0.25">
      <c r="A5118" s="2" t="s">
        <v>4</v>
      </c>
      <c r="B5118">
        <v>71</v>
      </c>
      <c r="C5118" s="2" t="s">
        <v>189</v>
      </c>
      <c r="D5118">
        <v>108</v>
      </c>
    </row>
    <row r="5119" spans="1:4" hidden="1" x14ac:dyDescent="0.25">
      <c r="A5119" s="2" t="s">
        <v>4</v>
      </c>
      <c r="B5119">
        <v>71</v>
      </c>
      <c r="C5119" s="2" t="s">
        <v>190</v>
      </c>
      <c r="D5119">
        <v>112</v>
      </c>
    </row>
    <row r="5120" spans="1:4" hidden="1" x14ac:dyDescent="0.25">
      <c r="A5120" s="2" t="s">
        <v>4</v>
      </c>
      <c r="B5120">
        <v>71</v>
      </c>
      <c r="C5120" s="2" t="s">
        <v>191</v>
      </c>
      <c r="D5120">
        <v>112</v>
      </c>
    </row>
    <row r="5121" spans="1:4" hidden="1" x14ac:dyDescent="0.25">
      <c r="A5121" s="2" t="s">
        <v>4</v>
      </c>
      <c r="B5121">
        <v>71</v>
      </c>
      <c r="C5121" s="2" t="s">
        <v>116</v>
      </c>
      <c r="D5121">
        <v>113</v>
      </c>
    </row>
    <row r="5122" spans="1:4" hidden="1" x14ac:dyDescent="0.25">
      <c r="A5122" s="2" t="s">
        <v>4</v>
      </c>
      <c r="B5122">
        <v>71</v>
      </c>
      <c r="C5122" s="2" t="s">
        <v>117</v>
      </c>
      <c r="D5122">
        <v>113</v>
      </c>
    </row>
    <row r="5123" spans="1:4" hidden="1" x14ac:dyDescent="0.25">
      <c r="A5123" s="2" t="s">
        <v>4</v>
      </c>
      <c r="B5123">
        <v>71</v>
      </c>
      <c r="C5123" s="2" t="s">
        <v>118</v>
      </c>
      <c r="D5123">
        <v>110</v>
      </c>
    </row>
    <row r="5124" spans="1:4" hidden="1" x14ac:dyDescent="0.25">
      <c r="A5124" s="2" t="s">
        <v>4</v>
      </c>
      <c r="B5124">
        <v>71</v>
      </c>
      <c r="C5124" s="2" t="s">
        <v>119</v>
      </c>
      <c r="D5124">
        <v>112</v>
      </c>
    </row>
    <row r="5125" spans="1:4" hidden="1" x14ac:dyDescent="0.25">
      <c r="A5125" s="2" t="s">
        <v>4</v>
      </c>
      <c r="B5125">
        <v>71</v>
      </c>
      <c r="C5125" s="2" t="s">
        <v>120</v>
      </c>
      <c r="D5125">
        <v>114</v>
      </c>
    </row>
    <row r="5126" spans="1:4" hidden="1" x14ac:dyDescent="0.25">
      <c r="A5126" s="2" t="s">
        <v>4</v>
      </c>
      <c r="B5126">
        <v>71</v>
      </c>
      <c r="C5126" s="2" t="s">
        <v>121</v>
      </c>
      <c r="D5126">
        <v>114</v>
      </c>
    </row>
    <row r="5127" spans="1:4" hidden="1" x14ac:dyDescent="0.25">
      <c r="A5127" s="2" t="s">
        <v>4</v>
      </c>
      <c r="B5127">
        <v>71</v>
      </c>
      <c r="C5127" s="2" t="s">
        <v>122</v>
      </c>
      <c r="D5127">
        <v>113</v>
      </c>
    </row>
    <row r="5128" spans="1:4" hidden="1" x14ac:dyDescent="0.25">
      <c r="A5128" s="2" t="s">
        <v>4</v>
      </c>
      <c r="B5128">
        <v>71</v>
      </c>
      <c r="C5128" s="2" t="s">
        <v>123</v>
      </c>
      <c r="D5128">
        <v>111</v>
      </c>
    </row>
    <row r="5129" spans="1:4" hidden="1" x14ac:dyDescent="0.25">
      <c r="A5129" s="2" t="s">
        <v>4</v>
      </c>
      <c r="B5129">
        <v>71</v>
      </c>
      <c r="C5129" s="2" t="s">
        <v>124</v>
      </c>
      <c r="D5129">
        <v>111</v>
      </c>
    </row>
    <row r="5130" spans="1:4" hidden="1" x14ac:dyDescent="0.25">
      <c r="A5130" s="2" t="s">
        <v>4</v>
      </c>
      <c r="B5130">
        <v>71</v>
      </c>
      <c r="C5130" s="2" t="s">
        <v>125</v>
      </c>
      <c r="D5130">
        <v>110</v>
      </c>
    </row>
    <row r="5131" spans="1:4" hidden="1" x14ac:dyDescent="0.25">
      <c r="A5131" s="2" t="s">
        <v>4</v>
      </c>
      <c r="B5131">
        <v>71</v>
      </c>
      <c r="C5131" s="2" t="s">
        <v>126</v>
      </c>
      <c r="D5131">
        <v>110</v>
      </c>
    </row>
    <row r="5132" spans="1:4" hidden="1" x14ac:dyDescent="0.25">
      <c r="A5132" s="2" t="s">
        <v>4</v>
      </c>
      <c r="B5132">
        <v>71</v>
      </c>
      <c r="C5132" s="2" t="s">
        <v>127</v>
      </c>
      <c r="D5132">
        <v>100</v>
      </c>
    </row>
    <row r="5133" spans="1:4" hidden="1" x14ac:dyDescent="0.25">
      <c r="A5133" s="2" t="s">
        <v>4</v>
      </c>
      <c r="B5133">
        <v>71</v>
      </c>
      <c r="C5133" s="2" t="s">
        <v>128</v>
      </c>
      <c r="D5133">
        <v>78</v>
      </c>
    </row>
    <row r="5134" spans="1:4" hidden="1" x14ac:dyDescent="0.25">
      <c r="A5134" s="2" t="s">
        <v>4</v>
      </c>
      <c r="B5134">
        <v>71</v>
      </c>
      <c r="C5134" s="2" t="s">
        <v>129</v>
      </c>
      <c r="D5134">
        <v>98</v>
      </c>
    </row>
    <row r="5135" spans="1:4" hidden="1" x14ac:dyDescent="0.25">
      <c r="A5135" s="2" t="s">
        <v>4</v>
      </c>
      <c r="B5135">
        <v>71</v>
      </c>
      <c r="C5135" s="2" t="s">
        <v>130</v>
      </c>
      <c r="D5135">
        <v>80</v>
      </c>
    </row>
    <row r="5136" spans="1:4" hidden="1" x14ac:dyDescent="0.25">
      <c r="A5136" s="2" t="s">
        <v>4</v>
      </c>
      <c r="B5136">
        <v>71</v>
      </c>
      <c r="C5136" s="2" t="s">
        <v>131</v>
      </c>
      <c r="D5136">
        <v>96</v>
      </c>
    </row>
    <row r="5137" spans="1:4" hidden="1" x14ac:dyDescent="0.25">
      <c r="A5137" s="2" t="s">
        <v>4</v>
      </c>
      <c r="B5137">
        <v>71</v>
      </c>
      <c r="C5137" s="2" t="s">
        <v>132</v>
      </c>
      <c r="D5137">
        <v>85</v>
      </c>
    </row>
    <row r="5138" spans="1:4" hidden="1" x14ac:dyDescent="0.25">
      <c r="A5138" s="2" t="s">
        <v>4</v>
      </c>
      <c r="B5138">
        <v>71</v>
      </c>
      <c r="C5138" s="2" t="s">
        <v>133</v>
      </c>
      <c r="D5138">
        <v>85</v>
      </c>
    </row>
    <row r="5139" spans="1:4" hidden="1" x14ac:dyDescent="0.25">
      <c r="A5139" s="2" t="s">
        <v>4</v>
      </c>
      <c r="B5139">
        <v>71</v>
      </c>
      <c r="C5139" s="2" t="s">
        <v>134</v>
      </c>
      <c r="D5139">
        <v>88</v>
      </c>
    </row>
    <row r="5140" spans="1:4" hidden="1" x14ac:dyDescent="0.25">
      <c r="A5140" s="2" t="s">
        <v>4</v>
      </c>
      <c r="B5140">
        <v>71</v>
      </c>
      <c r="C5140" s="2" t="s">
        <v>135</v>
      </c>
      <c r="D5140">
        <v>71</v>
      </c>
    </row>
    <row r="5141" spans="1:4" hidden="1" x14ac:dyDescent="0.25">
      <c r="A5141" s="2" t="s">
        <v>4</v>
      </c>
      <c r="B5141">
        <v>71</v>
      </c>
      <c r="C5141" s="2" t="s">
        <v>136</v>
      </c>
      <c r="D5141">
        <v>71</v>
      </c>
    </row>
    <row r="5142" spans="1:4" hidden="1" x14ac:dyDescent="0.25">
      <c r="A5142" s="2" t="s">
        <v>4</v>
      </c>
      <c r="B5142">
        <v>71</v>
      </c>
      <c r="C5142" s="2" t="s">
        <v>137</v>
      </c>
      <c r="D5142">
        <v>71</v>
      </c>
    </row>
    <row r="5143" spans="1:4" hidden="1" x14ac:dyDescent="0.25">
      <c r="A5143" s="2" t="s">
        <v>4</v>
      </c>
      <c r="B5143">
        <v>71</v>
      </c>
      <c r="C5143" s="2" t="s">
        <v>138</v>
      </c>
      <c r="D5143">
        <v>71</v>
      </c>
    </row>
    <row r="5144" spans="1:4" hidden="1" x14ac:dyDescent="0.25">
      <c r="A5144" s="2" t="s">
        <v>4</v>
      </c>
      <c r="B5144">
        <v>71</v>
      </c>
      <c r="C5144" s="2" t="s">
        <v>139</v>
      </c>
      <c r="D5144">
        <v>71</v>
      </c>
    </row>
    <row r="5145" spans="1:4" hidden="1" x14ac:dyDescent="0.25">
      <c r="A5145" s="2" t="s">
        <v>4</v>
      </c>
      <c r="B5145">
        <v>71</v>
      </c>
      <c r="C5145" s="2" t="s">
        <v>140</v>
      </c>
      <c r="D5145">
        <v>71</v>
      </c>
    </row>
    <row r="5146" spans="1:4" hidden="1" x14ac:dyDescent="0.25">
      <c r="A5146" s="2" t="s">
        <v>4</v>
      </c>
      <c r="B5146">
        <v>71</v>
      </c>
      <c r="C5146" s="2" t="s">
        <v>141</v>
      </c>
      <c r="D5146">
        <v>71</v>
      </c>
    </row>
    <row r="5147" spans="1:4" hidden="1" x14ac:dyDescent="0.25">
      <c r="A5147" s="2" t="s">
        <v>4</v>
      </c>
      <c r="B5147">
        <v>71</v>
      </c>
      <c r="C5147" s="2" t="s">
        <v>142</v>
      </c>
      <c r="D5147">
        <v>71</v>
      </c>
    </row>
    <row r="5148" spans="1:4" hidden="1" x14ac:dyDescent="0.25">
      <c r="A5148" s="2" t="s">
        <v>4</v>
      </c>
      <c r="B5148">
        <v>71</v>
      </c>
      <c r="C5148" s="2" t="s">
        <v>143</v>
      </c>
      <c r="D5148">
        <v>71</v>
      </c>
    </row>
    <row r="5149" spans="1:4" hidden="1" x14ac:dyDescent="0.25">
      <c r="A5149" s="2" t="s">
        <v>4</v>
      </c>
      <c r="B5149">
        <v>71</v>
      </c>
      <c r="C5149" s="2" t="s">
        <v>144</v>
      </c>
      <c r="D5149">
        <v>71</v>
      </c>
    </row>
    <row r="5150" spans="1:4" hidden="1" x14ac:dyDescent="0.25">
      <c r="A5150" s="2" t="s">
        <v>4</v>
      </c>
      <c r="B5150">
        <v>71</v>
      </c>
      <c r="C5150" s="2" t="s">
        <v>145</v>
      </c>
      <c r="D5150">
        <v>71</v>
      </c>
    </row>
    <row r="5151" spans="1:4" hidden="1" x14ac:dyDescent="0.25">
      <c r="A5151" s="2" t="s">
        <v>4</v>
      </c>
      <c r="B5151">
        <v>71</v>
      </c>
      <c r="C5151" s="2" t="s">
        <v>146</v>
      </c>
      <c r="D5151">
        <v>71</v>
      </c>
    </row>
    <row r="5152" spans="1:4" hidden="1" x14ac:dyDescent="0.25">
      <c r="A5152" s="2" t="s">
        <v>4</v>
      </c>
      <c r="B5152">
        <v>71</v>
      </c>
      <c r="C5152" s="2" t="s">
        <v>147</v>
      </c>
      <c r="D5152">
        <v>71</v>
      </c>
    </row>
    <row r="5153" spans="1:4" hidden="1" x14ac:dyDescent="0.25">
      <c r="A5153" s="2" t="s">
        <v>4</v>
      </c>
      <c r="B5153">
        <v>71</v>
      </c>
      <c r="C5153" s="2" t="s">
        <v>148</v>
      </c>
      <c r="D5153">
        <v>71</v>
      </c>
    </row>
    <row r="5154" spans="1:4" hidden="1" x14ac:dyDescent="0.25">
      <c r="A5154" s="2" t="s">
        <v>4</v>
      </c>
      <c r="B5154">
        <v>71</v>
      </c>
      <c r="C5154" s="2" t="s">
        <v>149</v>
      </c>
      <c r="D5154">
        <v>71</v>
      </c>
    </row>
    <row r="5155" spans="1:4" hidden="1" x14ac:dyDescent="0.25">
      <c r="A5155" s="2" t="s">
        <v>4</v>
      </c>
      <c r="B5155">
        <v>71</v>
      </c>
      <c r="C5155" s="2" t="s">
        <v>150</v>
      </c>
      <c r="D5155">
        <v>71</v>
      </c>
    </row>
    <row r="5156" spans="1:4" hidden="1" x14ac:dyDescent="0.25">
      <c r="A5156" s="2" t="s">
        <v>4</v>
      </c>
      <c r="B5156">
        <v>71</v>
      </c>
      <c r="C5156" s="2" t="s">
        <v>151</v>
      </c>
      <c r="D5156">
        <v>71</v>
      </c>
    </row>
    <row r="5157" spans="1:4" hidden="1" x14ac:dyDescent="0.25">
      <c r="A5157" s="2" t="s">
        <v>4</v>
      </c>
      <c r="B5157">
        <v>71</v>
      </c>
      <c r="C5157" s="2" t="s">
        <v>152</v>
      </c>
      <c r="D5157">
        <v>71</v>
      </c>
    </row>
    <row r="5158" spans="1:4" hidden="1" x14ac:dyDescent="0.25">
      <c r="A5158" s="2" t="s">
        <v>4</v>
      </c>
      <c r="B5158">
        <v>71</v>
      </c>
      <c r="C5158" s="2" t="s">
        <v>153</v>
      </c>
      <c r="D5158">
        <v>71</v>
      </c>
    </row>
    <row r="5159" spans="1:4" hidden="1" x14ac:dyDescent="0.25">
      <c r="A5159" s="2" t="s">
        <v>4</v>
      </c>
      <c r="B5159">
        <v>71</v>
      </c>
      <c r="C5159" s="2" t="s">
        <v>154</v>
      </c>
      <c r="D5159">
        <v>71</v>
      </c>
    </row>
    <row r="5160" spans="1:4" hidden="1" x14ac:dyDescent="0.25">
      <c r="A5160" s="2" t="s">
        <v>4</v>
      </c>
      <c r="B5160">
        <v>71</v>
      </c>
      <c r="C5160" s="2" t="s">
        <v>155</v>
      </c>
      <c r="D5160">
        <v>71</v>
      </c>
    </row>
    <row r="5161" spans="1:4" hidden="1" x14ac:dyDescent="0.25">
      <c r="A5161" s="2" t="s">
        <v>4</v>
      </c>
      <c r="B5161">
        <v>71</v>
      </c>
      <c r="C5161" s="2" t="s">
        <v>156</v>
      </c>
      <c r="D5161">
        <v>71</v>
      </c>
    </row>
    <row r="5162" spans="1:4" hidden="1" x14ac:dyDescent="0.25">
      <c r="A5162" s="2" t="s">
        <v>4</v>
      </c>
      <c r="B5162">
        <v>71</v>
      </c>
      <c r="C5162" s="2" t="s">
        <v>157</v>
      </c>
      <c r="D5162">
        <v>71</v>
      </c>
    </row>
    <row r="5163" spans="1:4" hidden="1" x14ac:dyDescent="0.25">
      <c r="A5163" s="2" t="s">
        <v>4</v>
      </c>
      <c r="B5163">
        <v>71</v>
      </c>
      <c r="C5163" s="2" t="s">
        <v>158</v>
      </c>
      <c r="D5163">
        <v>71</v>
      </c>
    </row>
    <row r="5164" spans="1:4" hidden="1" x14ac:dyDescent="0.25">
      <c r="A5164" s="2" t="s">
        <v>4</v>
      </c>
      <c r="B5164">
        <v>71</v>
      </c>
      <c r="C5164" s="2" t="s">
        <v>159</v>
      </c>
      <c r="D5164">
        <v>71</v>
      </c>
    </row>
    <row r="5165" spans="1:4" hidden="1" x14ac:dyDescent="0.25">
      <c r="A5165" s="2" t="s">
        <v>4</v>
      </c>
      <c r="B5165">
        <v>71</v>
      </c>
      <c r="C5165" s="2" t="s">
        <v>160</v>
      </c>
      <c r="D5165">
        <v>71</v>
      </c>
    </row>
    <row r="5166" spans="1:4" hidden="1" x14ac:dyDescent="0.25">
      <c r="A5166" s="2" t="s">
        <v>4</v>
      </c>
      <c r="B5166">
        <v>71</v>
      </c>
      <c r="C5166" s="2" t="s">
        <v>161</v>
      </c>
      <c r="D5166">
        <v>71</v>
      </c>
    </row>
    <row r="5167" spans="1:4" hidden="1" x14ac:dyDescent="0.25">
      <c r="A5167" s="2" t="s">
        <v>4</v>
      </c>
      <c r="B5167">
        <v>71</v>
      </c>
      <c r="C5167" s="2" t="s">
        <v>162</v>
      </c>
      <c r="D5167">
        <v>71</v>
      </c>
    </row>
    <row r="5168" spans="1:4" hidden="1" x14ac:dyDescent="0.25">
      <c r="A5168" s="2" t="s">
        <v>4</v>
      </c>
      <c r="B5168">
        <v>71</v>
      </c>
      <c r="C5168" s="2" t="s">
        <v>163</v>
      </c>
      <c r="D5168">
        <v>71</v>
      </c>
    </row>
    <row r="5169" spans="1:4" hidden="1" x14ac:dyDescent="0.25">
      <c r="A5169" s="2" t="s">
        <v>4</v>
      </c>
      <c r="B5169">
        <v>71</v>
      </c>
      <c r="C5169" s="2" t="s">
        <v>164</v>
      </c>
      <c r="D5169">
        <v>71</v>
      </c>
    </row>
    <row r="5170" spans="1:4" hidden="1" x14ac:dyDescent="0.25">
      <c r="A5170" s="2" t="s">
        <v>4</v>
      </c>
      <c r="B5170">
        <v>71</v>
      </c>
      <c r="C5170" s="2" t="s">
        <v>165</v>
      </c>
      <c r="D5170">
        <v>71</v>
      </c>
    </row>
    <row r="5171" spans="1:4" hidden="1" x14ac:dyDescent="0.25">
      <c r="A5171" s="2" t="s">
        <v>4</v>
      </c>
      <c r="B5171">
        <v>71</v>
      </c>
      <c r="C5171" s="2" t="s">
        <v>166</v>
      </c>
      <c r="D5171">
        <v>71</v>
      </c>
    </row>
    <row r="5172" spans="1:4" hidden="1" x14ac:dyDescent="0.25">
      <c r="A5172" s="2" t="s">
        <v>4</v>
      </c>
      <c r="B5172">
        <v>71</v>
      </c>
      <c r="C5172" s="2" t="s">
        <v>167</v>
      </c>
      <c r="D5172">
        <v>71</v>
      </c>
    </row>
    <row r="5173" spans="1:4" hidden="1" x14ac:dyDescent="0.25">
      <c r="A5173" s="2" t="s">
        <v>4</v>
      </c>
      <c r="B5173">
        <v>71</v>
      </c>
      <c r="C5173" s="2" t="s">
        <v>168</v>
      </c>
      <c r="D5173">
        <v>71</v>
      </c>
    </row>
    <row r="5174" spans="1:4" hidden="1" x14ac:dyDescent="0.25">
      <c r="A5174" s="2" t="s">
        <v>4</v>
      </c>
      <c r="B5174">
        <v>71</v>
      </c>
      <c r="C5174" s="2" t="s">
        <v>169</v>
      </c>
      <c r="D5174">
        <v>71</v>
      </c>
    </row>
    <row r="5175" spans="1:4" hidden="1" x14ac:dyDescent="0.25">
      <c r="A5175" s="2" t="s">
        <v>4</v>
      </c>
      <c r="B5175">
        <v>71</v>
      </c>
      <c r="C5175" s="2" t="s">
        <v>170</v>
      </c>
      <c r="D5175">
        <v>71</v>
      </c>
    </row>
    <row r="5176" spans="1:4" hidden="1" x14ac:dyDescent="0.25">
      <c r="A5176" s="2" t="s">
        <v>4</v>
      </c>
      <c r="B5176">
        <v>71</v>
      </c>
      <c r="C5176" s="2" t="s">
        <v>171</v>
      </c>
      <c r="D5176">
        <v>71</v>
      </c>
    </row>
    <row r="5177" spans="1:4" hidden="1" x14ac:dyDescent="0.25">
      <c r="A5177" s="2" t="s">
        <v>4</v>
      </c>
      <c r="B5177">
        <v>71</v>
      </c>
      <c r="C5177" s="2" t="s">
        <v>172</v>
      </c>
      <c r="D5177">
        <v>71</v>
      </c>
    </row>
    <row r="5178" spans="1:4" hidden="1" x14ac:dyDescent="0.25">
      <c r="A5178" s="2" t="s">
        <v>4</v>
      </c>
      <c r="B5178">
        <v>71</v>
      </c>
      <c r="C5178" s="2" t="s">
        <v>173</v>
      </c>
      <c r="D5178">
        <v>71</v>
      </c>
    </row>
    <row r="5179" spans="1:4" hidden="1" x14ac:dyDescent="0.25">
      <c r="A5179" s="2" t="s">
        <v>4</v>
      </c>
      <c r="B5179">
        <v>71</v>
      </c>
      <c r="C5179" s="2" t="s">
        <v>174</v>
      </c>
      <c r="D5179">
        <v>71</v>
      </c>
    </row>
    <row r="5180" spans="1:4" hidden="1" x14ac:dyDescent="0.25">
      <c r="A5180" s="2" t="s">
        <v>4</v>
      </c>
      <c r="B5180">
        <v>71</v>
      </c>
      <c r="C5180" s="2" t="s">
        <v>175</v>
      </c>
      <c r="D5180">
        <v>71</v>
      </c>
    </row>
    <row r="5181" spans="1:4" hidden="1" x14ac:dyDescent="0.25">
      <c r="A5181" s="2" t="s">
        <v>4</v>
      </c>
      <c r="B5181">
        <v>71</v>
      </c>
      <c r="C5181" s="2" t="s">
        <v>176</v>
      </c>
      <c r="D5181">
        <v>71</v>
      </c>
    </row>
    <row r="5182" spans="1:4" hidden="1" x14ac:dyDescent="0.25">
      <c r="A5182" s="2" t="s">
        <v>4</v>
      </c>
      <c r="B5182">
        <v>71</v>
      </c>
      <c r="C5182" s="2" t="s">
        <v>177</v>
      </c>
      <c r="D5182">
        <v>71</v>
      </c>
    </row>
    <row r="5183" spans="1:4" hidden="1" x14ac:dyDescent="0.25">
      <c r="A5183" s="2" t="s">
        <v>4</v>
      </c>
      <c r="B5183">
        <v>71</v>
      </c>
      <c r="C5183" s="2" t="s">
        <v>178</v>
      </c>
      <c r="D5183">
        <v>71</v>
      </c>
    </row>
    <row r="5184" spans="1:4" hidden="1" x14ac:dyDescent="0.25">
      <c r="A5184" s="2" t="s">
        <v>4</v>
      </c>
      <c r="B5184">
        <v>71</v>
      </c>
      <c r="C5184" s="2" t="s">
        <v>179</v>
      </c>
      <c r="D5184">
        <v>71</v>
      </c>
    </row>
    <row r="5185" spans="1:4" x14ac:dyDescent="0.25">
      <c r="A5185" s="2" t="s">
        <v>18</v>
      </c>
      <c r="B5185">
        <v>71</v>
      </c>
      <c r="C5185" s="2" t="s">
        <v>183</v>
      </c>
      <c r="D5185">
        <v>65</v>
      </c>
    </row>
    <row r="5186" spans="1:4" x14ac:dyDescent="0.25">
      <c r="A5186" s="2" t="s">
        <v>18</v>
      </c>
      <c r="B5186">
        <v>71</v>
      </c>
      <c r="C5186" s="2" t="s">
        <v>184</v>
      </c>
      <c r="D5186">
        <v>62</v>
      </c>
    </row>
    <row r="5187" spans="1:4" x14ac:dyDescent="0.25">
      <c r="A5187" s="2" t="s">
        <v>18</v>
      </c>
      <c r="B5187">
        <v>71</v>
      </c>
      <c r="C5187" s="2" t="s">
        <v>185</v>
      </c>
      <c r="D5187">
        <v>82</v>
      </c>
    </row>
    <row r="5188" spans="1:4" x14ac:dyDescent="0.25">
      <c r="A5188" s="2" t="s">
        <v>18</v>
      </c>
      <c r="B5188">
        <v>71</v>
      </c>
      <c r="C5188" s="2" t="s">
        <v>186</v>
      </c>
      <c r="D5188">
        <v>54</v>
      </c>
    </row>
    <row r="5189" spans="1:4" x14ac:dyDescent="0.25">
      <c r="A5189" s="2" t="s">
        <v>18</v>
      </c>
      <c r="B5189">
        <v>71</v>
      </c>
      <c r="C5189" s="2" t="s">
        <v>187</v>
      </c>
      <c r="D5189">
        <v>55</v>
      </c>
    </row>
    <row r="5190" spans="1:4" x14ac:dyDescent="0.25">
      <c r="A5190" s="2" t="s">
        <v>18</v>
      </c>
      <c r="B5190">
        <v>71</v>
      </c>
      <c r="C5190" s="2" t="s">
        <v>188</v>
      </c>
      <c r="D5190">
        <v>53</v>
      </c>
    </row>
    <row r="5191" spans="1:4" x14ac:dyDescent="0.25">
      <c r="A5191" s="2" t="s">
        <v>18</v>
      </c>
      <c r="B5191">
        <v>71</v>
      </c>
      <c r="C5191" s="2" t="s">
        <v>189</v>
      </c>
      <c r="D5191">
        <v>61</v>
      </c>
    </row>
    <row r="5192" spans="1:4" x14ac:dyDescent="0.25">
      <c r="A5192" s="2" t="s">
        <v>18</v>
      </c>
      <c r="B5192">
        <v>71</v>
      </c>
      <c r="C5192" s="2" t="s">
        <v>190</v>
      </c>
      <c r="D5192">
        <v>65</v>
      </c>
    </row>
    <row r="5193" spans="1:4" x14ac:dyDescent="0.25">
      <c r="A5193" s="2" t="s">
        <v>18</v>
      </c>
      <c r="B5193">
        <v>71</v>
      </c>
      <c r="C5193" s="2" t="s">
        <v>191</v>
      </c>
      <c r="D5193">
        <v>41</v>
      </c>
    </row>
    <row r="5194" spans="1:4" x14ac:dyDescent="0.25">
      <c r="A5194" s="2" t="s">
        <v>18</v>
      </c>
      <c r="B5194">
        <v>71</v>
      </c>
      <c r="C5194" s="2" t="s">
        <v>116</v>
      </c>
      <c r="D5194">
        <v>42</v>
      </c>
    </row>
    <row r="5195" spans="1:4" x14ac:dyDescent="0.25">
      <c r="A5195" s="2" t="s">
        <v>18</v>
      </c>
      <c r="B5195">
        <v>71</v>
      </c>
      <c r="C5195" s="2" t="s">
        <v>117</v>
      </c>
      <c r="D5195">
        <v>51</v>
      </c>
    </row>
    <row r="5196" spans="1:4" x14ac:dyDescent="0.25">
      <c r="A5196" s="2" t="s">
        <v>18</v>
      </c>
      <c r="B5196">
        <v>71</v>
      </c>
      <c r="C5196" s="2" t="s">
        <v>118</v>
      </c>
      <c r="D5196">
        <v>28</v>
      </c>
    </row>
    <row r="5197" spans="1:4" x14ac:dyDescent="0.25">
      <c r="A5197" s="2" t="s">
        <v>18</v>
      </c>
      <c r="B5197">
        <v>71</v>
      </c>
      <c r="C5197" s="2" t="s">
        <v>119</v>
      </c>
      <c r="D5197">
        <v>56</v>
      </c>
    </row>
    <row r="5198" spans="1:4" x14ac:dyDescent="0.25">
      <c r="A5198" s="2" t="s">
        <v>18</v>
      </c>
      <c r="B5198">
        <v>71</v>
      </c>
      <c r="C5198" s="2" t="s">
        <v>120</v>
      </c>
      <c r="D5198">
        <v>58</v>
      </c>
    </row>
    <row r="5199" spans="1:4" x14ac:dyDescent="0.25">
      <c r="A5199" s="2" t="s">
        <v>18</v>
      </c>
      <c r="B5199">
        <v>71</v>
      </c>
      <c r="C5199" s="2" t="s">
        <v>121</v>
      </c>
      <c r="D5199">
        <v>59</v>
      </c>
    </row>
    <row r="5200" spans="1:4" x14ac:dyDescent="0.25">
      <c r="A5200" s="2" t="s">
        <v>18</v>
      </c>
      <c r="B5200">
        <v>71</v>
      </c>
      <c r="C5200" s="2" t="s">
        <v>122</v>
      </c>
      <c r="D5200">
        <v>69</v>
      </c>
    </row>
    <row r="5201" spans="1:4" x14ac:dyDescent="0.25">
      <c r="A5201" s="2" t="s">
        <v>18</v>
      </c>
      <c r="B5201">
        <v>71</v>
      </c>
      <c r="C5201" s="2" t="s">
        <v>123</v>
      </c>
      <c r="D5201">
        <v>75</v>
      </c>
    </row>
    <row r="5202" spans="1:4" x14ac:dyDescent="0.25">
      <c r="A5202" s="2" t="s">
        <v>18</v>
      </c>
      <c r="B5202">
        <v>71</v>
      </c>
      <c r="C5202" s="2" t="s">
        <v>124</v>
      </c>
      <c r="D5202">
        <v>76</v>
      </c>
    </row>
    <row r="5203" spans="1:4" x14ac:dyDescent="0.25">
      <c r="A5203" s="2" t="s">
        <v>18</v>
      </c>
      <c r="B5203">
        <v>71</v>
      </c>
      <c r="C5203" s="2" t="s">
        <v>125</v>
      </c>
      <c r="D5203">
        <v>74</v>
      </c>
    </row>
    <row r="5204" spans="1:4" x14ac:dyDescent="0.25">
      <c r="A5204" s="2" t="s">
        <v>18</v>
      </c>
      <c r="B5204">
        <v>71</v>
      </c>
      <c r="C5204" s="2" t="s">
        <v>126</v>
      </c>
      <c r="D5204">
        <v>81</v>
      </c>
    </row>
    <row r="5205" spans="1:4" x14ac:dyDescent="0.25">
      <c r="A5205" s="2" t="s">
        <v>18</v>
      </c>
      <c r="B5205">
        <v>71</v>
      </c>
      <c r="C5205" s="2" t="s">
        <v>127</v>
      </c>
      <c r="D5205">
        <v>78</v>
      </c>
    </row>
    <row r="5206" spans="1:4" x14ac:dyDescent="0.25">
      <c r="A5206" s="2" t="s">
        <v>18</v>
      </c>
      <c r="B5206">
        <v>71</v>
      </c>
      <c r="C5206" s="2" t="s">
        <v>128</v>
      </c>
      <c r="D5206">
        <v>83</v>
      </c>
    </row>
    <row r="5207" spans="1:4" x14ac:dyDescent="0.25">
      <c r="A5207" s="2" t="s">
        <v>18</v>
      </c>
      <c r="B5207">
        <v>71</v>
      </c>
      <c r="C5207" s="2" t="s">
        <v>129</v>
      </c>
      <c r="D5207">
        <v>95</v>
      </c>
    </row>
    <row r="5208" spans="1:4" x14ac:dyDescent="0.25">
      <c r="A5208" s="2" t="s">
        <v>18</v>
      </c>
      <c r="B5208">
        <v>71</v>
      </c>
      <c r="C5208" s="2" t="s">
        <v>130</v>
      </c>
      <c r="D5208">
        <v>88</v>
      </c>
    </row>
    <row r="5209" spans="1:4" x14ac:dyDescent="0.25">
      <c r="A5209" s="2" t="s">
        <v>18</v>
      </c>
      <c r="B5209">
        <v>71</v>
      </c>
      <c r="C5209" s="2" t="s">
        <v>131</v>
      </c>
      <c r="D5209">
        <v>84</v>
      </c>
    </row>
    <row r="5210" spans="1:4" x14ac:dyDescent="0.25">
      <c r="A5210" s="2" t="s">
        <v>18</v>
      </c>
      <c r="B5210">
        <v>71</v>
      </c>
      <c r="C5210" s="2" t="s">
        <v>132</v>
      </c>
      <c r="D5210">
        <v>65</v>
      </c>
    </row>
    <row r="5211" spans="1:4" x14ac:dyDescent="0.25">
      <c r="A5211" s="2" t="s">
        <v>18</v>
      </c>
      <c r="B5211">
        <v>71</v>
      </c>
      <c r="C5211" s="2" t="s">
        <v>133</v>
      </c>
      <c r="D5211">
        <v>65</v>
      </c>
    </row>
    <row r="5212" spans="1:4" x14ac:dyDescent="0.25">
      <c r="A5212" s="2" t="s">
        <v>18</v>
      </c>
      <c r="B5212">
        <v>71</v>
      </c>
      <c r="C5212" s="2" t="s">
        <v>134</v>
      </c>
      <c r="D5212">
        <v>74</v>
      </c>
    </row>
    <row r="5213" spans="1:4" x14ac:dyDescent="0.25">
      <c r="A5213" s="2" t="s">
        <v>18</v>
      </c>
      <c r="B5213">
        <v>71</v>
      </c>
      <c r="C5213" s="2" t="s">
        <v>135</v>
      </c>
      <c r="D5213">
        <v>71</v>
      </c>
    </row>
    <row r="5214" spans="1:4" x14ac:dyDescent="0.25">
      <c r="A5214" s="2" t="s">
        <v>18</v>
      </c>
      <c r="B5214">
        <v>71</v>
      </c>
      <c r="C5214" s="2" t="s">
        <v>136</v>
      </c>
      <c r="D5214">
        <v>71</v>
      </c>
    </row>
    <row r="5215" spans="1:4" x14ac:dyDescent="0.25">
      <c r="A5215" s="2" t="s">
        <v>18</v>
      </c>
      <c r="B5215">
        <v>71</v>
      </c>
      <c r="C5215" s="2" t="s">
        <v>137</v>
      </c>
      <c r="D5215">
        <v>71</v>
      </c>
    </row>
    <row r="5216" spans="1:4" x14ac:dyDescent="0.25">
      <c r="A5216" s="2" t="s">
        <v>18</v>
      </c>
      <c r="B5216">
        <v>71</v>
      </c>
      <c r="C5216" s="2" t="s">
        <v>138</v>
      </c>
      <c r="D5216">
        <v>71</v>
      </c>
    </row>
    <row r="5217" spans="1:4" x14ac:dyDescent="0.25">
      <c r="A5217" s="2" t="s">
        <v>18</v>
      </c>
      <c r="B5217">
        <v>71</v>
      </c>
      <c r="C5217" s="2" t="s">
        <v>139</v>
      </c>
      <c r="D5217">
        <v>71</v>
      </c>
    </row>
    <row r="5218" spans="1:4" x14ac:dyDescent="0.25">
      <c r="A5218" s="2" t="s">
        <v>18</v>
      </c>
      <c r="B5218">
        <v>71</v>
      </c>
      <c r="C5218" s="2" t="s">
        <v>140</v>
      </c>
      <c r="D5218">
        <v>71</v>
      </c>
    </row>
    <row r="5219" spans="1:4" x14ac:dyDescent="0.25">
      <c r="A5219" s="2" t="s">
        <v>18</v>
      </c>
      <c r="B5219">
        <v>71</v>
      </c>
      <c r="C5219" s="2" t="s">
        <v>141</v>
      </c>
      <c r="D5219">
        <v>71</v>
      </c>
    </row>
    <row r="5220" spans="1:4" x14ac:dyDescent="0.25">
      <c r="A5220" s="2" t="s">
        <v>18</v>
      </c>
      <c r="B5220">
        <v>71</v>
      </c>
      <c r="C5220" s="2" t="s">
        <v>142</v>
      </c>
      <c r="D5220">
        <v>71</v>
      </c>
    </row>
    <row r="5221" spans="1:4" x14ac:dyDescent="0.25">
      <c r="A5221" s="2" t="s">
        <v>18</v>
      </c>
      <c r="B5221">
        <v>71</v>
      </c>
      <c r="C5221" s="2" t="s">
        <v>143</v>
      </c>
      <c r="D5221">
        <v>71</v>
      </c>
    </row>
    <row r="5222" spans="1:4" x14ac:dyDescent="0.25">
      <c r="A5222" s="2" t="s">
        <v>18</v>
      </c>
      <c r="B5222">
        <v>71</v>
      </c>
      <c r="C5222" s="2" t="s">
        <v>144</v>
      </c>
      <c r="D5222">
        <v>71</v>
      </c>
    </row>
    <row r="5223" spans="1:4" x14ac:dyDescent="0.25">
      <c r="A5223" s="2" t="s">
        <v>18</v>
      </c>
      <c r="B5223">
        <v>71</v>
      </c>
      <c r="C5223" s="2" t="s">
        <v>145</v>
      </c>
      <c r="D5223">
        <v>71</v>
      </c>
    </row>
    <row r="5224" spans="1:4" x14ac:dyDescent="0.25">
      <c r="A5224" s="2" t="s">
        <v>18</v>
      </c>
      <c r="B5224">
        <v>71</v>
      </c>
      <c r="C5224" s="2" t="s">
        <v>146</v>
      </c>
      <c r="D5224">
        <v>71</v>
      </c>
    </row>
    <row r="5225" spans="1:4" x14ac:dyDescent="0.25">
      <c r="A5225" s="2" t="s">
        <v>18</v>
      </c>
      <c r="B5225">
        <v>71</v>
      </c>
      <c r="C5225" s="2" t="s">
        <v>147</v>
      </c>
      <c r="D5225">
        <v>71</v>
      </c>
    </row>
    <row r="5226" spans="1:4" x14ac:dyDescent="0.25">
      <c r="A5226" s="2" t="s">
        <v>18</v>
      </c>
      <c r="B5226">
        <v>71</v>
      </c>
      <c r="C5226" s="2" t="s">
        <v>148</v>
      </c>
      <c r="D5226">
        <v>71</v>
      </c>
    </row>
    <row r="5227" spans="1:4" x14ac:dyDescent="0.25">
      <c r="A5227" s="2" t="s">
        <v>18</v>
      </c>
      <c r="B5227">
        <v>71</v>
      </c>
      <c r="C5227" s="2" t="s">
        <v>149</v>
      </c>
      <c r="D5227">
        <v>71</v>
      </c>
    </row>
    <row r="5228" spans="1:4" x14ac:dyDescent="0.25">
      <c r="A5228" s="2" t="s">
        <v>18</v>
      </c>
      <c r="B5228">
        <v>71</v>
      </c>
      <c r="C5228" s="2" t="s">
        <v>150</v>
      </c>
      <c r="D5228">
        <v>71</v>
      </c>
    </row>
    <row r="5229" spans="1:4" x14ac:dyDescent="0.25">
      <c r="A5229" s="2" t="s">
        <v>18</v>
      </c>
      <c r="B5229">
        <v>71</v>
      </c>
      <c r="C5229" s="2" t="s">
        <v>151</v>
      </c>
      <c r="D5229">
        <v>71</v>
      </c>
    </row>
    <row r="5230" spans="1:4" x14ac:dyDescent="0.25">
      <c r="A5230" s="2" t="s">
        <v>18</v>
      </c>
      <c r="B5230">
        <v>71</v>
      </c>
      <c r="C5230" s="2" t="s">
        <v>152</v>
      </c>
      <c r="D5230">
        <v>71</v>
      </c>
    </row>
    <row r="5231" spans="1:4" x14ac:dyDescent="0.25">
      <c r="A5231" s="2" t="s">
        <v>18</v>
      </c>
      <c r="B5231">
        <v>71</v>
      </c>
      <c r="C5231" s="2" t="s">
        <v>153</v>
      </c>
      <c r="D5231">
        <v>71</v>
      </c>
    </row>
    <row r="5232" spans="1:4" x14ac:dyDescent="0.25">
      <c r="A5232" s="2" t="s">
        <v>18</v>
      </c>
      <c r="B5232">
        <v>71</v>
      </c>
      <c r="C5232" s="2" t="s">
        <v>154</v>
      </c>
      <c r="D5232">
        <v>71</v>
      </c>
    </row>
    <row r="5233" spans="1:4" x14ac:dyDescent="0.25">
      <c r="A5233" s="2" t="s">
        <v>18</v>
      </c>
      <c r="B5233">
        <v>71</v>
      </c>
      <c r="C5233" s="2" t="s">
        <v>155</v>
      </c>
      <c r="D5233">
        <v>71</v>
      </c>
    </row>
    <row r="5234" spans="1:4" x14ac:dyDescent="0.25">
      <c r="A5234" s="2" t="s">
        <v>18</v>
      </c>
      <c r="B5234">
        <v>71</v>
      </c>
      <c r="C5234" s="2" t="s">
        <v>156</v>
      </c>
      <c r="D5234">
        <v>71</v>
      </c>
    </row>
    <row r="5235" spans="1:4" x14ac:dyDescent="0.25">
      <c r="A5235" s="2" t="s">
        <v>18</v>
      </c>
      <c r="B5235">
        <v>71</v>
      </c>
      <c r="C5235" s="2" t="s">
        <v>157</v>
      </c>
      <c r="D5235">
        <v>71</v>
      </c>
    </row>
    <row r="5236" spans="1:4" x14ac:dyDescent="0.25">
      <c r="A5236" s="2" t="s">
        <v>18</v>
      </c>
      <c r="B5236">
        <v>71</v>
      </c>
      <c r="C5236" s="2" t="s">
        <v>158</v>
      </c>
      <c r="D5236">
        <v>71</v>
      </c>
    </row>
    <row r="5237" spans="1:4" x14ac:dyDescent="0.25">
      <c r="A5237" s="2" t="s">
        <v>18</v>
      </c>
      <c r="B5237">
        <v>71</v>
      </c>
      <c r="C5237" s="2" t="s">
        <v>159</v>
      </c>
      <c r="D5237">
        <v>71</v>
      </c>
    </row>
    <row r="5238" spans="1:4" x14ac:dyDescent="0.25">
      <c r="A5238" s="2" t="s">
        <v>18</v>
      </c>
      <c r="B5238">
        <v>71</v>
      </c>
      <c r="C5238" s="2" t="s">
        <v>160</v>
      </c>
      <c r="D5238">
        <v>71</v>
      </c>
    </row>
    <row r="5239" spans="1:4" x14ac:dyDescent="0.25">
      <c r="A5239" s="2" t="s">
        <v>18</v>
      </c>
      <c r="B5239">
        <v>71</v>
      </c>
      <c r="C5239" s="2" t="s">
        <v>161</v>
      </c>
      <c r="D5239">
        <v>71</v>
      </c>
    </row>
    <row r="5240" spans="1:4" x14ac:dyDescent="0.25">
      <c r="A5240" s="2" t="s">
        <v>18</v>
      </c>
      <c r="B5240">
        <v>71</v>
      </c>
      <c r="C5240" s="2" t="s">
        <v>162</v>
      </c>
      <c r="D5240">
        <v>71</v>
      </c>
    </row>
    <row r="5241" spans="1:4" x14ac:dyDescent="0.25">
      <c r="A5241" s="2" t="s">
        <v>18</v>
      </c>
      <c r="B5241">
        <v>71</v>
      </c>
      <c r="C5241" s="2" t="s">
        <v>163</v>
      </c>
      <c r="D5241">
        <v>71</v>
      </c>
    </row>
    <row r="5242" spans="1:4" x14ac:dyDescent="0.25">
      <c r="A5242" s="2" t="s">
        <v>18</v>
      </c>
      <c r="B5242">
        <v>71</v>
      </c>
      <c r="C5242" s="2" t="s">
        <v>164</v>
      </c>
      <c r="D5242">
        <v>71</v>
      </c>
    </row>
    <row r="5243" spans="1:4" x14ac:dyDescent="0.25">
      <c r="A5243" s="2" t="s">
        <v>18</v>
      </c>
      <c r="B5243">
        <v>71</v>
      </c>
      <c r="C5243" s="2" t="s">
        <v>165</v>
      </c>
      <c r="D5243">
        <v>71</v>
      </c>
    </row>
    <row r="5244" spans="1:4" x14ac:dyDescent="0.25">
      <c r="A5244" s="2" t="s">
        <v>18</v>
      </c>
      <c r="B5244">
        <v>71</v>
      </c>
      <c r="C5244" s="2" t="s">
        <v>166</v>
      </c>
      <c r="D5244">
        <v>71</v>
      </c>
    </row>
    <row r="5245" spans="1:4" x14ac:dyDescent="0.25">
      <c r="A5245" s="2" t="s">
        <v>18</v>
      </c>
      <c r="B5245">
        <v>71</v>
      </c>
      <c r="C5245" s="2" t="s">
        <v>167</v>
      </c>
      <c r="D5245">
        <v>71</v>
      </c>
    </row>
    <row r="5246" spans="1:4" x14ac:dyDescent="0.25">
      <c r="A5246" s="2" t="s">
        <v>18</v>
      </c>
      <c r="B5246">
        <v>71</v>
      </c>
      <c r="C5246" s="2" t="s">
        <v>168</v>
      </c>
      <c r="D5246">
        <v>71</v>
      </c>
    </row>
    <row r="5247" spans="1:4" x14ac:dyDescent="0.25">
      <c r="A5247" s="2" t="s">
        <v>18</v>
      </c>
      <c r="B5247">
        <v>71</v>
      </c>
      <c r="C5247" s="2" t="s">
        <v>169</v>
      </c>
      <c r="D5247">
        <v>71</v>
      </c>
    </row>
    <row r="5248" spans="1:4" x14ac:dyDescent="0.25">
      <c r="A5248" s="2" t="s">
        <v>18</v>
      </c>
      <c r="B5248">
        <v>71</v>
      </c>
      <c r="C5248" s="2" t="s">
        <v>170</v>
      </c>
      <c r="D5248">
        <v>71</v>
      </c>
    </row>
    <row r="5249" spans="1:4" x14ac:dyDescent="0.25">
      <c r="A5249" s="2" t="s">
        <v>18</v>
      </c>
      <c r="B5249">
        <v>71</v>
      </c>
      <c r="C5249" s="2" t="s">
        <v>171</v>
      </c>
      <c r="D5249">
        <v>71</v>
      </c>
    </row>
    <row r="5250" spans="1:4" x14ac:dyDescent="0.25">
      <c r="A5250" s="2" t="s">
        <v>18</v>
      </c>
      <c r="B5250">
        <v>71</v>
      </c>
      <c r="C5250" s="2" t="s">
        <v>172</v>
      </c>
      <c r="D5250">
        <v>71</v>
      </c>
    </row>
    <row r="5251" spans="1:4" x14ac:dyDescent="0.25">
      <c r="A5251" s="2" t="s">
        <v>18</v>
      </c>
      <c r="B5251">
        <v>71</v>
      </c>
      <c r="C5251" s="2" t="s">
        <v>173</v>
      </c>
      <c r="D5251">
        <v>71</v>
      </c>
    </row>
    <row r="5252" spans="1:4" x14ac:dyDescent="0.25">
      <c r="A5252" s="2" t="s">
        <v>18</v>
      </c>
      <c r="B5252">
        <v>71</v>
      </c>
      <c r="C5252" s="2" t="s">
        <v>174</v>
      </c>
      <c r="D5252">
        <v>71</v>
      </c>
    </row>
    <row r="5253" spans="1:4" x14ac:dyDescent="0.25">
      <c r="A5253" s="2" t="s">
        <v>18</v>
      </c>
      <c r="B5253">
        <v>71</v>
      </c>
      <c r="C5253" s="2" t="s">
        <v>175</v>
      </c>
      <c r="D5253">
        <v>71</v>
      </c>
    </row>
    <row r="5254" spans="1:4" x14ac:dyDescent="0.25">
      <c r="A5254" s="2" t="s">
        <v>18</v>
      </c>
      <c r="B5254">
        <v>71</v>
      </c>
      <c r="C5254" s="2" t="s">
        <v>176</v>
      </c>
      <c r="D5254">
        <v>71</v>
      </c>
    </row>
    <row r="5255" spans="1:4" x14ac:dyDescent="0.25">
      <c r="A5255" s="2" t="s">
        <v>18</v>
      </c>
      <c r="B5255">
        <v>71</v>
      </c>
      <c r="C5255" s="2" t="s">
        <v>177</v>
      </c>
      <c r="D5255">
        <v>71</v>
      </c>
    </row>
    <row r="5256" spans="1:4" x14ac:dyDescent="0.25">
      <c r="A5256" s="2" t="s">
        <v>18</v>
      </c>
      <c r="B5256">
        <v>71</v>
      </c>
      <c r="C5256" s="2" t="s">
        <v>178</v>
      </c>
      <c r="D5256">
        <v>71</v>
      </c>
    </row>
    <row r="5257" spans="1:4" x14ac:dyDescent="0.25">
      <c r="A5257" s="2" t="s">
        <v>18</v>
      </c>
      <c r="B5257">
        <v>71</v>
      </c>
      <c r="C5257" s="2" t="s">
        <v>179</v>
      </c>
      <c r="D5257">
        <v>71</v>
      </c>
    </row>
    <row r="5258" spans="1:4" hidden="1" x14ac:dyDescent="0.25">
      <c r="A5258" s="2" t="s">
        <v>29</v>
      </c>
      <c r="B5258">
        <v>71</v>
      </c>
      <c r="C5258" s="2" t="s">
        <v>183</v>
      </c>
      <c r="D5258">
        <v>13</v>
      </c>
    </row>
    <row r="5259" spans="1:4" hidden="1" x14ac:dyDescent="0.25">
      <c r="A5259" s="2" t="s">
        <v>29</v>
      </c>
      <c r="B5259">
        <v>71</v>
      </c>
      <c r="C5259" s="2" t="s">
        <v>184</v>
      </c>
      <c r="D5259">
        <v>14</v>
      </c>
    </row>
    <row r="5260" spans="1:4" hidden="1" x14ac:dyDescent="0.25">
      <c r="A5260" s="2" t="s">
        <v>29</v>
      </c>
      <c r="B5260">
        <v>71</v>
      </c>
      <c r="C5260" s="2" t="s">
        <v>185</v>
      </c>
      <c r="D5260">
        <v>24</v>
      </c>
    </row>
    <row r="5261" spans="1:4" hidden="1" x14ac:dyDescent="0.25">
      <c r="A5261" s="2" t="s">
        <v>29</v>
      </c>
      <c r="B5261">
        <v>71</v>
      </c>
      <c r="C5261" s="2" t="s">
        <v>186</v>
      </c>
      <c r="D5261">
        <v>71</v>
      </c>
    </row>
    <row r="5262" spans="1:4" hidden="1" x14ac:dyDescent="0.25">
      <c r="A5262" s="2" t="s">
        <v>29</v>
      </c>
      <c r="B5262">
        <v>71</v>
      </c>
      <c r="C5262" s="2" t="s">
        <v>187</v>
      </c>
      <c r="D5262">
        <v>71</v>
      </c>
    </row>
    <row r="5263" spans="1:4" hidden="1" x14ac:dyDescent="0.25">
      <c r="A5263" s="2" t="s">
        <v>29</v>
      </c>
      <c r="B5263">
        <v>71</v>
      </c>
      <c r="C5263" s="2" t="s">
        <v>188</v>
      </c>
      <c r="D5263">
        <v>71</v>
      </c>
    </row>
    <row r="5264" spans="1:4" hidden="1" x14ac:dyDescent="0.25">
      <c r="A5264" s="2" t="s">
        <v>29</v>
      </c>
      <c r="B5264">
        <v>71</v>
      </c>
      <c r="C5264" s="2" t="s">
        <v>189</v>
      </c>
      <c r="D5264">
        <v>59</v>
      </c>
    </row>
    <row r="5265" spans="1:4" hidden="1" x14ac:dyDescent="0.25">
      <c r="A5265" s="2" t="s">
        <v>29</v>
      </c>
      <c r="B5265">
        <v>71</v>
      </c>
      <c r="C5265" s="2" t="s">
        <v>190</v>
      </c>
      <c r="D5265">
        <v>61</v>
      </c>
    </row>
    <row r="5266" spans="1:4" hidden="1" x14ac:dyDescent="0.25">
      <c r="A5266" s="2" t="s">
        <v>29</v>
      </c>
      <c r="B5266">
        <v>71</v>
      </c>
      <c r="C5266" s="2" t="s">
        <v>191</v>
      </c>
      <c r="D5266">
        <v>72</v>
      </c>
    </row>
    <row r="5267" spans="1:4" hidden="1" x14ac:dyDescent="0.25">
      <c r="A5267" s="2" t="s">
        <v>29</v>
      </c>
      <c r="B5267">
        <v>71</v>
      </c>
      <c r="C5267" s="2" t="s">
        <v>116</v>
      </c>
      <c r="D5267">
        <v>74</v>
      </c>
    </row>
    <row r="5268" spans="1:4" hidden="1" x14ac:dyDescent="0.25">
      <c r="A5268" s="2" t="s">
        <v>29</v>
      </c>
      <c r="B5268">
        <v>71</v>
      </c>
      <c r="C5268" s="2" t="s">
        <v>117</v>
      </c>
      <c r="D5268">
        <v>69</v>
      </c>
    </row>
    <row r="5269" spans="1:4" hidden="1" x14ac:dyDescent="0.25">
      <c r="A5269" s="2" t="s">
        <v>29</v>
      </c>
      <c r="B5269">
        <v>71</v>
      </c>
      <c r="C5269" s="2" t="s">
        <v>118</v>
      </c>
      <c r="D5269">
        <v>62</v>
      </c>
    </row>
    <row r="5270" spans="1:4" hidden="1" x14ac:dyDescent="0.25">
      <c r="A5270" s="2" t="s">
        <v>29</v>
      </c>
      <c r="B5270">
        <v>71</v>
      </c>
      <c r="C5270" s="2" t="s">
        <v>119</v>
      </c>
      <c r="D5270">
        <v>37</v>
      </c>
    </row>
    <row r="5271" spans="1:4" hidden="1" x14ac:dyDescent="0.25">
      <c r="A5271" s="2" t="s">
        <v>29</v>
      </c>
      <c r="B5271">
        <v>71</v>
      </c>
      <c r="C5271" s="2" t="s">
        <v>120</v>
      </c>
      <c r="D5271">
        <v>45</v>
      </c>
    </row>
    <row r="5272" spans="1:4" hidden="1" x14ac:dyDescent="0.25">
      <c r="A5272" s="2" t="s">
        <v>29</v>
      </c>
      <c r="B5272">
        <v>71</v>
      </c>
      <c r="C5272" s="2" t="s">
        <v>121</v>
      </c>
      <c r="D5272">
        <v>45</v>
      </c>
    </row>
    <row r="5273" spans="1:4" hidden="1" x14ac:dyDescent="0.25">
      <c r="A5273" s="2" t="s">
        <v>29</v>
      </c>
      <c r="B5273">
        <v>71</v>
      </c>
      <c r="C5273" s="2" t="s">
        <v>122</v>
      </c>
      <c r="D5273">
        <v>63</v>
      </c>
    </row>
    <row r="5274" spans="1:4" hidden="1" x14ac:dyDescent="0.25">
      <c r="A5274" s="2" t="s">
        <v>29</v>
      </c>
      <c r="B5274">
        <v>71</v>
      </c>
      <c r="C5274" s="2" t="s">
        <v>123</v>
      </c>
      <c r="D5274">
        <v>68</v>
      </c>
    </row>
    <row r="5275" spans="1:4" hidden="1" x14ac:dyDescent="0.25">
      <c r="A5275" s="2" t="s">
        <v>29</v>
      </c>
      <c r="B5275">
        <v>71</v>
      </c>
      <c r="C5275" s="2" t="s">
        <v>124</v>
      </c>
      <c r="D5275">
        <v>70</v>
      </c>
    </row>
    <row r="5276" spans="1:4" hidden="1" x14ac:dyDescent="0.25">
      <c r="A5276" s="2" t="s">
        <v>29</v>
      </c>
      <c r="B5276">
        <v>71</v>
      </c>
      <c r="C5276" s="2" t="s">
        <v>125</v>
      </c>
      <c r="D5276">
        <v>67</v>
      </c>
    </row>
    <row r="5277" spans="1:4" hidden="1" x14ac:dyDescent="0.25">
      <c r="A5277" s="2" t="s">
        <v>29</v>
      </c>
      <c r="B5277">
        <v>71</v>
      </c>
      <c r="C5277" s="2" t="s">
        <v>126</v>
      </c>
      <c r="D5277">
        <v>67</v>
      </c>
    </row>
    <row r="5278" spans="1:4" hidden="1" x14ac:dyDescent="0.25">
      <c r="A5278" s="2" t="s">
        <v>29</v>
      </c>
      <c r="B5278">
        <v>71</v>
      </c>
      <c r="C5278" s="2" t="s">
        <v>127</v>
      </c>
      <c r="D5278">
        <v>66</v>
      </c>
    </row>
    <row r="5279" spans="1:4" hidden="1" x14ac:dyDescent="0.25">
      <c r="A5279" s="2" t="s">
        <v>29</v>
      </c>
      <c r="B5279">
        <v>71</v>
      </c>
      <c r="C5279" s="2" t="s">
        <v>128</v>
      </c>
      <c r="D5279">
        <v>62</v>
      </c>
    </row>
    <row r="5280" spans="1:4" hidden="1" x14ac:dyDescent="0.25">
      <c r="A5280" s="2" t="s">
        <v>29</v>
      </c>
      <c r="B5280">
        <v>71</v>
      </c>
      <c r="C5280" s="2" t="s">
        <v>129</v>
      </c>
      <c r="D5280">
        <v>62</v>
      </c>
    </row>
    <row r="5281" spans="1:4" hidden="1" x14ac:dyDescent="0.25">
      <c r="A5281" s="2" t="s">
        <v>29</v>
      </c>
      <c r="B5281">
        <v>71</v>
      </c>
      <c r="C5281" s="2" t="s">
        <v>130</v>
      </c>
      <c r="D5281">
        <v>76</v>
      </c>
    </row>
    <row r="5282" spans="1:4" hidden="1" x14ac:dyDescent="0.25">
      <c r="A5282" s="2" t="s">
        <v>29</v>
      </c>
      <c r="B5282">
        <v>71</v>
      </c>
      <c r="C5282" s="2" t="s">
        <v>131</v>
      </c>
      <c r="D5282">
        <v>71</v>
      </c>
    </row>
    <row r="5283" spans="1:4" hidden="1" x14ac:dyDescent="0.25">
      <c r="A5283" s="2" t="s">
        <v>29</v>
      </c>
      <c r="B5283">
        <v>71</v>
      </c>
      <c r="C5283" s="2" t="s">
        <v>132</v>
      </c>
      <c r="D5283">
        <v>74</v>
      </c>
    </row>
    <row r="5284" spans="1:4" hidden="1" x14ac:dyDescent="0.25">
      <c r="A5284" s="2" t="s">
        <v>29</v>
      </c>
      <c r="B5284">
        <v>71</v>
      </c>
      <c r="C5284" s="2" t="s">
        <v>133</v>
      </c>
      <c r="D5284">
        <v>74</v>
      </c>
    </row>
    <row r="5285" spans="1:4" hidden="1" x14ac:dyDescent="0.25">
      <c r="A5285" s="2" t="s">
        <v>29</v>
      </c>
      <c r="B5285">
        <v>71</v>
      </c>
      <c r="C5285" s="2" t="s">
        <v>134</v>
      </c>
      <c r="D5285">
        <v>74</v>
      </c>
    </row>
    <row r="5286" spans="1:4" hidden="1" x14ac:dyDescent="0.25">
      <c r="A5286" s="2" t="s">
        <v>29</v>
      </c>
      <c r="B5286">
        <v>71</v>
      </c>
      <c r="C5286" s="2" t="s">
        <v>135</v>
      </c>
      <c r="D5286">
        <v>71</v>
      </c>
    </row>
    <row r="5287" spans="1:4" hidden="1" x14ac:dyDescent="0.25">
      <c r="A5287" s="2" t="s">
        <v>29</v>
      </c>
      <c r="B5287">
        <v>71</v>
      </c>
      <c r="C5287" s="2" t="s">
        <v>136</v>
      </c>
      <c r="D5287">
        <v>71</v>
      </c>
    </row>
    <row r="5288" spans="1:4" hidden="1" x14ac:dyDescent="0.25">
      <c r="A5288" s="2" t="s">
        <v>29</v>
      </c>
      <c r="B5288">
        <v>71</v>
      </c>
      <c r="C5288" s="2" t="s">
        <v>137</v>
      </c>
      <c r="D5288">
        <v>71</v>
      </c>
    </row>
    <row r="5289" spans="1:4" hidden="1" x14ac:dyDescent="0.25">
      <c r="A5289" s="2" t="s">
        <v>29</v>
      </c>
      <c r="B5289">
        <v>71</v>
      </c>
      <c r="C5289" s="2" t="s">
        <v>138</v>
      </c>
      <c r="D5289">
        <v>71</v>
      </c>
    </row>
    <row r="5290" spans="1:4" hidden="1" x14ac:dyDescent="0.25">
      <c r="A5290" s="2" t="s">
        <v>29</v>
      </c>
      <c r="B5290">
        <v>71</v>
      </c>
      <c r="C5290" s="2" t="s">
        <v>139</v>
      </c>
      <c r="D5290">
        <v>71</v>
      </c>
    </row>
    <row r="5291" spans="1:4" hidden="1" x14ac:dyDescent="0.25">
      <c r="A5291" s="2" t="s">
        <v>29</v>
      </c>
      <c r="B5291">
        <v>71</v>
      </c>
      <c r="C5291" s="2" t="s">
        <v>140</v>
      </c>
      <c r="D5291">
        <v>71</v>
      </c>
    </row>
    <row r="5292" spans="1:4" hidden="1" x14ac:dyDescent="0.25">
      <c r="A5292" s="2" t="s">
        <v>29</v>
      </c>
      <c r="B5292">
        <v>71</v>
      </c>
      <c r="C5292" s="2" t="s">
        <v>141</v>
      </c>
      <c r="D5292">
        <v>71</v>
      </c>
    </row>
    <row r="5293" spans="1:4" hidden="1" x14ac:dyDescent="0.25">
      <c r="A5293" s="2" t="s">
        <v>29</v>
      </c>
      <c r="B5293">
        <v>71</v>
      </c>
      <c r="C5293" s="2" t="s">
        <v>142</v>
      </c>
      <c r="D5293">
        <v>71</v>
      </c>
    </row>
    <row r="5294" spans="1:4" hidden="1" x14ac:dyDescent="0.25">
      <c r="A5294" s="2" t="s">
        <v>29</v>
      </c>
      <c r="B5294">
        <v>71</v>
      </c>
      <c r="C5294" s="2" t="s">
        <v>143</v>
      </c>
      <c r="D5294">
        <v>71</v>
      </c>
    </row>
    <row r="5295" spans="1:4" hidden="1" x14ac:dyDescent="0.25">
      <c r="A5295" s="2" t="s">
        <v>29</v>
      </c>
      <c r="B5295">
        <v>71</v>
      </c>
      <c r="C5295" s="2" t="s">
        <v>144</v>
      </c>
      <c r="D5295">
        <v>71</v>
      </c>
    </row>
    <row r="5296" spans="1:4" hidden="1" x14ac:dyDescent="0.25">
      <c r="A5296" s="2" t="s">
        <v>29</v>
      </c>
      <c r="B5296">
        <v>71</v>
      </c>
      <c r="C5296" s="2" t="s">
        <v>145</v>
      </c>
      <c r="D5296">
        <v>71</v>
      </c>
    </row>
    <row r="5297" spans="1:4" hidden="1" x14ac:dyDescent="0.25">
      <c r="A5297" s="2" t="s">
        <v>29</v>
      </c>
      <c r="B5297">
        <v>71</v>
      </c>
      <c r="C5297" s="2" t="s">
        <v>146</v>
      </c>
      <c r="D5297">
        <v>71</v>
      </c>
    </row>
    <row r="5298" spans="1:4" hidden="1" x14ac:dyDescent="0.25">
      <c r="A5298" s="2" t="s">
        <v>29</v>
      </c>
      <c r="B5298">
        <v>71</v>
      </c>
      <c r="C5298" s="2" t="s">
        <v>147</v>
      </c>
      <c r="D5298">
        <v>71</v>
      </c>
    </row>
    <row r="5299" spans="1:4" hidden="1" x14ac:dyDescent="0.25">
      <c r="A5299" s="2" t="s">
        <v>29</v>
      </c>
      <c r="B5299">
        <v>71</v>
      </c>
      <c r="C5299" s="2" t="s">
        <v>148</v>
      </c>
      <c r="D5299">
        <v>71</v>
      </c>
    </row>
    <row r="5300" spans="1:4" hidden="1" x14ac:dyDescent="0.25">
      <c r="A5300" s="2" t="s">
        <v>29</v>
      </c>
      <c r="B5300">
        <v>71</v>
      </c>
      <c r="C5300" s="2" t="s">
        <v>149</v>
      </c>
      <c r="D5300">
        <v>71</v>
      </c>
    </row>
    <row r="5301" spans="1:4" hidden="1" x14ac:dyDescent="0.25">
      <c r="A5301" s="2" t="s">
        <v>29</v>
      </c>
      <c r="B5301">
        <v>71</v>
      </c>
      <c r="C5301" s="2" t="s">
        <v>150</v>
      </c>
      <c r="D5301">
        <v>71</v>
      </c>
    </row>
    <row r="5302" spans="1:4" hidden="1" x14ac:dyDescent="0.25">
      <c r="A5302" s="2" t="s">
        <v>29</v>
      </c>
      <c r="B5302">
        <v>71</v>
      </c>
      <c r="C5302" s="2" t="s">
        <v>151</v>
      </c>
      <c r="D5302">
        <v>71</v>
      </c>
    </row>
    <row r="5303" spans="1:4" hidden="1" x14ac:dyDescent="0.25">
      <c r="A5303" s="2" t="s">
        <v>29</v>
      </c>
      <c r="B5303">
        <v>71</v>
      </c>
      <c r="C5303" s="2" t="s">
        <v>152</v>
      </c>
      <c r="D5303">
        <v>71</v>
      </c>
    </row>
    <row r="5304" spans="1:4" hidden="1" x14ac:dyDescent="0.25">
      <c r="A5304" s="2" t="s">
        <v>29</v>
      </c>
      <c r="B5304">
        <v>71</v>
      </c>
      <c r="C5304" s="2" t="s">
        <v>153</v>
      </c>
      <c r="D5304">
        <v>71</v>
      </c>
    </row>
    <row r="5305" spans="1:4" hidden="1" x14ac:dyDescent="0.25">
      <c r="A5305" s="2" t="s">
        <v>29</v>
      </c>
      <c r="B5305">
        <v>71</v>
      </c>
      <c r="C5305" s="2" t="s">
        <v>154</v>
      </c>
      <c r="D5305">
        <v>71</v>
      </c>
    </row>
    <row r="5306" spans="1:4" hidden="1" x14ac:dyDescent="0.25">
      <c r="A5306" s="2" t="s">
        <v>29</v>
      </c>
      <c r="B5306">
        <v>71</v>
      </c>
      <c r="C5306" s="2" t="s">
        <v>155</v>
      </c>
      <c r="D5306">
        <v>71</v>
      </c>
    </row>
    <row r="5307" spans="1:4" hidden="1" x14ac:dyDescent="0.25">
      <c r="A5307" s="2" t="s">
        <v>29</v>
      </c>
      <c r="B5307">
        <v>71</v>
      </c>
      <c r="C5307" s="2" t="s">
        <v>156</v>
      </c>
      <c r="D5307">
        <v>71</v>
      </c>
    </row>
    <row r="5308" spans="1:4" hidden="1" x14ac:dyDescent="0.25">
      <c r="A5308" s="2" t="s">
        <v>29</v>
      </c>
      <c r="B5308">
        <v>71</v>
      </c>
      <c r="C5308" s="2" t="s">
        <v>157</v>
      </c>
      <c r="D5308">
        <v>71</v>
      </c>
    </row>
    <row r="5309" spans="1:4" hidden="1" x14ac:dyDescent="0.25">
      <c r="A5309" s="2" t="s">
        <v>29</v>
      </c>
      <c r="B5309">
        <v>71</v>
      </c>
      <c r="C5309" s="2" t="s">
        <v>158</v>
      </c>
      <c r="D5309">
        <v>71</v>
      </c>
    </row>
    <row r="5310" spans="1:4" hidden="1" x14ac:dyDescent="0.25">
      <c r="A5310" s="2" t="s">
        <v>29</v>
      </c>
      <c r="B5310">
        <v>71</v>
      </c>
      <c r="C5310" s="2" t="s">
        <v>159</v>
      </c>
      <c r="D5310">
        <v>71</v>
      </c>
    </row>
    <row r="5311" spans="1:4" hidden="1" x14ac:dyDescent="0.25">
      <c r="A5311" s="2" t="s">
        <v>29</v>
      </c>
      <c r="B5311">
        <v>71</v>
      </c>
      <c r="C5311" s="2" t="s">
        <v>160</v>
      </c>
      <c r="D5311">
        <v>71</v>
      </c>
    </row>
    <row r="5312" spans="1:4" hidden="1" x14ac:dyDescent="0.25">
      <c r="A5312" s="2" t="s">
        <v>29</v>
      </c>
      <c r="B5312">
        <v>71</v>
      </c>
      <c r="C5312" s="2" t="s">
        <v>161</v>
      </c>
      <c r="D5312">
        <v>71</v>
      </c>
    </row>
    <row r="5313" spans="1:4" hidden="1" x14ac:dyDescent="0.25">
      <c r="A5313" s="2" t="s">
        <v>29</v>
      </c>
      <c r="B5313">
        <v>71</v>
      </c>
      <c r="C5313" s="2" t="s">
        <v>162</v>
      </c>
      <c r="D5313">
        <v>71</v>
      </c>
    </row>
    <row r="5314" spans="1:4" hidden="1" x14ac:dyDescent="0.25">
      <c r="A5314" s="2" t="s">
        <v>29</v>
      </c>
      <c r="B5314">
        <v>71</v>
      </c>
      <c r="C5314" s="2" t="s">
        <v>163</v>
      </c>
      <c r="D5314">
        <v>71</v>
      </c>
    </row>
    <row r="5315" spans="1:4" hidden="1" x14ac:dyDescent="0.25">
      <c r="A5315" s="2" t="s">
        <v>29</v>
      </c>
      <c r="B5315">
        <v>71</v>
      </c>
      <c r="C5315" s="2" t="s">
        <v>164</v>
      </c>
      <c r="D5315">
        <v>71</v>
      </c>
    </row>
    <row r="5316" spans="1:4" hidden="1" x14ac:dyDescent="0.25">
      <c r="A5316" s="2" t="s">
        <v>29</v>
      </c>
      <c r="B5316">
        <v>71</v>
      </c>
      <c r="C5316" s="2" t="s">
        <v>165</v>
      </c>
      <c r="D5316">
        <v>71</v>
      </c>
    </row>
    <row r="5317" spans="1:4" hidden="1" x14ac:dyDescent="0.25">
      <c r="A5317" s="2" t="s">
        <v>29</v>
      </c>
      <c r="B5317">
        <v>71</v>
      </c>
      <c r="C5317" s="2" t="s">
        <v>166</v>
      </c>
      <c r="D5317">
        <v>71</v>
      </c>
    </row>
    <row r="5318" spans="1:4" hidden="1" x14ac:dyDescent="0.25">
      <c r="A5318" s="2" t="s">
        <v>29</v>
      </c>
      <c r="B5318">
        <v>71</v>
      </c>
      <c r="C5318" s="2" t="s">
        <v>167</v>
      </c>
      <c r="D5318">
        <v>71</v>
      </c>
    </row>
    <row r="5319" spans="1:4" hidden="1" x14ac:dyDescent="0.25">
      <c r="A5319" s="2" t="s">
        <v>29</v>
      </c>
      <c r="B5319">
        <v>71</v>
      </c>
      <c r="C5319" s="2" t="s">
        <v>168</v>
      </c>
      <c r="D5319">
        <v>71</v>
      </c>
    </row>
    <row r="5320" spans="1:4" hidden="1" x14ac:dyDescent="0.25">
      <c r="A5320" s="2" t="s">
        <v>29</v>
      </c>
      <c r="B5320">
        <v>71</v>
      </c>
      <c r="C5320" s="2" t="s">
        <v>169</v>
      </c>
      <c r="D5320">
        <v>71</v>
      </c>
    </row>
    <row r="5321" spans="1:4" hidden="1" x14ac:dyDescent="0.25">
      <c r="A5321" s="2" t="s">
        <v>29</v>
      </c>
      <c r="B5321">
        <v>71</v>
      </c>
      <c r="C5321" s="2" t="s">
        <v>170</v>
      </c>
      <c r="D5321">
        <v>71</v>
      </c>
    </row>
    <row r="5322" spans="1:4" hidden="1" x14ac:dyDescent="0.25">
      <c r="A5322" s="2" t="s">
        <v>29</v>
      </c>
      <c r="B5322">
        <v>71</v>
      </c>
      <c r="C5322" s="2" t="s">
        <v>171</v>
      </c>
      <c r="D5322">
        <v>71</v>
      </c>
    </row>
    <row r="5323" spans="1:4" hidden="1" x14ac:dyDescent="0.25">
      <c r="A5323" s="2" t="s">
        <v>29</v>
      </c>
      <c r="B5323">
        <v>71</v>
      </c>
      <c r="C5323" s="2" t="s">
        <v>172</v>
      </c>
      <c r="D5323">
        <v>71</v>
      </c>
    </row>
    <row r="5324" spans="1:4" hidden="1" x14ac:dyDescent="0.25">
      <c r="A5324" s="2" t="s">
        <v>29</v>
      </c>
      <c r="B5324">
        <v>71</v>
      </c>
      <c r="C5324" s="2" t="s">
        <v>173</v>
      </c>
      <c r="D5324">
        <v>71</v>
      </c>
    </row>
    <row r="5325" spans="1:4" hidden="1" x14ac:dyDescent="0.25">
      <c r="A5325" s="2" t="s">
        <v>29</v>
      </c>
      <c r="B5325">
        <v>71</v>
      </c>
      <c r="C5325" s="2" t="s">
        <v>174</v>
      </c>
      <c r="D5325">
        <v>71</v>
      </c>
    </row>
    <row r="5326" spans="1:4" hidden="1" x14ac:dyDescent="0.25">
      <c r="A5326" s="2" t="s">
        <v>29</v>
      </c>
      <c r="B5326">
        <v>71</v>
      </c>
      <c r="C5326" s="2" t="s">
        <v>175</v>
      </c>
      <c r="D5326">
        <v>71</v>
      </c>
    </row>
    <row r="5327" spans="1:4" hidden="1" x14ac:dyDescent="0.25">
      <c r="A5327" s="2" t="s">
        <v>29</v>
      </c>
      <c r="B5327">
        <v>71</v>
      </c>
      <c r="C5327" s="2" t="s">
        <v>176</v>
      </c>
      <c r="D5327">
        <v>71</v>
      </c>
    </row>
    <row r="5328" spans="1:4" hidden="1" x14ac:dyDescent="0.25">
      <c r="A5328" s="2" t="s">
        <v>29</v>
      </c>
      <c r="B5328">
        <v>71</v>
      </c>
      <c r="C5328" s="2" t="s">
        <v>177</v>
      </c>
      <c r="D5328">
        <v>71</v>
      </c>
    </row>
    <row r="5329" spans="1:4" hidden="1" x14ac:dyDescent="0.25">
      <c r="A5329" s="2" t="s">
        <v>29</v>
      </c>
      <c r="B5329">
        <v>71</v>
      </c>
      <c r="C5329" s="2" t="s">
        <v>178</v>
      </c>
      <c r="D5329">
        <v>71</v>
      </c>
    </row>
    <row r="5330" spans="1:4" hidden="1" x14ac:dyDescent="0.25">
      <c r="A5330" s="2" t="s">
        <v>29</v>
      </c>
      <c r="B5330">
        <v>71</v>
      </c>
      <c r="C5330" s="2" t="s">
        <v>179</v>
      </c>
      <c r="D5330">
        <v>71</v>
      </c>
    </row>
    <row r="5331" spans="1:4" hidden="1" x14ac:dyDescent="0.25">
      <c r="A5331" s="2" t="s">
        <v>39</v>
      </c>
      <c r="B5331">
        <v>71</v>
      </c>
      <c r="C5331" s="2" t="s">
        <v>183</v>
      </c>
      <c r="D5331">
        <v>78</v>
      </c>
    </row>
    <row r="5332" spans="1:4" hidden="1" x14ac:dyDescent="0.25">
      <c r="A5332" s="2" t="s">
        <v>39</v>
      </c>
      <c r="B5332">
        <v>71</v>
      </c>
      <c r="C5332" s="2" t="s">
        <v>184</v>
      </c>
      <c r="D5332">
        <v>77</v>
      </c>
    </row>
    <row r="5333" spans="1:4" hidden="1" x14ac:dyDescent="0.25">
      <c r="A5333" s="2" t="s">
        <v>39</v>
      </c>
      <c r="B5333">
        <v>71</v>
      </c>
      <c r="C5333" s="2" t="s">
        <v>185</v>
      </c>
      <c r="D5333">
        <v>82</v>
      </c>
    </row>
    <row r="5334" spans="1:4" hidden="1" x14ac:dyDescent="0.25">
      <c r="A5334" s="2" t="s">
        <v>39</v>
      </c>
      <c r="B5334">
        <v>71</v>
      </c>
      <c r="C5334" s="2" t="s">
        <v>186</v>
      </c>
      <c r="D5334">
        <v>89</v>
      </c>
    </row>
    <row r="5335" spans="1:4" hidden="1" x14ac:dyDescent="0.25">
      <c r="A5335" s="2" t="s">
        <v>39</v>
      </c>
      <c r="B5335">
        <v>71</v>
      </c>
      <c r="C5335" s="2" t="s">
        <v>187</v>
      </c>
      <c r="D5335">
        <v>89</v>
      </c>
    </row>
    <row r="5336" spans="1:4" hidden="1" x14ac:dyDescent="0.25">
      <c r="A5336" s="2" t="s">
        <v>39</v>
      </c>
      <c r="B5336">
        <v>71</v>
      </c>
      <c r="C5336" s="2" t="s">
        <v>188</v>
      </c>
      <c r="D5336">
        <v>88</v>
      </c>
    </row>
    <row r="5337" spans="1:4" hidden="1" x14ac:dyDescent="0.25">
      <c r="A5337" s="2" t="s">
        <v>39</v>
      </c>
      <c r="B5337">
        <v>71</v>
      </c>
      <c r="C5337" s="2" t="s">
        <v>189</v>
      </c>
      <c r="D5337">
        <v>97</v>
      </c>
    </row>
    <row r="5338" spans="1:4" hidden="1" x14ac:dyDescent="0.25">
      <c r="A5338" s="2" t="s">
        <v>39</v>
      </c>
      <c r="B5338">
        <v>71</v>
      </c>
      <c r="C5338" s="2" t="s">
        <v>190</v>
      </c>
      <c r="D5338">
        <v>98</v>
      </c>
    </row>
    <row r="5339" spans="1:4" hidden="1" x14ac:dyDescent="0.25">
      <c r="A5339" s="2" t="s">
        <v>39</v>
      </c>
      <c r="B5339">
        <v>71</v>
      </c>
      <c r="C5339" s="2" t="s">
        <v>191</v>
      </c>
      <c r="D5339">
        <v>97</v>
      </c>
    </row>
    <row r="5340" spans="1:4" hidden="1" x14ac:dyDescent="0.25">
      <c r="A5340" s="2" t="s">
        <v>39</v>
      </c>
      <c r="B5340">
        <v>71</v>
      </c>
      <c r="C5340" s="2" t="s">
        <v>116</v>
      </c>
      <c r="D5340">
        <v>98</v>
      </c>
    </row>
    <row r="5341" spans="1:4" hidden="1" x14ac:dyDescent="0.25">
      <c r="A5341" s="2" t="s">
        <v>39</v>
      </c>
      <c r="B5341">
        <v>71</v>
      </c>
      <c r="C5341" s="2" t="s">
        <v>117</v>
      </c>
      <c r="D5341">
        <v>108</v>
      </c>
    </row>
    <row r="5342" spans="1:4" hidden="1" x14ac:dyDescent="0.25">
      <c r="A5342" s="2" t="s">
        <v>39</v>
      </c>
      <c r="B5342">
        <v>71</v>
      </c>
      <c r="C5342" s="2" t="s">
        <v>118</v>
      </c>
      <c r="D5342">
        <v>109</v>
      </c>
    </row>
    <row r="5343" spans="1:4" hidden="1" x14ac:dyDescent="0.25">
      <c r="A5343" s="2" t="s">
        <v>39</v>
      </c>
      <c r="B5343">
        <v>71</v>
      </c>
      <c r="C5343" s="2" t="s">
        <v>119</v>
      </c>
      <c r="D5343">
        <v>113</v>
      </c>
    </row>
    <row r="5344" spans="1:4" hidden="1" x14ac:dyDescent="0.25">
      <c r="A5344" s="2" t="s">
        <v>39</v>
      </c>
      <c r="B5344">
        <v>71</v>
      </c>
      <c r="C5344" s="2" t="s">
        <v>120</v>
      </c>
      <c r="D5344">
        <v>110</v>
      </c>
    </row>
    <row r="5345" spans="1:4" hidden="1" x14ac:dyDescent="0.25">
      <c r="A5345" s="2" t="s">
        <v>39</v>
      </c>
      <c r="B5345">
        <v>71</v>
      </c>
      <c r="C5345" s="2" t="s">
        <v>121</v>
      </c>
      <c r="D5345">
        <v>109</v>
      </c>
    </row>
    <row r="5346" spans="1:4" hidden="1" x14ac:dyDescent="0.25">
      <c r="A5346" s="2" t="s">
        <v>39</v>
      </c>
      <c r="B5346">
        <v>71</v>
      </c>
      <c r="C5346" s="2" t="s">
        <v>122</v>
      </c>
      <c r="D5346">
        <v>104</v>
      </c>
    </row>
    <row r="5347" spans="1:4" hidden="1" x14ac:dyDescent="0.25">
      <c r="A5347" s="2" t="s">
        <v>39</v>
      </c>
      <c r="B5347">
        <v>71</v>
      </c>
      <c r="C5347" s="2" t="s">
        <v>123</v>
      </c>
      <c r="D5347">
        <v>90</v>
      </c>
    </row>
    <row r="5348" spans="1:4" hidden="1" x14ac:dyDescent="0.25">
      <c r="A5348" s="2" t="s">
        <v>39</v>
      </c>
      <c r="B5348">
        <v>71</v>
      </c>
      <c r="C5348" s="2" t="s">
        <v>124</v>
      </c>
      <c r="D5348">
        <v>92</v>
      </c>
    </row>
    <row r="5349" spans="1:4" hidden="1" x14ac:dyDescent="0.25">
      <c r="A5349" s="2" t="s">
        <v>39</v>
      </c>
      <c r="B5349">
        <v>71</v>
      </c>
      <c r="C5349" s="2" t="s">
        <v>125</v>
      </c>
      <c r="D5349">
        <v>84</v>
      </c>
    </row>
    <row r="5350" spans="1:4" hidden="1" x14ac:dyDescent="0.25">
      <c r="A5350" s="2" t="s">
        <v>39</v>
      </c>
      <c r="B5350">
        <v>71</v>
      </c>
      <c r="C5350" s="2" t="s">
        <v>126</v>
      </c>
      <c r="D5350">
        <v>87</v>
      </c>
    </row>
    <row r="5351" spans="1:4" hidden="1" x14ac:dyDescent="0.25">
      <c r="A5351" s="2" t="s">
        <v>39</v>
      </c>
      <c r="B5351">
        <v>71</v>
      </c>
      <c r="C5351" s="2" t="s">
        <v>127</v>
      </c>
      <c r="D5351">
        <v>91</v>
      </c>
    </row>
    <row r="5352" spans="1:4" hidden="1" x14ac:dyDescent="0.25">
      <c r="A5352" s="2" t="s">
        <v>39</v>
      </c>
      <c r="B5352">
        <v>71</v>
      </c>
      <c r="C5352" s="2" t="s">
        <v>128</v>
      </c>
      <c r="D5352">
        <v>94</v>
      </c>
    </row>
    <row r="5353" spans="1:4" hidden="1" x14ac:dyDescent="0.25">
      <c r="A5353" s="2" t="s">
        <v>39</v>
      </c>
      <c r="B5353">
        <v>71</v>
      </c>
      <c r="C5353" s="2" t="s">
        <v>129</v>
      </c>
      <c r="D5353">
        <v>95</v>
      </c>
    </row>
    <row r="5354" spans="1:4" hidden="1" x14ac:dyDescent="0.25">
      <c r="A5354" s="2" t="s">
        <v>39</v>
      </c>
      <c r="B5354">
        <v>71</v>
      </c>
      <c r="C5354" s="2" t="s">
        <v>130</v>
      </c>
      <c r="D5354">
        <v>78</v>
      </c>
    </row>
    <row r="5355" spans="1:4" hidden="1" x14ac:dyDescent="0.25">
      <c r="A5355" s="2" t="s">
        <v>39</v>
      </c>
      <c r="B5355">
        <v>71</v>
      </c>
      <c r="C5355" s="2" t="s">
        <v>131</v>
      </c>
      <c r="D5355">
        <v>74</v>
      </c>
    </row>
    <row r="5356" spans="1:4" hidden="1" x14ac:dyDescent="0.25">
      <c r="A5356" s="2" t="s">
        <v>39</v>
      </c>
      <c r="B5356">
        <v>71</v>
      </c>
      <c r="C5356" s="2" t="s">
        <v>132</v>
      </c>
      <c r="D5356">
        <v>69</v>
      </c>
    </row>
    <row r="5357" spans="1:4" hidden="1" x14ac:dyDescent="0.25">
      <c r="A5357" s="2" t="s">
        <v>39</v>
      </c>
      <c r="B5357">
        <v>71</v>
      </c>
      <c r="C5357" s="2" t="s">
        <v>133</v>
      </c>
      <c r="D5357">
        <v>69</v>
      </c>
    </row>
    <row r="5358" spans="1:4" hidden="1" x14ac:dyDescent="0.25">
      <c r="A5358" s="2" t="s">
        <v>39</v>
      </c>
      <c r="B5358">
        <v>71</v>
      </c>
      <c r="C5358" s="2" t="s">
        <v>134</v>
      </c>
      <c r="D5358">
        <v>63</v>
      </c>
    </row>
    <row r="5359" spans="1:4" hidden="1" x14ac:dyDescent="0.25">
      <c r="A5359" s="2" t="s">
        <v>39</v>
      </c>
      <c r="B5359">
        <v>71</v>
      </c>
      <c r="C5359" s="2" t="s">
        <v>135</v>
      </c>
      <c r="D5359">
        <v>71</v>
      </c>
    </row>
    <row r="5360" spans="1:4" hidden="1" x14ac:dyDescent="0.25">
      <c r="A5360" s="2" t="s">
        <v>39</v>
      </c>
      <c r="B5360">
        <v>71</v>
      </c>
      <c r="C5360" s="2" t="s">
        <v>136</v>
      </c>
      <c r="D5360">
        <v>71</v>
      </c>
    </row>
    <row r="5361" spans="1:4" hidden="1" x14ac:dyDescent="0.25">
      <c r="A5361" s="2" t="s">
        <v>39</v>
      </c>
      <c r="B5361">
        <v>71</v>
      </c>
      <c r="C5361" s="2" t="s">
        <v>137</v>
      </c>
      <c r="D5361">
        <v>71</v>
      </c>
    </row>
    <row r="5362" spans="1:4" hidden="1" x14ac:dyDescent="0.25">
      <c r="A5362" s="2" t="s">
        <v>39</v>
      </c>
      <c r="B5362">
        <v>71</v>
      </c>
      <c r="C5362" s="2" t="s">
        <v>138</v>
      </c>
      <c r="D5362">
        <v>71</v>
      </c>
    </row>
    <row r="5363" spans="1:4" hidden="1" x14ac:dyDescent="0.25">
      <c r="A5363" s="2" t="s">
        <v>39</v>
      </c>
      <c r="B5363">
        <v>71</v>
      </c>
      <c r="C5363" s="2" t="s">
        <v>139</v>
      </c>
      <c r="D5363">
        <v>71</v>
      </c>
    </row>
    <row r="5364" spans="1:4" hidden="1" x14ac:dyDescent="0.25">
      <c r="A5364" s="2" t="s">
        <v>39</v>
      </c>
      <c r="B5364">
        <v>71</v>
      </c>
      <c r="C5364" s="2" t="s">
        <v>140</v>
      </c>
      <c r="D5364">
        <v>71</v>
      </c>
    </row>
    <row r="5365" spans="1:4" hidden="1" x14ac:dyDescent="0.25">
      <c r="A5365" s="2" t="s">
        <v>39</v>
      </c>
      <c r="B5365">
        <v>71</v>
      </c>
      <c r="C5365" s="2" t="s">
        <v>141</v>
      </c>
      <c r="D5365">
        <v>71</v>
      </c>
    </row>
    <row r="5366" spans="1:4" hidden="1" x14ac:dyDescent="0.25">
      <c r="A5366" s="2" t="s">
        <v>39</v>
      </c>
      <c r="B5366">
        <v>71</v>
      </c>
      <c r="C5366" s="2" t="s">
        <v>142</v>
      </c>
      <c r="D5366">
        <v>71</v>
      </c>
    </row>
    <row r="5367" spans="1:4" hidden="1" x14ac:dyDescent="0.25">
      <c r="A5367" s="2" t="s">
        <v>39</v>
      </c>
      <c r="B5367">
        <v>71</v>
      </c>
      <c r="C5367" s="2" t="s">
        <v>143</v>
      </c>
      <c r="D5367">
        <v>71</v>
      </c>
    </row>
    <row r="5368" spans="1:4" hidden="1" x14ac:dyDescent="0.25">
      <c r="A5368" s="2" t="s">
        <v>39</v>
      </c>
      <c r="B5368">
        <v>71</v>
      </c>
      <c r="C5368" s="2" t="s">
        <v>144</v>
      </c>
      <c r="D5368">
        <v>71</v>
      </c>
    </row>
    <row r="5369" spans="1:4" hidden="1" x14ac:dyDescent="0.25">
      <c r="A5369" s="2" t="s">
        <v>39</v>
      </c>
      <c r="B5369">
        <v>71</v>
      </c>
      <c r="C5369" s="2" t="s">
        <v>145</v>
      </c>
      <c r="D5369">
        <v>71</v>
      </c>
    </row>
    <row r="5370" spans="1:4" hidden="1" x14ac:dyDescent="0.25">
      <c r="A5370" s="2" t="s">
        <v>39</v>
      </c>
      <c r="B5370">
        <v>71</v>
      </c>
      <c r="C5370" s="2" t="s">
        <v>146</v>
      </c>
      <c r="D5370">
        <v>71</v>
      </c>
    </row>
    <row r="5371" spans="1:4" hidden="1" x14ac:dyDescent="0.25">
      <c r="A5371" s="2" t="s">
        <v>39</v>
      </c>
      <c r="B5371">
        <v>71</v>
      </c>
      <c r="C5371" s="2" t="s">
        <v>147</v>
      </c>
      <c r="D5371">
        <v>71</v>
      </c>
    </row>
    <row r="5372" spans="1:4" hidden="1" x14ac:dyDescent="0.25">
      <c r="A5372" s="2" t="s">
        <v>39</v>
      </c>
      <c r="B5372">
        <v>71</v>
      </c>
      <c r="C5372" s="2" t="s">
        <v>148</v>
      </c>
      <c r="D5372">
        <v>71</v>
      </c>
    </row>
    <row r="5373" spans="1:4" hidden="1" x14ac:dyDescent="0.25">
      <c r="A5373" s="2" t="s">
        <v>39</v>
      </c>
      <c r="B5373">
        <v>71</v>
      </c>
      <c r="C5373" s="2" t="s">
        <v>149</v>
      </c>
      <c r="D5373">
        <v>71</v>
      </c>
    </row>
    <row r="5374" spans="1:4" hidden="1" x14ac:dyDescent="0.25">
      <c r="A5374" s="2" t="s">
        <v>39</v>
      </c>
      <c r="B5374">
        <v>71</v>
      </c>
      <c r="C5374" s="2" t="s">
        <v>150</v>
      </c>
      <c r="D5374">
        <v>71</v>
      </c>
    </row>
    <row r="5375" spans="1:4" hidden="1" x14ac:dyDescent="0.25">
      <c r="A5375" s="2" t="s">
        <v>39</v>
      </c>
      <c r="B5375">
        <v>71</v>
      </c>
      <c r="C5375" s="2" t="s">
        <v>151</v>
      </c>
      <c r="D5375">
        <v>71</v>
      </c>
    </row>
    <row r="5376" spans="1:4" hidden="1" x14ac:dyDescent="0.25">
      <c r="A5376" s="2" t="s">
        <v>39</v>
      </c>
      <c r="B5376">
        <v>71</v>
      </c>
      <c r="C5376" s="2" t="s">
        <v>152</v>
      </c>
      <c r="D5376">
        <v>71</v>
      </c>
    </row>
    <row r="5377" spans="1:4" hidden="1" x14ac:dyDescent="0.25">
      <c r="A5377" s="2" t="s">
        <v>39</v>
      </c>
      <c r="B5377">
        <v>71</v>
      </c>
      <c r="C5377" s="2" t="s">
        <v>153</v>
      </c>
      <c r="D5377">
        <v>71</v>
      </c>
    </row>
    <row r="5378" spans="1:4" hidden="1" x14ac:dyDescent="0.25">
      <c r="A5378" s="2" t="s">
        <v>39</v>
      </c>
      <c r="B5378">
        <v>71</v>
      </c>
      <c r="C5378" s="2" t="s">
        <v>154</v>
      </c>
      <c r="D5378">
        <v>71</v>
      </c>
    </row>
    <row r="5379" spans="1:4" hidden="1" x14ac:dyDescent="0.25">
      <c r="A5379" s="2" t="s">
        <v>39</v>
      </c>
      <c r="B5379">
        <v>71</v>
      </c>
      <c r="C5379" s="2" t="s">
        <v>155</v>
      </c>
      <c r="D5379">
        <v>71</v>
      </c>
    </row>
    <row r="5380" spans="1:4" hidden="1" x14ac:dyDescent="0.25">
      <c r="A5380" s="2" t="s">
        <v>39</v>
      </c>
      <c r="B5380">
        <v>71</v>
      </c>
      <c r="C5380" s="2" t="s">
        <v>156</v>
      </c>
      <c r="D5380">
        <v>71</v>
      </c>
    </row>
    <row r="5381" spans="1:4" hidden="1" x14ac:dyDescent="0.25">
      <c r="A5381" s="2" t="s">
        <v>39</v>
      </c>
      <c r="B5381">
        <v>71</v>
      </c>
      <c r="C5381" s="2" t="s">
        <v>157</v>
      </c>
      <c r="D5381">
        <v>71</v>
      </c>
    </row>
    <row r="5382" spans="1:4" hidden="1" x14ac:dyDescent="0.25">
      <c r="A5382" s="2" t="s">
        <v>39</v>
      </c>
      <c r="B5382">
        <v>71</v>
      </c>
      <c r="C5382" s="2" t="s">
        <v>158</v>
      </c>
      <c r="D5382">
        <v>71</v>
      </c>
    </row>
    <row r="5383" spans="1:4" hidden="1" x14ac:dyDescent="0.25">
      <c r="A5383" s="2" t="s">
        <v>39</v>
      </c>
      <c r="B5383">
        <v>71</v>
      </c>
      <c r="C5383" s="2" t="s">
        <v>159</v>
      </c>
      <c r="D5383">
        <v>71</v>
      </c>
    </row>
    <row r="5384" spans="1:4" hidden="1" x14ac:dyDescent="0.25">
      <c r="A5384" s="2" t="s">
        <v>39</v>
      </c>
      <c r="B5384">
        <v>71</v>
      </c>
      <c r="C5384" s="2" t="s">
        <v>160</v>
      </c>
      <c r="D5384">
        <v>71</v>
      </c>
    </row>
    <row r="5385" spans="1:4" hidden="1" x14ac:dyDescent="0.25">
      <c r="A5385" s="2" t="s">
        <v>39</v>
      </c>
      <c r="B5385">
        <v>71</v>
      </c>
      <c r="C5385" s="2" t="s">
        <v>161</v>
      </c>
      <c r="D5385">
        <v>71</v>
      </c>
    </row>
    <row r="5386" spans="1:4" hidden="1" x14ac:dyDescent="0.25">
      <c r="A5386" s="2" t="s">
        <v>39</v>
      </c>
      <c r="B5386">
        <v>71</v>
      </c>
      <c r="C5386" s="2" t="s">
        <v>162</v>
      </c>
      <c r="D5386">
        <v>71</v>
      </c>
    </row>
    <row r="5387" spans="1:4" hidden="1" x14ac:dyDescent="0.25">
      <c r="A5387" s="2" t="s">
        <v>39</v>
      </c>
      <c r="B5387">
        <v>71</v>
      </c>
      <c r="C5387" s="2" t="s">
        <v>163</v>
      </c>
      <c r="D5387">
        <v>71</v>
      </c>
    </row>
    <row r="5388" spans="1:4" hidden="1" x14ac:dyDescent="0.25">
      <c r="A5388" s="2" t="s">
        <v>39</v>
      </c>
      <c r="B5388">
        <v>71</v>
      </c>
      <c r="C5388" s="2" t="s">
        <v>164</v>
      </c>
      <c r="D5388">
        <v>71</v>
      </c>
    </row>
    <row r="5389" spans="1:4" hidden="1" x14ac:dyDescent="0.25">
      <c r="A5389" s="2" t="s">
        <v>39</v>
      </c>
      <c r="B5389">
        <v>71</v>
      </c>
      <c r="C5389" s="2" t="s">
        <v>165</v>
      </c>
      <c r="D5389">
        <v>71</v>
      </c>
    </row>
    <row r="5390" spans="1:4" hidden="1" x14ac:dyDescent="0.25">
      <c r="A5390" s="2" t="s">
        <v>39</v>
      </c>
      <c r="B5390">
        <v>71</v>
      </c>
      <c r="C5390" s="2" t="s">
        <v>166</v>
      </c>
      <c r="D5390">
        <v>71</v>
      </c>
    </row>
    <row r="5391" spans="1:4" hidden="1" x14ac:dyDescent="0.25">
      <c r="A5391" s="2" t="s">
        <v>39</v>
      </c>
      <c r="B5391">
        <v>71</v>
      </c>
      <c r="C5391" s="2" t="s">
        <v>167</v>
      </c>
      <c r="D5391">
        <v>71</v>
      </c>
    </row>
    <row r="5392" spans="1:4" hidden="1" x14ac:dyDescent="0.25">
      <c r="A5392" s="2" t="s">
        <v>39</v>
      </c>
      <c r="B5392">
        <v>71</v>
      </c>
      <c r="C5392" s="2" t="s">
        <v>168</v>
      </c>
      <c r="D5392">
        <v>71</v>
      </c>
    </row>
    <row r="5393" spans="1:4" hidden="1" x14ac:dyDescent="0.25">
      <c r="A5393" s="2" t="s">
        <v>39</v>
      </c>
      <c r="B5393">
        <v>71</v>
      </c>
      <c r="C5393" s="2" t="s">
        <v>169</v>
      </c>
      <c r="D5393">
        <v>71</v>
      </c>
    </row>
    <row r="5394" spans="1:4" hidden="1" x14ac:dyDescent="0.25">
      <c r="A5394" s="2" t="s">
        <v>39</v>
      </c>
      <c r="B5394">
        <v>71</v>
      </c>
      <c r="C5394" s="2" t="s">
        <v>170</v>
      </c>
      <c r="D5394">
        <v>71</v>
      </c>
    </row>
    <row r="5395" spans="1:4" hidden="1" x14ac:dyDescent="0.25">
      <c r="A5395" s="2" t="s">
        <v>39</v>
      </c>
      <c r="B5395">
        <v>71</v>
      </c>
      <c r="C5395" s="2" t="s">
        <v>171</v>
      </c>
      <c r="D5395">
        <v>71</v>
      </c>
    </row>
    <row r="5396" spans="1:4" hidden="1" x14ac:dyDescent="0.25">
      <c r="A5396" s="2" t="s">
        <v>39</v>
      </c>
      <c r="B5396">
        <v>71</v>
      </c>
      <c r="C5396" s="2" t="s">
        <v>172</v>
      </c>
      <c r="D5396">
        <v>71</v>
      </c>
    </row>
    <row r="5397" spans="1:4" hidden="1" x14ac:dyDescent="0.25">
      <c r="A5397" s="2" t="s">
        <v>39</v>
      </c>
      <c r="B5397">
        <v>71</v>
      </c>
      <c r="C5397" s="2" t="s">
        <v>173</v>
      </c>
      <c r="D5397">
        <v>71</v>
      </c>
    </row>
    <row r="5398" spans="1:4" hidden="1" x14ac:dyDescent="0.25">
      <c r="A5398" s="2" t="s">
        <v>39</v>
      </c>
      <c r="B5398">
        <v>71</v>
      </c>
      <c r="C5398" s="2" t="s">
        <v>174</v>
      </c>
      <c r="D5398">
        <v>71</v>
      </c>
    </row>
    <row r="5399" spans="1:4" hidden="1" x14ac:dyDescent="0.25">
      <c r="A5399" s="2" t="s">
        <v>39</v>
      </c>
      <c r="B5399">
        <v>71</v>
      </c>
      <c r="C5399" s="2" t="s">
        <v>175</v>
      </c>
      <c r="D5399">
        <v>71</v>
      </c>
    </row>
    <row r="5400" spans="1:4" hidden="1" x14ac:dyDescent="0.25">
      <c r="A5400" s="2" t="s">
        <v>39</v>
      </c>
      <c r="B5400">
        <v>71</v>
      </c>
      <c r="C5400" s="2" t="s">
        <v>176</v>
      </c>
      <c r="D5400">
        <v>71</v>
      </c>
    </row>
    <row r="5401" spans="1:4" hidden="1" x14ac:dyDescent="0.25">
      <c r="A5401" s="2" t="s">
        <v>39</v>
      </c>
      <c r="B5401">
        <v>71</v>
      </c>
      <c r="C5401" s="2" t="s">
        <v>177</v>
      </c>
      <c r="D5401">
        <v>71</v>
      </c>
    </row>
    <row r="5402" spans="1:4" hidden="1" x14ac:dyDescent="0.25">
      <c r="A5402" s="2" t="s">
        <v>39</v>
      </c>
      <c r="B5402">
        <v>71</v>
      </c>
      <c r="C5402" s="2" t="s">
        <v>178</v>
      </c>
      <c r="D5402">
        <v>71</v>
      </c>
    </row>
    <row r="5403" spans="1:4" hidden="1" x14ac:dyDescent="0.25">
      <c r="A5403" s="2" t="s">
        <v>39</v>
      </c>
      <c r="B5403">
        <v>71</v>
      </c>
      <c r="C5403" s="2" t="s">
        <v>179</v>
      </c>
      <c r="D5403">
        <v>71</v>
      </c>
    </row>
    <row r="5404" spans="1:4" hidden="1" x14ac:dyDescent="0.25">
      <c r="A5404" s="2" t="s">
        <v>61</v>
      </c>
      <c r="B5404">
        <v>71</v>
      </c>
      <c r="C5404" s="2" t="s">
        <v>183</v>
      </c>
      <c r="D5404">
        <v>13</v>
      </c>
    </row>
    <row r="5405" spans="1:4" hidden="1" x14ac:dyDescent="0.25">
      <c r="A5405" s="2" t="s">
        <v>61</v>
      </c>
      <c r="B5405">
        <v>71</v>
      </c>
      <c r="C5405" s="2" t="s">
        <v>184</v>
      </c>
      <c r="D5405">
        <v>14</v>
      </c>
    </row>
    <row r="5406" spans="1:4" hidden="1" x14ac:dyDescent="0.25">
      <c r="A5406" s="2" t="s">
        <v>61</v>
      </c>
      <c r="B5406">
        <v>71</v>
      </c>
      <c r="C5406" s="2" t="s">
        <v>185</v>
      </c>
      <c r="D5406">
        <v>52</v>
      </c>
    </row>
    <row r="5407" spans="1:4" hidden="1" x14ac:dyDescent="0.25">
      <c r="A5407" s="2" t="s">
        <v>61</v>
      </c>
      <c r="B5407">
        <v>71</v>
      </c>
      <c r="C5407" s="2" t="s">
        <v>186</v>
      </c>
      <c r="D5407">
        <v>77</v>
      </c>
    </row>
    <row r="5408" spans="1:4" hidden="1" x14ac:dyDescent="0.25">
      <c r="A5408" s="2" t="s">
        <v>61</v>
      </c>
      <c r="B5408">
        <v>71</v>
      </c>
      <c r="C5408" s="2" t="s">
        <v>187</v>
      </c>
      <c r="D5408">
        <v>79</v>
      </c>
    </row>
    <row r="5409" spans="1:4" hidden="1" x14ac:dyDescent="0.25">
      <c r="A5409" s="2" t="s">
        <v>61</v>
      </c>
      <c r="B5409">
        <v>71</v>
      </c>
      <c r="C5409" s="2" t="s">
        <v>188</v>
      </c>
      <c r="D5409">
        <v>77</v>
      </c>
    </row>
    <row r="5410" spans="1:4" hidden="1" x14ac:dyDescent="0.25">
      <c r="A5410" s="2" t="s">
        <v>61</v>
      </c>
      <c r="B5410">
        <v>71</v>
      </c>
      <c r="C5410" s="2" t="s">
        <v>189</v>
      </c>
      <c r="D5410">
        <v>67</v>
      </c>
    </row>
    <row r="5411" spans="1:4" hidden="1" x14ac:dyDescent="0.25">
      <c r="A5411" s="2" t="s">
        <v>61</v>
      </c>
      <c r="B5411">
        <v>71</v>
      </c>
      <c r="C5411" s="2" t="s">
        <v>190</v>
      </c>
      <c r="D5411">
        <v>73</v>
      </c>
    </row>
    <row r="5412" spans="1:4" hidden="1" x14ac:dyDescent="0.25">
      <c r="A5412" s="2" t="s">
        <v>61</v>
      </c>
      <c r="B5412">
        <v>71</v>
      </c>
      <c r="C5412" s="2" t="s">
        <v>191</v>
      </c>
      <c r="D5412">
        <v>72</v>
      </c>
    </row>
    <row r="5413" spans="1:4" hidden="1" x14ac:dyDescent="0.25">
      <c r="A5413" s="2" t="s">
        <v>61</v>
      </c>
      <c r="B5413">
        <v>71</v>
      </c>
      <c r="C5413" s="2" t="s">
        <v>116</v>
      </c>
      <c r="D5413">
        <v>74</v>
      </c>
    </row>
    <row r="5414" spans="1:4" hidden="1" x14ac:dyDescent="0.25">
      <c r="A5414" s="2" t="s">
        <v>61</v>
      </c>
      <c r="B5414">
        <v>71</v>
      </c>
      <c r="C5414" s="2" t="s">
        <v>117</v>
      </c>
      <c r="D5414">
        <v>69</v>
      </c>
    </row>
    <row r="5415" spans="1:4" hidden="1" x14ac:dyDescent="0.25">
      <c r="A5415" s="2" t="s">
        <v>61</v>
      </c>
      <c r="B5415">
        <v>71</v>
      </c>
      <c r="C5415" s="2" t="s">
        <v>118</v>
      </c>
      <c r="D5415">
        <v>62</v>
      </c>
    </row>
    <row r="5416" spans="1:4" hidden="1" x14ac:dyDescent="0.25">
      <c r="A5416" s="2" t="s">
        <v>61</v>
      </c>
      <c r="B5416">
        <v>71</v>
      </c>
      <c r="C5416" s="2" t="s">
        <v>119</v>
      </c>
      <c r="D5416">
        <v>68</v>
      </c>
    </row>
    <row r="5417" spans="1:4" hidden="1" x14ac:dyDescent="0.25">
      <c r="A5417" s="2" t="s">
        <v>61</v>
      </c>
      <c r="B5417">
        <v>71</v>
      </c>
      <c r="C5417" s="2" t="s">
        <v>120</v>
      </c>
      <c r="D5417">
        <v>52</v>
      </c>
    </row>
    <row r="5418" spans="1:4" hidden="1" x14ac:dyDescent="0.25">
      <c r="A5418" s="2" t="s">
        <v>61</v>
      </c>
      <c r="B5418">
        <v>71</v>
      </c>
      <c r="C5418" s="2" t="s">
        <v>121</v>
      </c>
      <c r="D5418">
        <v>51</v>
      </c>
    </row>
    <row r="5419" spans="1:4" hidden="1" x14ac:dyDescent="0.25">
      <c r="A5419" s="2" t="s">
        <v>61</v>
      </c>
      <c r="B5419">
        <v>71</v>
      </c>
      <c r="C5419" s="2" t="s">
        <v>122</v>
      </c>
      <c r="D5419">
        <v>78</v>
      </c>
    </row>
    <row r="5420" spans="1:4" hidden="1" x14ac:dyDescent="0.25">
      <c r="A5420" s="2" t="s">
        <v>61</v>
      </c>
      <c r="B5420">
        <v>71</v>
      </c>
      <c r="C5420" s="2" t="s">
        <v>123</v>
      </c>
      <c r="D5420">
        <v>68</v>
      </c>
    </row>
    <row r="5421" spans="1:4" hidden="1" x14ac:dyDescent="0.25">
      <c r="A5421" s="2" t="s">
        <v>61</v>
      </c>
      <c r="B5421">
        <v>71</v>
      </c>
      <c r="C5421" s="2" t="s">
        <v>124</v>
      </c>
      <c r="D5421">
        <v>48</v>
      </c>
    </row>
    <row r="5422" spans="1:4" hidden="1" x14ac:dyDescent="0.25">
      <c r="A5422" s="2" t="s">
        <v>61</v>
      </c>
      <c r="B5422">
        <v>71</v>
      </c>
      <c r="C5422" s="2" t="s">
        <v>125</v>
      </c>
      <c r="D5422">
        <v>42</v>
      </c>
    </row>
    <row r="5423" spans="1:4" hidden="1" x14ac:dyDescent="0.25">
      <c r="A5423" s="2" t="s">
        <v>61</v>
      </c>
      <c r="B5423">
        <v>71</v>
      </c>
      <c r="C5423" s="2" t="s">
        <v>126</v>
      </c>
      <c r="D5423">
        <v>48</v>
      </c>
    </row>
    <row r="5424" spans="1:4" hidden="1" x14ac:dyDescent="0.25">
      <c r="A5424" s="2" t="s">
        <v>61</v>
      </c>
      <c r="B5424">
        <v>71</v>
      </c>
      <c r="C5424" s="2" t="s">
        <v>127</v>
      </c>
      <c r="D5424">
        <v>51</v>
      </c>
    </row>
    <row r="5425" spans="1:4" hidden="1" x14ac:dyDescent="0.25">
      <c r="A5425" s="2" t="s">
        <v>61</v>
      </c>
      <c r="B5425">
        <v>71</v>
      </c>
      <c r="C5425" s="2" t="s">
        <v>128</v>
      </c>
      <c r="D5425">
        <v>56</v>
      </c>
    </row>
    <row r="5426" spans="1:4" hidden="1" x14ac:dyDescent="0.25">
      <c r="A5426" s="2" t="s">
        <v>61</v>
      </c>
      <c r="B5426">
        <v>71</v>
      </c>
      <c r="C5426" s="2" t="s">
        <v>129</v>
      </c>
      <c r="D5426">
        <v>58</v>
      </c>
    </row>
    <row r="5427" spans="1:4" hidden="1" x14ac:dyDescent="0.25">
      <c r="A5427" s="2" t="s">
        <v>61</v>
      </c>
      <c r="B5427">
        <v>71</v>
      </c>
      <c r="C5427" s="2" t="s">
        <v>130</v>
      </c>
      <c r="D5427">
        <v>67</v>
      </c>
    </row>
    <row r="5428" spans="1:4" hidden="1" x14ac:dyDescent="0.25">
      <c r="A5428" s="2" t="s">
        <v>61</v>
      </c>
      <c r="B5428">
        <v>71</v>
      </c>
      <c r="C5428" s="2" t="s">
        <v>131</v>
      </c>
      <c r="D5428">
        <v>63</v>
      </c>
    </row>
    <row r="5429" spans="1:4" hidden="1" x14ac:dyDescent="0.25">
      <c r="A5429" s="2" t="s">
        <v>61</v>
      </c>
      <c r="B5429">
        <v>71</v>
      </c>
      <c r="C5429" s="2" t="s">
        <v>132</v>
      </c>
      <c r="D5429">
        <v>65</v>
      </c>
    </row>
    <row r="5430" spans="1:4" hidden="1" x14ac:dyDescent="0.25">
      <c r="A5430" s="2" t="s">
        <v>61</v>
      </c>
      <c r="B5430">
        <v>71</v>
      </c>
      <c r="C5430" s="2" t="s">
        <v>133</v>
      </c>
      <c r="D5430">
        <v>65</v>
      </c>
    </row>
    <row r="5431" spans="1:4" hidden="1" x14ac:dyDescent="0.25">
      <c r="A5431" s="2" t="s">
        <v>61</v>
      </c>
      <c r="B5431">
        <v>71</v>
      </c>
      <c r="C5431" s="2" t="s">
        <v>134</v>
      </c>
      <c r="D5431">
        <v>63</v>
      </c>
    </row>
    <row r="5432" spans="1:4" hidden="1" x14ac:dyDescent="0.25">
      <c r="A5432" s="2" t="s">
        <v>61</v>
      </c>
      <c r="B5432">
        <v>71</v>
      </c>
      <c r="C5432" s="2" t="s">
        <v>135</v>
      </c>
      <c r="D5432">
        <v>71</v>
      </c>
    </row>
    <row r="5433" spans="1:4" hidden="1" x14ac:dyDescent="0.25">
      <c r="A5433" s="2" t="s">
        <v>61</v>
      </c>
      <c r="B5433">
        <v>71</v>
      </c>
      <c r="C5433" s="2" t="s">
        <v>136</v>
      </c>
      <c r="D5433">
        <v>71</v>
      </c>
    </row>
    <row r="5434" spans="1:4" hidden="1" x14ac:dyDescent="0.25">
      <c r="A5434" s="2" t="s">
        <v>61</v>
      </c>
      <c r="B5434">
        <v>71</v>
      </c>
      <c r="C5434" s="2" t="s">
        <v>137</v>
      </c>
      <c r="D5434">
        <v>71</v>
      </c>
    </row>
    <row r="5435" spans="1:4" hidden="1" x14ac:dyDescent="0.25">
      <c r="A5435" s="2" t="s">
        <v>61</v>
      </c>
      <c r="B5435">
        <v>71</v>
      </c>
      <c r="C5435" s="2" t="s">
        <v>138</v>
      </c>
      <c r="D5435">
        <v>71</v>
      </c>
    </row>
    <row r="5436" spans="1:4" hidden="1" x14ac:dyDescent="0.25">
      <c r="A5436" s="2" t="s">
        <v>61</v>
      </c>
      <c r="B5436">
        <v>71</v>
      </c>
      <c r="C5436" s="2" t="s">
        <v>139</v>
      </c>
      <c r="D5436">
        <v>71</v>
      </c>
    </row>
    <row r="5437" spans="1:4" hidden="1" x14ac:dyDescent="0.25">
      <c r="A5437" s="2" t="s">
        <v>61</v>
      </c>
      <c r="B5437">
        <v>71</v>
      </c>
      <c r="C5437" s="2" t="s">
        <v>140</v>
      </c>
      <c r="D5437">
        <v>71</v>
      </c>
    </row>
    <row r="5438" spans="1:4" hidden="1" x14ac:dyDescent="0.25">
      <c r="A5438" s="2" t="s">
        <v>61</v>
      </c>
      <c r="B5438">
        <v>71</v>
      </c>
      <c r="C5438" s="2" t="s">
        <v>141</v>
      </c>
      <c r="D5438">
        <v>71</v>
      </c>
    </row>
    <row r="5439" spans="1:4" hidden="1" x14ac:dyDescent="0.25">
      <c r="A5439" s="2" t="s">
        <v>61</v>
      </c>
      <c r="B5439">
        <v>71</v>
      </c>
      <c r="C5439" s="2" t="s">
        <v>142</v>
      </c>
      <c r="D5439">
        <v>71</v>
      </c>
    </row>
    <row r="5440" spans="1:4" hidden="1" x14ac:dyDescent="0.25">
      <c r="A5440" s="2" t="s">
        <v>61</v>
      </c>
      <c r="B5440">
        <v>71</v>
      </c>
      <c r="C5440" s="2" t="s">
        <v>143</v>
      </c>
      <c r="D5440">
        <v>71</v>
      </c>
    </row>
    <row r="5441" spans="1:4" hidden="1" x14ac:dyDescent="0.25">
      <c r="A5441" s="2" t="s">
        <v>61</v>
      </c>
      <c r="B5441">
        <v>71</v>
      </c>
      <c r="C5441" s="2" t="s">
        <v>144</v>
      </c>
      <c r="D5441">
        <v>71</v>
      </c>
    </row>
    <row r="5442" spans="1:4" hidden="1" x14ac:dyDescent="0.25">
      <c r="A5442" s="2" t="s">
        <v>61</v>
      </c>
      <c r="B5442">
        <v>71</v>
      </c>
      <c r="C5442" s="2" t="s">
        <v>145</v>
      </c>
      <c r="D5442">
        <v>71</v>
      </c>
    </row>
    <row r="5443" spans="1:4" hidden="1" x14ac:dyDescent="0.25">
      <c r="A5443" s="2" t="s">
        <v>61</v>
      </c>
      <c r="B5443">
        <v>71</v>
      </c>
      <c r="C5443" s="2" t="s">
        <v>146</v>
      </c>
      <c r="D5443">
        <v>71</v>
      </c>
    </row>
    <row r="5444" spans="1:4" hidden="1" x14ac:dyDescent="0.25">
      <c r="A5444" s="2" t="s">
        <v>61</v>
      </c>
      <c r="B5444">
        <v>71</v>
      </c>
      <c r="C5444" s="2" t="s">
        <v>147</v>
      </c>
      <c r="D5444">
        <v>71</v>
      </c>
    </row>
    <row r="5445" spans="1:4" hidden="1" x14ac:dyDescent="0.25">
      <c r="A5445" s="2" t="s">
        <v>61</v>
      </c>
      <c r="B5445">
        <v>71</v>
      </c>
      <c r="C5445" s="2" t="s">
        <v>148</v>
      </c>
      <c r="D5445">
        <v>71</v>
      </c>
    </row>
    <row r="5446" spans="1:4" hidden="1" x14ac:dyDescent="0.25">
      <c r="A5446" s="2" t="s">
        <v>61</v>
      </c>
      <c r="B5446">
        <v>71</v>
      </c>
      <c r="C5446" s="2" t="s">
        <v>149</v>
      </c>
      <c r="D5446">
        <v>71</v>
      </c>
    </row>
    <row r="5447" spans="1:4" hidden="1" x14ac:dyDescent="0.25">
      <c r="A5447" s="2" t="s">
        <v>61</v>
      </c>
      <c r="B5447">
        <v>71</v>
      </c>
      <c r="C5447" s="2" t="s">
        <v>150</v>
      </c>
      <c r="D5447">
        <v>71</v>
      </c>
    </row>
    <row r="5448" spans="1:4" hidden="1" x14ac:dyDescent="0.25">
      <c r="A5448" s="2" t="s">
        <v>61</v>
      </c>
      <c r="B5448">
        <v>71</v>
      </c>
      <c r="C5448" s="2" t="s">
        <v>151</v>
      </c>
      <c r="D5448">
        <v>71</v>
      </c>
    </row>
    <row r="5449" spans="1:4" hidden="1" x14ac:dyDescent="0.25">
      <c r="A5449" s="2" t="s">
        <v>61</v>
      </c>
      <c r="B5449">
        <v>71</v>
      </c>
      <c r="C5449" s="2" t="s">
        <v>152</v>
      </c>
      <c r="D5449">
        <v>71</v>
      </c>
    </row>
    <row r="5450" spans="1:4" hidden="1" x14ac:dyDescent="0.25">
      <c r="A5450" s="2" t="s">
        <v>61</v>
      </c>
      <c r="B5450">
        <v>71</v>
      </c>
      <c r="C5450" s="2" t="s">
        <v>153</v>
      </c>
      <c r="D5450">
        <v>71</v>
      </c>
    </row>
    <row r="5451" spans="1:4" hidden="1" x14ac:dyDescent="0.25">
      <c r="A5451" s="2" t="s">
        <v>61</v>
      </c>
      <c r="B5451">
        <v>71</v>
      </c>
      <c r="C5451" s="2" t="s">
        <v>154</v>
      </c>
      <c r="D5451">
        <v>71</v>
      </c>
    </row>
    <row r="5452" spans="1:4" hidden="1" x14ac:dyDescent="0.25">
      <c r="A5452" s="2" t="s">
        <v>61</v>
      </c>
      <c r="B5452">
        <v>71</v>
      </c>
      <c r="C5452" s="2" t="s">
        <v>155</v>
      </c>
      <c r="D5452">
        <v>71</v>
      </c>
    </row>
    <row r="5453" spans="1:4" hidden="1" x14ac:dyDescent="0.25">
      <c r="A5453" s="2" t="s">
        <v>61</v>
      </c>
      <c r="B5453">
        <v>71</v>
      </c>
      <c r="C5453" s="2" t="s">
        <v>156</v>
      </c>
      <c r="D5453">
        <v>71</v>
      </c>
    </row>
    <row r="5454" spans="1:4" hidden="1" x14ac:dyDescent="0.25">
      <c r="A5454" s="2" t="s">
        <v>61</v>
      </c>
      <c r="B5454">
        <v>71</v>
      </c>
      <c r="C5454" s="2" t="s">
        <v>157</v>
      </c>
      <c r="D5454">
        <v>71</v>
      </c>
    </row>
    <row r="5455" spans="1:4" hidden="1" x14ac:dyDescent="0.25">
      <c r="A5455" s="2" t="s">
        <v>61</v>
      </c>
      <c r="B5455">
        <v>71</v>
      </c>
      <c r="C5455" s="2" t="s">
        <v>158</v>
      </c>
      <c r="D5455">
        <v>71</v>
      </c>
    </row>
    <row r="5456" spans="1:4" hidden="1" x14ac:dyDescent="0.25">
      <c r="A5456" s="2" t="s">
        <v>61</v>
      </c>
      <c r="B5456">
        <v>71</v>
      </c>
      <c r="C5456" s="2" t="s">
        <v>159</v>
      </c>
      <c r="D5456">
        <v>71</v>
      </c>
    </row>
    <row r="5457" spans="1:4" hidden="1" x14ac:dyDescent="0.25">
      <c r="A5457" s="2" t="s">
        <v>61</v>
      </c>
      <c r="B5457">
        <v>71</v>
      </c>
      <c r="C5457" s="2" t="s">
        <v>160</v>
      </c>
      <c r="D5457">
        <v>71</v>
      </c>
    </row>
    <row r="5458" spans="1:4" hidden="1" x14ac:dyDescent="0.25">
      <c r="A5458" s="2" t="s">
        <v>61</v>
      </c>
      <c r="B5458">
        <v>71</v>
      </c>
      <c r="C5458" s="2" t="s">
        <v>161</v>
      </c>
      <c r="D5458">
        <v>71</v>
      </c>
    </row>
    <row r="5459" spans="1:4" hidden="1" x14ac:dyDescent="0.25">
      <c r="A5459" s="2" t="s">
        <v>61</v>
      </c>
      <c r="B5459">
        <v>71</v>
      </c>
      <c r="C5459" s="2" t="s">
        <v>162</v>
      </c>
      <c r="D5459">
        <v>71</v>
      </c>
    </row>
    <row r="5460" spans="1:4" hidden="1" x14ac:dyDescent="0.25">
      <c r="A5460" s="2" t="s">
        <v>61</v>
      </c>
      <c r="B5460">
        <v>71</v>
      </c>
      <c r="C5460" s="2" t="s">
        <v>163</v>
      </c>
      <c r="D5460">
        <v>71</v>
      </c>
    </row>
    <row r="5461" spans="1:4" hidden="1" x14ac:dyDescent="0.25">
      <c r="A5461" s="2" t="s">
        <v>61</v>
      </c>
      <c r="B5461">
        <v>71</v>
      </c>
      <c r="C5461" s="2" t="s">
        <v>164</v>
      </c>
      <c r="D5461">
        <v>71</v>
      </c>
    </row>
    <row r="5462" spans="1:4" hidden="1" x14ac:dyDescent="0.25">
      <c r="A5462" s="2" t="s">
        <v>61</v>
      </c>
      <c r="B5462">
        <v>71</v>
      </c>
      <c r="C5462" s="2" t="s">
        <v>165</v>
      </c>
      <c r="D5462">
        <v>71</v>
      </c>
    </row>
    <row r="5463" spans="1:4" hidden="1" x14ac:dyDescent="0.25">
      <c r="A5463" s="2" t="s">
        <v>61</v>
      </c>
      <c r="B5463">
        <v>71</v>
      </c>
      <c r="C5463" s="2" t="s">
        <v>166</v>
      </c>
      <c r="D5463">
        <v>71</v>
      </c>
    </row>
    <row r="5464" spans="1:4" hidden="1" x14ac:dyDescent="0.25">
      <c r="A5464" s="2" t="s">
        <v>61</v>
      </c>
      <c r="B5464">
        <v>71</v>
      </c>
      <c r="C5464" s="2" t="s">
        <v>167</v>
      </c>
      <c r="D5464">
        <v>71</v>
      </c>
    </row>
    <row r="5465" spans="1:4" hidden="1" x14ac:dyDescent="0.25">
      <c r="A5465" s="2" t="s">
        <v>61</v>
      </c>
      <c r="B5465">
        <v>71</v>
      </c>
      <c r="C5465" s="2" t="s">
        <v>168</v>
      </c>
      <c r="D5465">
        <v>71</v>
      </c>
    </row>
    <row r="5466" spans="1:4" hidden="1" x14ac:dyDescent="0.25">
      <c r="A5466" s="2" t="s">
        <v>61</v>
      </c>
      <c r="B5466">
        <v>71</v>
      </c>
      <c r="C5466" s="2" t="s">
        <v>169</v>
      </c>
      <c r="D5466">
        <v>71</v>
      </c>
    </row>
    <row r="5467" spans="1:4" hidden="1" x14ac:dyDescent="0.25">
      <c r="A5467" s="2" t="s">
        <v>61</v>
      </c>
      <c r="B5467">
        <v>71</v>
      </c>
      <c r="C5467" s="2" t="s">
        <v>170</v>
      </c>
      <c r="D5467">
        <v>71</v>
      </c>
    </row>
    <row r="5468" spans="1:4" hidden="1" x14ac:dyDescent="0.25">
      <c r="A5468" s="2" t="s">
        <v>61</v>
      </c>
      <c r="B5468">
        <v>71</v>
      </c>
      <c r="C5468" s="2" t="s">
        <v>171</v>
      </c>
      <c r="D5468">
        <v>71</v>
      </c>
    </row>
    <row r="5469" spans="1:4" hidden="1" x14ac:dyDescent="0.25">
      <c r="A5469" s="2" t="s">
        <v>61</v>
      </c>
      <c r="B5469">
        <v>71</v>
      </c>
      <c r="C5469" s="2" t="s">
        <v>172</v>
      </c>
      <c r="D5469">
        <v>71</v>
      </c>
    </row>
    <row r="5470" spans="1:4" hidden="1" x14ac:dyDescent="0.25">
      <c r="A5470" s="2" t="s">
        <v>61</v>
      </c>
      <c r="B5470">
        <v>71</v>
      </c>
      <c r="C5470" s="2" t="s">
        <v>173</v>
      </c>
      <c r="D5470">
        <v>71</v>
      </c>
    </row>
    <row r="5471" spans="1:4" hidden="1" x14ac:dyDescent="0.25">
      <c r="A5471" s="2" t="s">
        <v>61</v>
      </c>
      <c r="B5471">
        <v>71</v>
      </c>
      <c r="C5471" s="2" t="s">
        <v>174</v>
      </c>
      <c r="D5471">
        <v>71</v>
      </c>
    </row>
    <row r="5472" spans="1:4" hidden="1" x14ac:dyDescent="0.25">
      <c r="A5472" s="2" t="s">
        <v>61</v>
      </c>
      <c r="B5472">
        <v>71</v>
      </c>
      <c r="C5472" s="2" t="s">
        <v>175</v>
      </c>
      <c r="D5472">
        <v>71</v>
      </c>
    </row>
    <row r="5473" spans="1:4" hidden="1" x14ac:dyDescent="0.25">
      <c r="A5473" s="2" t="s">
        <v>61</v>
      </c>
      <c r="B5473">
        <v>71</v>
      </c>
      <c r="C5473" s="2" t="s">
        <v>176</v>
      </c>
      <c r="D5473">
        <v>71</v>
      </c>
    </row>
    <row r="5474" spans="1:4" hidden="1" x14ac:dyDescent="0.25">
      <c r="A5474" s="2" t="s">
        <v>61</v>
      </c>
      <c r="B5474">
        <v>71</v>
      </c>
      <c r="C5474" s="2" t="s">
        <v>177</v>
      </c>
      <c r="D5474">
        <v>71</v>
      </c>
    </row>
    <row r="5475" spans="1:4" hidden="1" x14ac:dyDescent="0.25">
      <c r="A5475" s="2" t="s">
        <v>61</v>
      </c>
      <c r="B5475">
        <v>71</v>
      </c>
      <c r="C5475" s="2" t="s">
        <v>178</v>
      </c>
      <c r="D5475">
        <v>71</v>
      </c>
    </row>
    <row r="5476" spans="1:4" hidden="1" x14ac:dyDescent="0.25">
      <c r="A5476" s="2" t="s">
        <v>61</v>
      </c>
      <c r="B5476">
        <v>71</v>
      </c>
      <c r="C5476" s="2" t="s">
        <v>179</v>
      </c>
      <c r="D5476">
        <v>71</v>
      </c>
    </row>
    <row r="5477" spans="1:4" hidden="1" x14ac:dyDescent="0.25">
      <c r="A5477" s="2" t="s">
        <v>112</v>
      </c>
      <c r="B5477">
        <v>76</v>
      </c>
      <c r="C5477" s="2" t="s">
        <v>183</v>
      </c>
      <c r="D5477">
        <v>62</v>
      </c>
    </row>
    <row r="5478" spans="1:4" hidden="1" x14ac:dyDescent="0.25">
      <c r="A5478" s="2" t="s">
        <v>112</v>
      </c>
      <c r="B5478">
        <v>76</v>
      </c>
      <c r="C5478" s="2" t="s">
        <v>184</v>
      </c>
      <c r="D5478">
        <v>59</v>
      </c>
    </row>
    <row r="5479" spans="1:4" hidden="1" x14ac:dyDescent="0.25">
      <c r="A5479" s="2" t="s">
        <v>112</v>
      </c>
      <c r="B5479">
        <v>76</v>
      </c>
      <c r="C5479" s="2" t="s">
        <v>185</v>
      </c>
      <c r="D5479">
        <v>52</v>
      </c>
    </row>
    <row r="5480" spans="1:4" hidden="1" x14ac:dyDescent="0.25">
      <c r="A5480" s="2" t="s">
        <v>112</v>
      </c>
      <c r="B5480">
        <v>76</v>
      </c>
      <c r="C5480" s="2" t="s">
        <v>186</v>
      </c>
      <c r="D5480">
        <v>67</v>
      </c>
    </row>
    <row r="5481" spans="1:4" hidden="1" x14ac:dyDescent="0.25">
      <c r="A5481" s="2" t="s">
        <v>112</v>
      </c>
      <c r="B5481">
        <v>76</v>
      </c>
      <c r="C5481" s="2" t="s">
        <v>187</v>
      </c>
      <c r="D5481">
        <v>52</v>
      </c>
    </row>
    <row r="5482" spans="1:4" hidden="1" x14ac:dyDescent="0.25">
      <c r="A5482" s="2" t="s">
        <v>112</v>
      </c>
      <c r="B5482">
        <v>76</v>
      </c>
      <c r="C5482" s="2" t="s">
        <v>188</v>
      </c>
      <c r="D5482">
        <v>33</v>
      </c>
    </row>
    <row r="5483" spans="1:4" hidden="1" x14ac:dyDescent="0.25">
      <c r="A5483" s="2" t="s">
        <v>112</v>
      </c>
      <c r="B5483">
        <v>76</v>
      </c>
      <c r="C5483" s="2" t="s">
        <v>189</v>
      </c>
      <c r="D5483">
        <v>42</v>
      </c>
    </row>
    <row r="5484" spans="1:4" hidden="1" x14ac:dyDescent="0.25">
      <c r="A5484" s="2" t="s">
        <v>112</v>
      </c>
      <c r="B5484">
        <v>76</v>
      </c>
      <c r="C5484" s="2" t="s">
        <v>190</v>
      </c>
      <c r="D5484">
        <v>43</v>
      </c>
    </row>
    <row r="5485" spans="1:4" hidden="1" x14ac:dyDescent="0.25">
      <c r="A5485" s="2" t="s">
        <v>112</v>
      </c>
      <c r="B5485">
        <v>76</v>
      </c>
      <c r="C5485" s="2" t="s">
        <v>191</v>
      </c>
      <c r="D5485">
        <v>60</v>
      </c>
    </row>
    <row r="5486" spans="1:4" hidden="1" x14ac:dyDescent="0.25">
      <c r="A5486" s="2" t="s">
        <v>112</v>
      </c>
      <c r="B5486">
        <v>76</v>
      </c>
      <c r="C5486" s="2" t="s">
        <v>116</v>
      </c>
      <c r="D5486">
        <v>50</v>
      </c>
    </row>
    <row r="5487" spans="1:4" hidden="1" x14ac:dyDescent="0.25">
      <c r="A5487" s="2" t="s">
        <v>112</v>
      </c>
      <c r="B5487">
        <v>76</v>
      </c>
      <c r="C5487" s="2" t="s">
        <v>117</v>
      </c>
      <c r="D5487">
        <v>82</v>
      </c>
    </row>
    <row r="5488" spans="1:4" hidden="1" x14ac:dyDescent="0.25">
      <c r="A5488" s="2" t="s">
        <v>112</v>
      </c>
      <c r="B5488">
        <v>76</v>
      </c>
      <c r="C5488" s="2" t="s">
        <v>118</v>
      </c>
      <c r="D5488">
        <v>81</v>
      </c>
    </row>
    <row r="5489" spans="1:4" hidden="1" x14ac:dyDescent="0.25">
      <c r="A5489" s="2" t="s">
        <v>112</v>
      </c>
      <c r="B5489">
        <v>76</v>
      </c>
      <c r="C5489" s="2" t="s">
        <v>119</v>
      </c>
      <c r="D5489">
        <v>84</v>
      </c>
    </row>
    <row r="5490" spans="1:4" hidden="1" x14ac:dyDescent="0.25">
      <c r="A5490" s="2" t="s">
        <v>112</v>
      </c>
      <c r="B5490">
        <v>76</v>
      </c>
      <c r="C5490" s="2" t="s">
        <v>120</v>
      </c>
      <c r="D5490">
        <v>87</v>
      </c>
    </row>
    <row r="5491" spans="1:4" hidden="1" x14ac:dyDescent="0.25">
      <c r="A5491" s="2" t="s">
        <v>112</v>
      </c>
      <c r="B5491">
        <v>76</v>
      </c>
      <c r="C5491" s="2" t="s">
        <v>121</v>
      </c>
      <c r="D5491">
        <v>86</v>
      </c>
    </row>
    <row r="5492" spans="1:4" hidden="1" x14ac:dyDescent="0.25">
      <c r="A5492" s="2" t="s">
        <v>112</v>
      </c>
      <c r="B5492">
        <v>76</v>
      </c>
      <c r="C5492" s="2" t="s">
        <v>122</v>
      </c>
      <c r="D5492">
        <v>93</v>
      </c>
    </row>
    <row r="5493" spans="1:4" hidden="1" x14ac:dyDescent="0.25">
      <c r="A5493" s="2" t="s">
        <v>112</v>
      </c>
      <c r="B5493">
        <v>76</v>
      </c>
      <c r="C5493" s="2" t="s">
        <v>123</v>
      </c>
      <c r="D5493">
        <v>97</v>
      </c>
    </row>
    <row r="5494" spans="1:4" hidden="1" x14ac:dyDescent="0.25">
      <c r="A5494" s="2" t="s">
        <v>112</v>
      </c>
      <c r="B5494">
        <v>76</v>
      </c>
      <c r="C5494" s="2" t="s">
        <v>124</v>
      </c>
      <c r="D5494">
        <v>76</v>
      </c>
    </row>
    <row r="5495" spans="1:4" hidden="1" x14ac:dyDescent="0.25">
      <c r="A5495" s="2" t="s">
        <v>112</v>
      </c>
      <c r="B5495">
        <v>76</v>
      </c>
      <c r="C5495" s="2" t="s">
        <v>125</v>
      </c>
      <c r="D5495">
        <v>74</v>
      </c>
    </row>
    <row r="5496" spans="1:4" hidden="1" x14ac:dyDescent="0.25">
      <c r="A5496" s="2" t="s">
        <v>112</v>
      </c>
      <c r="B5496">
        <v>76</v>
      </c>
      <c r="C5496" s="2" t="s">
        <v>126</v>
      </c>
      <c r="D5496">
        <v>64</v>
      </c>
    </row>
    <row r="5497" spans="1:4" hidden="1" x14ac:dyDescent="0.25">
      <c r="A5497" s="2" t="s">
        <v>112</v>
      </c>
      <c r="B5497">
        <v>76</v>
      </c>
      <c r="C5497" s="2" t="s">
        <v>127</v>
      </c>
      <c r="D5497">
        <v>67</v>
      </c>
    </row>
    <row r="5498" spans="1:4" hidden="1" x14ac:dyDescent="0.25">
      <c r="A5498" s="2" t="s">
        <v>112</v>
      </c>
      <c r="B5498">
        <v>76</v>
      </c>
      <c r="C5498" s="2" t="s">
        <v>128</v>
      </c>
      <c r="D5498">
        <v>72</v>
      </c>
    </row>
    <row r="5499" spans="1:4" hidden="1" x14ac:dyDescent="0.25">
      <c r="A5499" s="2" t="s">
        <v>112</v>
      </c>
      <c r="B5499">
        <v>76</v>
      </c>
      <c r="C5499" s="2" t="s">
        <v>129</v>
      </c>
      <c r="D5499">
        <v>83</v>
      </c>
    </row>
    <row r="5500" spans="1:4" hidden="1" x14ac:dyDescent="0.25">
      <c r="A5500" s="2" t="s">
        <v>112</v>
      </c>
      <c r="B5500">
        <v>76</v>
      </c>
      <c r="C5500" s="2" t="s">
        <v>130</v>
      </c>
      <c r="D5500">
        <v>98</v>
      </c>
    </row>
    <row r="5501" spans="1:4" hidden="1" x14ac:dyDescent="0.25">
      <c r="A5501" s="2" t="s">
        <v>112</v>
      </c>
      <c r="B5501">
        <v>76</v>
      </c>
      <c r="C5501" s="2" t="s">
        <v>131</v>
      </c>
      <c r="D5501">
        <v>100</v>
      </c>
    </row>
    <row r="5502" spans="1:4" hidden="1" x14ac:dyDescent="0.25">
      <c r="A5502" s="2" t="s">
        <v>112</v>
      </c>
      <c r="B5502">
        <v>76</v>
      </c>
      <c r="C5502" s="2" t="s">
        <v>132</v>
      </c>
      <c r="D5502">
        <v>76</v>
      </c>
    </row>
    <row r="5503" spans="1:4" hidden="1" x14ac:dyDescent="0.25">
      <c r="A5503" s="2" t="s">
        <v>112</v>
      </c>
      <c r="B5503">
        <v>76</v>
      </c>
      <c r="C5503" s="2" t="s">
        <v>133</v>
      </c>
      <c r="D5503">
        <v>74</v>
      </c>
    </row>
    <row r="5504" spans="1:4" hidden="1" x14ac:dyDescent="0.25">
      <c r="A5504" s="2" t="s">
        <v>112</v>
      </c>
      <c r="B5504">
        <v>76</v>
      </c>
      <c r="C5504" s="2" t="s">
        <v>134</v>
      </c>
      <c r="D5504">
        <v>68</v>
      </c>
    </row>
    <row r="5505" spans="1:4" hidden="1" x14ac:dyDescent="0.25">
      <c r="A5505" s="2" t="s">
        <v>112</v>
      </c>
      <c r="B5505">
        <v>76</v>
      </c>
      <c r="C5505" s="2" t="s">
        <v>135</v>
      </c>
      <c r="D5505">
        <v>76</v>
      </c>
    </row>
    <row r="5506" spans="1:4" hidden="1" x14ac:dyDescent="0.25">
      <c r="A5506" s="2" t="s">
        <v>112</v>
      </c>
      <c r="B5506">
        <v>76</v>
      </c>
      <c r="C5506" s="2" t="s">
        <v>136</v>
      </c>
      <c r="D5506">
        <v>76</v>
      </c>
    </row>
    <row r="5507" spans="1:4" hidden="1" x14ac:dyDescent="0.25">
      <c r="A5507" s="2" t="s">
        <v>112</v>
      </c>
      <c r="B5507">
        <v>76</v>
      </c>
      <c r="C5507" s="2" t="s">
        <v>137</v>
      </c>
      <c r="D5507">
        <v>76</v>
      </c>
    </row>
    <row r="5508" spans="1:4" hidden="1" x14ac:dyDescent="0.25">
      <c r="A5508" s="2" t="s">
        <v>112</v>
      </c>
      <c r="B5508">
        <v>76</v>
      </c>
      <c r="C5508" s="2" t="s">
        <v>138</v>
      </c>
      <c r="D5508">
        <v>76</v>
      </c>
    </row>
    <row r="5509" spans="1:4" hidden="1" x14ac:dyDescent="0.25">
      <c r="A5509" s="2" t="s">
        <v>112</v>
      </c>
      <c r="B5509">
        <v>76</v>
      </c>
      <c r="C5509" s="2" t="s">
        <v>139</v>
      </c>
      <c r="D5509">
        <v>76</v>
      </c>
    </row>
    <row r="5510" spans="1:4" hidden="1" x14ac:dyDescent="0.25">
      <c r="A5510" s="2" t="s">
        <v>112</v>
      </c>
      <c r="B5510">
        <v>76</v>
      </c>
      <c r="C5510" s="2" t="s">
        <v>140</v>
      </c>
      <c r="D5510">
        <v>76</v>
      </c>
    </row>
    <row r="5511" spans="1:4" hidden="1" x14ac:dyDescent="0.25">
      <c r="A5511" s="2" t="s">
        <v>112</v>
      </c>
      <c r="B5511">
        <v>76</v>
      </c>
      <c r="C5511" s="2" t="s">
        <v>141</v>
      </c>
      <c r="D5511">
        <v>76</v>
      </c>
    </row>
    <row r="5512" spans="1:4" hidden="1" x14ac:dyDescent="0.25">
      <c r="A5512" s="2" t="s">
        <v>112</v>
      </c>
      <c r="B5512">
        <v>76</v>
      </c>
      <c r="C5512" s="2" t="s">
        <v>142</v>
      </c>
      <c r="D5512">
        <v>76</v>
      </c>
    </row>
    <row r="5513" spans="1:4" hidden="1" x14ac:dyDescent="0.25">
      <c r="A5513" s="2" t="s">
        <v>112</v>
      </c>
      <c r="B5513">
        <v>76</v>
      </c>
      <c r="C5513" s="2" t="s">
        <v>143</v>
      </c>
      <c r="D5513">
        <v>76</v>
      </c>
    </row>
    <row r="5514" spans="1:4" hidden="1" x14ac:dyDescent="0.25">
      <c r="A5514" s="2" t="s">
        <v>112</v>
      </c>
      <c r="B5514">
        <v>76</v>
      </c>
      <c r="C5514" s="2" t="s">
        <v>144</v>
      </c>
      <c r="D5514">
        <v>76</v>
      </c>
    </row>
    <row r="5515" spans="1:4" hidden="1" x14ac:dyDescent="0.25">
      <c r="A5515" s="2" t="s">
        <v>112</v>
      </c>
      <c r="B5515">
        <v>76</v>
      </c>
      <c r="C5515" s="2" t="s">
        <v>145</v>
      </c>
      <c r="D5515">
        <v>76</v>
      </c>
    </row>
    <row r="5516" spans="1:4" hidden="1" x14ac:dyDescent="0.25">
      <c r="A5516" s="2" t="s">
        <v>112</v>
      </c>
      <c r="B5516">
        <v>76</v>
      </c>
      <c r="C5516" s="2" t="s">
        <v>146</v>
      </c>
      <c r="D5516">
        <v>76</v>
      </c>
    </row>
    <row r="5517" spans="1:4" hidden="1" x14ac:dyDescent="0.25">
      <c r="A5517" s="2" t="s">
        <v>112</v>
      </c>
      <c r="B5517">
        <v>76</v>
      </c>
      <c r="C5517" s="2" t="s">
        <v>147</v>
      </c>
      <c r="D5517">
        <v>76</v>
      </c>
    </row>
    <row r="5518" spans="1:4" hidden="1" x14ac:dyDescent="0.25">
      <c r="A5518" s="2" t="s">
        <v>112</v>
      </c>
      <c r="B5518">
        <v>76</v>
      </c>
      <c r="C5518" s="2" t="s">
        <v>148</v>
      </c>
      <c r="D5518">
        <v>76</v>
      </c>
    </row>
    <row r="5519" spans="1:4" hidden="1" x14ac:dyDescent="0.25">
      <c r="A5519" s="2" t="s">
        <v>112</v>
      </c>
      <c r="B5519">
        <v>76</v>
      </c>
      <c r="C5519" s="2" t="s">
        <v>149</v>
      </c>
      <c r="D5519">
        <v>76</v>
      </c>
    </row>
    <row r="5520" spans="1:4" hidden="1" x14ac:dyDescent="0.25">
      <c r="A5520" s="2" t="s">
        <v>112</v>
      </c>
      <c r="B5520">
        <v>76</v>
      </c>
      <c r="C5520" s="2" t="s">
        <v>150</v>
      </c>
      <c r="D5520">
        <v>76</v>
      </c>
    </row>
    <row r="5521" spans="1:4" hidden="1" x14ac:dyDescent="0.25">
      <c r="A5521" s="2" t="s">
        <v>112</v>
      </c>
      <c r="B5521">
        <v>76</v>
      </c>
      <c r="C5521" s="2" t="s">
        <v>151</v>
      </c>
      <c r="D5521">
        <v>76</v>
      </c>
    </row>
    <row r="5522" spans="1:4" hidden="1" x14ac:dyDescent="0.25">
      <c r="A5522" s="2" t="s">
        <v>112</v>
      </c>
      <c r="B5522">
        <v>76</v>
      </c>
      <c r="C5522" s="2" t="s">
        <v>152</v>
      </c>
      <c r="D5522">
        <v>76</v>
      </c>
    </row>
    <row r="5523" spans="1:4" hidden="1" x14ac:dyDescent="0.25">
      <c r="A5523" s="2" t="s">
        <v>112</v>
      </c>
      <c r="B5523">
        <v>76</v>
      </c>
      <c r="C5523" s="2" t="s">
        <v>153</v>
      </c>
      <c r="D5523">
        <v>76</v>
      </c>
    </row>
    <row r="5524" spans="1:4" hidden="1" x14ac:dyDescent="0.25">
      <c r="A5524" s="2" t="s">
        <v>112</v>
      </c>
      <c r="B5524">
        <v>76</v>
      </c>
      <c r="C5524" s="2" t="s">
        <v>154</v>
      </c>
      <c r="D5524">
        <v>76</v>
      </c>
    </row>
    <row r="5525" spans="1:4" hidden="1" x14ac:dyDescent="0.25">
      <c r="A5525" s="2" t="s">
        <v>112</v>
      </c>
      <c r="B5525">
        <v>76</v>
      </c>
      <c r="C5525" s="2" t="s">
        <v>155</v>
      </c>
      <c r="D5525">
        <v>76</v>
      </c>
    </row>
    <row r="5526" spans="1:4" hidden="1" x14ac:dyDescent="0.25">
      <c r="A5526" s="2" t="s">
        <v>112</v>
      </c>
      <c r="B5526">
        <v>76</v>
      </c>
      <c r="C5526" s="2" t="s">
        <v>156</v>
      </c>
      <c r="D5526">
        <v>76</v>
      </c>
    </row>
    <row r="5527" spans="1:4" hidden="1" x14ac:dyDescent="0.25">
      <c r="A5527" s="2" t="s">
        <v>112</v>
      </c>
      <c r="B5527">
        <v>76</v>
      </c>
      <c r="C5527" s="2" t="s">
        <v>157</v>
      </c>
      <c r="D5527">
        <v>76</v>
      </c>
    </row>
    <row r="5528" spans="1:4" hidden="1" x14ac:dyDescent="0.25">
      <c r="A5528" s="2" t="s">
        <v>112</v>
      </c>
      <c r="B5528">
        <v>76</v>
      </c>
      <c r="C5528" s="2" t="s">
        <v>158</v>
      </c>
      <c r="D5528">
        <v>76</v>
      </c>
    </row>
    <row r="5529" spans="1:4" hidden="1" x14ac:dyDescent="0.25">
      <c r="A5529" s="2" t="s">
        <v>112</v>
      </c>
      <c r="B5529">
        <v>76</v>
      </c>
      <c r="C5529" s="2" t="s">
        <v>159</v>
      </c>
      <c r="D5529">
        <v>76</v>
      </c>
    </row>
    <row r="5530" spans="1:4" hidden="1" x14ac:dyDescent="0.25">
      <c r="A5530" s="2" t="s">
        <v>112</v>
      </c>
      <c r="B5530">
        <v>76</v>
      </c>
      <c r="C5530" s="2" t="s">
        <v>160</v>
      </c>
      <c r="D5530">
        <v>76</v>
      </c>
    </row>
    <row r="5531" spans="1:4" hidden="1" x14ac:dyDescent="0.25">
      <c r="A5531" s="2" t="s">
        <v>112</v>
      </c>
      <c r="B5531">
        <v>76</v>
      </c>
      <c r="C5531" s="2" t="s">
        <v>161</v>
      </c>
      <c r="D5531">
        <v>76</v>
      </c>
    </row>
    <row r="5532" spans="1:4" hidden="1" x14ac:dyDescent="0.25">
      <c r="A5532" s="2" t="s">
        <v>112</v>
      </c>
      <c r="B5532">
        <v>76</v>
      </c>
      <c r="C5532" s="2" t="s">
        <v>162</v>
      </c>
      <c r="D5532">
        <v>76</v>
      </c>
    </row>
    <row r="5533" spans="1:4" hidden="1" x14ac:dyDescent="0.25">
      <c r="A5533" s="2" t="s">
        <v>112</v>
      </c>
      <c r="B5533">
        <v>76</v>
      </c>
      <c r="C5533" s="2" t="s">
        <v>163</v>
      </c>
      <c r="D5533">
        <v>76</v>
      </c>
    </row>
    <row r="5534" spans="1:4" hidden="1" x14ac:dyDescent="0.25">
      <c r="A5534" s="2" t="s">
        <v>112</v>
      </c>
      <c r="B5534">
        <v>76</v>
      </c>
      <c r="C5534" s="2" t="s">
        <v>164</v>
      </c>
      <c r="D5534">
        <v>76</v>
      </c>
    </row>
    <row r="5535" spans="1:4" hidden="1" x14ac:dyDescent="0.25">
      <c r="A5535" s="2" t="s">
        <v>112</v>
      </c>
      <c r="B5535">
        <v>76</v>
      </c>
      <c r="C5535" s="2" t="s">
        <v>165</v>
      </c>
      <c r="D5535">
        <v>76</v>
      </c>
    </row>
    <row r="5536" spans="1:4" hidden="1" x14ac:dyDescent="0.25">
      <c r="A5536" s="2" t="s">
        <v>112</v>
      </c>
      <c r="B5536">
        <v>76</v>
      </c>
      <c r="C5536" s="2" t="s">
        <v>166</v>
      </c>
      <c r="D5536">
        <v>76</v>
      </c>
    </row>
    <row r="5537" spans="1:4" hidden="1" x14ac:dyDescent="0.25">
      <c r="A5537" s="2" t="s">
        <v>112</v>
      </c>
      <c r="B5537">
        <v>76</v>
      </c>
      <c r="C5537" s="2" t="s">
        <v>167</v>
      </c>
      <c r="D5537">
        <v>76</v>
      </c>
    </row>
    <row r="5538" spans="1:4" hidden="1" x14ac:dyDescent="0.25">
      <c r="A5538" s="2" t="s">
        <v>112</v>
      </c>
      <c r="B5538">
        <v>76</v>
      </c>
      <c r="C5538" s="2" t="s">
        <v>168</v>
      </c>
      <c r="D5538">
        <v>76</v>
      </c>
    </row>
    <row r="5539" spans="1:4" hidden="1" x14ac:dyDescent="0.25">
      <c r="A5539" s="2" t="s">
        <v>112</v>
      </c>
      <c r="B5539">
        <v>76</v>
      </c>
      <c r="C5539" s="2" t="s">
        <v>169</v>
      </c>
      <c r="D5539">
        <v>76</v>
      </c>
    </row>
    <row r="5540" spans="1:4" hidden="1" x14ac:dyDescent="0.25">
      <c r="A5540" s="2" t="s">
        <v>112</v>
      </c>
      <c r="B5540">
        <v>76</v>
      </c>
      <c r="C5540" s="2" t="s">
        <v>170</v>
      </c>
      <c r="D5540">
        <v>76</v>
      </c>
    </row>
    <row r="5541" spans="1:4" hidden="1" x14ac:dyDescent="0.25">
      <c r="A5541" s="2" t="s">
        <v>112</v>
      </c>
      <c r="B5541">
        <v>76</v>
      </c>
      <c r="C5541" s="2" t="s">
        <v>171</v>
      </c>
      <c r="D5541">
        <v>76</v>
      </c>
    </row>
    <row r="5542" spans="1:4" hidden="1" x14ac:dyDescent="0.25">
      <c r="A5542" s="2" t="s">
        <v>112</v>
      </c>
      <c r="B5542">
        <v>76</v>
      </c>
      <c r="C5542" s="2" t="s">
        <v>172</v>
      </c>
      <c r="D5542">
        <v>76</v>
      </c>
    </row>
    <row r="5543" spans="1:4" hidden="1" x14ac:dyDescent="0.25">
      <c r="A5543" s="2" t="s">
        <v>112</v>
      </c>
      <c r="B5543">
        <v>76</v>
      </c>
      <c r="C5543" s="2" t="s">
        <v>173</v>
      </c>
      <c r="D5543">
        <v>76</v>
      </c>
    </row>
    <row r="5544" spans="1:4" hidden="1" x14ac:dyDescent="0.25">
      <c r="A5544" s="2" t="s">
        <v>112</v>
      </c>
      <c r="B5544">
        <v>76</v>
      </c>
      <c r="C5544" s="2" t="s">
        <v>174</v>
      </c>
      <c r="D5544">
        <v>76</v>
      </c>
    </row>
    <row r="5545" spans="1:4" hidden="1" x14ac:dyDescent="0.25">
      <c r="A5545" s="2" t="s">
        <v>112</v>
      </c>
      <c r="B5545">
        <v>76</v>
      </c>
      <c r="C5545" s="2" t="s">
        <v>175</v>
      </c>
      <c r="D5545">
        <v>76</v>
      </c>
    </row>
    <row r="5546" spans="1:4" hidden="1" x14ac:dyDescent="0.25">
      <c r="A5546" s="2" t="s">
        <v>112</v>
      </c>
      <c r="B5546">
        <v>76</v>
      </c>
      <c r="C5546" s="2" t="s">
        <v>176</v>
      </c>
      <c r="D5546">
        <v>76</v>
      </c>
    </row>
    <row r="5547" spans="1:4" hidden="1" x14ac:dyDescent="0.25">
      <c r="A5547" s="2" t="s">
        <v>112</v>
      </c>
      <c r="B5547">
        <v>76</v>
      </c>
      <c r="C5547" s="2" t="s">
        <v>177</v>
      </c>
      <c r="D5547">
        <v>76</v>
      </c>
    </row>
    <row r="5548" spans="1:4" hidden="1" x14ac:dyDescent="0.25">
      <c r="A5548" s="2" t="s">
        <v>112</v>
      </c>
      <c r="B5548">
        <v>76</v>
      </c>
      <c r="C5548" s="2" t="s">
        <v>178</v>
      </c>
      <c r="D5548">
        <v>76</v>
      </c>
    </row>
    <row r="5549" spans="1:4" hidden="1" x14ac:dyDescent="0.25">
      <c r="A5549" s="2" t="s">
        <v>112</v>
      </c>
      <c r="B5549">
        <v>76</v>
      </c>
      <c r="C5549" s="2" t="s">
        <v>179</v>
      </c>
      <c r="D5549">
        <v>76</v>
      </c>
    </row>
    <row r="5550" spans="1:4" hidden="1" x14ac:dyDescent="0.25">
      <c r="A5550" s="2" t="s">
        <v>45</v>
      </c>
      <c r="B5550">
        <v>76</v>
      </c>
      <c r="C5550" s="2" t="s">
        <v>183</v>
      </c>
      <c r="D5550">
        <v>13</v>
      </c>
    </row>
    <row r="5551" spans="1:4" hidden="1" x14ac:dyDescent="0.25">
      <c r="A5551" s="2" t="s">
        <v>45</v>
      </c>
      <c r="B5551">
        <v>76</v>
      </c>
      <c r="C5551" s="2" t="s">
        <v>184</v>
      </c>
      <c r="D5551">
        <v>14</v>
      </c>
    </row>
    <row r="5552" spans="1:4" hidden="1" x14ac:dyDescent="0.25">
      <c r="A5552" s="2" t="s">
        <v>45</v>
      </c>
      <c r="B5552">
        <v>76</v>
      </c>
      <c r="C5552" s="2" t="s">
        <v>185</v>
      </c>
      <c r="D5552">
        <v>52</v>
      </c>
    </row>
    <row r="5553" spans="1:4" hidden="1" x14ac:dyDescent="0.25">
      <c r="A5553" s="2" t="s">
        <v>45</v>
      </c>
      <c r="B5553">
        <v>76</v>
      </c>
      <c r="C5553" s="2" t="s">
        <v>186</v>
      </c>
      <c r="D5553">
        <v>77</v>
      </c>
    </row>
    <row r="5554" spans="1:4" hidden="1" x14ac:dyDescent="0.25">
      <c r="A5554" s="2" t="s">
        <v>45</v>
      </c>
      <c r="B5554">
        <v>76</v>
      </c>
      <c r="C5554" s="2" t="s">
        <v>187</v>
      </c>
      <c r="D5554">
        <v>79</v>
      </c>
    </row>
    <row r="5555" spans="1:4" hidden="1" x14ac:dyDescent="0.25">
      <c r="A5555" s="2" t="s">
        <v>45</v>
      </c>
      <c r="B5555">
        <v>76</v>
      </c>
      <c r="C5555" s="2" t="s">
        <v>188</v>
      </c>
      <c r="D5555">
        <v>77</v>
      </c>
    </row>
    <row r="5556" spans="1:4" hidden="1" x14ac:dyDescent="0.25">
      <c r="A5556" s="2" t="s">
        <v>45</v>
      </c>
      <c r="B5556">
        <v>76</v>
      </c>
      <c r="C5556" s="2" t="s">
        <v>189</v>
      </c>
      <c r="D5556">
        <v>82</v>
      </c>
    </row>
    <row r="5557" spans="1:4" hidden="1" x14ac:dyDescent="0.25">
      <c r="A5557" s="2" t="s">
        <v>45</v>
      </c>
      <c r="B5557">
        <v>76</v>
      </c>
      <c r="C5557" s="2" t="s">
        <v>190</v>
      </c>
      <c r="D5557">
        <v>86</v>
      </c>
    </row>
    <row r="5558" spans="1:4" hidden="1" x14ac:dyDescent="0.25">
      <c r="A5558" s="2" t="s">
        <v>45</v>
      </c>
      <c r="B5558">
        <v>76</v>
      </c>
      <c r="C5558" s="2" t="s">
        <v>191</v>
      </c>
      <c r="D5558">
        <v>85</v>
      </c>
    </row>
    <row r="5559" spans="1:4" hidden="1" x14ac:dyDescent="0.25">
      <c r="A5559" s="2" t="s">
        <v>45</v>
      </c>
      <c r="B5559">
        <v>76</v>
      </c>
      <c r="C5559" s="2" t="s">
        <v>116</v>
      </c>
      <c r="D5559">
        <v>86</v>
      </c>
    </row>
    <row r="5560" spans="1:4" hidden="1" x14ac:dyDescent="0.25">
      <c r="A5560" s="2" t="s">
        <v>45</v>
      </c>
      <c r="B5560">
        <v>76</v>
      </c>
      <c r="C5560" s="2" t="s">
        <v>117</v>
      </c>
      <c r="D5560">
        <v>82</v>
      </c>
    </row>
    <row r="5561" spans="1:4" hidden="1" x14ac:dyDescent="0.25">
      <c r="A5561" s="2" t="s">
        <v>45</v>
      </c>
      <c r="B5561">
        <v>76</v>
      </c>
      <c r="C5561" s="2" t="s">
        <v>118</v>
      </c>
      <c r="D5561">
        <v>81</v>
      </c>
    </row>
    <row r="5562" spans="1:4" hidden="1" x14ac:dyDescent="0.25">
      <c r="A5562" s="2" t="s">
        <v>45</v>
      </c>
      <c r="B5562">
        <v>76</v>
      </c>
      <c r="C5562" s="2" t="s">
        <v>119</v>
      </c>
      <c r="D5562">
        <v>51</v>
      </c>
    </row>
    <row r="5563" spans="1:4" hidden="1" x14ac:dyDescent="0.25">
      <c r="A5563" s="2" t="s">
        <v>45</v>
      </c>
      <c r="B5563">
        <v>76</v>
      </c>
      <c r="C5563" s="2" t="s">
        <v>120</v>
      </c>
      <c r="D5563">
        <v>56</v>
      </c>
    </row>
    <row r="5564" spans="1:4" hidden="1" x14ac:dyDescent="0.25">
      <c r="A5564" s="2" t="s">
        <v>45</v>
      </c>
      <c r="B5564">
        <v>76</v>
      </c>
      <c r="C5564" s="2" t="s">
        <v>121</v>
      </c>
      <c r="D5564">
        <v>76</v>
      </c>
    </row>
    <row r="5565" spans="1:4" hidden="1" x14ac:dyDescent="0.25">
      <c r="A5565" s="2" t="s">
        <v>45</v>
      </c>
      <c r="B5565">
        <v>76</v>
      </c>
      <c r="C5565" s="2" t="s">
        <v>122</v>
      </c>
      <c r="D5565">
        <v>75</v>
      </c>
    </row>
    <row r="5566" spans="1:4" hidden="1" x14ac:dyDescent="0.25">
      <c r="A5566" s="2" t="s">
        <v>45</v>
      </c>
      <c r="B5566">
        <v>76</v>
      </c>
      <c r="C5566" s="2" t="s">
        <v>123</v>
      </c>
      <c r="D5566">
        <v>79</v>
      </c>
    </row>
    <row r="5567" spans="1:4" hidden="1" x14ac:dyDescent="0.25">
      <c r="A5567" s="2" t="s">
        <v>45</v>
      </c>
      <c r="B5567">
        <v>76</v>
      </c>
      <c r="C5567" s="2" t="s">
        <v>124</v>
      </c>
      <c r="D5567">
        <v>82</v>
      </c>
    </row>
    <row r="5568" spans="1:4" hidden="1" x14ac:dyDescent="0.25">
      <c r="A5568" s="2" t="s">
        <v>45</v>
      </c>
      <c r="B5568">
        <v>76</v>
      </c>
      <c r="C5568" s="2" t="s">
        <v>125</v>
      </c>
      <c r="D5568">
        <v>76</v>
      </c>
    </row>
    <row r="5569" spans="1:4" hidden="1" x14ac:dyDescent="0.25">
      <c r="A5569" s="2" t="s">
        <v>45</v>
      </c>
      <c r="B5569">
        <v>76</v>
      </c>
      <c r="C5569" s="2" t="s">
        <v>126</v>
      </c>
      <c r="D5569">
        <v>76</v>
      </c>
    </row>
    <row r="5570" spans="1:4" hidden="1" x14ac:dyDescent="0.25">
      <c r="A5570" s="2" t="s">
        <v>45</v>
      </c>
      <c r="B5570">
        <v>76</v>
      </c>
      <c r="C5570" s="2" t="s">
        <v>127</v>
      </c>
      <c r="D5570">
        <v>81</v>
      </c>
    </row>
    <row r="5571" spans="1:4" hidden="1" x14ac:dyDescent="0.25">
      <c r="A5571" s="2" t="s">
        <v>45</v>
      </c>
      <c r="B5571">
        <v>76</v>
      </c>
      <c r="C5571" s="2" t="s">
        <v>128</v>
      </c>
      <c r="D5571">
        <v>90</v>
      </c>
    </row>
    <row r="5572" spans="1:4" hidden="1" x14ac:dyDescent="0.25">
      <c r="A5572" s="2" t="s">
        <v>45</v>
      </c>
      <c r="B5572">
        <v>76</v>
      </c>
      <c r="C5572" s="2" t="s">
        <v>129</v>
      </c>
      <c r="D5572">
        <v>86</v>
      </c>
    </row>
    <row r="5573" spans="1:4" hidden="1" x14ac:dyDescent="0.25">
      <c r="A5573" s="2" t="s">
        <v>45</v>
      </c>
      <c r="B5573">
        <v>76</v>
      </c>
      <c r="C5573" s="2" t="s">
        <v>130</v>
      </c>
      <c r="D5573">
        <v>74</v>
      </c>
    </row>
    <row r="5574" spans="1:4" hidden="1" x14ac:dyDescent="0.25">
      <c r="A5574" s="2" t="s">
        <v>45</v>
      </c>
      <c r="B5574">
        <v>76</v>
      </c>
      <c r="C5574" s="2" t="s">
        <v>131</v>
      </c>
      <c r="D5574">
        <v>58</v>
      </c>
    </row>
    <row r="5575" spans="1:4" hidden="1" x14ac:dyDescent="0.25">
      <c r="A5575" s="2" t="s">
        <v>45</v>
      </c>
      <c r="B5575">
        <v>76</v>
      </c>
      <c r="C5575" s="2" t="s">
        <v>132</v>
      </c>
      <c r="D5575">
        <v>59</v>
      </c>
    </row>
    <row r="5576" spans="1:4" hidden="1" x14ac:dyDescent="0.25">
      <c r="A5576" s="2" t="s">
        <v>45</v>
      </c>
      <c r="B5576">
        <v>76</v>
      </c>
      <c r="C5576" s="2" t="s">
        <v>133</v>
      </c>
      <c r="D5576">
        <v>59</v>
      </c>
    </row>
    <row r="5577" spans="1:4" hidden="1" x14ac:dyDescent="0.25">
      <c r="A5577" s="2" t="s">
        <v>45</v>
      </c>
      <c r="B5577">
        <v>76</v>
      </c>
      <c r="C5577" s="2" t="s">
        <v>134</v>
      </c>
      <c r="D5577">
        <v>68</v>
      </c>
    </row>
    <row r="5578" spans="1:4" hidden="1" x14ac:dyDescent="0.25">
      <c r="A5578" s="2" t="s">
        <v>45</v>
      </c>
      <c r="B5578">
        <v>76</v>
      </c>
      <c r="C5578" s="2" t="s">
        <v>135</v>
      </c>
      <c r="D5578">
        <v>76</v>
      </c>
    </row>
    <row r="5579" spans="1:4" hidden="1" x14ac:dyDescent="0.25">
      <c r="A5579" s="2" t="s">
        <v>45</v>
      </c>
      <c r="B5579">
        <v>76</v>
      </c>
      <c r="C5579" s="2" t="s">
        <v>136</v>
      </c>
      <c r="D5579">
        <v>76</v>
      </c>
    </row>
    <row r="5580" spans="1:4" hidden="1" x14ac:dyDescent="0.25">
      <c r="A5580" s="2" t="s">
        <v>45</v>
      </c>
      <c r="B5580">
        <v>76</v>
      </c>
      <c r="C5580" s="2" t="s">
        <v>137</v>
      </c>
      <c r="D5580">
        <v>76</v>
      </c>
    </row>
    <row r="5581" spans="1:4" hidden="1" x14ac:dyDescent="0.25">
      <c r="A5581" s="2" t="s">
        <v>45</v>
      </c>
      <c r="B5581">
        <v>76</v>
      </c>
      <c r="C5581" s="2" t="s">
        <v>138</v>
      </c>
      <c r="D5581">
        <v>76</v>
      </c>
    </row>
    <row r="5582" spans="1:4" hidden="1" x14ac:dyDescent="0.25">
      <c r="A5582" s="2" t="s">
        <v>45</v>
      </c>
      <c r="B5582">
        <v>76</v>
      </c>
      <c r="C5582" s="2" t="s">
        <v>139</v>
      </c>
      <c r="D5582">
        <v>76</v>
      </c>
    </row>
    <row r="5583" spans="1:4" hidden="1" x14ac:dyDescent="0.25">
      <c r="A5583" s="2" t="s">
        <v>45</v>
      </c>
      <c r="B5583">
        <v>76</v>
      </c>
      <c r="C5583" s="2" t="s">
        <v>140</v>
      </c>
      <c r="D5583">
        <v>76</v>
      </c>
    </row>
    <row r="5584" spans="1:4" hidden="1" x14ac:dyDescent="0.25">
      <c r="A5584" s="2" t="s">
        <v>45</v>
      </c>
      <c r="B5584">
        <v>76</v>
      </c>
      <c r="C5584" s="2" t="s">
        <v>141</v>
      </c>
      <c r="D5584">
        <v>76</v>
      </c>
    </row>
    <row r="5585" spans="1:4" hidden="1" x14ac:dyDescent="0.25">
      <c r="A5585" s="2" t="s">
        <v>45</v>
      </c>
      <c r="B5585">
        <v>76</v>
      </c>
      <c r="C5585" s="2" t="s">
        <v>142</v>
      </c>
      <c r="D5585">
        <v>76</v>
      </c>
    </row>
    <row r="5586" spans="1:4" hidden="1" x14ac:dyDescent="0.25">
      <c r="A5586" s="2" t="s">
        <v>45</v>
      </c>
      <c r="B5586">
        <v>76</v>
      </c>
      <c r="C5586" s="2" t="s">
        <v>143</v>
      </c>
      <c r="D5586">
        <v>76</v>
      </c>
    </row>
    <row r="5587" spans="1:4" hidden="1" x14ac:dyDescent="0.25">
      <c r="A5587" s="2" t="s">
        <v>45</v>
      </c>
      <c r="B5587">
        <v>76</v>
      </c>
      <c r="C5587" s="2" t="s">
        <v>144</v>
      </c>
      <c r="D5587">
        <v>76</v>
      </c>
    </row>
    <row r="5588" spans="1:4" hidden="1" x14ac:dyDescent="0.25">
      <c r="A5588" s="2" t="s">
        <v>45</v>
      </c>
      <c r="B5588">
        <v>76</v>
      </c>
      <c r="C5588" s="2" t="s">
        <v>145</v>
      </c>
      <c r="D5588">
        <v>76</v>
      </c>
    </row>
    <row r="5589" spans="1:4" hidden="1" x14ac:dyDescent="0.25">
      <c r="A5589" s="2" t="s">
        <v>45</v>
      </c>
      <c r="B5589">
        <v>76</v>
      </c>
      <c r="C5589" s="2" t="s">
        <v>146</v>
      </c>
      <c r="D5589">
        <v>76</v>
      </c>
    </row>
    <row r="5590" spans="1:4" hidden="1" x14ac:dyDescent="0.25">
      <c r="A5590" s="2" t="s">
        <v>45</v>
      </c>
      <c r="B5590">
        <v>76</v>
      </c>
      <c r="C5590" s="2" t="s">
        <v>147</v>
      </c>
      <c r="D5590">
        <v>76</v>
      </c>
    </row>
    <row r="5591" spans="1:4" hidden="1" x14ac:dyDescent="0.25">
      <c r="A5591" s="2" t="s">
        <v>45</v>
      </c>
      <c r="B5591">
        <v>76</v>
      </c>
      <c r="C5591" s="2" t="s">
        <v>148</v>
      </c>
      <c r="D5591">
        <v>76</v>
      </c>
    </row>
    <row r="5592" spans="1:4" hidden="1" x14ac:dyDescent="0.25">
      <c r="A5592" s="2" t="s">
        <v>45</v>
      </c>
      <c r="B5592">
        <v>76</v>
      </c>
      <c r="C5592" s="2" t="s">
        <v>149</v>
      </c>
      <c r="D5592">
        <v>76</v>
      </c>
    </row>
    <row r="5593" spans="1:4" hidden="1" x14ac:dyDescent="0.25">
      <c r="A5593" s="2" t="s">
        <v>45</v>
      </c>
      <c r="B5593">
        <v>76</v>
      </c>
      <c r="C5593" s="2" t="s">
        <v>150</v>
      </c>
      <c r="D5593">
        <v>76</v>
      </c>
    </row>
    <row r="5594" spans="1:4" hidden="1" x14ac:dyDescent="0.25">
      <c r="A5594" s="2" t="s">
        <v>45</v>
      </c>
      <c r="B5594">
        <v>76</v>
      </c>
      <c r="C5594" s="2" t="s">
        <v>151</v>
      </c>
      <c r="D5594">
        <v>76</v>
      </c>
    </row>
    <row r="5595" spans="1:4" hidden="1" x14ac:dyDescent="0.25">
      <c r="A5595" s="2" t="s">
        <v>45</v>
      </c>
      <c r="B5595">
        <v>76</v>
      </c>
      <c r="C5595" s="2" t="s">
        <v>152</v>
      </c>
      <c r="D5595">
        <v>76</v>
      </c>
    </row>
    <row r="5596" spans="1:4" hidden="1" x14ac:dyDescent="0.25">
      <c r="A5596" s="2" t="s">
        <v>45</v>
      </c>
      <c r="B5596">
        <v>76</v>
      </c>
      <c r="C5596" s="2" t="s">
        <v>153</v>
      </c>
      <c r="D5596">
        <v>76</v>
      </c>
    </row>
    <row r="5597" spans="1:4" hidden="1" x14ac:dyDescent="0.25">
      <c r="A5597" s="2" t="s">
        <v>45</v>
      </c>
      <c r="B5597">
        <v>76</v>
      </c>
      <c r="C5597" s="2" t="s">
        <v>154</v>
      </c>
      <c r="D5597">
        <v>76</v>
      </c>
    </row>
    <row r="5598" spans="1:4" hidden="1" x14ac:dyDescent="0.25">
      <c r="A5598" s="2" t="s">
        <v>45</v>
      </c>
      <c r="B5598">
        <v>76</v>
      </c>
      <c r="C5598" s="2" t="s">
        <v>155</v>
      </c>
      <c r="D5598">
        <v>76</v>
      </c>
    </row>
    <row r="5599" spans="1:4" hidden="1" x14ac:dyDescent="0.25">
      <c r="A5599" s="2" t="s">
        <v>45</v>
      </c>
      <c r="B5599">
        <v>76</v>
      </c>
      <c r="C5599" s="2" t="s">
        <v>156</v>
      </c>
      <c r="D5599">
        <v>76</v>
      </c>
    </row>
    <row r="5600" spans="1:4" hidden="1" x14ac:dyDescent="0.25">
      <c r="A5600" s="2" t="s">
        <v>45</v>
      </c>
      <c r="B5600">
        <v>76</v>
      </c>
      <c r="C5600" s="2" t="s">
        <v>157</v>
      </c>
      <c r="D5600">
        <v>76</v>
      </c>
    </row>
    <row r="5601" spans="1:4" hidden="1" x14ac:dyDescent="0.25">
      <c r="A5601" s="2" t="s">
        <v>45</v>
      </c>
      <c r="B5601">
        <v>76</v>
      </c>
      <c r="C5601" s="2" t="s">
        <v>158</v>
      </c>
      <c r="D5601">
        <v>76</v>
      </c>
    </row>
    <row r="5602" spans="1:4" hidden="1" x14ac:dyDescent="0.25">
      <c r="A5602" s="2" t="s">
        <v>45</v>
      </c>
      <c r="B5602">
        <v>76</v>
      </c>
      <c r="C5602" s="2" t="s">
        <v>159</v>
      </c>
      <c r="D5602">
        <v>76</v>
      </c>
    </row>
    <row r="5603" spans="1:4" hidden="1" x14ac:dyDescent="0.25">
      <c r="A5603" s="2" t="s">
        <v>45</v>
      </c>
      <c r="B5603">
        <v>76</v>
      </c>
      <c r="C5603" s="2" t="s">
        <v>160</v>
      </c>
      <c r="D5603">
        <v>76</v>
      </c>
    </row>
    <row r="5604" spans="1:4" hidden="1" x14ac:dyDescent="0.25">
      <c r="A5604" s="2" t="s">
        <v>45</v>
      </c>
      <c r="B5604">
        <v>76</v>
      </c>
      <c r="C5604" s="2" t="s">
        <v>161</v>
      </c>
      <c r="D5604">
        <v>76</v>
      </c>
    </row>
    <row r="5605" spans="1:4" hidden="1" x14ac:dyDescent="0.25">
      <c r="A5605" s="2" t="s">
        <v>45</v>
      </c>
      <c r="B5605">
        <v>76</v>
      </c>
      <c r="C5605" s="2" t="s">
        <v>162</v>
      </c>
      <c r="D5605">
        <v>76</v>
      </c>
    </row>
    <row r="5606" spans="1:4" hidden="1" x14ac:dyDescent="0.25">
      <c r="A5606" s="2" t="s">
        <v>45</v>
      </c>
      <c r="B5606">
        <v>76</v>
      </c>
      <c r="C5606" s="2" t="s">
        <v>163</v>
      </c>
      <c r="D5606">
        <v>76</v>
      </c>
    </row>
    <row r="5607" spans="1:4" hidden="1" x14ac:dyDescent="0.25">
      <c r="A5607" s="2" t="s">
        <v>45</v>
      </c>
      <c r="B5607">
        <v>76</v>
      </c>
      <c r="C5607" s="2" t="s">
        <v>164</v>
      </c>
      <c r="D5607">
        <v>76</v>
      </c>
    </row>
    <row r="5608" spans="1:4" hidden="1" x14ac:dyDescent="0.25">
      <c r="A5608" s="2" t="s">
        <v>45</v>
      </c>
      <c r="B5608">
        <v>76</v>
      </c>
      <c r="C5608" s="2" t="s">
        <v>165</v>
      </c>
      <c r="D5608">
        <v>76</v>
      </c>
    </row>
    <row r="5609" spans="1:4" hidden="1" x14ac:dyDescent="0.25">
      <c r="A5609" s="2" t="s">
        <v>45</v>
      </c>
      <c r="B5609">
        <v>76</v>
      </c>
      <c r="C5609" s="2" t="s">
        <v>166</v>
      </c>
      <c r="D5609">
        <v>76</v>
      </c>
    </row>
    <row r="5610" spans="1:4" hidden="1" x14ac:dyDescent="0.25">
      <c r="A5610" s="2" t="s">
        <v>45</v>
      </c>
      <c r="B5610">
        <v>76</v>
      </c>
      <c r="C5610" s="2" t="s">
        <v>167</v>
      </c>
      <c r="D5610">
        <v>76</v>
      </c>
    </row>
    <row r="5611" spans="1:4" hidden="1" x14ac:dyDescent="0.25">
      <c r="A5611" s="2" t="s">
        <v>45</v>
      </c>
      <c r="B5611">
        <v>76</v>
      </c>
      <c r="C5611" s="2" t="s">
        <v>168</v>
      </c>
      <c r="D5611">
        <v>76</v>
      </c>
    </row>
    <row r="5612" spans="1:4" hidden="1" x14ac:dyDescent="0.25">
      <c r="A5612" s="2" t="s">
        <v>45</v>
      </c>
      <c r="B5612">
        <v>76</v>
      </c>
      <c r="C5612" s="2" t="s">
        <v>169</v>
      </c>
      <c r="D5612">
        <v>76</v>
      </c>
    </row>
    <row r="5613" spans="1:4" hidden="1" x14ac:dyDescent="0.25">
      <c r="A5613" s="2" t="s">
        <v>45</v>
      </c>
      <c r="B5613">
        <v>76</v>
      </c>
      <c r="C5613" s="2" t="s">
        <v>170</v>
      </c>
      <c r="D5613">
        <v>76</v>
      </c>
    </row>
    <row r="5614" spans="1:4" hidden="1" x14ac:dyDescent="0.25">
      <c r="A5614" s="2" t="s">
        <v>45</v>
      </c>
      <c r="B5614">
        <v>76</v>
      </c>
      <c r="C5614" s="2" t="s">
        <v>171</v>
      </c>
      <c r="D5614">
        <v>76</v>
      </c>
    </row>
    <row r="5615" spans="1:4" hidden="1" x14ac:dyDescent="0.25">
      <c r="A5615" s="2" t="s">
        <v>45</v>
      </c>
      <c r="B5615">
        <v>76</v>
      </c>
      <c r="C5615" s="2" t="s">
        <v>172</v>
      </c>
      <c r="D5615">
        <v>76</v>
      </c>
    </row>
    <row r="5616" spans="1:4" hidden="1" x14ac:dyDescent="0.25">
      <c r="A5616" s="2" t="s">
        <v>45</v>
      </c>
      <c r="B5616">
        <v>76</v>
      </c>
      <c r="C5616" s="2" t="s">
        <v>173</v>
      </c>
      <c r="D5616">
        <v>76</v>
      </c>
    </row>
    <row r="5617" spans="1:4" hidden="1" x14ac:dyDescent="0.25">
      <c r="A5617" s="2" t="s">
        <v>45</v>
      </c>
      <c r="B5617">
        <v>76</v>
      </c>
      <c r="C5617" s="2" t="s">
        <v>174</v>
      </c>
      <c r="D5617">
        <v>76</v>
      </c>
    </row>
    <row r="5618" spans="1:4" hidden="1" x14ac:dyDescent="0.25">
      <c r="A5618" s="2" t="s">
        <v>45</v>
      </c>
      <c r="B5618">
        <v>76</v>
      </c>
      <c r="C5618" s="2" t="s">
        <v>175</v>
      </c>
      <c r="D5618">
        <v>76</v>
      </c>
    </row>
    <row r="5619" spans="1:4" hidden="1" x14ac:dyDescent="0.25">
      <c r="A5619" s="2" t="s">
        <v>45</v>
      </c>
      <c r="B5619">
        <v>76</v>
      </c>
      <c r="C5619" s="2" t="s">
        <v>176</v>
      </c>
      <c r="D5619">
        <v>76</v>
      </c>
    </row>
    <row r="5620" spans="1:4" hidden="1" x14ac:dyDescent="0.25">
      <c r="A5620" s="2" t="s">
        <v>45</v>
      </c>
      <c r="B5620">
        <v>76</v>
      </c>
      <c r="C5620" s="2" t="s">
        <v>177</v>
      </c>
      <c r="D5620">
        <v>76</v>
      </c>
    </row>
    <row r="5621" spans="1:4" hidden="1" x14ac:dyDescent="0.25">
      <c r="A5621" s="2" t="s">
        <v>45</v>
      </c>
      <c r="B5621">
        <v>76</v>
      </c>
      <c r="C5621" s="2" t="s">
        <v>178</v>
      </c>
      <c r="D5621">
        <v>76</v>
      </c>
    </row>
    <row r="5622" spans="1:4" hidden="1" x14ac:dyDescent="0.25">
      <c r="A5622" s="2" t="s">
        <v>45</v>
      </c>
      <c r="B5622">
        <v>76</v>
      </c>
      <c r="C5622" s="2" t="s">
        <v>179</v>
      </c>
      <c r="D5622">
        <v>76</v>
      </c>
    </row>
    <row r="5623" spans="1:4" hidden="1" x14ac:dyDescent="0.25">
      <c r="A5623" s="2" t="s">
        <v>15</v>
      </c>
      <c r="B5623">
        <v>78</v>
      </c>
      <c r="C5623" s="2" t="s">
        <v>183</v>
      </c>
      <c r="D5623">
        <v>78</v>
      </c>
    </row>
    <row r="5624" spans="1:4" hidden="1" x14ac:dyDescent="0.25">
      <c r="A5624" s="2" t="s">
        <v>15</v>
      </c>
      <c r="B5624">
        <v>78</v>
      </c>
      <c r="C5624" s="2" t="s">
        <v>184</v>
      </c>
      <c r="D5624">
        <v>77</v>
      </c>
    </row>
    <row r="5625" spans="1:4" hidden="1" x14ac:dyDescent="0.25">
      <c r="A5625" s="2" t="s">
        <v>15</v>
      </c>
      <c r="B5625">
        <v>78</v>
      </c>
      <c r="C5625" s="2" t="s">
        <v>185</v>
      </c>
      <c r="D5625">
        <v>82</v>
      </c>
    </row>
    <row r="5626" spans="1:4" hidden="1" x14ac:dyDescent="0.25">
      <c r="A5626" s="2" t="s">
        <v>15</v>
      </c>
      <c r="B5626">
        <v>78</v>
      </c>
      <c r="C5626" s="2" t="s">
        <v>186</v>
      </c>
      <c r="D5626">
        <v>89</v>
      </c>
    </row>
    <row r="5627" spans="1:4" hidden="1" x14ac:dyDescent="0.25">
      <c r="A5627" s="2" t="s">
        <v>15</v>
      </c>
      <c r="B5627">
        <v>78</v>
      </c>
      <c r="C5627" s="2" t="s">
        <v>187</v>
      </c>
      <c r="D5627">
        <v>89</v>
      </c>
    </row>
    <row r="5628" spans="1:4" hidden="1" x14ac:dyDescent="0.25">
      <c r="A5628" s="2" t="s">
        <v>15</v>
      </c>
      <c r="B5628">
        <v>78</v>
      </c>
      <c r="C5628" s="2" t="s">
        <v>188</v>
      </c>
      <c r="D5628">
        <v>93</v>
      </c>
    </row>
    <row r="5629" spans="1:4" hidden="1" x14ac:dyDescent="0.25">
      <c r="A5629" s="2" t="s">
        <v>15</v>
      </c>
      <c r="B5629">
        <v>78</v>
      </c>
      <c r="C5629" s="2" t="s">
        <v>189</v>
      </c>
      <c r="D5629">
        <v>101</v>
      </c>
    </row>
    <row r="5630" spans="1:4" hidden="1" x14ac:dyDescent="0.25">
      <c r="A5630" s="2" t="s">
        <v>15</v>
      </c>
      <c r="B5630">
        <v>78</v>
      </c>
      <c r="C5630" s="2" t="s">
        <v>190</v>
      </c>
      <c r="D5630">
        <v>98</v>
      </c>
    </row>
    <row r="5631" spans="1:4" hidden="1" x14ac:dyDescent="0.25">
      <c r="A5631" s="2" t="s">
        <v>15</v>
      </c>
      <c r="B5631">
        <v>78</v>
      </c>
      <c r="C5631" s="2" t="s">
        <v>191</v>
      </c>
      <c r="D5631">
        <v>97</v>
      </c>
    </row>
    <row r="5632" spans="1:4" hidden="1" x14ac:dyDescent="0.25">
      <c r="A5632" s="2" t="s">
        <v>15</v>
      </c>
      <c r="B5632">
        <v>78</v>
      </c>
      <c r="C5632" s="2" t="s">
        <v>116</v>
      </c>
      <c r="D5632">
        <v>98</v>
      </c>
    </row>
    <row r="5633" spans="1:4" hidden="1" x14ac:dyDescent="0.25">
      <c r="A5633" s="2" t="s">
        <v>15</v>
      </c>
      <c r="B5633">
        <v>78</v>
      </c>
      <c r="C5633" s="2" t="s">
        <v>117</v>
      </c>
      <c r="D5633">
        <v>99</v>
      </c>
    </row>
    <row r="5634" spans="1:4" hidden="1" x14ac:dyDescent="0.25">
      <c r="A5634" s="2" t="s">
        <v>15</v>
      </c>
      <c r="B5634">
        <v>78</v>
      </c>
      <c r="C5634" s="2" t="s">
        <v>118</v>
      </c>
      <c r="D5634">
        <v>103</v>
      </c>
    </row>
    <row r="5635" spans="1:4" hidden="1" x14ac:dyDescent="0.25">
      <c r="A5635" s="2" t="s">
        <v>15</v>
      </c>
      <c r="B5635">
        <v>78</v>
      </c>
      <c r="C5635" s="2" t="s">
        <v>119</v>
      </c>
      <c r="D5635">
        <v>107</v>
      </c>
    </row>
    <row r="5636" spans="1:4" hidden="1" x14ac:dyDescent="0.25">
      <c r="A5636" s="2" t="s">
        <v>15</v>
      </c>
      <c r="B5636">
        <v>78</v>
      </c>
      <c r="C5636" s="2" t="s">
        <v>120</v>
      </c>
      <c r="D5636">
        <v>107</v>
      </c>
    </row>
    <row r="5637" spans="1:4" hidden="1" x14ac:dyDescent="0.25">
      <c r="A5637" s="2" t="s">
        <v>15</v>
      </c>
      <c r="B5637">
        <v>78</v>
      </c>
      <c r="C5637" s="2" t="s">
        <v>121</v>
      </c>
      <c r="D5637">
        <v>105</v>
      </c>
    </row>
    <row r="5638" spans="1:4" hidden="1" x14ac:dyDescent="0.25">
      <c r="A5638" s="2" t="s">
        <v>15</v>
      </c>
      <c r="B5638">
        <v>78</v>
      </c>
      <c r="C5638" s="2" t="s">
        <v>122</v>
      </c>
      <c r="D5638">
        <v>101</v>
      </c>
    </row>
    <row r="5639" spans="1:4" hidden="1" x14ac:dyDescent="0.25">
      <c r="A5639" s="2" t="s">
        <v>15</v>
      </c>
      <c r="B5639">
        <v>78</v>
      </c>
      <c r="C5639" s="2" t="s">
        <v>123</v>
      </c>
      <c r="D5639">
        <v>105</v>
      </c>
    </row>
    <row r="5640" spans="1:4" hidden="1" x14ac:dyDescent="0.25">
      <c r="A5640" s="2" t="s">
        <v>15</v>
      </c>
      <c r="B5640">
        <v>78</v>
      </c>
      <c r="C5640" s="2" t="s">
        <v>124</v>
      </c>
      <c r="D5640">
        <v>105</v>
      </c>
    </row>
    <row r="5641" spans="1:4" hidden="1" x14ac:dyDescent="0.25">
      <c r="A5641" s="2" t="s">
        <v>15</v>
      </c>
      <c r="B5641">
        <v>78</v>
      </c>
      <c r="C5641" s="2" t="s">
        <v>125</v>
      </c>
      <c r="D5641">
        <v>101</v>
      </c>
    </row>
    <row r="5642" spans="1:4" hidden="1" x14ac:dyDescent="0.25">
      <c r="A5642" s="2" t="s">
        <v>15</v>
      </c>
      <c r="B5642">
        <v>78</v>
      </c>
      <c r="C5642" s="2" t="s">
        <v>126</v>
      </c>
      <c r="D5642">
        <v>101</v>
      </c>
    </row>
    <row r="5643" spans="1:4" hidden="1" x14ac:dyDescent="0.25">
      <c r="A5643" s="2" t="s">
        <v>15</v>
      </c>
      <c r="B5643">
        <v>78</v>
      </c>
      <c r="C5643" s="2" t="s">
        <v>127</v>
      </c>
      <c r="D5643">
        <v>99</v>
      </c>
    </row>
    <row r="5644" spans="1:4" hidden="1" x14ac:dyDescent="0.25">
      <c r="A5644" s="2" t="s">
        <v>15</v>
      </c>
      <c r="B5644">
        <v>78</v>
      </c>
      <c r="C5644" s="2" t="s">
        <v>128</v>
      </c>
      <c r="D5644">
        <v>103</v>
      </c>
    </row>
    <row r="5645" spans="1:4" hidden="1" x14ac:dyDescent="0.25">
      <c r="A5645" s="2" t="s">
        <v>15</v>
      </c>
      <c r="B5645">
        <v>78</v>
      </c>
      <c r="C5645" s="2" t="s">
        <v>129</v>
      </c>
      <c r="D5645">
        <v>89</v>
      </c>
    </row>
    <row r="5646" spans="1:4" hidden="1" x14ac:dyDescent="0.25">
      <c r="A5646" s="2" t="s">
        <v>15</v>
      </c>
      <c r="B5646">
        <v>78</v>
      </c>
      <c r="C5646" s="2" t="s">
        <v>130</v>
      </c>
      <c r="D5646">
        <v>83</v>
      </c>
    </row>
    <row r="5647" spans="1:4" hidden="1" x14ac:dyDescent="0.25">
      <c r="A5647" s="2" t="s">
        <v>15</v>
      </c>
      <c r="B5647">
        <v>78</v>
      </c>
      <c r="C5647" s="2" t="s">
        <v>131</v>
      </c>
      <c r="D5647">
        <v>79</v>
      </c>
    </row>
    <row r="5648" spans="1:4" hidden="1" x14ac:dyDescent="0.25">
      <c r="A5648" s="2" t="s">
        <v>15</v>
      </c>
      <c r="B5648">
        <v>78</v>
      </c>
      <c r="C5648" s="2" t="s">
        <v>132</v>
      </c>
      <c r="D5648">
        <v>75</v>
      </c>
    </row>
    <row r="5649" spans="1:4" hidden="1" x14ac:dyDescent="0.25">
      <c r="A5649" s="2" t="s">
        <v>15</v>
      </c>
      <c r="B5649">
        <v>78</v>
      </c>
      <c r="C5649" s="2" t="s">
        <v>133</v>
      </c>
      <c r="D5649">
        <v>76</v>
      </c>
    </row>
    <row r="5650" spans="1:4" hidden="1" x14ac:dyDescent="0.25">
      <c r="A5650" s="2" t="s">
        <v>15</v>
      </c>
      <c r="B5650">
        <v>78</v>
      </c>
      <c r="C5650" s="2" t="s">
        <v>134</v>
      </c>
      <c r="D5650">
        <v>71</v>
      </c>
    </row>
    <row r="5651" spans="1:4" hidden="1" x14ac:dyDescent="0.25">
      <c r="A5651" s="2" t="s">
        <v>15</v>
      </c>
      <c r="B5651">
        <v>78</v>
      </c>
      <c r="C5651" s="2" t="s">
        <v>135</v>
      </c>
      <c r="D5651">
        <v>78</v>
      </c>
    </row>
    <row r="5652" spans="1:4" hidden="1" x14ac:dyDescent="0.25">
      <c r="A5652" s="2" t="s">
        <v>15</v>
      </c>
      <c r="B5652">
        <v>78</v>
      </c>
      <c r="C5652" s="2" t="s">
        <v>136</v>
      </c>
      <c r="D5652">
        <v>78</v>
      </c>
    </row>
    <row r="5653" spans="1:4" hidden="1" x14ac:dyDescent="0.25">
      <c r="A5653" s="2" t="s">
        <v>15</v>
      </c>
      <c r="B5653">
        <v>78</v>
      </c>
      <c r="C5653" s="2" t="s">
        <v>137</v>
      </c>
      <c r="D5653">
        <v>78</v>
      </c>
    </row>
    <row r="5654" spans="1:4" hidden="1" x14ac:dyDescent="0.25">
      <c r="A5654" s="2" t="s">
        <v>15</v>
      </c>
      <c r="B5654">
        <v>78</v>
      </c>
      <c r="C5654" s="2" t="s">
        <v>138</v>
      </c>
      <c r="D5654">
        <v>78</v>
      </c>
    </row>
    <row r="5655" spans="1:4" hidden="1" x14ac:dyDescent="0.25">
      <c r="A5655" s="2" t="s">
        <v>15</v>
      </c>
      <c r="B5655">
        <v>78</v>
      </c>
      <c r="C5655" s="2" t="s">
        <v>139</v>
      </c>
      <c r="D5655">
        <v>78</v>
      </c>
    </row>
    <row r="5656" spans="1:4" hidden="1" x14ac:dyDescent="0.25">
      <c r="A5656" s="2" t="s">
        <v>15</v>
      </c>
      <c r="B5656">
        <v>78</v>
      </c>
      <c r="C5656" s="2" t="s">
        <v>140</v>
      </c>
      <c r="D5656">
        <v>78</v>
      </c>
    </row>
    <row r="5657" spans="1:4" hidden="1" x14ac:dyDescent="0.25">
      <c r="A5657" s="2" t="s">
        <v>15</v>
      </c>
      <c r="B5657">
        <v>78</v>
      </c>
      <c r="C5657" s="2" t="s">
        <v>141</v>
      </c>
      <c r="D5657">
        <v>78</v>
      </c>
    </row>
    <row r="5658" spans="1:4" hidden="1" x14ac:dyDescent="0.25">
      <c r="A5658" s="2" t="s">
        <v>15</v>
      </c>
      <c r="B5658">
        <v>78</v>
      </c>
      <c r="C5658" s="2" t="s">
        <v>142</v>
      </c>
      <c r="D5658">
        <v>78</v>
      </c>
    </row>
    <row r="5659" spans="1:4" hidden="1" x14ac:dyDescent="0.25">
      <c r="A5659" s="2" t="s">
        <v>15</v>
      </c>
      <c r="B5659">
        <v>78</v>
      </c>
      <c r="C5659" s="2" t="s">
        <v>143</v>
      </c>
      <c r="D5659">
        <v>78</v>
      </c>
    </row>
    <row r="5660" spans="1:4" hidden="1" x14ac:dyDescent="0.25">
      <c r="A5660" s="2" t="s">
        <v>15</v>
      </c>
      <c r="B5660">
        <v>78</v>
      </c>
      <c r="C5660" s="2" t="s">
        <v>144</v>
      </c>
      <c r="D5660">
        <v>78</v>
      </c>
    </row>
    <row r="5661" spans="1:4" hidden="1" x14ac:dyDescent="0.25">
      <c r="A5661" s="2" t="s">
        <v>15</v>
      </c>
      <c r="B5661">
        <v>78</v>
      </c>
      <c r="C5661" s="2" t="s">
        <v>145</v>
      </c>
      <c r="D5661">
        <v>78</v>
      </c>
    </row>
    <row r="5662" spans="1:4" hidden="1" x14ac:dyDescent="0.25">
      <c r="A5662" s="2" t="s">
        <v>15</v>
      </c>
      <c r="B5662">
        <v>78</v>
      </c>
      <c r="C5662" s="2" t="s">
        <v>146</v>
      </c>
      <c r="D5662">
        <v>78</v>
      </c>
    </row>
    <row r="5663" spans="1:4" hidden="1" x14ac:dyDescent="0.25">
      <c r="A5663" s="2" t="s">
        <v>15</v>
      </c>
      <c r="B5663">
        <v>78</v>
      </c>
      <c r="C5663" s="2" t="s">
        <v>147</v>
      </c>
      <c r="D5663">
        <v>78</v>
      </c>
    </row>
    <row r="5664" spans="1:4" hidden="1" x14ac:dyDescent="0.25">
      <c r="A5664" s="2" t="s">
        <v>15</v>
      </c>
      <c r="B5664">
        <v>78</v>
      </c>
      <c r="C5664" s="2" t="s">
        <v>148</v>
      </c>
      <c r="D5664">
        <v>78</v>
      </c>
    </row>
    <row r="5665" spans="1:4" hidden="1" x14ac:dyDescent="0.25">
      <c r="A5665" s="2" t="s">
        <v>15</v>
      </c>
      <c r="B5665">
        <v>78</v>
      </c>
      <c r="C5665" s="2" t="s">
        <v>149</v>
      </c>
      <c r="D5665">
        <v>78</v>
      </c>
    </row>
    <row r="5666" spans="1:4" hidden="1" x14ac:dyDescent="0.25">
      <c r="A5666" s="2" t="s">
        <v>15</v>
      </c>
      <c r="B5666">
        <v>78</v>
      </c>
      <c r="C5666" s="2" t="s">
        <v>150</v>
      </c>
      <c r="D5666">
        <v>78</v>
      </c>
    </row>
    <row r="5667" spans="1:4" hidden="1" x14ac:dyDescent="0.25">
      <c r="A5667" s="2" t="s">
        <v>15</v>
      </c>
      <c r="B5667">
        <v>78</v>
      </c>
      <c r="C5667" s="2" t="s">
        <v>151</v>
      </c>
      <c r="D5667">
        <v>78</v>
      </c>
    </row>
    <row r="5668" spans="1:4" hidden="1" x14ac:dyDescent="0.25">
      <c r="A5668" s="2" t="s">
        <v>15</v>
      </c>
      <c r="B5668">
        <v>78</v>
      </c>
      <c r="C5668" s="2" t="s">
        <v>152</v>
      </c>
      <c r="D5668">
        <v>78</v>
      </c>
    </row>
    <row r="5669" spans="1:4" hidden="1" x14ac:dyDescent="0.25">
      <c r="A5669" s="2" t="s">
        <v>15</v>
      </c>
      <c r="B5669">
        <v>78</v>
      </c>
      <c r="C5669" s="2" t="s">
        <v>153</v>
      </c>
      <c r="D5669">
        <v>78</v>
      </c>
    </row>
    <row r="5670" spans="1:4" hidden="1" x14ac:dyDescent="0.25">
      <c r="A5670" s="2" t="s">
        <v>15</v>
      </c>
      <c r="B5670">
        <v>78</v>
      </c>
      <c r="C5670" s="2" t="s">
        <v>154</v>
      </c>
      <c r="D5670">
        <v>78</v>
      </c>
    </row>
    <row r="5671" spans="1:4" hidden="1" x14ac:dyDescent="0.25">
      <c r="A5671" s="2" t="s">
        <v>15</v>
      </c>
      <c r="B5671">
        <v>78</v>
      </c>
      <c r="C5671" s="2" t="s">
        <v>155</v>
      </c>
      <c r="D5671">
        <v>78</v>
      </c>
    </row>
    <row r="5672" spans="1:4" hidden="1" x14ac:dyDescent="0.25">
      <c r="A5672" s="2" t="s">
        <v>15</v>
      </c>
      <c r="B5672">
        <v>78</v>
      </c>
      <c r="C5672" s="2" t="s">
        <v>156</v>
      </c>
      <c r="D5672">
        <v>78</v>
      </c>
    </row>
    <row r="5673" spans="1:4" hidden="1" x14ac:dyDescent="0.25">
      <c r="A5673" s="2" t="s">
        <v>15</v>
      </c>
      <c r="B5673">
        <v>78</v>
      </c>
      <c r="C5673" s="2" t="s">
        <v>157</v>
      </c>
      <c r="D5673">
        <v>78</v>
      </c>
    </row>
    <row r="5674" spans="1:4" hidden="1" x14ac:dyDescent="0.25">
      <c r="A5674" s="2" t="s">
        <v>15</v>
      </c>
      <c r="B5674">
        <v>78</v>
      </c>
      <c r="C5674" s="2" t="s">
        <v>158</v>
      </c>
      <c r="D5674">
        <v>78</v>
      </c>
    </row>
    <row r="5675" spans="1:4" hidden="1" x14ac:dyDescent="0.25">
      <c r="A5675" s="2" t="s">
        <v>15</v>
      </c>
      <c r="B5675">
        <v>78</v>
      </c>
      <c r="C5675" s="2" t="s">
        <v>159</v>
      </c>
      <c r="D5675">
        <v>78</v>
      </c>
    </row>
    <row r="5676" spans="1:4" hidden="1" x14ac:dyDescent="0.25">
      <c r="A5676" s="2" t="s">
        <v>15</v>
      </c>
      <c r="B5676">
        <v>78</v>
      </c>
      <c r="C5676" s="2" t="s">
        <v>160</v>
      </c>
      <c r="D5676">
        <v>78</v>
      </c>
    </row>
    <row r="5677" spans="1:4" hidden="1" x14ac:dyDescent="0.25">
      <c r="A5677" s="2" t="s">
        <v>15</v>
      </c>
      <c r="B5677">
        <v>78</v>
      </c>
      <c r="C5677" s="2" t="s">
        <v>161</v>
      </c>
      <c r="D5677">
        <v>78</v>
      </c>
    </row>
    <row r="5678" spans="1:4" hidden="1" x14ac:dyDescent="0.25">
      <c r="A5678" s="2" t="s">
        <v>15</v>
      </c>
      <c r="B5678">
        <v>78</v>
      </c>
      <c r="C5678" s="2" t="s">
        <v>162</v>
      </c>
      <c r="D5678">
        <v>78</v>
      </c>
    </row>
    <row r="5679" spans="1:4" hidden="1" x14ac:dyDescent="0.25">
      <c r="A5679" s="2" t="s">
        <v>15</v>
      </c>
      <c r="B5679">
        <v>78</v>
      </c>
      <c r="C5679" s="2" t="s">
        <v>163</v>
      </c>
      <c r="D5679">
        <v>78</v>
      </c>
    </row>
    <row r="5680" spans="1:4" hidden="1" x14ac:dyDescent="0.25">
      <c r="A5680" s="2" t="s">
        <v>15</v>
      </c>
      <c r="B5680">
        <v>78</v>
      </c>
      <c r="C5680" s="2" t="s">
        <v>164</v>
      </c>
      <c r="D5680">
        <v>78</v>
      </c>
    </row>
    <row r="5681" spans="1:4" hidden="1" x14ac:dyDescent="0.25">
      <c r="A5681" s="2" t="s">
        <v>15</v>
      </c>
      <c r="B5681">
        <v>78</v>
      </c>
      <c r="C5681" s="2" t="s">
        <v>165</v>
      </c>
      <c r="D5681">
        <v>78</v>
      </c>
    </row>
    <row r="5682" spans="1:4" hidden="1" x14ac:dyDescent="0.25">
      <c r="A5682" s="2" t="s">
        <v>15</v>
      </c>
      <c r="B5682">
        <v>78</v>
      </c>
      <c r="C5682" s="2" t="s">
        <v>166</v>
      </c>
      <c r="D5682">
        <v>78</v>
      </c>
    </row>
    <row r="5683" spans="1:4" hidden="1" x14ac:dyDescent="0.25">
      <c r="A5683" s="2" t="s">
        <v>15</v>
      </c>
      <c r="B5683">
        <v>78</v>
      </c>
      <c r="C5683" s="2" t="s">
        <v>167</v>
      </c>
      <c r="D5683">
        <v>78</v>
      </c>
    </row>
    <row r="5684" spans="1:4" hidden="1" x14ac:dyDescent="0.25">
      <c r="A5684" s="2" t="s">
        <v>15</v>
      </c>
      <c r="B5684">
        <v>78</v>
      </c>
      <c r="C5684" s="2" t="s">
        <v>168</v>
      </c>
      <c r="D5684">
        <v>78</v>
      </c>
    </row>
    <row r="5685" spans="1:4" hidden="1" x14ac:dyDescent="0.25">
      <c r="A5685" s="2" t="s">
        <v>15</v>
      </c>
      <c r="B5685">
        <v>78</v>
      </c>
      <c r="C5685" s="2" t="s">
        <v>169</v>
      </c>
      <c r="D5685">
        <v>78</v>
      </c>
    </row>
    <row r="5686" spans="1:4" hidden="1" x14ac:dyDescent="0.25">
      <c r="A5686" s="2" t="s">
        <v>15</v>
      </c>
      <c r="B5686">
        <v>78</v>
      </c>
      <c r="C5686" s="2" t="s">
        <v>170</v>
      </c>
      <c r="D5686">
        <v>78</v>
      </c>
    </row>
    <row r="5687" spans="1:4" hidden="1" x14ac:dyDescent="0.25">
      <c r="A5687" s="2" t="s">
        <v>15</v>
      </c>
      <c r="B5687">
        <v>78</v>
      </c>
      <c r="C5687" s="2" t="s">
        <v>171</v>
      </c>
      <c r="D5687">
        <v>78</v>
      </c>
    </row>
    <row r="5688" spans="1:4" hidden="1" x14ac:dyDescent="0.25">
      <c r="A5688" s="2" t="s">
        <v>15</v>
      </c>
      <c r="B5688">
        <v>78</v>
      </c>
      <c r="C5688" s="2" t="s">
        <v>172</v>
      </c>
      <c r="D5688">
        <v>78</v>
      </c>
    </row>
    <row r="5689" spans="1:4" hidden="1" x14ac:dyDescent="0.25">
      <c r="A5689" s="2" t="s">
        <v>15</v>
      </c>
      <c r="B5689">
        <v>78</v>
      </c>
      <c r="C5689" s="2" t="s">
        <v>173</v>
      </c>
      <c r="D5689">
        <v>78</v>
      </c>
    </row>
    <row r="5690" spans="1:4" hidden="1" x14ac:dyDescent="0.25">
      <c r="A5690" s="2" t="s">
        <v>15</v>
      </c>
      <c r="B5690">
        <v>78</v>
      </c>
      <c r="C5690" s="2" t="s">
        <v>174</v>
      </c>
      <c r="D5690">
        <v>78</v>
      </c>
    </row>
    <row r="5691" spans="1:4" hidden="1" x14ac:dyDescent="0.25">
      <c r="A5691" s="2" t="s">
        <v>15</v>
      </c>
      <c r="B5691">
        <v>78</v>
      </c>
      <c r="C5691" s="2" t="s">
        <v>175</v>
      </c>
      <c r="D5691">
        <v>78</v>
      </c>
    </row>
    <row r="5692" spans="1:4" hidden="1" x14ac:dyDescent="0.25">
      <c r="A5692" s="2" t="s">
        <v>15</v>
      </c>
      <c r="B5692">
        <v>78</v>
      </c>
      <c r="C5692" s="2" t="s">
        <v>176</v>
      </c>
      <c r="D5692">
        <v>78</v>
      </c>
    </row>
    <row r="5693" spans="1:4" hidden="1" x14ac:dyDescent="0.25">
      <c r="A5693" s="2" t="s">
        <v>15</v>
      </c>
      <c r="B5693">
        <v>78</v>
      </c>
      <c r="C5693" s="2" t="s">
        <v>177</v>
      </c>
      <c r="D5693">
        <v>78</v>
      </c>
    </row>
    <row r="5694" spans="1:4" hidden="1" x14ac:dyDescent="0.25">
      <c r="A5694" s="2" t="s">
        <v>15</v>
      </c>
      <c r="B5694">
        <v>78</v>
      </c>
      <c r="C5694" s="2" t="s">
        <v>178</v>
      </c>
      <c r="D5694">
        <v>78</v>
      </c>
    </row>
    <row r="5695" spans="1:4" hidden="1" x14ac:dyDescent="0.25">
      <c r="A5695" s="2" t="s">
        <v>15</v>
      </c>
      <c r="B5695">
        <v>78</v>
      </c>
      <c r="C5695" s="2" t="s">
        <v>179</v>
      </c>
      <c r="D5695">
        <v>78</v>
      </c>
    </row>
    <row r="5696" spans="1:4" hidden="1" x14ac:dyDescent="0.25">
      <c r="A5696" s="2" t="s">
        <v>108</v>
      </c>
      <c r="B5696">
        <v>78</v>
      </c>
      <c r="C5696" s="2" t="s">
        <v>183</v>
      </c>
      <c r="D5696">
        <v>1</v>
      </c>
    </row>
    <row r="5697" spans="1:4" hidden="1" x14ac:dyDescent="0.25">
      <c r="A5697" s="2" t="s">
        <v>108</v>
      </c>
      <c r="B5697">
        <v>78</v>
      </c>
      <c r="C5697" s="2" t="s">
        <v>184</v>
      </c>
      <c r="D5697">
        <v>1</v>
      </c>
    </row>
    <row r="5698" spans="1:4" hidden="1" x14ac:dyDescent="0.25">
      <c r="A5698" s="2" t="s">
        <v>108</v>
      </c>
      <c r="B5698">
        <v>78</v>
      </c>
      <c r="C5698" s="2" t="s">
        <v>185</v>
      </c>
      <c r="D5698">
        <v>3</v>
      </c>
    </row>
    <row r="5699" spans="1:4" hidden="1" x14ac:dyDescent="0.25">
      <c r="A5699" s="2" t="s">
        <v>108</v>
      </c>
      <c r="B5699">
        <v>78</v>
      </c>
      <c r="C5699" s="2" t="s">
        <v>186</v>
      </c>
      <c r="D5699">
        <v>38</v>
      </c>
    </row>
    <row r="5700" spans="1:4" hidden="1" x14ac:dyDescent="0.25">
      <c r="A5700" s="2" t="s">
        <v>108</v>
      </c>
      <c r="B5700">
        <v>78</v>
      </c>
      <c r="C5700" s="2" t="s">
        <v>187</v>
      </c>
      <c r="D5700">
        <v>39</v>
      </c>
    </row>
    <row r="5701" spans="1:4" hidden="1" x14ac:dyDescent="0.25">
      <c r="A5701" s="2" t="s">
        <v>108</v>
      </c>
      <c r="B5701">
        <v>78</v>
      </c>
      <c r="C5701" s="2" t="s">
        <v>188</v>
      </c>
      <c r="D5701">
        <v>41</v>
      </c>
    </row>
    <row r="5702" spans="1:4" hidden="1" x14ac:dyDescent="0.25">
      <c r="A5702" s="2" t="s">
        <v>108</v>
      </c>
      <c r="B5702">
        <v>78</v>
      </c>
      <c r="C5702" s="2" t="s">
        <v>189</v>
      </c>
      <c r="D5702">
        <v>49</v>
      </c>
    </row>
    <row r="5703" spans="1:4" hidden="1" x14ac:dyDescent="0.25">
      <c r="A5703" s="2" t="s">
        <v>108</v>
      </c>
      <c r="B5703">
        <v>78</v>
      </c>
      <c r="C5703" s="2" t="s">
        <v>190</v>
      </c>
      <c r="D5703">
        <v>49</v>
      </c>
    </row>
    <row r="5704" spans="1:4" hidden="1" x14ac:dyDescent="0.25">
      <c r="A5704" s="2" t="s">
        <v>108</v>
      </c>
      <c r="B5704">
        <v>78</v>
      </c>
      <c r="C5704" s="2" t="s">
        <v>191</v>
      </c>
      <c r="D5704">
        <v>27</v>
      </c>
    </row>
    <row r="5705" spans="1:4" hidden="1" x14ac:dyDescent="0.25">
      <c r="A5705" s="2" t="s">
        <v>108</v>
      </c>
      <c r="B5705">
        <v>78</v>
      </c>
      <c r="C5705" s="2" t="s">
        <v>116</v>
      </c>
      <c r="D5705">
        <v>31</v>
      </c>
    </row>
    <row r="5706" spans="1:4" hidden="1" x14ac:dyDescent="0.25">
      <c r="A5706" s="2" t="s">
        <v>108</v>
      </c>
      <c r="B5706">
        <v>78</v>
      </c>
      <c r="C5706" s="2" t="s">
        <v>117</v>
      </c>
      <c r="D5706">
        <v>40</v>
      </c>
    </row>
    <row r="5707" spans="1:4" hidden="1" x14ac:dyDescent="0.25">
      <c r="A5707" s="2" t="s">
        <v>108</v>
      </c>
      <c r="B5707">
        <v>78</v>
      </c>
      <c r="C5707" s="2" t="s">
        <v>118</v>
      </c>
      <c r="D5707">
        <v>41</v>
      </c>
    </row>
    <row r="5708" spans="1:4" hidden="1" x14ac:dyDescent="0.25">
      <c r="A5708" s="2" t="s">
        <v>108</v>
      </c>
      <c r="B5708">
        <v>78</v>
      </c>
      <c r="C5708" s="2" t="s">
        <v>119</v>
      </c>
      <c r="D5708">
        <v>59</v>
      </c>
    </row>
    <row r="5709" spans="1:4" hidden="1" x14ac:dyDescent="0.25">
      <c r="A5709" s="2" t="s">
        <v>108</v>
      </c>
      <c r="B5709">
        <v>78</v>
      </c>
      <c r="C5709" s="2" t="s">
        <v>120</v>
      </c>
      <c r="D5709">
        <v>45</v>
      </c>
    </row>
    <row r="5710" spans="1:4" hidden="1" x14ac:dyDescent="0.25">
      <c r="A5710" s="2" t="s">
        <v>108</v>
      </c>
      <c r="B5710">
        <v>78</v>
      </c>
      <c r="C5710" s="2" t="s">
        <v>121</v>
      </c>
      <c r="D5710">
        <v>45</v>
      </c>
    </row>
    <row r="5711" spans="1:4" hidden="1" x14ac:dyDescent="0.25">
      <c r="A5711" s="2" t="s">
        <v>108</v>
      </c>
      <c r="B5711">
        <v>78</v>
      </c>
      <c r="C5711" s="2" t="s">
        <v>122</v>
      </c>
      <c r="D5711">
        <v>55</v>
      </c>
    </row>
    <row r="5712" spans="1:4" hidden="1" x14ac:dyDescent="0.25">
      <c r="A5712" s="2" t="s">
        <v>108</v>
      </c>
      <c r="B5712">
        <v>78</v>
      </c>
      <c r="C5712" s="2" t="s">
        <v>123</v>
      </c>
      <c r="D5712">
        <v>61</v>
      </c>
    </row>
    <row r="5713" spans="1:4" hidden="1" x14ac:dyDescent="0.25">
      <c r="A5713" s="2" t="s">
        <v>108</v>
      </c>
      <c r="B5713">
        <v>78</v>
      </c>
      <c r="C5713" s="2" t="s">
        <v>124</v>
      </c>
      <c r="D5713">
        <v>63</v>
      </c>
    </row>
    <row r="5714" spans="1:4" hidden="1" x14ac:dyDescent="0.25">
      <c r="A5714" s="2" t="s">
        <v>108</v>
      </c>
      <c r="B5714">
        <v>78</v>
      </c>
      <c r="C5714" s="2" t="s">
        <v>125</v>
      </c>
      <c r="D5714">
        <v>62</v>
      </c>
    </row>
    <row r="5715" spans="1:4" hidden="1" x14ac:dyDescent="0.25">
      <c r="A5715" s="2" t="s">
        <v>108</v>
      </c>
      <c r="B5715">
        <v>78</v>
      </c>
      <c r="C5715" s="2" t="s">
        <v>126</v>
      </c>
      <c r="D5715">
        <v>61</v>
      </c>
    </row>
    <row r="5716" spans="1:4" hidden="1" x14ac:dyDescent="0.25">
      <c r="A5716" s="2" t="s">
        <v>108</v>
      </c>
      <c r="B5716">
        <v>78</v>
      </c>
      <c r="C5716" s="2" t="s">
        <v>127</v>
      </c>
      <c r="D5716">
        <v>62</v>
      </c>
    </row>
    <row r="5717" spans="1:4" hidden="1" x14ac:dyDescent="0.25">
      <c r="A5717" s="2" t="s">
        <v>108</v>
      </c>
      <c r="B5717">
        <v>78</v>
      </c>
      <c r="C5717" s="2" t="s">
        <v>128</v>
      </c>
      <c r="D5717">
        <v>67</v>
      </c>
    </row>
    <row r="5718" spans="1:4" hidden="1" x14ac:dyDescent="0.25">
      <c r="A5718" s="2" t="s">
        <v>108</v>
      </c>
      <c r="B5718">
        <v>78</v>
      </c>
      <c r="C5718" s="2" t="s">
        <v>129</v>
      </c>
      <c r="D5718">
        <v>56</v>
      </c>
    </row>
    <row r="5719" spans="1:4" hidden="1" x14ac:dyDescent="0.25">
      <c r="A5719" s="2" t="s">
        <v>108</v>
      </c>
      <c r="B5719">
        <v>78</v>
      </c>
      <c r="C5719" s="2" t="s">
        <v>130</v>
      </c>
      <c r="D5719">
        <v>64</v>
      </c>
    </row>
    <row r="5720" spans="1:4" hidden="1" x14ac:dyDescent="0.25">
      <c r="A5720" s="2" t="s">
        <v>108</v>
      </c>
      <c r="B5720">
        <v>78</v>
      </c>
      <c r="C5720" s="2" t="s">
        <v>131</v>
      </c>
      <c r="D5720">
        <v>60</v>
      </c>
    </row>
    <row r="5721" spans="1:4" hidden="1" x14ac:dyDescent="0.25">
      <c r="A5721" s="2" t="s">
        <v>108</v>
      </c>
      <c r="B5721">
        <v>78</v>
      </c>
      <c r="C5721" s="2" t="s">
        <v>132</v>
      </c>
      <c r="D5721">
        <v>63</v>
      </c>
    </row>
    <row r="5722" spans="1:4" hidden="1" x14ac:dyDescent="0.25">
      <c r="A5722" s="2" t="s">
        <v>108</v>
      </c>
      <c r="B5722">
        <v>78</v>
      </c>
      <c r="C5722" s="2" t="s">
        <v>133</v>
      </c>
      <c r="D5722">
        <v>63</v>
      </c>
    </row>
    <row r="5723" spans="1:4" hidden="1" x14ac:dyDescent="0.25">
      <c r="A5723" s="2" t="s">
        <v>108</v>
      </c>
      <c r="B5723">
        <v>78</v>
      </c>
      <c r="C5723" s="2" t="s">
        <v>134</v>
      </c>
      <c r="D5723">
        <v>71</v>
      </c>
    </row>
    <row r="5724" spans="1:4" hidden="1" x14ac:dyDescent="0.25">
      <c r="A5724" s="2" t="s">
        <v>108</v>
      </c>
      <c r="B5724">
        <v>78</v>
      </c>
      <c r="C5724" s="2" t="s">
        <v>135</v>
      </c>
      <c r="D5724">
        <v>78</v>
      </c>
    </row>
    <row r="5725" spans="1:4" hidden="1" x14ac:dyDescent="0.25">
      <c r="A5725" s="2" t="s">
        <v>108</v>
      </c>
      <c r="B5725">
        <v>78</v>
      </c>
      <c r="C5725" s="2" t="s">
        <v>136</v>
      </c>
      <c r="D5725">
        <v>78</v>
      </c>
    </row>
    <row r="5726" spans="1:4" hidden="1" x14ac:dyDescent="0.25">
      <c r="A5726" s="2" t="s">
        <v>108</v>
      </c>
      <c r="B5726">
        <v>78</v>
      </c>
      <c r="C5726" s="2" t="s">
        <v>137</v>
      </c>
      <c r="D5726">
        <v>78</v>
      </c>
    </row>
    <row r="5727" spans="1:4" hidden="1" x14ac:dyDescent="0.25">
      <c r="A5727" s="2" t="s">
        <v>108</v>
      </c>
      <c r="B5727">
        <v>78</v>
      </c>
      <c r="C5727" s="2" t="s">
        <v>138</v>
      </c>
      <c r="D5727">
        <v>78</v>
      </c>
    </row>
    <row r="5728" spans="1:4" hidden="1" x14ac:dyDescent="0.25">
      <c r="A5728" s="2" t="s">
        <v>108</v>
      </c>
      <c r="B5728">
        <v>78</v>
      </c>
      <c r="C5728" s="2" t="s">
        <v>139</v>
      </c>
      <c r="D5728">
        <v>78</v>
      </c>
    </row>
    <row r="5729" spans="1:4" hidden="1" x14ac:dyDescent="0.25">
      <c r="A5729" s="2" t="s">
        <v>108</v>
      </c>
      <c r="B5729">
        <v>78</v>
      </c>
      <c r="C5729" s="2" t="s">
        <v>140</v>
      </c>
      <c r="D5729">
        <v>78</v>
      </c>
    </row>
    <row r="5730" spans="1:4" hidden="1" x14ac:dyDescent="0.25">
      <c r="A5730" s="2" t="s">
        <v>108</v>
      </c>
      <c r="B5730">
        <v>78</v>
      </c>
      <c r="C5730" s="2" t="s">
        <v>141</v>
      </c>
      <c r="D5730">
        <v>78</v>
      </c>
    </row>
    <row r="5731" spans="1:4" hidden="1" x14ac:dyDescent="0.25">
      <c r="A5731" s="2" t="s">
        <v>108</v>
      </c>
      <c r="B5731">
        <v>78</v>
      </c>
      <c r="C5731" s="2" t="s">
        <v>142</v>
      </c>
      <c r="D5731">
        <v>78</v>
      </c>
    </row>
    <row r="5732" spans="1:4" hidden="1" x14ac:dyDescent="0.25">
      <c r="A5732" s="2" t="s">
        <v>108</v>
      </c>
      <c r="B5732">
        <v>78</v>
      </c>
      <c r="C5732" s="2" t="s">
        <v>143</v>
      </c>
      <c r="D5732">
        <v>78</v>
      </c>
    </row>
    <row r="5733" spans="1:4" hidden="1" x14ac:dyDescent="0.25">
      <c r="A5733" s="2" t="s">
        <v>108</v>
      </c>
      <c r="B5733">
        <v>78</v>
      </c>
      <c r="C5733" s="2" t="s">
        <v>144</v>
      </c>
      <c r="D5733">
        <v>78</v>
      </c>
    </row>
    <row r="5734" spans="1:4" hidden="1" x14ac:dyDescent="0.25">
      <c r="A5734" s="2" t="s">
        <v>108</v>
      </c>
      <c r="B5734">
        <v>78</v>
      </c>
      <c r="C5734" s="2" t="s">
        <v>145</v>
      </c>
      <c r="D5734">
        <v>78</v>
      </c>
    </row>
    <row r="5735" spans="1:4" hidden="1" x14ac:dyDescent="0.25">
      <c r="A5735" s="2" t="s">
        <v>108</v>
      </c>
      <c r="B5735">
        <v>78</v>
      </c>
      <c r="C5735" s="2" t="s">
        <v>146</v>
      </c>
      <c r="D5735">
        <v>78</v>
      </c>
    </row>
    <row r="5736" spans="1:4" hidden="1" x14ac:dyDescent="0.25">
      <c r="A5736" s="2" t="s">
        <v>108</v>
      </c>
      <c r="B5736">
        <v>78</v>
      </c>
      <c r="C5736" s="2" t="s">
        <v>147</v>
      </c>
      <c r="D5736">
        <v>78</v>
      </c>
    </row>
    <row r="5737" spans="1:4" hidden="1" x14ac:dyDescent="0.25">
      <c r="A5737" s="2" t="s">
        <v>108</v>
      </c>
      <c r="B5737">
        <v>78</v>
      </c>
      <c r="C5737" s="2" t="s">
        <v>148</v>
      </c>
      <c r="D5737">
        <v>78</v>
      </c>
    </row>
    <row r="5738" spans="1:4" hidden="1" x14ac:dyDescent="0.25">
      <c r="A5738" s="2" t="s">
        <v>108</v>
      </c>
      <c r="B5738">
        <v>78</v>
      </c>
      <c r="C5738" s="2" t="s">
        <v>149</v>
      </c>
      <c r="D5738">
        <v>78</v>
      </c>
    </row>
    <row r="5739" spans="1:4" hidden="1" x14ac:dyDescent="0.25">
      <c r="A5739" s="2" t="s">
        <v>108</v>
      </c>
      <c r="B5739">
        <v>78</v>
      </c>
      <c r="C5739" s="2" t="s">
        <v>150</v>
      </c>
      <c r="D5739">
        <v>78</v>
      </c>
    </row>
    <row r="5740" spans="1:4" hidden="1" x14ac:dyDescent="0.25">
      <c r="A5740" s="2" t="s">
        <v>108</v>
      </c>
      <c r="B5740">
        <v>78</v>
      </c>
      <c r="C5740" s="2" t="s">
        <v>151</v>
      </c>
      <c r="D5740">
        <v>78</v>
      </c>
    </row>
    <row r="5741" spans="1:4" hidden="1" x14ac:dyDescent="0.25">
      <c r="A5741" s="2" t="s">
        <v>108</v>
      </c>
      <c r="B5741">
        <v>78</v>
      </c>
      <c r="C5741" s="2" t="s">
        <v>152</v>
      </c>
      <c r="D5741">
        <v>78</v>
      </c>
    </row>
    <row r="5742" spans="1:4" hidden="1" x14ac:dyDescent="0.25">
      <c r="A5742" s="2" t="s">
        <v>108</v>
      </c>
      <c r="B5742">
        <v>78</v>
      </c>
      <c r="C5742" s="2" t="s">
        <v>153</v>
      </c>
      <c r="D5742">
        <v>78</v>
      </c>
    </row>
    <row r="5743" spans="1:4" hidden="1" x14ac:dyDescent="0.25">
      <c r="A5743" s="2" t="s">
        <v>108</v>
      </c>
      <c r="B5743">
        <v>78</v>
      </c>
      <c r="C5743" s="2" t="s">
        <v>154</v>
      </c>
      <c r="D5743">
        <v>78</v>
      </c>
    </row>
    <row r="5744" spans="1:4" hidden="1" x14ac:dyDescent="0.25">
      <c r="A5744" s="2" t="s">
        <v>108</v>
      </c>
      <c r="B5744">
        <v>78</v>
      </c>
      <c r="C5744" s="2" t="s">
        <v>155</v>
      </c>
      <c r="D5744">
        <v>78</v>
      </c>
    </row>
    <row r="5745" spans="1:4" hidden="1" x14ac:dyDescent="0.25">
      <c r="A5745" s="2" t="s">
        <v>108</v>
      </c>
      <c r="B5745">
        <v>78</v>
      </c>
      <c r="C5745" s="2" t="s">
        <v>156</v>
      </c>
      <c r="D5745">
        <v>78</v>
      </c>
    </row>
    <row r="5746" spans="1:4" hidden="1" x14ac:dyDescent="0.25">
      <c r="A5746" s="2" t="s">
        <v>108</v>
      </c>
      <c r="B5746">
        <v>78</v>
      </c>
      <c r="C5746" s="2" t="s">
        <v>157</v>
      </c>
      <c r="D5746">
        <v>78</v>
      </c>
    </row>
    <row r="5747" spans="1:4" hidden="1" x14ac:dyDescent="0.25">
      <c r="A5747" s="2" t="s">
        <v>108</v>
      </c>
      <c r="B5747">
        <v>78</v>
      </c>
      <c r="C5747" s="2" t="s">
        <v>158</v>
      </c>
      <c r="D5747">
        <v>78</v>
      </c>
    </row>
    <row r="5748" spans="1:4" hidden="1" x14ac:dyDescent="0.25">
      <c r="A5748" s="2" t="s">
        <v>108</v>
      </c>
      <c r="B5748">
        <v>78</v>
      </c>
      <c r="C5748" s="2" t="s">
        <v>159</v>
      </c>
      <c r="D5748">
        <v>78</v>
      </c>
    </row>
    <row r="5749" spans="1:4" hidden="1" x14ac:dyDescent="0.25">
      <c r="A5749" s="2" t="s">
        <v>108</v>
      </c>
      <c r="B5749">
        <v>78</v>
      </c>
      <c r="C5749" s="2" t="s">
        <v>160</v>
      </c>
      <c r="D5749">
        <v>78</v>
      </c>
    </row>
    <row r="5750" spans="1:4" hidden="1" x14ac:dyDescent="0.25">
      <c r="A5750" s="2" t="s">
        <v>108</v>
      </c>
      <c r="B5750">
        <v>78</v>
      </c>
      <c r="C5750" s="2" t="s">
        <v>161</v>
      </c>
      <c r="D5750">
        <v>78</v>
      </c>
    </row>
    <row r="5751" spans="1:4" hidden="1" x14ac:dyDescent="0.25">
      <c r="A5751" s="2" t="s">
        <v>108</v>
      </c>
      <c r="B5751">
        <v>78</v>
      </c>
      <c r="C5751" s="2" t="s">
        <v>162</v>
      </c>
      <c r="D5751">
        <v>78</v>
      </c>
    </row>
    <row r="5752" spans="1:4" hidden="1" x14ac:dyDescent="0.25">
      <c r="A5752" s="2" t="s">
        <v>108</v>
      </c>
      <c r="B5752">
        <v>78</v>
      </c>
      <c r="C5752" s="2" t="s">
        <v>163</v>
      </c>
      <c r="D5752">
        <v>78</v>
      </c>
    </row>
    <row r="5753" spans="1:4" hidden="1" x14ac:dyDescent="0.25">
      <c r="A5753" s="2" t="s">
        <v>108</v>
      </c>
      <c r="B5753">
        <v>78</v>
      </c>
      <c r="C5753" s="2" t="s">
        <v>164</v>
      </c>
      <c r="D5753">
        <v>78</v>
      </c>
    </row>
    <row r="5754" spans="1:4" hidden="1" x14ac:dyDescent="0.25">
      <c r="A5754" s="2" t="s">
        <v>108</v>
      </c>
      <c r="B5754">
        <v>78</v>
      </c>
      <c r="C5754" s="2" t="s">
        <v>165</v>
      </c>
      <c r="D5754">
        <v>78</v>
      </c>
    </row>
    <row r="5755" spans="1:4" hidden="1" x14ac:dyDescent="0.25">
      <c r="A5755" s="2" t="s">
        <v>108</v>
      </c>
      <c r="B5755">
        <v>78</v>
      </c>
      <c r="C5755" s="2" t="s">
        <v>166</v>
      </c>
      <c r="D5755">
        <v>78</v>
      </c>
    </row>
    <row r="5756" spans="1:4" hidden="1" x14ac:dyDescent="0.25">
      <c r="A5756" s="2" t="s">
        <v>108</v>
      </c>
      <c r="B5756">
        <v>78</v>
      </c>
      <c r="C5756" s="2" t="s">
        <v>167</v>
      </c>
      <c r="D5756">
        <v>78</v>
      </c>
    </row>
    <row r="5757" spans="1:4" hidden="1" x14ac:dyDescent="0.25">
      <c r="A5757" s="2" t="s">
        <v>108</v>
      </c>
      <c r="B5757">
        <v>78</v>
      </c>
      <c r="C5757" s="2" t="s">
        <v>168</v>
      </c>
      <c r="D5757">
        <v>78</v>
      </c>
    </row>
    <row r="5758" spans="1:4" hidden="1" x14ac:dyDescent="0.25">
      <c r="A5758" s="2" t="s">
        <v>108</v>
      </c>
      <c r="B5758">
        <v>78</v>
      </c>
      <c r="C5758" s="2" t="s">
        <v>169</v>
      </c>
      <c r="D5758">
        <v>78</v>
      </c>
    </row>
    <row r="5759" spans="1:4" hidden="1" x14ac:dyDescent="0.25">
      <c r="A5759" s="2" t="s">
        <v>108</v>
      </c>
      <c r="B5759">
        <v>78</v>
      </c>
      <c r="C5759" s="2" t="s">
        <v>170</v>
      </c>
      <c r="D5759">
        <v>78</v>
      </c>
    </row>
    <row r="5760" spans="1:4" hidden="1" x14ac:dyDescent="0.25">
      <c r="A5760" s="2" t="s">
        <v>108</v>
      </c>
      <c r="B5760">
        <v>78</v>
      </c>
      <c r="C5760" s="2" t="s">
        <v>171</v>
      </c>
      <c r="D5760">
        <v>78</v>
      </c>
    </row>
    <row r="5761" spans="1:4" hidden="1" x14ac:dyDescent="0.25">
      <c r="A5761" s="2" t="s">
        <v>108</v>
      </c>
      <c r="B5761">
        <v>78</v>
      </c>
      <c r="C5761" s="2" t="s">
        <v>172</v>
      </c>
      <c r="D5761">
        <v>78</v>
      </c>
    </row>
    <row r="5762" spans="1:4" hidden="1" x14ac:dyDescent="0.25">
      <c r="A5762" s="2" t="s">
        <v>108</v>
      </c>
      <c r="B5762">
        <v>78</v>
      </c>
      <c r="C5762" s="2" t="s">
        <v>173</v>
      </c>
      <c r="D5762">
        <v>78</v>
      </c>
    </row>
    <row r="5763" spans="1:4" hidden="1" x14ac:dyDescent="0.25">
      <c r="A5763" s="2" t="s">
        <v>108</v>
      </c>
      <c r="B5763">
        <v>78</v>
      </c>
      <c r="C5763" s="2" t="s">
        <v>174</v>
      </c>
      <c r="D5763">
        <v>78</v>
      </c>
    </row>
    <row r="5764" spans="1:4" hidden="1" x14ac:dyDescent="0.25">
      <c r="A5764" s="2" t="s">
        <v>108</v>
      </c>
      <c r="B5764">
        <v>78</v>
      </c>
      <c r="C5764" s="2" t="s">
        <v>175</v>
      </c>
      <c r="D5764">
        <v>78</v>
      </c>
    </row>
    <row r="5765" spans="1:4" hidden="1" x14ac:dyDescent="0.25">
      <c r="A5765" s="2" t="s">
        <v>108</v>
      </c>
      <c r="B5765">
        <v>78</v>
      </c>
      <c r="C5765" s="2" t="s">
        <v>176</v>
      </c>
      <c r="D5765">
        <v>78</v>
      </c>
    </row>
    <row r="5766" spans="1:4" hidden="1" x14ac:dyDescent="0.25">
      <c r="A5766" s="2" t="s">
        <v>108</v>
      </c>
      <c r="B5766">
        <v>78</v>
      </c>
      <c r="C5766" s="2" t="s">
        <v>177</v>
      </c>
      <c r="D5766">
        <v>78</v>
      </c>
    </row>
    <row r="5767" spans="1:4" hidden="1" x14ac:dyDescent="0.25">
      <c r="A5767" s="2" t="s">
        <v>108</v>
      </c>
      <c r="B5767">
        <v>78</v>
      </c>
      <c r="C5767" s="2" t="s">
        <v>178</v>
      </c>
      <c r="D5767">
        <v>78</v>
      </c>
    </row>
    <row r="5768" spans="1:4" hidden="1" x14ac:dyDescent="0.25">
      <c r="A5768" s="2" t="s">
        <v>108</v>
      </c>
      <c r="B5768">
        <v>78</v>
      </c>
      <c r="C5768" s="2" t="s">
        <v>179</v>
      </c>
      <c r="D5768">
        <v>78</v>
      </c>
    </row>
    <row r="5769" spans="1:4" hidden="1" x14ac:dyDescent="0.25">
      <c r="A5769" s="2" t="s">
        <v>41</v>
      </c>
      <c r="B5769">
        <v>80</v>
      </c>
      <c r="C5769" s="2" t="s">
        <v>183</v>
      </c>
      <c r="D5769">
        <v>78</v>
      </c>
    </row>
    <row r="5770" spans="1:4" hidden="1" x14ac:dyDescent="0.25">
      <c r="A5770" s="2" t="s">
        <v>41</v>
      </c>
      <c r="B5770">
        <v>80</v>
      </c>
      <c r="C5770" s="2" t="s">
        <v>184</v>
      </c>
      <c r="D5770">
        <v>77</v>
      </c>
    </row>
    <row r="5771" spans="1:4" hidden="1" x14ac:dyDescent="0.25">
      <c r="A5771" s="2" t="s">
        <v>41</v>
      </c>
      <c r="B5771">
        <v>80</v>
      </c>
      <c r="C5771" s="2" t="s">
        <v>185</v>
      </c>
      <c r="D5771">
        <v>61</v>
      </c>
    </row>
    <row r="5772" spans="1:4" hidden="1" x14ac:dyDescent="0.25">
      <c r="A5772" s="2" t="s">
        <v>41</v>
      </c>
      <c r="B5772">
        <v>80</v>
      </c>
      <c r="C5772" s="2" t="s">
        <v>186</v>
      </c>
      <c r="D5772">
        <v>83</v>
      </c>
    </row>
    <row r="5773" spans="1:4" hidden="1" x14ac:dyDescent="0.25">
      <c r="A5773" s="2" t="s">
        <v>41</v>
      </c>
      <c r="B5773">
        <v>80</v>
      </c>
      <c r="C5773" s="2" t="s">
        <v>187</v>
      </c>
      <c r="D5773">
        <v>85</v>
      </c>
    </row>
    <row r="5774" spans="1:4" hidden="1" x14ac:dyDescent="0.25">
      <c r="A5774" s="2" t="s">
        <v>41</v>
      </c>
      <c r="B5774">
        <v>80</v>
      </c>
      <c r="C5774" s="2" t="s">
        <v>188</v>
      </c>
      <c r="D5774">
        <v>91</v>
      </c>
    </row>
    <row r="5775" spans="1:4" hidden="1" x14ac:dyDescent="0.25">
      <c r="A5775" s="2" t="s">
        <v>41</v>
      </c>
      <c r="B5775">
        <v>80</v>
      </c>
      <c r="C5775" s="2" t="s">
        <v>189</v>
      </c>
      <c r="D5775">
        <v>42</v>
      </c>
    </row>
    <row r="5776" spans="1:4" hidden="1" x14ac:dyDescent="0.25">
      <c r="A5776" s="2" t="s">
        <v>41</v>
      </c>
      <c r="B5776">
        <v>80</v>
      </c>
      <c r="C5776" s="2" t="s">
        <v>190</v>
      </c>
      <c r="D5776">
        <v>43</v>
      </c>
    </row>
    <row r="5777" spans="1:4" hidden="1" x14ac:dyDescent="0.25">
      <c r="A5777" s="2" t="s">
        <v>41</v>
      </c>
      <c r="B5777">
        <v>80</v>
      </c>
      <c r="C5777" s="2" t="s">
        <v>191</v>
      </c>
      <c r="D5777">
        <v>48</v>
      </c>
    </row>
    <row r="5778" spans="1:4" hidden="1" x14ac:dyDescent="0.25">
      <c r="A5778" s="2" t="s">
        <v>41</v>
      </c>
      <c r="B5778">
        <v>80</v>
      </c>
      <c r="C5778" s="2" t="s">
        <v>116</v>
      </c>
      <c r="D5778">
        <v>50</v>
      </c>
    </row>
    <row r="5779" spans="1:4" hidden="1" x14ac:dyDescent="0.25">
      <c r="A5779" s="2" t="s">
        <v>41</v>
      </c>
      <c r="B5779">
        <v>80</v>
      </c>
      <c r="C5779" s="2" t="s">
        <v>117</v>
      </c>
      <c r="D5779">
        <v>57</v>
      </c>
    </row>
    <row r="5780" spans="1:4" hidden="1" x14ac:dyDescent="0.25">
      <c r="A5780" s="2" t="s">
        <v>41</v>
      </c>
      <c r="B5780">
        <v>80</v>
      </c>
      <c r="C5780" s="2" t="s">
        <v>118</v>
      </c>
      <c r="D5780">
        <v>62</v>
      </c>
    </row>
    <row r="5781" spans="1:4" hidden="1" x14ac:dyDescent="0.25">
      <c r="A5781" s="2" t="s">
        <v>41</v>
      </c>
      <c r="B5781">
        <v>80</v>
      </c>
      <c r="C5781" s="2" t="s">
        <v>119</v>
      </c>
      <c r="D5781">
        <v>87</v>
      </c>
    </row>
    <row r="5782" spans="1:4" hidden="1" x14ac:dyDescent="0.25">
      <c r="A5782" s="2" t="s">
        <v>41</v>
      </c>
      <c r="B5782">
        <v>80</v>
      </c>
      <c r="C5782" s="2" t="s">
        <v>120</v>
      </c>
      <c r="D5782">
        <v>87</v>
      </c>
    </row>
    <row r="5783" spans="1:4" hidden="1" x14ac:dyDescent="0.25">
      <c r="A5783" s="2" t="s">
        <v>41</v>
      </c>
      <c r="B5783">
        <v>80</v>
      </c>
      <c r="C5783" s="2" t="s">
        <v>121</v>
      </c>
      <c r="D5783">
        <v>86</v>
      </c>
    </row>
    <row r="5784" spans="1:4" hidden="1" x14ac:dyDescent="0.25">
      <c r="A5784" s="2" t="s">
        <v>41</v>
      </c>
      <c r="B5784">
        <v>80</v>
      </c>
      <c r="C5784" s="2" t="s">
        <v>122</v>
      </c>
      <c r="D5784">
        <v>106</v>
      </c>
    </row>
    <row r="5785" spans="1:4" hidden="1" x14ac:dyDescent="0.25">
      <c r="A5785" s="2" t="s">
        <v>41</v>
      </c>
      <c r="B5785">
        <v>80</v>
      </c>
      <c r="C5785" s="2" t="s">
        <v>123</v>
      </c>
      <c r="D5785">
        <v>109</v>
      </c>
    </row>
    <row r="5786" spans="1:4" hidden="1" x14ac:dyDescent="0.25">
      <c r="A5786" s="2" t="s">
        <v>41</v>
      </c>
      <c r="B5786">
        <v>80</v>
      </c>
      <c r="C5786" s="2" t="s">
        <v>124</v>
      </c>
      <c r="D5786">
        <v>110</v>
      </c>
    </row>
    <row r="5787" spans="1:4" hidden="1" x14ac:dyDescent="0.25">
      <c r="A5787" s="2" t="s">
        <v>41</v>
      </c>
      <c r="B5787">
        <v>80</v>
      </c>
      <c r="C5787" s="2" t="s">
        <v>125</v>
      </c>
      <c r="D5787">
        <v>106</v>
      </c>
    </row>
    <row r="5788" spans="1:4" hidden="1" x14ac:dyDescent="0.25">
      <c r="A5788" s="2" t="s">
        <v>41</v>
      </c>
      <c r="B5788">
        <v>80</v>
      </c>
      <c r="C5788" s="2" t="s">
        <v>126</v>
      </c>
      <c r="D5788">
        <v>105</v>
      </c>
    </row>
    <row r="5789" spans="1:4" hidden="1" x14ac:dyDescent="0.25">
      <c r="A5789" s="2" t="s">
        <v>41</v>
      </c>
      <c r="B5789">
        <v>80</v>
      </c>
      <c r="C5789" s="2" t="s">
        <v>127</v>
      </c>
      <c r="D5789">
        <v>105</v>
      </c>
    </row>
    <row r="5790" spans="1:4" hidden="1" x14ac:dyDescent="0.25">
      <c r="A5790" s="2" t="s">
        <v>41</v>
      </c>
      <c r="B5790">
        <v>80</v>
      </c>
      <c r="C5790" s="2" t="s">
        <v>128</v>
      </c>
      <c r="D5790">
        <v>101</v>
      </c>
    </row>
    <row r="5791" spans="1:4" hidden="1" x14ac:dyDescent="0.25">
      <c r="A5791" s="2" t="s">
        <v>41</v>
      </c>
      <c r="B5791">
        <v>80</v>
      </c>
      <c r="C5791" s="2" t="s">
        <v>129</v>
      </c>
      <c r="D5791">
        <v>101</v>
      </c>
    </row>
    <row r="5792" spans="1:4" hidden="1" x14ac:dyDescent="0.25">
      <c r="A5792" s="2" t="s">
        <v>41</v>
      </c>
      <c r="B5792">
        <v>80</v>
      </c>
      <c r="C5792" s="2" t="s">
        <v>130</v>
      </c>
      <c r="D5792">
        <v>94</v>
      </c>
    </row>
    <row r="5793" spans="1:4" hidden="1" x14ac:dyDescent="0.25">
      <c r="A5793" s="2" t="s">
        <v>41</v>
      </c>
      <c r="B5793">
        <v>80</v>
      </c>
      <c r="C5793" s="2" t="s">
        <v>131</v>
      </c>
      <c r="D5793">
        <v>76</v>
      </c>
    </row>
    <row r="5794" spans="1:4" hidden="1" x14ac:dyDescent="0.25">
      <c r="A5794" s="2" t="s">
        <v>41</v>
      </c>
      <c r="B5794">
        <v>80</v>
      </c>
      <c r="C5794" s="2" t="s">
        <v>132</v>
      </c>
      <c r="D5794">
        <v>81</v>
      </c>
    </row>
    <row r="5795" spans="1:4" hidden="1" x14ac:dyDescent="0.25">
      <c r="A5795" s="2" t="s">
        <v>41</v>
      </c>
      <c r="B5795">
        <v>80</v>
      </c>
      <c r="C5795" s="2" t="s">
        <v>133</v>
      </c>
      <c r="D5795">
        <v>81</v>
      </c>
    </row>
    <row r="5796" spans="1:4" hidden="1" x14ac:dyDescent="0.25">
      <c r="A5796" s="2" t="s">
        <v>41</v>
      </c>
      <c r="B5796">
        <v>80</v>
      </c>
      <c r="C5796" s="2" t="s">
        <v>134</v>
      </c>
      <c r="D5796">
        <v>81</v>
      </c>
    </row>
    <row r="5797" spans="1:4" hidden="1" x14ac:dyDescent="0.25">
      <c r="A5797" s="2" t="s">
        <v>41</v>
      </c>
      <c r="B5797">
        <v>80</v>
      </c>
      <c r="C5797" s="2" t="s">
        <v>135</v>
      </c>
      <c r="D5797">
        <v>80</v>
      </c>
    </row>
    <row r="5798" spans="1:4" hidden="1" x14ac:dyDescent="0.25">
      <c r="A5798" s="2" t="s">
        <v>41</v>
      </c>
      <c r="B5798">
        <v>80</v>
      </c>
      <c r="C5798" s="2" t="s">
        <v>136</v>
      </c>
      <c r="D5798">
        <v>80</v>
      </c>
    </row>
    <row r="5799" spans="1:4" hidden="1" x14ac:dyDescent="0.25">
      <c r="A5799" s="2" t="s">
        <v>41</v>
      </c>
      <c r="B5799">
        <v>80</v>
      </c>
      <c r="C5799" s="2" t="s">
        <v>137</v>
      </c>
      <c r="D5799">
        <v>80</v>
      </c>
    </row>
    <row r="5800" spans="1:4" hidden="1" x14ac:dyDescent="0.25">
      <c r="A5800" s="2" t="s">
        <v>41</v>
      </c>
      <c r="B5800">
        <v>80</v>
      </c>
      <c r="C5800" s="2" t="s">
        <v>138</v>
      </c>
      <c r="D5800">
        <v>80</v>
      </c>
    </row>
    <row r="5801" spans="1:4" hidden="1" x14ac:dyDescent="0.25">
      <c r="A5801" s="2" t="s">
        <v>41</v>
      </c>
      <c r="B5801">
        <v>80</v>
      </c>
      <c r="C5801" s="2" t="s">
        <v>139</v>
      </c>
      <c r="D5801">
        <v>80</v>
      </c>
    </row>
    <row r="5802" spans="1:4" hidden="1" x14ac:dyDescent="0.25">
      <c r="A5802" s="2" t="s">
        <v>41</v>
      </c>
      <c r="B5802">
        <v>80</v>
      </c>
      <c r="C5802" s="2" t="s">
        <v>140</v>
      </c>
      <c r="D5802">
        <v>80</v>
      </c>
    </row>
    <row r="5803" spans="1:4" hidden="1" x14ac:dyDescent="0.25">
      <c r="A5803" s="2" t="s">
        <v>41</v>
      </c>
      <c r="B5803">
        <v>80</v>
      </c>
      <c r="C5803" s="2" t="s">
        <v>141</v>
      </c>
      <c r="D5803">
        <v>80</v>
      </c>
    </row>
    <row r="5804" spans="1:4" hidden="1" x14ac:dyDescent="0.25">
      <c r="A5804" s="2" t="s">
        <v>41</v>
      </c>
      <c r="B5804">
        <v>80</v>
      </c>
      <c r="C5804" s="2" t="s">
        <v>142</v>
      </c>
      <c r="D5804">
        <v>80</v>
      </c>
    </row>
    <row r="5805" spans="1:4" hidden="1" x14ac:dyDescent="0.25">
      <c r="A5805" s="2" t="s">
        <v>41</v>
      </c>
      <c r="B5805">
        <v>80</v>
      </c>
      <c r="C5805" s="2" t="s">
        <v>143</v>
      </c>
      <c r="D5805">
        <v>80</v>
      </c>
    </row>
    <row r="5806" spans="1:4" hidden="1" x14ac:dyDescent="0.25">
      <c r="A5806" s="2" t="s">
        <v>41</v>
      </c>
      <c r="B5806">
        <v>80</v>
      </c>
      <c r="C5806" s="2" t="s">
        <v>144</v>
      </c>
      <c r="D5806">
        <v>80</v>
      </c>
    </row>
    <row r="5807" spans="1:4" hidden="1" x14ac:dyDescent="0.25">
      <c r="A5807" s="2" t="s">
        <v>41</v>
      </c>
      <c r="B5807">
        <v>80</v>
      </c>
      <c r="C5807" s="2" t="s">
        <v>145</v>
      </c>
      <c r="D5807">
        <v>80</v>
      </c>
    </row>
    <row r="5808" spans="1:4" hidden="1" x14ac:dyDescent="0.25">
      <c r="A5808" s="2" t="s">
        <v>41</v>
      </c>
      <c r="B5808">
        <v>80</v>
      </c>
      <c r="C5808" s="2" t="s">
        <v>146</v>
      </c>
      <c r="D5808">
        <v>80</v>
      </c>
    </row>
    <row r="5809" spans="1:4" hidden="1" x14ac:dyDescent="0.25">
      <c r="A5809" s="2" t="s">
        <v>41</v>
      </c>
      <c r="B5809">
        <v>80</v>
      </c>
      <c r="C5809" s="2" t="s">
        <v>147</v>
      </c>
      <c r="D5809">
        <v>80</v>
      </c>
    </row>
    <row r="5810" spans="1:4" hidden="1" x14ac:dyDescent="0.25">
      <c r="A5810" s="2" t="s">
        <v>41</v>
      </c>
      <c r="B5810">
        <v>80</v>
      </c>
      <c r="C5810" s="2" t="s">
        <v>148</v>
      </c>
      <c r="D5810">
        <v>80</v>
      </c>
    </row>
    <row r="5811" spans="1:4" hidden="1" x14ac:dyDescent="0.25">
      <c r="A5811" s="2" t="s">
        <v>41</v>
      </c>
      <c r="B5811">
        <v>80</v>
      </c>
      <c r="C5811" s="2" t="s">
        <v>149</v>
      </c>
      <c r="D5811">
        <v>80</v>
      </c>
    </row>
    <row r="5812" spans="1:4" hidden="1" x14ac:dyDescent="0.25">
      <c r="A5812" s="2" t="s">
        <v>41</v>
      </c>
      <c r="B5812">
        <v>80</v>
      </c>
      <c r="C5812" s="2" t="s">
        <v>150</v>
      </c>
      <c r="D5812">
        <v>80</v>
      </c>
    </row>
    <row r="5813" spans="1:4" hidden="1" x14ac:dyDescent="0.25">
      <c r="A5813" s="2" t="s">
        <v>41</v>
      </c>
      <c r="B5813">
        <v>80</v>
      </c>
      <c r="C5813" s="2" t="s">
        <v>151</v>
      </c>
      <c r="D5813">
        <v>80</v>
      </c>
    </row>
    <row r="5814" spans="1:4" hidden="1" x14ac:dyDescent="0.25">
      <c r="A5814" s="2" t="s">
        <v>41</v>
      </c>
      <c r="B5814">
        <v>80</v>
      </c>
      <c r="C5814" s="2" t="s">
        <v>152</v>
      </c>
      <c r="D5814">
        <v>80</v>
      </c>
    </row>
    <row r="5815" spans="1:4" hidden="1" x14ac:dyDescent="0.25">
      <c r="A5815" s="2" t="s">
        <v>41</v>
      </c>
      <c r="B5815">
        <v>80</v>
      </c>
      <c r="C5815" s="2" t="s">
        <v>153</v>
      </c>
      <c r="D5815">
        <v>80</v>
      </c>
    </row>
    <row r="5816" spans="1:4" hidden="1" x14ac:dyDescent="0.25">
      <c r="A5816" s="2" t="s">
        <v>41</v>
      </c>
      <c r="B5816">
        <v>80</v>
      </c>
      <c r="C5816" s="2" t="s">
        <v>154</v>
      </c>
      <c r="D5816">
        <v>80</v>
      </c>
    </row>
    <row r="5817" spans="1:4" hidden="1" x14ac:dyDescent="0.25">
      <c r="A5817" s="2" t="s">
        <v>41</v>
      </c>
      <c r="B5817">
        <v>80</v>
      </c>
      <c r="C5817" s="2" t="s">
        <v>155</v>
      </c>
      <c r="D5817">
        <v>80</v>
      </c>
    </row>
    <row r="5818" spans="1:4" hidden="1" x14ac:dyDescent="0.25">
      <c r="A5818" s="2" t="s">
        <v>41</v>
      </c>
      <c r="B5818">
        <v>80</v>
      </c>
      <c r="C5818" s="2" t="s">
        <v>156</v>
      </c>
      <c r="D5818">
        <v>80</v>
      </c>
    </row>
    <row r="5819" spans="1:4" hidden="1" x14ac:dyDescent="0.25">
      <c r="A5819" s="2" t="s">
        <v>41</v>
      </c>
      <c r="B5819">
        <v>80</v>
      </c>
      <c r="C5819" s="2" t="s">
        <v>157</v>
      </c>
      <c r="D5819">
        <v>80</v>
      </c>
    </row>
    <row r="5820" spans="1:4" hidden="1" x14ac:dyDescent="0.25">
      <c r="A5820" s="2" t="s">
        <v>41</v>
      </c>
      <c r="B5820">
        <v>80</v>
      </c>
      <c r="C5820" s="2" t="s">
        <v>158</v>
      </c>
      <c r="D5820">
        <v>80</v>
      </c>
    </row>
    <row r="5821" spans="1:4" hidden="1" x14ac:dyDescent="0.25">
      <c r="A5821" s="2" t="s">
        <v>41</v>
      </c>
      <c r="B5821">
        <v>80</v>
      </c>
      <c r="C5821" s="2" t="s">
        <v>159</v>
      </c>
      <c r="D5821">
        <v>80</v>
      </c>
    </row>
    <row r="5822" spans="1:4" hidden="1" x14ac:dyDescent="0.25">
      <c r="A5822" s="2" t="s">
        <v>41</v>
      </c>
      <c r="B5822">
        <v>80</v>
      </c>
      <c r="C5822" s="2" t="s">
        <v>160</v>
      </c>
      <c r="D5822">
        <v>80</v>
      </c>
    </row>
    <row r="5823" spans="1:4" hidden="1" x14ac:dyDescent="0.25">
      <c r="A5823" s="2" t="s">
        <v>41</v>
      </c>
      <c r="B5823">
        <v>80</v>
      </c>
      <c r="C5823" s="2" t="s">
        <v>161</v>
      </c>
      <c r="D5823">
        <v>80</v>
      </c>
    </row>
    <row r="5824" spans="1:4" hidden="1" x14ac:dyDescent="0.25">
      <c r="A5824" s="2" t="s">
        <v>41</v>
      </c>
      <c r="B5824">
        <v>80</v>
      </c>
      <c r="C5824" s="2" t="s">
        <v>162</v>
      </c>
      <c r="D5824">
        <v>80</v>
      </c>
    </row>
    <row r="5825" spans="1:4" hidden="1" x14ac:dyDescent="0.25">
      <c r="A5825" s="2" t="s">
        <v>41</v>
      </c>
      <c r="B5825">
        <v>80</v>
      </c>
      <c r="C5825" s="2" t="s">
        <v>163</v>
      </c>
      <c r="D5825">
        <v>80</v>
      </c>
    </row>
    <row r="5826" spans="1:4" hidden="1" x14ac:dyDescent="0.25">
      <c r="A5826" s="2" t="s">
        <v>41</v>
      </c>
      <c r="B5826">
        <v>80</v>
      </c>
      <c r="C5826" s="2" t="s">
        <v>164</v>
      </c>
      <c r="D5826">
        <v>80</v>
      </c>
    </row>
    <row r="5827" spans="1:4" hidden="1" x14ac:dyDescent="0.25">
      <c r="A5827" s="2" t="s">
        <v>41</v>
      </c>
      <c r="B5827">
        <v>80</v>
      </c>
      <c r="C5827" s="2" t="s">
        <v>165</v>
      </c>
      <c r="D5827">
        <v>80</v>
      </c>
    </row>
    <row r="5828" spans="1:4" hidden="1" x14ac:dyDescent="0.25">
      <c r="A5828" s="2" t="s">
        <v>41</v>
      </c>
      <c r="B5828">
        <v>80</v>
      </c>
      <c r="C5828" s="2" t="s">
        <v>166</v>
      </c>
      <c r="D5828">
        <v>80</v>
      </c>
    </row>
    <row r="5829" spans="1:4" hidden="1" x14ac:dyDescent="0.25">
      <c r="A5829" s="2" t="s">
        <v>41</v>
      </c>
      <c r="B5829">
        <v>80</v>
      </c>
      <c r="C5829" s="2" t="s">
        <v>167</v>
      </c>
      <c r="D5829">
        <v>80</v>
      </c>
    </row>
    <row r="5830" spans="1:4" hidden="1" x14ac:dyDescent="0.25">
      <c r="A5830" s="2" t="s">
        <v>41</v>
      </c>
      <c r="B5830">
        <v>80</v>
      </c>
      <c r="C5830" s="2" t="s">
        <v>168</v>
      </c>
      <c r="D5830">
        <v>80</v>
      </c>
    </row>
    <row r="5831" spans="1:4" hidden="1" x14ac:dyDescent="0.25">
      <c r="A5831" s="2" t="s">
        <v>41</v>
      </c>
      <c r="B5831">
        <v>80</v>
      </c>
      <c r="C5831" s="2" t="s">
        <v>169</v>
      </c>
      <c r="D5831">
        <v>80</v>
      </c>
    </row>
    <row r="5832" spans="1:4" hidden="1" x14ac:dyDescent="0.25">
      <c r="A5832" s="2" t="s">
        <v>41</v>
      </c>
      <c r="B5832">
        <v>80</v>
      </c>
      <c r="C5832" s="2" t="s">
        <v>170</v>
      </c>
      <c r="D5832">
        <v>80</v>
      </c>
    </row>
    <row r="5833" spans="1:4" hidden="1" x14ac:dyDescent="0.25">
      <c r="A5833" s="2" t="s">
        <v>41</v>
      </c>
      <c r="B5833">
        <v>80</v>
      </c>
      <c r="C5833" s="2" t="s">
        <v>171</v>
      </c>
      <c r="D5833">
        <v>80</v>
      </c>
    </row>
    <row r="5834" spans="1:4" hidden="1" x14ac:dyDescent="0.25">
      <c r="A5834" s="2" t="s">
        <v>41</v>
      </c>
      <c r="B5834">
        <v>80</v>
      </c>
      <c r="C5834" s="2" t="s">
        <v>172</v>
      </c>
      <c r="D5834">
        <v>80</v>
      </c>
    </row>
    <row r="5835" spans="1:4" hidden="1" x14ac:dyDescent="0.25">
      <c r="A5835" s="2" t="s">
        <v>41</v>
      </c>
      <c r="B5835">
        <v>80</v>
      </c>
      <c r="C5835" s="2" t="s">
        <v>173</v>
      </c>
      <c r="D5835">
        <v>80</v>
      </c>
    </row>
    <row r="5836" spans="1:4" hidden="1" x14ac:dyDescent="0.25">
      <c r="A5836" s="2" t="s">
        <v>41</v>
      </c>
      <c r="B5836">
        <v>80</v>
      </c>
      <c r="C5836" s="2" t="s">
        <v>174</v>
      </c>
      <c r="D5836">
        <v>80</v>
      </c>
    </row>
    <row r="5837" spans="1:4" hidden="1" x14ac:dyDescent="0.25">
      <c r="A5837" s="2" t="s">
        <v>41</v>
      </c>
      <c r="B5837">
        <v>80</v>
      </c>
      <c r="C5837" s="2" t="s">
        <v>175</v>
      </c>
      <c r="D5837">
        <v>80</v>
      </c>
    </row>
    <row r="5838" spans="1:4" hidden="1" x14ac:dyDescent="0.25">
      <c r="A5838" s="2" t="s">
        <v>41</v>
      </c>
      <c r="B5838">
        <v>80</v>
      </c>
      <c r="C5838" s="2" t="s">
        <v>176</v>
      </c>
      <c r="D5838">
        <v>80</v>
      </c>
    </row>
    <row r="5839" spans="1:4" hidden="1" x14ac:dyDescent="0.25">
      <c r="A5839" s="2" t="s">
        <v>41</v>
      </c>
      <c r="B5839">
        <v>80</v>
      </c>
      <c r="C5839" s="2" t="s">
        <v>177</v>
      </c>
      <c r="D5839">
        <v>80</v>
      </c>
    </row>
    <row r="5840" spans="1:4" hidden="1" x14ac:dyDescent="0.25">
      <c r="A5840" s="2" t="s">
        <v>41</v>
      </c>
      <c r="B5840">
        <v>80</v>
      </c>
      <c r="C5840" s="2" t="s">
        <v>178</v>
      </c>
      <c r="D5840">
        <v>80</v>
      </c>
    </row>
    <row r="5841" spans="1:4" hidden="1" x14ac:dyDescent="0.25">
      <c r="A5841" s="2" t="s">
        <v>41</v>
      </c>
      <c r="B5841">
        <v>80</v>
      </c>
      <c r="C5841" s="2" t="s">
        <v>179</v>
      </c>
      <c r="D5841">
        <v>80</v>
      </c>
    </row>
    <row r="5842" spans="1:4" hidden="1" x14ac:dyDescent="0.25">
      <c r="A5842" s="2" t="s">
        <v>56</v>
      </c>
      <c r="B5842">
        <v>81</v>
      </c>
      <c r="C5842" s="2" t="s">
        <v>183</v>
      </c>
      <c r="D5842">
        <v>65</v>
      </c>
    </row>
    <row r="5843" spans="1:4" hidden="1" x14ac:dyDescent="0.25">
      <c r="A5843" s="2" t="s">
        <v>56</v>
      </c>
      <c r="B5843">
        <v>81</v>
      </c>
      <c r="C5843" s="2" t="s">
        <v>184</v>
      </c>
      <c r="D5843">
        <v>62</v>
      </c>
    </row>
    <row r="5844" spans="1:4" hidden="1" x14ac:dyDescent="0.25">
      <c r="A5844" s="2" t="s">
        <v>56</v>
      </c>
      <c r="B5844">
        <v>81</v>
      </c>
      <c r="C5844" s="2" t="s">
        <v>185</v>
      </c>
      <c r="D5844">
        <v>75</v>
      </c>
    </row>
    <row r="5845" spans="1:4" hidden="1" x14ac:dyDescent="0.25">
      <c r="A5845" s="2" t="s">
        <v>56</v>
      </c>
      <c r="B5845">
        <v>81</v>
      </c>
      <c r="C5845" s="2" t="s">
        <v>186</v>
      </c>
      <c r="D5845">
        <v>96</v>
      </c>
    </row>
    <row r="5846" spans="1:4" hidden="1" x14ac:dyDescent="0.25">
      <c r="A5846" s="2" t="s">
        <v>56</v>
      </c>
      <c r="B5846">
        <v>81</v>
      </c>
      <c r="C5846" s="2" t="s">
        <v>187</v>
      </c>
      <c r="D5846">
        <v>96</v>
      </c>
    </row>
    <row r="5847" spans="1:4" hidden="1" x14ac:dyDescent="0.25">
      <c r="A5847" s="2" t="s">
        <v>56</v>
      </c>
      <c r="B5847">
        <v>81</v>
      </c>
      <c r="C5847" s="2" t="s">
        <v>188</v>
      </c>
      <c r="D5847">
        <v>93</v>
      </c>
    </row>
    <row r="5848" spans="1:4" hidden="1" x14ac:dyDescent="0.25">
      <c r="A5848" s="2" t="s">
        <v>56</v>
      </c>
      <c r="B5848">
        <v>81</v>
      </c>
      <c r="C5848" s="2" t="s">
        <v>189</v>
      </c>
      <c r="D5848">
        <v>97</v>
      </c>
    </row>
    <row r="5849" spans="1:4" hidden="1" x14ac:dyDescent="0.25">
      <c r="A5849" s="2" t="s">
        <v>56</v>
      </c>
      <c r="B5849">
        <v>81</v>
      </c>
      <c r="C5849" s="2" t="s">
        <v>190</v>
      </c>
      <c r="D5849">
        <v>98</v>
      </c>
    </row>
    <row r="5850" spans="1:4" hidden="1" x14ac:dyDescent="0.25">
      <c r="A5850" s="2" t="s">
        <v>56</v>
      </c>
      <c r="B5850">
        <v>81</v>
      </c>
      <c r="C5850" s="2" t="s">
        <v>191</v>
      </c>
      <c r="D5850">
        <v>97</v>
      </c>
    </row>
    <row r="5851" spans="1:4" hidden="1" x14ac:dyDescent="0.25">
      <c r="A5851" s="2" t="s">
        <v>56</v>
      </c>
      <c r="B5851">
        <v>81</v>
      </c>
      <c r="C5851" s="2" t="s">
        <v>116</v>
      </c>
      <c r="D5851">
        <v>98</v>
      </c>
    </row>
    <row r="5852" spans="1:4" hidden="1" x14ac:dyDescent="0.25">
      <c r="A5852" s="2" t="s">
        <v>56</v>
      </c>
      <c r="B5852">
        <v>81</v>
      </c>
      <c r="C5852" s="2" t="s">
        <v>117</v>
      </c>
      <c r="D5852">
        <v>95</v>
      </c>
    </row>
    <row r="5853" spans="1:4" hidden="1" x14ac:dyDescent="0.25">
      <c r="A5853" s="2" t="s">
        <v>56</v>
      </c>
      <c r="B5853">
        <v>81</v>
      </c>
      <c r="C5853" s="2" t="s">
        <v>118</v>
      </c>
      <c r="D5853">
        <v>92</v>
      </c>
    </row>
    <row r="5854" spans="1:4" hidden="1" x14ac:dyDescent="0.25">
      <c r="A5854" s="2" t="s">
        <v>56</v>
      </c>
      <c r="B5854">
        <v>81</v>
      </c>
      <c r="C5854" s="2" t="s">
        <v>119</v>
      </c>
      <c r="D5854">
        <v>92</v>
      </c>
    </row>
    <row r="5855" spans="1:4" hidden="1" x14ac:dyDescent="0.25">
      <c r="A5855" s="2" t="s">
        <v>56</v>
      </c>
      <c r="B5855">
        <v>81</v>
      </c>
      <c r="C5855" s="2" t="s">
        <v>120</v>
      </c>
      <c r="D5855">
        <v>93</v>
      </c>
    </row>
    <row r="5856" spans="1:4" hidden="1" x14ac:dyDescent="0.25">
      <c r="A5856" s="2" t="s">
        <v>56</v>
      </c>
      <c r="B5856">
        <v>81</v>
      </c>
      <c r="C5856" s="2" t="s">
        <v>121</v>
      </c>
      <c r="D5856">
        <v>86</v>
      </c>
    </row>
    <row r="5857" spans="1:4" hidden="1" x14ac:dyDescent="0.25">
      <c r="A5857" s="2" t="s">
        <v>56</v>
      </c>
      <c r="B5857">
        <v>81</v>
      </c>
      <c r="C5857" s="2" t="s">
        <v>122</v>
      </c>
      <c r="D5857">
        <v>87</v>
      </c>
    </row>
    <row r="5858" spans="1:4" hidden="1" x14ac:dyDescent="0.25">
      <c r="A5858" s="2" t="s">
        <v>56</v>
      </c>
      <c r="B5858">
        <v>81</v>
      </c>
      <c r="C5858" s="2" t="s">
        <v>123</v>
      </c>
      <c r="D5858">
        <v>90</v>
      </c>
    </row>
    <row r="5859" spans="1:4" hidden="1" x14ac:dyDescent="0.25">
      <c r="A5859" s="2" t="s">
        <v>56</v>
      </c>
      <c r="B5859">
        <v>81</v>
      </c>
      <c r="C5859" s="2" t="s">
        <v>124</v>
      </c>
      <c r="D5859">
        <v>92</v>
      </c>
    </row>
    <row r="5860" spans="1:4" hidden="1" x14ac:dyDescent="0.25">
      <c r="A5860" s="2" t="s">
        <v>56</v>
      </c>
      <c r="B5860">
        <v>81</v>
      </c>
      <c r="C5860" s="2" t="s">
        <v>125</v>
      </c>
      <c r="D5860">
        <v>103</v>
      </c>
    </row>
    <row r="5861" spans="1:4" hidden="1" x14ac:dyDescent="0.25">
      <c r="A5861" s="2" t="s">
        <v>56</v>
      </c>
      <c r="B5861">
        <v>81</v>
      </c>
      <c r="C5861" s="2" t="s">
        <v>126</v>
      </c>
      <c r="D5861">
        <v>76</v>
      </c>
    </row>
    <row r="5862" spans="1:4" hidden="1" x14ac:dyDescent="0.25">
      <c r="A5862" s="2" t="s">
        <v>56</v>
      </c>
      <c r="B5862">
        <v>81</v>
      </c>
      <c r="C5862" s="2" t="s">
        <v>127</v>
      </c>
      <c r="D5862">
        <v>81</v>
      </c>
    </row>
    <row r="5863" spans="1:4" hidden="1" x14ac:dyDescent="0.25">
      <c r="A5863" s="2" t="s">
        <v>56</v>
      </c>
      <c r="B5863">
        <v>81</v>
      </c>
      <c r="C5863" s="2" t="s">
        <v>128</v>
      </c>
      <c r="D5863">
        <v>90</v>
      </c>
    </row>
    <row r="5864" spans="1:4" hidden="1" x14ac:dyDescent="0.25">
      <c r="A5864" s="2" t="s">
        <v>56</v>
      </c>
      <c r="B5864">
        <v>81</v>
      </c>
      <c r="C5864" s="2" t="s">
        <v>129</v>
      </c>
      <c r="D5864">
        <v>86</v>
      </c>
    </row>
    <row r="5865" spans="1:4" hidden="1" x14ac:dyDescent="0.25">
      <c r="A5865" s="2" t="s">
        <v>56</v>
      </c>
      <c r="B5865">
        <v>81</v>
      </c>
      <c r="C5865" s="2" t="s">
        <v>130</v>
      </c>
      <c r="D5865">
        <v>96</v>
      </c>
    </row>
    <row r="5866" spans="1:4" hidden="1" x14ac:dyDescent="0.25">
      <c r="A5866" s="2" t="s">
        <v>56</v>
      </c>
      <c r="B5866">
        <v>81</v>
      </c>
      <c r="C5866" s="2" t="s">
        <v>131</v>
      </c>
      <c r="D5866">
        <v>79</v>
      </c>
    </row>
    <row r="5867" spans="1:4" hidden="1" x14ac:dyDescent="0.25">
      <c r="A5867" s="2" t="s">
        <v>56</v>
      </c>
      <c r="B5867">
        <v>81</v>
      </c>
      <c r="C5867" s="2" t="s">
        <v>132</v>
      </c>
      <c r="D5867">
        <v>85</v>
      </c>
    </row>
    <row r="5868" spans="1:4" hidden="1" x14ac:dyDescent="0.25">
      <c r="A5868" s="2" t="s">
        <v>56</v>
      </c>
      <c r="B5868">
        <v>81</v>
      </c>
      <c r="C5868" s="2" t="s">
        <v>133</v>
      </c>
      <c r="D5868">
        <v>85</v>
      </c>
    </row>
    <row r="5869" spans="1:4" hidden="1" x14ac:dyDescent="0.25">
      <c r="A5869" s="2" t="s">
        <v>56</v>
      </c>
      <c r="B5869">
        <v>81</v>
      </c>
      <c r="C5869" s="2" t="s">
        <v>134</v>
      </c>
      <c r="D5869">
        <v>85</v>
      </c>
    </row>
    <row r="5870" spans="1:4" hidden="1" x14ac:dyDescent="0.25">
      <c r="A5870" s="2" t="s">
        <v>56</v>
      </c>
      <c r="B5870">
        <v>81</v>
      </c>
      <c r="C5870" s="2" t="s">
        <v>135</v>
      </c>
      <c r="D5870">
        <v>81</v>
      </c>
    </row>
    <row r="5871" spans="1:4" hidden="1" x14ac:dyDescent="0.25">
      <c r="A5871" s="2" t="s">
        <v>56</v>
      </c>
      <c r="B5871">
        <v>81</v>
      </c>
      <c r="C5871" s="2" t="s">
        <v>136</v>
      </c>
      <c r="D5871">
        <v>81</v>
      </c>
    </row>
    <row r="5872" spans="1:4" hidden="1" x14ac:dyDescent="0.25">
      <c r="A5872" s="2" t="s">
        <v>56</v>
      </c>
      <c r="B5872">
        <v>81</v>
      </c>
      <c r="C5872" s="2" t="s">
        <v>137</v>
      </c>
      <c r="D5872">
        <v>81</v>
      </c>
    </row>
    <row r="5873" spans="1:4" hidden="1" x14ac:dyDescent="0.25">
      <c r="A5873" s="2" t="s">
        <v>56</v>
      </c>
      <c r="B5873">
        <v>81</v>
      </c>
      <c r="C5873" s="2" t="s">
        <v>138</v>
      </c>
      <c r="D5873">
        <v>81</v>
      </c>
    </row>
    <row r="5874" spans="1:4" hidden="1" x14ac:dyDescent="0.25">
      <c r="A5874" s="2" t="s">
        <v>56</v>
      </c>
      <c r="B5874">
        <v>81</v>
      </c>
      <c r="C5874" s="2" t="s">
        <v>139</v>
      </c>
      <c r="D5874">
        <v>81</v>
      </c>
    </row>
    <row r="5875" spans="1:4" hidden="1" x14ac:dyDescent="0.25">
      <c r="A5875" s="2" t="s">
        <v>56</v>
      </c>
      <c r="B5875">
        <v>81</v>
      </c>
      <c r="C5875" s="2" t="s">
        <v>140</v>
      </c>
      <c r="D5875">
        <v>81</v>
      </c>
    </row>
    <row r="5876" spans="1:4" hidden="1" x14ac:dyDescent="0.25">
      <c r="A5876" s="2" t="s">
        <v>56</v>
      </c>
      <c r="B5876">
        <v>81</v>
      </c>
      <c r="C5876" s="2" t="s">
        <v>141</v>
      </c>
      <c r="D5876">
        <v>81</v>
      </c>
    </row>
    <row r="5877" spans="1:4" hidden="1" x14ac:dyDescent="0.25">
      <c r="A5877" s="2" t="s">
        <v>56</v>
      </c>
      <c r="B5877">
        <v>81</v>
      </c>
      <c r="C5877" s="2" t="s">
        <v>142</v>
      </c>
      <c r="D5877">
        <v>81</v>
      </c>
    </row>
    <row r="5878" spans="1:4" hidden="1" x14ac:dyDescent="0.25">
      <c r="A5878" s="2" t="s">
        <v>56</v>
      </c>
      <c r="B5878">
        <v>81</v>
      </c>
      <c r="C5878" s="2" t="s">
        <v>143</v>
      </c>
      <c r="D5878">
        <v>81</v>
      </c>
    </row>
    <row r="5879" spans="1:4" hidden="1" x14ac:dyDescent="0.25">
      <c r="A5879" s="2" t="s">
        <v>56</v>
      </c>
      <c r="B5879">
        <v>81</v>
      </c>
      <c r="C5879" s="2" t="s">
        <v>144</v>
      </c>
      <c r="D5879">
        <v>81</v>
      </c>
    </row>
    <row r="5880" spans="1:4" hidden="1" x14ac:dyDescent="0.25">
      <c r="A5880" s="2" t="s">
        <v>56</v>
      </c>
      <c r="B5880">
        <v>81</v>
      </c>
      <c r="C5880" s="2" t="s">
        <v>145</v>
      </c>
      <c r="D5880">
        <v>81</v>
      </c>
    </row>
    <row r="5881" spans="1:4" hidden="1" x14ac:dyDescent="0.25">
      <c r="A5881" s="2" t="s">
        <v>56</v>
      </c>
      <c r="B5881">
        <v>81</v>
      </c>
      <c r="C5881" s="2" t="s">
        <v>146</v>
      </c>
      <c r="D5881">
        <v>81</v>
      </c>
    </row>
    <row r="5882" spans="1:4" hidden="1" x14ac:dyDescent="0.25">
      <c r="A5882" s="2" t="s">
        <v>56</v>
      </c>
      <c r="B5882">
        <v>81</v>
      </c>
      <c r="C5882" s="2" t="s">
        <v>147</v>
      </c>
      <c r="D5882">
        <v>81</v>
      </c>
    </row>
    <row r="5883" spans="1:4" hidden="1" x14ac:dyDescent="0.25">
      <c r="A5883" s="2" t="s">
        <v>56</v>
      </c>
      <c r="B5883">
        <v>81</v>
      </c>
      <c r="C5883" s="2" t="s">
        <v>148</v>
      </c>
      <c r="D5883">
        <v>81</v>
      </c>
    </row>
    <row r="5884" spans="1:4" hidden="1" x14ac:dyDescent="0.25">
      <c r="A5884" s="2" t="s">
        <v>56</v>
      </c>
      <c r="B5884">
        <v>81</v>
      </c>
      <c r="C5884" s="2" t="s">
        <v>149</v>
      </c>
      <c r="D5884">
        <v>81</v>
      </c>
    </row>
    <row r="5885" spans="1:4" hidden="1" x14ac:dyDescent="0.25">
      <c r="A5885" s="2" t="s">
        <v>56</v>
      </c>
      <c r="B5885">
        <v>81</v>
      </c>
      <c r="C5885" s="2" t="s">
        <v>150</v>
      </c>
      <c r="D5885">
        <v>81</v>
      </c>
    </row>
    <row r="5886" spans="1:4" hidden="1" x14ac:dyDescent="0.25">
      <c r="A5886" s="2" t="s">
        <v>56</v>
      </c>
      <c r="B5886">
        <v>81</v>
      </c>
      <c r="C5886" s="2" t="s">
        <v>151</v>
      </c>
      <c r="D5886">
        <v>81</v>
      </c>
    </row>
    <row r="5887" spans="1:4" hidden="1" x14ac:dyDescent="0.25">
      <c r="A5887" s="2" t="s">
        <v>56</v>
      </c>
      <c r="B5887">
        <v>81</v>
      </c>
      <c r="C5887" s="2" t="s">
        <v>152</v>
      </c>
      <c r="D5887">
        <v>81</v>
      </c>
    </row>
    <row r="5888" spans="1:4" hidden="1" x14ac:dyDescent="0.25">
      <c r="A5888" s="2" t="s">
        <v>56</v>
      </c>
      <c r="B5888">
        <v>81</v>
      </c>
      <c r="C5888" s="2" t="s">
        <v>153</v>
      </c>
      <c r="D5888">
        <v>81</v>
      </c>
    </row>
    <row r="5889" spans="1:4" hidden="1" x14ac:dyDescent="0.25">
      <c r="A5889" s="2" t="s">
        <v>56</v>
      </c>
      <c r="B5889">
        <v>81</v>
      </c>
      <c r="C5889" s="2" t="s">
        <v>154</v>
      </c>
      <c r="D5889">
        <v>81</v>
      </c>
    </row>
    <row r="5890" spans="1:4" hidden="1" x14ac:dyDescent="0.25">
      <c r="A5890" s="2" t="s">
        <v>56</v>
      </c>
      <c r="B5890">
        <v>81</v>
      </c>
      <c r="C5890" s="2" t="s">
        <v>155</v>
      </c>
      <c r="D5890">
        <v>81</v>
      </c>
    </row>
    <row r="5891" spans="1:4" hidden="1" x14ac:dyDescent="0.25">
      <c r="A5891" s="2" t="s">
        <v>56</v>
      </c>
      <c r="B5891">
        <v>81</v>
      </c>
      <c r="C5891" s="2" t="s">
        <v>156</v>
      </c>
      <c r="D5891">
        <v>81</v>
      </c>
    </row>
    <row r="5892" spans="1:4" hidden="1" x14ac:dyDescent="0.25">
      <c r="A5892" s="2" t="s">
        <v>56</v>
      </c>
      <c r="B5892">
        <v>81</v>
      </c>
      <c r="C5892" s="2" t="s">
        <v>157</v>
      </c>
      <c r="D5892">
        <v>81</v>
      </c>
    </row>
    <row r="5893" spans="1:4" hidden="1" x14ac:dyDescent="0.25">
      <c r="A5893" s="2" t="s">
        <v>56</v>
      </c>
      <c r="B5893">
        <v>81</v>
      </c>
      <c r="C5893" s="2" t="s">
        <v>158</v>
      </c>
      <c r="D5893">
        <v>81</v>
      </c>
    </row>
    <row r="5894" spans="1:4" hidden="1" x14ac:dyDescent="0.25">
      <c r="A5894" s="2" t="s">
        <v>56</v>
      </c>
      <c r="B5894">
        <v>81</v>
      </c>
      <c r="C5894" s="2" t="s">
        <v>159</v>
      </c>
      <c r="D5894">
        <v>81</v>
      </c>
    </row>
    <row r="5895" spans="1:4" hidden="1" x14ac:dyDescent="0.25">
      <c r="A5895" s="2" t="s">
        <v>56</v>
      </c>
      <c r="B5895">
        <v>81</v>
      </c>
      <c r="C5895" s="2" t="s">
        <v>160</v>
      </c>
      <c r="D5895">
        <v>81</v>
      </c>
    </row>
    <row r="5896" spans="1:4" hidden="1" x14ac:dyDescent="0.25">
      <c r="A5896" s="2" t="s">
        <v>56</v>
      </c>
      <c r="B5896">
        <v>81</v>
      </c>
      <c r="C5896" s="2" t="s">
        <v>161</v>
      </c>
      <c r="D5896">
        <v>81</v>
      </c>
    </row>
    <row r="5897" spans="1:4" hidden="1" x14ac:dyDescent="0.25">
      <c r="A5897" s="2" t="s">
        <v>56</v>
      </c>
      <c r="B5897">
        <v>81</v>
      </c>
      <c r="C5897" s="2" t="s">
        <v>162</v>
      </c>
      <c r="D5897">
        <v>81</v>
      </c>
    </row>
    <row r="5898" spans="1:4" hidden="1" x14ac:dyDescent="0.25">
      <c r="A5898" s="2" t="s">
        <v>56</v>
      </c>
      <c r="B5898">
        <v>81</v>
      </c>
      <c r="C5898" s="2" t="s">
        <v>163</v>
      </c>
      <c r="D5898">
        <v>81</v>
      </c>
    </row>
    <row r="5899" spans="1:4" hidden="1" x14ac:dyDescent="0.25">
      <c r="A5899" s="2" t="s">
        <v>56</v>
      </c>
      <c r="B5899">
        <v>81</v>
      </c>
      <c r="C5899" s="2" t="s">
        <v>164</v>
      </c>
      <c r="D5899">
        <v>81</v>
      </c>
    </row>
    <row r="5900" spans="1:4" hidden="1" x14ac:dyDescent="0.25">
      <c r="A5900" s="2" t="s">
        <v>56</v>
      </c>
      <c r="B5900">
        <v>81</v>
      </c>
      <c r="C5900" s="2" t="s">
        <v>165</v>
      </c>
      <c r="D5900">
        <v>81</v>
      </c>
    </row>
    <row r="5901" spans="1:4" hidden="1" x14ac:dyDescent="0.25">
      <c r="A5901" s="2" t="s">
        <v>56</v>
      </c>
      <c r="B5901">
        <v>81</v>
      </c>
      <c r="C5901" s="2" t="s">
        <v>166</v>
      </c>
      <c r="D5901">
        <v>81</v>
      </c>
    </row>
    <row r="5902" spans="1:4" hidden="1" x14ac:dyDescent="0.25">
      <c r="A5902" s="2" t="s">
        <v>56</v>
      </c>
      <c r="B5902">
        <v>81</v>
      </c>
      <c r="C5902" s="2" t="s">
        <v>167</v>
      </c>
      <c r="D5902">
        <v>81</v>
      </c>
    </row>
    <row r="5903" spans="1:4" hidden="1" x14ac:dyDescent="0.25">
      <c r="A5903" s="2" t="s">
        <v>56</v>
      </c>
      <c r="B5903">
        <v>81</v>
      </c>
      <c r="C5903" s="2" t="s">
        <v>168</v>
      </c>
      <c r="D5903">
        <v>81</v>
      </c>
    </row>
    <row r="5904" spans="1:4" hidden="1" x14ac:dyDescent="0.25">
      <c r="A5904" s="2" t="s">
        <v>56</v>
      </c>
      <c r="B5904">
        <v>81</v>
      </c>
      <c r="C5904" s="2" t="s">
        <v>169</v>
      </c>
      <c r="D5904">
        <v>81</v>
      </c>
    </row>
    <row r="5905" spans="1:4" hidden="1" x14ac:dyDescent="0.25">
      <c r="A5905" s="2" t="s">
        <v>56</v>
      </c>
      <c r="B5905">
        <v>81</v>
      </c>
      <c r="C5905" s="2" t="s">
        <v>170</v>
      </c>
      <c r="D5905">
        <v>81</v>
      </c>
    </row>
    <row r="5906" spans="1:4" hidden="1" x14ac:dyDescent="0.25">
      <c r="A5906" s="2" t="s">
        <v>56</v>
      </c>
      <c r="B5906">
        <v>81</v>
      </c>
      <c r="C5906" s="2" t="s">
        <v>171</v>
      </c>
      <c r="D5906">
        <v>81</v>
      </c>
    </row>
    <row r="5907" spans="1:4" hidden="1" x14ac:dyDescent="0.25">
      <c r="A5907" s="2" t="s">
        <v>56</v>
      </c>
      <c r="B5907">
        <v>81</v>
      </c>
      <c r="C5907" s="2" t="s">
        <v>172</v>
      </c>
      <c r="D5907">
        <v>81</v>
      </c>
    </row>
    <row r="5908" spans="1:4" hidden="1" x14ac:dyDescent="0.25">
      <c r="A5908" s="2" t="s">
        <v>56</v>
      </c>
      <c r="B5908">
        <v>81</v>
      </c>
      <c r="C5908" s="2" t="s">
        <v>173</v>
      </c>
      <c r="D5908">
        <v>81</v>
      </c>
    </row>
    <row r="5909" spans="1:4" hidden="1" x14ac:dyDescent="0.25">
      <c r="A5909" s="2" t="s">
        <v>56</v>
      </c>
      <c r="B5909">
        <v>81</v>
      </c>
      <c r="C5909" s="2" t="s">
        <v>174</v>
      </c>
      <c r="D5909">
        <v>81</v>
      </c>
    </row>
    <row r="5910" spans="1:4" hidden="1" x14ac:dyDescent="0.25">
      <c r="A5910" s="2" t="s">
        <v>56</v>
      </c>
      <c r="B5910">
        <v>81</v>
      </c>
      <c r="C5910" s="2" t="s">
        <v>175</v>
      </c>
      <c r="D5910">
        <v>81</v>
      </c>
    </row>
    <row r="5911" spans="1:4" hidden="1" x14ac:dyDescent="0.25">
      <c r="A5911" s="2" t="s">
        <v>56</v>
      </c>
      <c r="B5911">
        <v>81</v>
      </c>
      <c r="C5911" s="2" t="s">
        <v>176</v>
      </c>
      <c r="D5911">
        <v>81</v>
      </c>
    </row>
    <row r="5912" spans="1:4" hidden="1" x14ac:dyDescent="0.25">
      <c r="A5912" s="2" t="s">
        <v>56</v>
      </c>
      <c r="B5912">
        <v>81</v>
      </c>
      <c r="C5912" s="2" t="s">
        <v>177</v>
      </c>
      <c r="D5912">
        <v>81</v>
      </c>
    </row>
    <row r="5913" spans="1:4" hidden="1" x14ac:dyDescent="0.25">
      <c r="A5913" s="2" t="s">
        <v>56</v>
      </c>
      <c r="B5913">
        <v>81</v>
      </c>
      <c r="C5913" s="2" t="s">
        <v>178</v>
      </c>
      <c r="D5913">
        <v>81</v>
      </c>
    </row>
    <row r="5914" spans="1:4" hidden="1" x14ac:dyDescent="0.25">
      <c r="A5914" s="2" t="s">
        <v>56</v>
      </c>
      <c r="B5914">
        <v>81</v>
      </c>
      <c r="C5914" s="2" t="s">
        <v>179</v>
      </c>
      <c r="D5914">
        <v>81</v>
      </c>
    </row>
    <row r="5915" spans="1:4" hidden="1" x14ac:dyDescent="0.25">
      <c r="A5915" s="2" t="s">
        <v>7</v>
      </c>
      <c r="B5915">
        <v>82</v>
      </c>
      <c r="C5915" s="2" t="s">
        <v>183</v>
      </c>
      <c r="D5915">
        <v>78</v>
      </c>
    </row>
    <row r="5916" spans="1:4" hidden="1" x14ac:dyDescent="0.25">
      <c r="A5916" s="2" t="s">
        <v>7</v>
      </c>
      <c r="B5916">
        <v>82</v>
      </c>
      <c r="C5916" s="2" t="s">
        <v>184</v>
      </c>
      <c r="D5916">
        <v>77</v>
      </c>
    </row>
    <row r="5917" spans="1:4" hidden="1" x14ac:dyDescent="0.25">
      <c r="A5917" s="2" t="s">
        <v>7</v>
      </c>
      <c r="B5917">
        <v>82</v>
      </c>
      <c r="C5917" s="2" t="s">
        <v>185</v>
      </c>
      <c r="D5917">
        <v>106</v>
      </c>
    </row>
    <row r="5918" spans="1:4" hidden="1" x14ac:dyDescent="0.25">
      <c r="A5918" s="2" t="s">
        <v>7</v>
      </c>
      <c r="B5918">
        <v>82</v>
      </c>
      <c r="C5918" s="2" t="s">
        <v>186</v>
      </c>
      <c r="D5918">
        <v>105</v>
      </c>
    </row>
    <row r="5919" spans="1:4" hidden="1" x14ac:dyDescent="0.25">
      <c r="A5919" s="2" t="s">
        <v>7</v>
      </c>
      <c r="B5919">
        <v>82</v>
      </c>
      <c r="C5919" s="2" t="s">
        <v>187</v>
      </c>
      <c r="D5919">
        <v>105</v>
      </c>
    </row>
    <row r="5920" spans="1:4" hidden="1" x14ac:dyDescent="0.25">
      <c r="A5920" s="2" t="s">
        <v>7</v>
      </c>
      <c r="B5920">
        <v>82</v>
      </c>
      <c r="C5920" s="2" t="s">
        <v>188</v>
      </c>
      <c r="D5920">
        <v>109</v>
      </c>
    </row>
    <row r="5921" spans="1:4" hidden="1" x14ac:dyDescent="0.25">
      <c r="A5921" s="2" t="s">
        <v>7</v>
      </c>
      <c r="B5921">
        <v>82</v>
      </c>
      <c r="C5921" s="2" t="s">
        <v>189</v>
      </c>
      <c r="D5921">
        <v>111</v>
      </c>
    </row>
    <row r="5922" spans="1:4" hidden="1" x14ac:dyDescent="0.25">
      <c r="A5922" s="2" t="s">
        <v>7</v>
      </c>
      <c r="B5922">
        <v>82</v>
      </c>
      <c r="C5922" s="2" t="s">
        <v>190</v>
      </c>
      <c r="D5922">
        <v>108</v>
      </c>
    </row>
    <row r="5923" spans="1:4" hidden="1" x14ac:dyDescent="0.25">
      <c r="A5923" s="2" t="s">
        <v>7</v>
      </c>
      <c r="B5923">
        <v>82</v>
      </c>
      <c r="C5923" s="2" t="s">
        <v>191</v>
      </c>
      <c r="D5923">
        <v>108</v>
      </c>
    </row>
    <row r="5924" spans="1:4" hidden="1" x14ac:dyDescent="0.25">
      <c r="A5924" s="2" t="s">
        <v>7</v>
      </c>
      <c r="B5924">
        <v>82</v>
      </c>
      <c r="C5924" s="2" t="s">
        <v>116</v>
      </c>
      <c r="D5924">
        <v>109</v>
      </c>
    </row>
    <row r="5925" spans="1:4" hidden="1" x14ac:dyDescent="0.25">
      <c r="A5925" s="2" t="s">
        <v>7</v>
      </c>
      <c r="B5925">
        <v>82</v>
      </c>
      <c r="C5925" s="2" t="s">
        <v>117</v>
      </c>
      <c r="D5925">
        <v>109</v>
      </c>
    </row>
    <row r="5926" spans="1:4" hidden="1" x14ac:dyDescent="0.25">
      <c r="A5926" s="2" t="s">
        <v>7</v>
      </c>
      <c r="B5926">
        <v>82</v>
      </c>
      <c r="C5926" s="2" t="s">
        <v>118</v>
      </c>
      <c r="D5926">
        <v>111</v>
      </c>
    </row>
    <row r="5927" spans="1:4" hidden="1" x14ac:dyDescent="0.25">
      <c r="A5927" s="2" t="s">
        <v>7</v>
      </c>
      <c r="B5927">
        <v>82</v>
      </c>
      <c r="C5927" s="2" t="s">
        <v>119</v>
      </c>
      <c r="D5927">
        <v>102</v>
      </c>
    </row>
    <row r="5928" spans="1:4" hidden="1" x14ac:dyDescent="0.25">
      <c r="A5928" s="2" t="s">
        <v>7</v>
      </c>
      <c r="B5928">
        <v>82</v>
      </c>
      <c r="C5928" s="2" t="s">
        <v>120</v>
      </c>
      <c r="D5928">
        <v>104</v>
      </c>
    </row>
    <row r="5929" spans="1:4" hidden="1" x14ac:dyDescent="0.25">
      <c r="A5929" s="2" t="s">
        <v>7</v>
      </c>
      <c r="B5929">
        <v>82</v>
      </c>
      <c r="C5929" s="2" t="s">
        <v>121</v>
      </c>
      <c r="D5929">
        <v>97</v>
      </c>
    </row>
    <row r="5930" spans="1:4" hidden="1" x14ac:dyDescent="0.25">
      <c r="A5930" s="2" t="s">
        <v>7</v>
      </c>
      <c r="B5930">
        <v>82</v>
      </c>
      <c r="C5930" s="2" t="s">
        <v>122</v>
      </c>
      <c r="D5930">
        <v>78</v>
      </c>
    </row>
    <row r="5931" spans="1:4" hidden="1" x14ac:dyDescent="0.25">
      <c r="A5931" s="2" t="s">
        <v>7</v>
      </c>
      <c r="B5931">
        <v>82</v>
      </c>
      <c r="C5931" s="2" t="s">
        <v>123</v>
      </c>
      <c r="D5931">
        <v>83</v>
      </c>
    </row>
    <row r="5932" spans="1:4" hidden="1" x14ac:dyDescent="0.25">
      <c r="A5932" s="2" t="s">
        <v>7</v>
      </c>
      <c r="B5932">
        <v>82</v>
      </c>
      <c r="C5932" s="2" t="s">
        <v>124</v>
      </c>
      <c r="D5932">
        <v>85</v>
      </c>
    </row>
    <row r="5933" spans="1:4" hidden="1" x14ac:dyDescent="0.25">
      <c r="A5933" s="2" t="s">
        <v>7</v>
      </c>
      <c r="B5933">
        <v>82</v>
      </c>
      <c r="C5933" s="2" t="s">
        <v>125</v>
      </c>
      <c r="D5933">
        <v>84</v>
      </c>
    </row>
    <row r="5934" spans="1:4" hidden="1" x14ac:dyDescent="0.25">
      <c r="A5934" s="2" t="s">
        <v>7</v>
      </c>
      <c r="B5934">
        <v>82</v>
      </c>
      <c r="C5934" s="2" t="s">
        <v>126</v>
      </c>
      <c r="D5934">
        <v>87</v>
      </c>
    </row>
    <row r="5935" spans="1:4" hidden="1" x14ac:dyDescent="0.25">
      <c r="A5935" s="2" t="s">
        <v>7</v>
      </c>
      <c r="B5935">
        <v>82</v>
      </c>
      <c r="C5935" s="2" t="s">
        <v>127</v>
      </c>
      <c r="D5935">
        <v>91</v>
      </c>
    </row>
    <row r="5936" spans="1:4" hidden="1" x14ac:dyDescent="0.25">
      <c r="A5936" s="2" t="s">
        <v>7</v>
      </c>
      <c r="B5936">
        <v>82</v>
      </c>
      <c r="C5936" s="2" t="s">
        <v>128</v>
      </c>
      <c r="D5936">
        <v>94</v>
      </c>
    </row>
    <row r="5937" spans="1:4" hidden="1" x14ac:dyDescent="0.25">
      <c r="A5937" s="2" t="s">
        <v>7</v>
      </c>
      <c r="B5937">
        <v>82</v>
      </c>
      <c r="C5937" s="2" t="s">
        <v>129</v>
      </c>
      <c r="D5937">
        <v>80</v>
      </c>
    </row>
    <row r="5938" spans="1:4" hidden="1" x14ac:dyDescent="0.25">
      <c r="A5938" s="2" t="s">
        <v>7</v>
      </c>
      <c r="B5938">
        <v>82</v>
      </c>
      <c r="C5938" s="2" t="s">
        <v>130</v>
      </c>
      <c r="D5938">
        <v>78</v>
      </c>
    </row>
    <row r="5939" spans="1:4" hidden="1" x14ac:dyDescent="0.25">
      <c r="A5939" s="2" t="s">
        <v>7</v>
      </c>
      <c r="B5939">
        <v>82</v>
      </c>
      <c r="C5939" s="2" t="s">
        <v>131</v>
      </c>
      <c r="D5939">
        <v>76</v>
      </c>
    </row>
    <row r="5940" spans="1:4" hidden="1" x14ac:dyDescent="0.25">
      <c r="A5940" s="2" t="s">
        <v>7</v>
      </c>
      <c r="B5940">
        <v>82</v>
      </c>
      <c r="C5940" s="2" t="s">
        <v>132</v>
      </c>
      <c r="D5940">
        <v>80</v>
      </c>
    </row>
    <row r="5941" spans="1:4" hidden="1" x14ac:dyDescent="0.25">
      <c r="A5941" s="2" t="s">
        <v>7</v>
      </c>
      <c r="B5941">
        <v>82</v>
      </c>
      <c r="C5941" s="2" t="s">
        <v>133</v>
      </c>
      <c r="D5941">
        <v>80</v>
      </c>
    </row>
    <row r="5942" spans="1:4" hidden="1" x14ac:dyDescent="0.25">
      <c r="A5942" s="2" t="s">
        <v>7</v>
      </c>
      <c r="B5942">
        <v>82</v>
      </c>
      <c r="C5942" s="2" t="s">
        <v>134</v>
      </c>
      <c r="D5942">
        <v>78</v>
      </c>
    </row>
    <row r="5943" spans="1:4" hidden="1" x14ac:dyDescent="0.25">
      <c r="A5943" s="2" t="s">
        <v>7</v>
      </c>
      <c r="B5943">
        <v>82</v>
      </c>
      <c r="C5943" s="2" t="s">
        <v>135</v>
      </c>
      <c r="D5943">
        <v>82</v>
      </c>
    </row>
    <row r="5944" spans="1:4" hidden="1" x14ac:dyDescent="0.25">
      <c r="A5944" s="2" t="s">
        <v>7</v>
      </c>
      <c r="B5944">
        <v>82</v>
      </c>
      <c r="C5944" s="2" t="s">
        <v>136</v>
      </c>
      <c r="D5944">
        <v>82</v>
      </c>
    </row>
    <row r="5945" spans="1:4" hidden="1" x14ac:dyDescent="0.25">
      <c r="A5945" s="2" t="s">
        <v>7</v>
      </c>
      <c r="B5945">
        <v>82</v>
      </c>
      <c r="C5945" s="2" t="s">
        <v>137</v>
      </c>
      <c r="D5945">
        <v>82</v>
      </c>
    </row>
    <row r="5946" spans="1:4" hidden="1" x14ac:dyDescent="0.25">
      <c r="A5946" s="2" t="s">
        <v>7</v>
      </c>
      <c r="B5946">
        <v>82</v>
      </c>
      <c r="C5946" s="2" t="s">
        <v>138</v>
      </c>
      <c r="D5946">
        <v>82</v>
      </c>
    </row>
    <row r="5947" spans="1:4" hidden="1" x14ac:dyDescent="0.25">
      <c r="A5947" s="2" t="s">
        <v>7</v>
      </c>
      <c r="B5947">
        <v>82</v>
      </c>
      <c r="C5947" s="2" t="s">
        <v>139</v>
      </c>
      <c r="D5947">
        <v>82</v>
      </c>
    </row>
    <row r="5948" spans="1:4" hidden="1" x14ac:dyDescent="0.25">
      <c r="A5948" s="2" t="s">
        <v>7</v>
      </c>
      <c r="B5948">
        <v>82</v>
      </c>
      <c r="C5948" s="2" t="s">
        <v>140</v>
      </c>
      <c r="D5948">
        <v>82</v>
      </c>
    </row>
    <row r="5949" spans="1:4" hidden="1" x14ac:dyDescent="0.25">
      <c r="A5949" s="2" t="s">
        <v>7</v>
      </c>
      <c r="B5949">
        <v>82</v>
      </c>
      <c r="C5949" s="2" t="s">
        <v>141</v>
      </c>
      <c r="D5949">
        <v>82</v>
      </c>
    </row>
    <row r="5950" spans="1:4" hidden="1" x14ac:dyDescent="0.25">
      <c r="A5950" s="2" t="s">
        <v>7</v>
      </c>
      <c r="B5950">
        <v>82</v>
      </c>
      <c r="C5950" s="2" t="s">
        <v>142</v>
      </c>
      <c r="D5950">
        <v>82</v>
      </c>
    </row>
    <row r="5951" spans="1:4" hidden="1" x14ac:dyDescent="0.25">
      <c r="A5951" s="2" t="s">
        <v>7</v>
      </c>
      <c r="B5951">
        <v>82</v>
      </c>
      <c r="C5951" s="2" t="s">
        <v>143</v>
      </c>
      <c r="D5951">
        <v>82</v>
      </c>
    </row>
    <row r="5952" spans="1:4" hidden="1" x14ac:dyDescent="0.25">
      <c r="A5952" s="2" t="s">
        <v>7</v>
      </c>
      <c r="B5952">
        <v>82</v>
      </c>
      <c r="C5952" s="2" t="s">
        <v>144</v>
      </c>
      <c r="D5952">
        <v>82</v>
      </c>
    </row>
    <row r="5953" spans="1:4" hidden="1" x14ac:dyDescent="0.25">
      <c r="A5953" s="2" t="s">
        <v>7</v>
      </c>
      <c r="B5953">
        <v>82</v>
      </c>
      <c r="C5953" s="2" t="s">
        <v>145</v>
      </c>
      <c r="D5953">
        <v>82</v>
      </c>
    </row>
    <row r="5954" spans="1:4" hidden="1" x14ac:dyDescent="0.25">
      <c r="A5954" s="2" t="s">
        <v>7</v>
      </c>
      <c r="B5954">
        <v>82</v>
      </c>
      <c r="C5954" s="2" t="s">
        <v>146</v>
      </c>
      <c r="D5954">
        <v>82</v>
      </c>
    </row>
    <row r="5955" spans="1:4" hidden="1" x14ac:dyDescent="0.25">
      <c r="A5955" s="2" t="s">
        <v>7</v>
      </c>
      <c r="B5955">
        <v>82</v>
      </c>
      <c r="C5955" s="2" t="s">
        <v>147</v>
      </c>
      <c r="D5955">
        <v>82</v>
      </c>
    </row>
    <row r="5956" spans="1:4" hidden="1" x14ac:dyDescent="0.25">
      <c r="A5956" s="2" t="s">
        <v>7</v>
      </c>
      <c r="B5956">
        <v>82</v>
      </c>
      <c r="C5956" s="2" t="s">
        <v>148</v>
      </c>
      <c r="D5956">
        <v>82</v>
      </c>
    </row>
    <row r="5957" spans="1:4" hidden="1" x14ac:dyDescent="0.25">
      <c r="A5957" s="2" t="s">
        <v>7</v>
      </c>
      <c r="B5957">
        <v>82</v>
      </c>
      <c r="C5957" s="2" t="s">
        <v>149</v>
      </c>
      <c r="D5957">
        <v>82</v>
      </c>
    </row>
    <row r="5958" spans="1:4" hidden="1" x14ac:dyDescent="0.25">
      <c r="A5958" s="2" t="s">
        <v>7</v>
      </c>
      <c r="B5958">
        <v>82</v>
      </c>
      <c r="C5958" s="2" t="s">
        <v>150</v>
      </c>
      <c r="D5958">
        <v>82</v>
      </c>
    </row>
    <row r="5959" spans="1:4" hidden="1" x14ac:dyDescent="0.25">
      <c r="A5959" s="2" t="s">
        <v>7</v>
      </c>
      <c r="B5959">
        <v>82</v>
      </c>
      <c r="C5959" s="2" t="s">
        <v>151</v>
      </c>
      <c r="D5959">
        <v>82</v>
      </c>
    </row>
    <row r="5960" spans="1:4" hidden="1" x14ac:dyDescent="0.25">
      <c r="A5960" s="2" t="s">
        <v>7</v>
      </c>
      <c r="B5960">
        <v>82</v>
      </c>
      <c r="C5960" s="2" t="s">
        <v>152</v>
      </c>
      <c r="D5960">
        <v>82</v>
      </c>
    </row>
    <row r="5961" spans="1:4" hidden="1" x14ac:dyDescent="0.25">
      <c r="A5961" s="2" t="s">
        <v>7</v>
      </c>
      <c r="B5961">
        <v>82</v>
      </c>
      <c r="C5961" s="2" t="s">
        <v>153</v>
      </c>
      <c r="D5961">
        <v>82</v>
      </c>
    </row>
    <row r="5962" spans="1:4" hidden="1" x14ac:dyDescent="0.25">
      <c r="A5962" s="2" t="s">
        <v>7</v>
      </c>
      <c r="B5962">
        <v>82</v>
      </c>
      <c r="C5962" s="2" t="s">
        <v>154</v>
      </c>
      <c r="D5962">
        <v>82</v>
      </c>
    </row>
    <row r="5963" spans="1:4" hidden="1" x14ac:dyDescent="0.25">
      <c r="A5963" s="2" t="s">
        <v>7</v>
      </c>
      <c r="B5963">
        <v>82</v>
      </c>
      <c r="C5963" s="2" t="s">
        <v>155</v>
      </c>
      <c r="D5963">
        <v>82</v>
      </c>
    </row>
    <row r="5964" spans="1:4" hidden="1" x14ac:dyDescent="0.25">
      <c r="A5964" s="2" t="s">
        <v>7</v>
      </c>
      <c r="B5964">
        <v>82</v>
      </c>
      <c r="C5964" s="2" t="s">
        <v>156</v>
      </c>
      <c r="D5964">
        <v>82</v>
      </c>
    </row>
    <row r="5965" spans="1:4" hidden="1" x14ac:dyDescent="0.25">
      <c r="A5965" s="2" t="s">
        <v>7</v>
      </c>
      <c r="B5965">
        <v>82</v>
      </c>
      <c r="C5965" s="2" t="s">
        <v>157</v>
      </c>
      <c r="D5965">
        <v>82</v>
      </c>
    </row>
    <row r="5966" spans="1:4" hidden="1" x14ac:dyDescent="0.25">
      <c r="A5966" s="2" t="s">
        <v>7</v>
      </c>
      <c r="B5966">
        <v>82</v>
      </c>
      <c r="C5966" s="2" t="s">
        <v>158</v>
      </c>
      <c r="D5966">
        <v>82</v>
      </c>
    </row>
    <row r="5967" spans="1:4" hidden="1" x14ac:dyDescent="0.25">
      <c r="A5967" s="2" t="s">
        <v>7</v>
      </c>
      <c r="B5967">
        <v>82</v>
      </c>
      <c r="C5967" s="2" t="s">
        <v>159</v>
      </c>
      <c r="D5967">
        <v>82</v>
      </c>
    </row>
    <row r="5968" spans="1:4" hidden="1" x14ac:dyDescent="0.25">
      <c r="A5968" s="2" t="s">
        <v>7</v>
      </c>
      <c r="B5968">
        <v>82</v>
      </c>
      <c r="C5968" s="2" t="s">
        <v>160</v>
      </c>
      <c r="D5968">
        <v>82</v>
      </c>
    </row>
    <row r="5969" spans="1:4" hidden="1" x14ac:dyDescent="0.25">
      <c r="A5969" s="2" t="s">
        <v>7</v>
      </c>
      <c r="B5969">
        <v>82</v>
      </c>
      <c r="C5969" s="2" t="s">
        <v>161</v>
      </c>
      <c r="D5969">
        <v>82</v>
      </c>
    </row>
    <row r="5970" spans="1:4" hidden="1" x14ac:dyDescent="0.25">
      <c r="A5970" s="2" t="s">
        <v>7</v>
      </c>
      <c r="B5970">
        <v>82</v>
      </c>
      <c r="C5970" s="2" t="s">
        <v>162</v>
      </c>
      <c r="D5970">
        <v>82</v>
      </c>
    </row>
    <row r="5971" spans="1:4" hidden="1" x14ac:dyDescent="0.25">
      <c r="A5971" s="2" t="s">
        <v>7</v>
      </c>
      <c r="B5971">
        <v>82</v>
      </c>
      <c r="C5971" s="2" t="s">
        <v>163</v>
      </c>
      <c r="D5971">
        <v>82</v>
      </c>
    </row>
    <row r="5972" spans="1:4" hidden="1" x14ac:dyDescent="0.25">
      <c r="A5972" s="2" t="s">
        <v>7</v>
      </c>
      <c r="B5972">
        <v>82</v>
      </c>
      <c r="C5972" s="2" t="s">
        <v>164</v>
      </c>
      <c r="D5972">
        <v>82</v>
      </c>
    </row>
    <row r="5973" spans="1:4" hidden="1" x14ac:dyDescent="0.25">
      <c r="A5973" s="2" t="s">
        <v>7</v>
      </c>
      <c r="B5973">
        <v>82</v>
      </c>
      <c r="C5973" s="2" t="s">
        <v>165</v>
      </c>
      <c r="D5973">
        <v>82</v>
      </c>
    </row>
    <row r="5974" spans="1:4" hidden="1" x14ac:dyDescent="0.25">
      <c r="A5974" s="2" t="s">
        <v>7</v>
      </c>
      <c r="B5974">
        <v>82</v>
      </c>
      <c r="C5974" s="2" t="s">
        <v>166</v>
      </c>
      <c r="D5974">
        <v>82</v>
      </c>
    </row>
    <row r="5975" spans="1:4" hidden="1" x14ac:dyDescent="0.25">
      <c r="A5975" s="2" t="s">
        <v>7</v>
      </c>
      <c r="B5975">
        <v>82</v>
      </c>
      <c r="C5975" s="2" t="s">
        <v>167</v>
      </c>
      <c r="D5975">
        <v>82</v>
      </c>
    </row>
    <row r="5976" spans="1:4" hidden="1" x14ac:dyDescent="0.25">
      <c r="A5976" s="2" t="s">
        <v>7</v>
      </c>
      <c r="B5976">
        <v>82</v>
      </c>
      <c r="C5976" s="2" t="s">
        <v>168</v>
      </c>
      <c r="D5976">
        <v>82</v>
      </c>
    </row>
    <row r="5977" spans="1:4" hidden="1" x14ac:dyDescent="0.25">
      <c r="A5977" s="2" t="s">
        <v>7</v>
      </c>
      <c r="B5977">
        <v>82</v>
      </c>
      <c r="C5977" s="2" t="s">
        <v>169</v>
      </c>
      <c r="D5977">
        <v>82</v>
      </c>
    </row>
    <row r="5978" spans="1:4" hidden="1" x14ac:dyDescent="0.25">
      <c r="A5978" s="2" t="s">
        <v>7</v>
      </c>
      <c r="B5978">
        <v>82</v>
      </c>
      <c r="C5978" s="2" t="s">
        <v>170</v>
      </c>
      <c r="D5978">
        <v>82</v>
      </c>
    </row>
    <row r="5979" spans="1:4" hidden="1" x14ac:dyDescent="0.25">
      <c r="A5979" s="2" t="s">
        <v>7</v>
      </c>
      <c r="B5979">
        <v>82</v>
      </c>
      <c r="C5979" s="2" t="s">
        <v>171</v>
      </c>
      <c r="D5979">
        <v>82</v>
      </c>
    </row>
    <row r="5980" spans="1:4" hidden="1" x14ac:dyDescent="0.25">
      <c r="A5980" s="2" t="s">
        <v>7</v>
      </c>
      <c r="B5980">
        <v>82</v>
      </c>
      <c r="C5980" s="2" t="s">
        <v>172</v>
      </c>
      <c r="D5980">
        <v>82</v>
      </c>
    </row>
    <row r="5981" spans="1:4" hidden="1" x14ac:dyDescent="0.25">
      <c r="A5981" s="2" t="s">
        <v>7</v>
      </c>
      <c r="B5981">
        <v>82</v>
      </c>
      <c r="C5981" s="2" t="s">
        <v>173</v>
      </c>
      <c r="D5981">
        <v>82</v>
      </c>
    </row>
    <row r="5982" spans="1:4" hidden="1" x14ac:dyDescent="0.25">
      <c r="A5982" s="2" t="s">
        <v>7</v>
      </c>
      <c r="B5982">
        <v>82</v>
      </c>
      <c r="C5982" s="2" t="s">
        <v>174</v>
      </c>
      <c r="D5982">
        <v>82</v>
      </c>
    </row>
    <row r="5983" spans="1:4" hidden="1" x14ac:dyDescent="0.25">
      <c r="A5983" s="2" t="s">
        <v>7</v>
      </c>
      <c r="B5983">
        <v>82</v>
      </c>
      <c r="C5983" s="2" t="s">
        <v>175</v>
      </c>
      <c r="D5983">
        <v>82</v>
      </c>
    </row>
    <row r="5984" spans="1:4" hidden="1" x14ac:dyDescent="0.25">
      <c r="A5984" s="2" t="s">
        <v>7</v>
      </c>
      <c r="B5984">
        <v>82</v>
      </c>
      <c r="C5984" s="2" t="s">
        <v>176</v>
      </c>
      <c r="D5984">
        <v>82</v>
      </c>
    </row>
    <row r="5985" spans="1:4" hidden="1" x14ac:dyDescent="0.25">
      <c r="A5985" s="2" t="s">
        <v>7</v>
      </c>
      <c r="B5985">
        <v>82</v>
      </c>
      <c r="C5985" s="2" t="s">
        <v>177</v>
      </c>
      <c r="D5985">
        <v>82</v>
      </c>
    </row>
    <row r="5986" spans="1:4" hidden="1" x14ac:dyDescent="0.25">
      <c r="A5986" s="2" t="s">
        <v>7</v>
      </c>
      <c r="B5986">
        <v>82</v>
      </c>
      <c r="C5986" s="2" t="s">
        <v>178</v>
      </c>
      <c r="D5986">
        <v>82</v>
      </c>
    </row>
    <row r="5987" spans="1:4" hidden="1" x14ac:dyDescent="0.25">
      <c r="A5987" s="2" t="s">
        <v>7</v>
      </c>
      <c r="B5987">
        <v>82</v>
      </c>
      <c r="C5987" s="2" t="s">
        <v>179</v>
      </c>
      <c r="D5987">
        <v>82</v>
      </c>
    </row>
    <row r="5988" spans="1:4" hidden="1" x14ac:dyDescent="0.25">
      <c r="A5988" s="2" t="s">
        <v>11</v>
      </c>
      <c r="B5988">
        <v>82</v>
      </c>
      <c r="C5988" s="2" t="s">
        <v>183</v>
      </c>
      <c r="D5988">
        <v>78</v>
      </c>
    </row>
    <row r="5989" spans="1:4" hidden="1" x14ac:dyDescent="0.25">
      <c r="A5989" s="2" t="s">
        <v>11</v>
      </c>
      <c r="B5989">
        <v>82</v>
      </c>
      <c r="C5989" s="2" t="s">
        <v>184</v>
      </c>
      <c r="D5989">
        <v>77</v>
      </c>
    </row>
    <row r="5990" spans="1:4" hidden="1" x14ac:dyDescent="0.25">
      <c r="A5990" s="2" t="s">
        <v>11</v>
      </c>
      <c r="B5990">
        <v>82</v>
      </c>
      <c r="C5990" s="2" t="s">
        <v>185</v>
      </c>
      <c r="D5990">
        <v>82</v>
      </c>
    </row>
    <row r="5991" spans="1:4" hidden="1" x14ac:dyDescent="0.25">
      <c r="A5991" s="2" t="s">
        <v>11</v>
      </c>
      <c r="B5991">
        <v>82</v>
      </c>
      <c r="C5991" s="2" t="s">
        <v>186</v>
      </c>
      <c r="D5991">
        <v>98</v>
      </c>
    </row>
    <row r="5992" spans="1:4" hidden="1" x14ac:dyDescent="0.25">
      <c r="A5992" s="2" t="s">
        <v>11</v>
      </c>
      <c r="B5992">
        <v>82</v>
      </c>
      <c r="C5992" s="2" t="s">
        <v>187</v>
      </c>
      <c r="D5992">
        <v>98</v>
      </c>
    </row>
    <row r="5993" spans="1:4" hidden="1" x14ac:dyDescent="0.25">
      <c r="A5993" s="2" t="s">
        <v>11</v>
      </c>
      <c r="B5993">
        <v>82</v>
      </c>
      <c r="C5993" s="2" t="s">
        <v>188</v>
      </c>
      <c r="D5993">
        <v>100</v>
      </c>
    </row>
    <row r="5994" spans="1:4" hidden="1" x14ac:dyDescent="0.25">
      <c r="A5994" s="2" t="s">
        <v>11</v>
      </c>
      <c r="B5994">
        <v>82</v>
      </c>
      <c r="C5994" s="2" t="s">
        <v>189</v>
      </c>
      <c r="D5994">
        <v>103</v>
      </c>
    </row>
    <row r="5995" spans="1:4" hidden="1" x14ac:dyDescent="0.25">
      <c r="A5995" s="2" t="s">
        <v>11</v>
      </c>
      <c r="B5995">
        <v>82</v>
      </c>
      <c r="C5995" s="2" t="s">
        <v>190</v>
      </c>
      <c r="D5995">
        <v>107</v>
      </c>
    </row>
    <row r="5996" spans="1:4" hidden="1" x14ac:dyDescent="0.25">
      <c r="A5996" s="2" t="s">
        <v>11</v>
      </c>
      <c r="B5996">
        <v>82</v>
      </c>
      <c r="C5996" s="2" t="s">
        <v>191</v>
      </c>
      <c r="D5996">
        <v>107</v>
      </c>
    </row>
    <row r="5997" spans="1:4" hidden="1" x14ac:dyDescent="0.25">
      <c r="A5997" s="2" t="s">
        <v>11</v>
      </c>
      <c r="B5997">
        <v>82</v>
      </c>
      <c r="C5997" s="2" t="s">
        <v>116</v>
      </c>
      <c r="D5997">
        <v>107</v>
      </c>
    </row>
    <row r="5998" spans="1:4" hidden="1" x14ac:dyDescent="0.25">
      <c r="A5998" s="2" t="s">
        <v>11</v>
      </c>
      <c r="B5998">
        <v>82</v>
      </c>
      <c r="C5998" s="2" t="s">
        <v>117</v>
      </c>
      <c r="D5998">
        <v>106</v>
      </c>
    </row>
    <row r="5999" spans="1:4" hidden="1" x14ac:dyDescent="0.25">
      <c r="A5999" s="2" t="s">
        <v>11</v>
      </c>
      <c r="B5999">
        <v>82</v>
      </c>
      <c r="C5999" s="2" t="s">
        <v>118</v>
      </c>
      <c r="D5999">
        <v>107</v>
      </c>
    </row>
    <row r="6000" spans="1:4" hidden="1" x14ac:dyDescent="0.25">
      <c r="A6000" s="2" t="s">
        <v>11</v>
      </c>
      <c r="B6000">
        <v>82</v>
      </c>
      <c r="C6000" s="2" t="s">
        <v>119</v>
      </c>
      <c r="D6000">
        <v>110</v>
      </c>
    </row>
    <row r="6001" spans="1:4" hidden="1" x14ac:dyDescent="0.25">
      <c r="A6001" s="2" t="s">
        <v>11</v>
      </c>
      <c r="B6001">
        <v>82</v>
      </c>
      <c r="C6001" s="2" t="s">
        <v>120</v>
      </c>
      <c r="D6001">
        <v>112</v>
      </c>
    </row>
    <row r="6002" spans="1:4" hidden="1" x14ac:dyDescent="0.25">
      <c r="A6002" s="2" t="s">
        <v>11</v>
      </c>
      <c r="B6002">
        <v>82</v>
      </c>
      <c r="C6002" s="2" t="s">
        <v>121</v>
      </c>
      <c r="D6002">
        <v>110</v>
      </c>
    </row>
    <row r="6003" spans="1:4" hidden="1" x14ac:dyDescent="0.25">
      <c r="A6003" s="2" t="s">
        <v>11</v>
      </c>
      <c r="B6003">
        <v>82</v>
      </c>
      <c r="C6003" s="2" t="s">
        <v>122</v>
      </c>
      <c r="D6003">
        <v>110</v>
      </c>
    </row>
    <row r="6004" spans="1:4" hidden="1" x14ac:dyDescent="0.25">
      <c r="A6004" s="2" t="s">
        <v>11</v>
      </c>
      <c r="B6004">
        <v>82</v>
      </c>
      <c r="C6004" s="2" t="s">
        <v>123</v>
      </c>
      <c r="D6004">
        <v>107</v>
      </c>
    </row>
    <row r="6005" spans="1:4" hidden="1" x14ac:dyDescent="0.25">
      <c r="A6005" s="2" t="s">
        <v>11</v>
      </c>
      <c r="B6005">
        <v>82</v>
      </c>
      <c r="C6005" s="2" t="s">
        <v>124</v>
      </c>
      <c r="D6005">
        <v>108</v>
      </c>
    </row>
    <row r="6006" spans="1:4" hidden="1" x14ac:dyDescent="0.25">
      <c r="A6006" s="2" t="s">
        <v>11</v>
      </c>
      <c r="B6006">
        <v>82</v>
      </c>
      <c r="C6006" s="2" t="s">
        <v>125</v>
      </c>
      <c r="D6006">
        <v>105</v>
      </c>
    </row>
    <row r="6007" spans="1:4" hidden="1" x14ac:dyDescent="0.25">
      <c r="A6007" s="2" t="s">
        <v>11</v>
      </c>
      <c r="B6007">
        <v>82</v>
      </c>
      <c r="C6007" s="2" t="s">
        <v>126</v>
      </c>
      <c r="D6007">
        <v>108</v>
      </c>
    </row>
    <row r="6008" spans="1:4" hidden="1" x14ac:dyDescent="0.25">
      <c r="A6008" s="2" t="s">
        <v>11</v>
      </c>
      <c r="B6008">
        <v>82</v>
      </c>
      <c r="C6008" s="2" t="s">
        <v>127</v>
      </c>
      <c r="D6008">
        <v>109</v>
      </c>
    </row>
    <row r="6009" spans="1:4" hidden="1" x14ac:dyDescent="0.25">
      <c r="A6009" s="2" t="s">
        <v>11</v>
      </c>
      <c r="B6009">
        <v>82</v>
      </c>
      <c r="C6009" s="2" t="s">
        <v>128</v>
      </c>
      <c r="D6009">
        <v>109</v>
      </c>
    </row>
    <row r="6010" spans="1:4" hidden="1" x14ac:dyDescent="0.25">
      <c r="A6010" s="2" t="s">
        <v>11</v>
      </c>
      <c r="B6010">
        <v>82</v>
      </c>
      <c r="C6010" s="2" t="s">
        <v>129</v>
      </c>
      <c r="D6010">
        <v>102</v>
      </c>
    </row>
    <row r="6011" spans="1:4" hidden="1" x14ac:dyDescent="0.25">
      <c r="A6011" s="2" t="s">
        <v>11</v>
      </c>
      <c r="B6011">
        <v>82</v>
      </c>
      <c r="C6011" s="2" t="s">
        <v>130</v>
      </c>
      <c r="D6011">
        <v>100</v>
      </c>
    </row>
    <row r="6012" spans="1:4" hidden="1" x14ac:dyDescent="0.25">
      <c r="A6012" s="2" t="s">
        <v>11</v>
      </c>
      <c r="B6012">
        <v>82</v>
      </c>
      <c r="C6012" s="2" t="s">
        <v>131</v>
      </c>
      <c r="D6012">
        <v>100</v>
      </c>
    </row>
    <row r="6013" spans="1:4" hidden="1" x14ac:dyDescent="0.25">
      <c r="A6013" s="2" t="s">
        <v>11</v>
      </c>
      <c r="B6013">
        <v>82</v>
      </c>
      <c r="C6013" s="2" t="s">
        <v>132</v>
      </c>
      <c r="D6013">
        <v>106</v>
      </c>
    </row>
    <row r="6014" spans="1:4" hidden="1" x14ac:dyDescent="0.25">
      <c r="A6014" s="2" t="s">
        <v>11</v>
      </c>
      <c r="B6014">
        <v>82</v>
      </c>
      <c r="C6014" s="2" t="s">
        <v>133</v>
      </c>
      <c r="D6014">
        <v>106</v>
      </c>
    </row>
    <row r="6015" spans="1:4" hidden="1" x14ac:dyDescent="0.25">
      <c r="A6015" s="2" t="s">
        <v>11</v>
      </c>
      <c r="B6015">
        <v>82</v>
      </c>
      <c r="C6015" s="2" t="s">
        <v>134</v>
      </c>
      <c r="D6015">
        <v>101</v>
      </c>
    </row>
    <row r="6016" spans="1:4" hidden="1" x14ac:dyDescent="0.25">
      <c r="A6016" s="2" t="s">
        <v>11</v>
      </c>
      <c r="B6016">
        <v>82</v>
      </c>
      <c r="C6016" s="2" t="s">
        <v>135</v>
      </c>
      <c r="D6016">
        <v>82</v>
      </c>
    </row>
    <row r="6017" spans="1:4" hidden="1" x14ac:dyDescent="0.25">
      <c r="A6017" s="2" t="s">
        <v>11</v>
      </c>
      <c r="B6017">
        <v>82</v>
      </c>
      <c r="C6017" s="2" t="s">
        <v>136</v>
      </c>
      <c r="D6017">
        <v>82</v>
      </c>
    </row>
    <row r="6018" spans="1:4" hidden="1" x14ac:dyDescent="0.25">
      <c r="A6018" s="2" t="s">
        <v>11</v>
      </c>
      <c r="B6018">
        <v>82</v>
      </c>
      <c r="C6018" s="2" t="s">
        <v>137</v>
      </c>
      <c r="D6018">
        <v>82</v>
      </c>
    </row>
    <row r="6019" spans="1:4" hidden="1" x14ac:dyDescent="0.25">
      <c r="A6019" s="2" t="s">
        <v>11</v>
      </c>
      <c r="B6019">
        <v>82</v>
      </c>
      <c r="C6019" s="2" t="s">
        <v>138</v>
      </c>
      <c r="D6019">
        <v>82</v>
      </c>
    </row>
    <row r="6020" spans="1:4" hidden="1" x14ac:dyDescent="0.25">
      <c r="A6020" s="2" t="s">
        <v>11</v>
      </c>
      <c r="B6020">
        <v>82</v>
      </c>
      <c r="C6020" s="2" t="s">
        <v>139</v>
      </c>
      <c r="D6020">
        <v>82</v>
      </c>
    </row>
    <row r="6021" spans="1:4" hidden="1" x14ac:dyDescent="0.25">
      <c r="A6021" s="2" t="s">
        <v>11</v>
      </c>
      <c r="B6021">
        <v>82</v>
      </c>
      <c r="C6021" s="2" t="s">
        <v>140</v>
      </c>
      <c r="D6021">
        <v>82</v>
      </c>
    </row>
    <row r="6022" spans="1:4" hidden="1" x14ac:dyDescent="0.25">
      <c r="A6022" s="2" t="s">
        <v>11</v>
      </c>
      <c r="B6022">
        <v>82</v>
      </c>
      <c r="C6022" s="2" t="s">
        <v>141</v>
      </c>
      <c r="D6022">
        <v>82</v>
      </c>
    </row>
    <row r="6023" spans="1:4" hidden="1" x14ac:dyDescent="0.25">
      <c r="A6023" s="2" t="s">
        <v>11</v>
      </c>
      <c r="B6023">
        <v>82</v>
      </c>
      <c r="C6023" s="2" t="s">
        <v>142</v>
      </c>
      <c r="D6023">
        <v>82</v>
      </c>
    </row>
    <row r="6024" spans="1:4" hidden="1" x14ac:dyDescent="0.25">
      <c r="A6024" s="2" t="s">
        <v>11</v>
      </c>
      <c r="B6024">
        <v>82</v>
      </c>
      <c r="C6024" s="2" t="s">
        <v>143</v>
      </c>
      <c r="D6024">
        <v>82</v>
      </c>
    </row>
    <row r="6025" spans="1:4" hidden="1" x14ac:dyDescent="0.25">
      <c r="A6025" s="2" t="s">
        <v>11</v>
      </c>
      <c r="B6025">
        <v>82</v>
      </c>
      <c r="C6025" s="2" t="s">
        <v>144</v>
      </c>
      <c r="D6025">
        <v>82</v>
      </c>
    </row>
    <row r="6026" spans="1:4" hidden="1" x14ac:dyDescent="0.25">
      <c r="A6026" s="2" t="s">
        <v>11</v>
      </c>
      <c r="B6026">
        <v>82</v>
      </c>
      <c r="C6026" s="2" t="s">
        <v>145</v>
      </c>
      <c r="D6026">
        <v>82</v>
      </c>
    </row>
    <row r="6027" spans="1:4" hidden="1" x14ac:dyDescent="0.25">
      <c r="A6027" s="2" t="s">
        <v>11</v>
      </c>
      <c r="B6027">
        <v>82</v>
      </c>
      <c r="C6027" s="2" t="s">
        <v>146</v>
      </c>
      <c r="D6027">
        <v>82</v>
      </c>
    </row>
    <row r="6028" spans="1:4" hidden="1" x14ac:dyDescent="0.25">
      <c r="A6028" s="2" t="s">
        <v>11</v>
      </c>
      <c r="B6028">
        <v>82</v>
      </c>
      <c r="C6028" s="2" t="s">
        <v>147</v>
      </c>
      <c r="D6028">
        <v>82</v>
      </c>
    </row>
    <row r="6029" spans="1:4" hidden="1" x14ac:dyDescent="0.25">
      <c r="A6029" s="2" t="s">
        <v>11</v>
      </c>
      <c r="B6029">
        <v>82</v>
      </c>
      <c r="C6029" s="2" t="s">
        <v>148</v>
      </c>
      <c r="D6029">
        <v>82</v>
      </c>
    </row>
    <row r="6030" spans="1:4" hidden="1" x14ac:dyDescent="0.25">
      <c r="A6030" s="2" t="s">
        <v>11</v>
      </c>
      <c r="B6030">
        <v>82</v>
      </c>
      <c r="C6030" s="2" t="s">
        <v>149</v>
      </c>
      <c r="D6030">
        <v>82</v>
      </c>
    </row>
    <row r="6031" spans="1:4" hidden="1" x14ac:dyDescent="0.25">
      <c r="A6031" s="2" t="s">
        <v>11</v>
      </c>
      <c r="B6031">
        <v>82</v>
      </c>
      <c r="C6031" s="2" t="s">
        <v>150</v>
      </c>
      <c r="D6031">
        <v>82</v>
      </c>
    </row>
    <row r="6032" spans="1:4" hidden="1" x14ac:dyDescent="0.25">
      <c r="A6032" s="2" t="s">
        <v>11</v>
      </c>
      <c r="B6032">
        <v>82</v>
      </c>
      <c r="C6032" s="2" t="s">
        <v>151</v>
      </c>
      <c r="D6032">
        <v>82</v>
      </c>
    </row>
    <row r="6033" spans="1:4" hidden="1" x14ac:dyDescent="0.25">
      <c r="A6033" s="2" t="s">
        <v>11</v>
      </c>
      <c r="B6033">
        <v>82</v>
      </c>
      <c r="C6033" s="2" t="s">
        <v>152</v>
      </c>
      <c r="D6033">
        <v>82</v>
      </c>
    </row>
    <row r="6034" spans="1:4" hidden="1" x14ac:dyDescent="0.25">
      <c r="A6034" s="2" t="s">
        <v>11</v>
      </c>
      <c r="B6034">
        <v>82</v>
      </c>
      <c r="C6034" s="2" t="s">
        <v>153</v>
      </c>
      <c r="D6034">
        <v>82</v>
      </c>
    </row>
    <row r="6035" spans="1:4" hidden="1" x14ac:dyDescent="0.25">
      <c r="A6035" s="2" t="s">
        <v>11</v>
      </c>
      <c r="B6035">
        <v>82</v>
      </c>
      <c r="C6035" s="2" t="s">
        <v>154</v>
      </c>
      <c r="D6035">
        <v>82</v>
      </c>
    </row>
    <row r="6036" spans="1:4" hidden="1" x14ac:dyDescent="0.25">
      <c r="A6036" s="2" t="s">
        <v>11</v>
      </c>
      <c r="B6036">
        <v>82</v>
      </c>
      <c r="C6036" s="2" t="s">
        <v>155</v>
      </c>
      <c r="D6036">
        <v>82</v>
      </c>
    </row>
    <row r="6037" spans="1:4" hidden="1" x14ac:dyDescent="0.25">
      <c r="A6037" s="2" t="s">
        <v>11</v>
      </c>
      <c r="B6037">
        <v>82</v>
      </c>
      <c r="C6037" s="2" t="s">
        <v>156</v>
      </c>
      <c r="D6037">
        <v>82</v>
      </c>
    </row>
    <row r="6038" spans="1:4" hidden="1" x14ac:dyDescent="0.25">
      <c r="A6038" s="2" t="s">
        <v>11</v>
      </c>
      <c r="B6038">
        <v>82</v>
      </c>
      <c r="C6038" s="2" t="s">
        <v>157</v>
      </c>
      <c r="D6038">
        <v>82</v>
      </c>
    </row>
    <row r="6039" spans="1:4" hidden="1" x14ac:dyDescent="0.25">
      <c r="A6039" s="2" t="s">
        <v>11</v>
      </c>
      <c r="B6039">
        <v>82</v>
      </c>
      <c r="C6039" s="2" t="s">
        <v>158</v>
      </c>
      <c r="D6039">
        <v>82</v>
      </c>
    </row>
    <row r="6040" spans="1:4" hidden="1" x14ac:dyDescent="0.25">
      <c r="A6040" s="2" t="s">
        <v>11</v>
      </c>
      <c r="B6040">
        <v>82</v>
      </c>
      <c r="C6040" s="2" t="s">
        <v>159</v>
      </c>
      <c r="D6040">
        <v>82</v>
      </c>
    </row>
    <row r="6041" spans="1:4" hidden="1" x14ac:dyDescent="0.25">
      <c r="A6041" s="2" t="s">
        <v>11</v>
      </c>
      <c r="B6041">
        <v>82</v>
      </c>
      <c r="C6041" s="2" t="s">
        <v>160</v>
      </c>
      <c r="D6041">
        <v>82</v>
      </c>
    </row>
    <row r="6042" spans="1:4" hidden="1" x14ac:dyDescent="0.25">
      <c r="A6042" s="2" t="s">
        <v>11</v>
      </c>
      <c r="B6042">
        <v>82</v>
      </c>
      <c r="C6042" s="2" t="s">
        <v>161</v>
      </c>
      <c r="D6042">
        <v>82</v>
      </c>
    </row>
    <row r="6043" spans="1:4" hidden="1" x14ac:dyDescent="0.25">
      <c r="A6043" s="2" t="s">
        <v>11</v>
      </c>
      <c r="B6043">
        <v>82</v>
      </c>
      <c r="C6043" s="2" t="s">
        <v>162</v>
      </c>
      <c r="D6043">
        <v>82</v>
      </c>
    </row>
    <row r="6044" spans="1:4" hidden="1" x14ac:dyDescent="0.25">
      <c r="A6044" s="2" t="s">
        <v>11</v>
      </c>
      <c r="B6044">
        <v>82</v>
      </c>
      <c r="C6044" s="2" t="s">
        <v>163</v>
      </c>
      <c r="D6044">
        <v>82</v>
      </c>
    </row>
    <row r="6045" spans="1:4" hidden="1" x14ac:dyDescent="0.25">
      <c r="A6045" s="2" t="s">
        <v>11</v>
      </c>
      <c r="B6045">
        <v>82</v>
      </c>
      <c r="C6045" s="2" t="s">
        <v>164</v>
      </c>
      <c r="D6045">
        <v>82</v>
      </c>
    </row>
    <row r="6046" spans="1:4" hidden="1" x14ac:dyDescent="0.25">
      <c r="A6046" s="2" t="s">
        <v>11</v>
      </c>
      <c r="B6046">
        <v>82</v>
      </c>
      <c r="C6046" s="2" t="s">
        <v>165</v>
      </c>
      <c r="D6046">
        <v>82</v>
      </c>
    </row>
    <row r="6047" spans="1:4" hidden="1" x14ac:dyDescent="0.25">
      <c r="A6047" s="2" t="s">
        <v>11</v>
      </c>
      <c r="B6047">
        <v>82</v>
      </c>
      <c r="C6047" s="2" t="s">
        <v>166</v>
      </c>
      <c r="D6047">
        <v>82</v>
      </c>
    </row>
    <row r="6048" spans="1:4" hidden="1" x14ac:dyDescent="0.25">
      <c r="A6048" s="2" t="s">
        <v>11</v>
      </c>
      <c r="B6048">
        <v>82</v>
      </c>
      <c r="C6048" s="2" t="s">
        <v>167</v>
      </c>
      <c r="D6048">
        <v>82</v>
      </c>
    </row>
    <row r="6049" spans="1:4" hidden="1" x14ac:dyDescent="0.25">
      <c r="A6049" s="2" t="s">
        <v>11</v>
      </c>
      <c r="B6049">
        <v>82</v>
      </c>
      <c r="C6049" s="2" t="s">
        <v>168</v>
      </c>
      <c r="D6049">
        <v>82</v>
      </c>
    </row>
    <row r="6050" spans="1:4" hidden="1" x14ac:dyDescent="0.25">
      <c r="A6050" s="2" t="s">
        <v>11</v>
      </c>
      <c r="B6050">
        <v>82</v>
      </c>
      <c r="C6050" s="2" t="s">
        <v>169</v>
      </c>
      <c r="D6050">
        <v>82</v>
      </c>
    </row>
    <row r="6051" spans="1:4" hidden="1" x14ac:dyDescent="0.25">
      <c r="A6051" s="2" t="s">
        <v>11</v>
      </c>
      <c r="B6051">
        <v>82</v>
      </c>
      <c r="C6051" s="2" t="s">
        <v>170</v>
      </c>
      <c r="D6051">
        <v>82</v>
      </c>
    </row>
    <row r="6052" spans="1:4" hidden="1" x14ac:dyDescent="0.25">
      <c r="A6052" s="2" t="s">
        <v>11</v>
      </c>
      <c r="B6052">
        <v>82</v>
      </c>
      <c r="C6052" s="2" t="s">
        <v>171</v>
      </c>
      <c r="D6052">
        <v>82</v>
      </c>
    </row>
    <row r="6053" spans="1:4" hidden="1" x14ac:dyDescent="0.25">
      <c r="A6053" s="2" t="s">
        <v>11</v>
      </c>
      <c r="B6053">
        <v>82</v>
      </c>
      <c r="C6053" s="2" t="s">
        <v>172</v>
      </c>
      <c r="D6053">
        <v>82</v>
      </c>
    </row>
    <row r="6054" spans="1:4" hidden="1" x14ac:dyDescent="0.25">
      <c r="A6054" s="2" t="s">
        <v>11</v>
      </c>
      <c r="B6054">
        <v>82</v>
      </c>
      <c r="C6054" s="2" t="s">
        <v>173</v>
      </c>
      <c r="D6054">
        <v>82</v>
      </c>
    </row>
    <row r="6055" spans="1:4" hidden="1" x14ac:dyDescent="0.25">
      <c r="A6055" s="2" t="s">
        <v>11</v>
      </c>
      <c r="B6055">
        <v>82</v>
      </c>
      <c r="C6055" s="2" t="s">
        <v>174</v>
      </c>
      <c r="D6055">
        <v>82</v>
      </c>
    </row>
    <row r="6056" spans="1:4" hidden="1" x14ac:dyDescent="0.25">
      <c r="A6056" s="2" t="s">
        <v>11</v>
      </c>
      <c r="B6056">
        <v>82</v>
      </c>
      <c r="C6056" s="2" t="s">
        <v>175</v>
      </c>
      <c r="D6056">
        <v>82</v>
      </c>
    </row>
    <row r="6057" spans="1:4" hidden="1" x14ac:dyDescent="0.25">
      <c r="A6057" s="2" t="s">
        <v>11</v>
      </c>
      <c r="B6057">
        <v>82</v>
      </c>
      <c r="C6057" s="2" t="s">
        <v>176</v>
      </c>
      <c r="D6057">
        <v>82</v>
      </c>
    </row>
    <row r="6058" spans="1:4" hidden="1" x14ac:dyDescent="0.25">
      <c r="A6058" s="2" t="s">
        <v>11</v>
      </c>
      <c r="B6058">
        <v>82</v>
      </c>
      <c r="C6058" s="2" t="s">
        <v>177</v>
      </c>
      <c r="D6058">
        <v>82</v>
      </c>
    </row>
    <row r="6059" spans="1:4" hidden="1" x14ac:dyDescent="0.25">
      <c r="A6059" s="2" t="s">
        <v>11</v>
      </c>
      <c r="B6059">
        <v>82</v>
      </c>
      <c r="C6059" s="2" t="s">
        <v>178</v>
      </c>
      <c r="D6059">
        <v>82</v>
      </c>
    </row>
    <row r="6060" spans="1:4" hidden="1" x14ac:dyDescent="0.25">
      <c r="A6060" s="2" t="s">
        <v>11</v>
      </c>
      <c r="B6060">
        <v>82</v>
      </c>
      <c r="C6060" s="2" t="s">
        <v>179</v>
      </c>
      <c r="D6060">
        <v>82</v>
      </c>
    </row>
    <row r="6061" spans="1:4" hidden="1" x14ac:dyDescent="0.25">
      <c r="A6061" s="2" t="s">
        <v>25</v>
      </c>
      <c r="B6061">
        <v>82</v>
      </c>
      <c r="C6061" s="2" t="s">
        <v>183</v>
      </c>
      <c r="D6061">
        <v>1</v>
      </c>
    </row>
    <row r="6062" spans="1:4" hidden="1" x14ac:dyDescent="0.25">
      <c r="A6062" s="2" t="s">
        <v>25</v>
      </c>
      <c r="B6062">
        <v>82</v>
      </c>
      <c r="C6062" s="2" t="s">
        <v>184</v>
      </c>
      <c r="D6062">
        <v>1</v>
      </c>
    </row>
    <row r="6063" spans="1:4" hidden="1" x14ac:dyDescent="0.25">
      <c r="A6063" s="2" t="s">
        <v>25</v>
      </c>
      <c r="B6063">
        <v>82</v>
      </c>
      <c r="C6063" s="2" t="s">
        <v>185</v>
      </c>
      <c r="D6063">
        <v>1</v>
      </c>
    </row>
    <row r="6064" spans="1:4" hidden="1" x14ac:dyDescent="0.25">
      <c r="A6064" s="2" t="s">
        <v>25</v>
      </c>
      <c r="B6064">
        <v>82</v>
      </c>
      <c r="C6064" s="2" t="s">
        <v>186</v>
      </c>
      <c r="D6064">
        <v>8</v>
      </c>
    </row>
    <row r="6065" spans="1:4" hidden="1" x14ac:dyDescent="0.25">
      <c r="A6065" s="2" t="s">
        <v>25</v>
      </c>
      <c r="B6065">
        <v>82</v>
      </c>
      <c r="C6065" s="2" t="s">
        <v>187</v>
      </c>
      <c r="D6065">
        <v>8</v>
      </c>
    </row>
    <row r="6066" spans="1:4" hidden="1" x14ac:dyDescent="0.25">
      <c r="A6066" s="2" t="s">
        <v>25</v>
      </c>
      <c r="B6066">
        <v>82</v>
      </c>
      <c r="C6066" s="2" t="s">
        <v>188</v>
      </c>
      <c r="D6066">
        <v>8</v>
      </c>
    </row>
    <row r="6067" spans="1:4" hidden="1" x14ac:dyDescent="0.25">
      <c r="A6067" s="2" t="s">
        <v>25</v>
      </c>
      <c r="B6067">
        <v>82</v>
      </c>
      <c r="C6067" s="2" t="s">
        <v>189</v>
      </c>
      <c r="D6067">
        <v>11</v>
      </c>
    </row>
    <row r="6068" spans="1:4" hidden="1" x14ac:dyDescent="0.25">
      <c r="A6068" s="2" t="s">
        <v>25</v>
      </c>
      <c r="B6068">
        <v>82</v>
      </c>
      <c r="C6068" s="2" t="s">
        <v>190</v>
      </c>
      <c r="D6068">
        <v>6</v>
      </c>
    </row>
    <row r="6069" spans="1:4" hidden="1" x14ac:dyDescent="0.25">
      <c r="A6069" s="2" t="s">
        <v>25</v>
      </c>
      <c r="B6069">
        <v>82</v>
      </c>
      <c r="C6069" s="2" t="s">
        <v>191</v>
      </c>
      <c r="D6069">
        <v>8</v>
      </c>
    </row>
    <row r="6070" spans="1:4" hidden="1" x14ac:dyDescent="0.25">
      <c r="A6070" s="2" t="s">
        <v>25</v>
      </c>
      <c r="B6070">
        <v>82</v>
      </c>
      <c r="C6070" s="2" t="s">
        <v>116</v>
      </c>
      <c r="D6070">
        <v>10</v>
      </c>
    </row>
    <row r="6071" spans="1:4" hidden="1" x14ac:dyDescent="0.25">
      <c r="A6071" s="2" t="s">
        <v>25</v>
      </c>
      <c r="B6071">
        <v>82</v>
      </c>
      <c r="C6071" s="2" t="s">
        <v>117</v>
      </c>
      <c r="D6071">
        <v>9</v>
      </c>
    </row>
    <row r="6072" spans="1:4" hidden="1" x14ac:dyDescent="0.25">
      <c r="A6072" s="2" t="s">
        <v>25</v>
      </c>
      <c r="B6072">
        <v>82</v>
      </c>
      <c r="C6072" s="2" t="s">
        <v>118</v>
      </c>
      <c r="D6072">
        <v>15</v>
      </c>
    </row>
    <row r="6073" spans="1:4" hidden="1" x14ac:dyDescent="0.25">
      <c r="A6073" s="2" t="s">
        <v>25</v>
      </c>
      <c r="B6073">
        <v>82</v>
      </c>
      <c r="C6073" s="2" t="s">
        <v>119</v>
      </c>
      <c r="D6073">
        <v>33</v>
      </c>
    </row>
    <row r="6074" spans="1:4" hidden="1" x14ac:dyDescent="0.25">
      <c r="A6074" s="2" t="s">
        <v>25</v>
      </c>
      <c r="B6074">
        <v>82</v>
      </c>
      <c r="C6074" s="2" t="s">
        <v>120</v>
      </c>
      <c r="D6074">
        <v>35</v>
      </c>
    </row>
    <row r="6075" spans="1:4" hidden="1" x14ac:dyDescent="0.25">
      <c r="A6075" s="2" t="s">
        <v>25</v>
      </c>
      <c r="B6075">
        <v>82</v>
      </c>
      <c r="C6075" s="2" t="s">
        <v>121</v>
      </c>
      <c r="D6075">
        <v>59</v>
      </c>
    </row>
    <row r="6076" spans="1:4" hidden="1" x14ac:dyDescent="0.25">
      <c r="A6076" s="2" t="s">
        <v>25</v>
      </c>
      <c r="B6076">
        <v>82</v>
      </c>
      <c r="C6076" s="2" t="s">
        <v>122</v>
      </c>
      <c r="D6076">
        <v>65</v>
      </c>
    </row>
    <row r="6077" spans="1:4" hidden="1" x14ac:dyDescent="0.25">
      <c r="A6077" s="2" t="s">
        <v>25</v>
      </c>
      <c r="B6077">
        <v>82</v>
      </c>
      <c r="C6077" s="2" t="s">
        <v>123</v>
      </c>
      <c r="D6077">
        <v>72</v>
      </c>
    </row>
    <row r="6078" spans="1:4" hidden="1" x14ac:dyDescent="0.25">
      <c r="A6078" s="2" t="s">
        <v>25</v>
      </c>
      <c r="B6078">
        <v>82</v>
      </c>
      <c r="C6078" s="2" t="s">
        <v>124</v>
      </c>
      <c r="D6078">
        <v>73</v>
      </c>
    </row>
    <row r="6079" spans="1:4" hidden="1" x14ac:dyDescent="0.25">
      <c r="A6079" s="2" t="s">
        <v>25</v>
      </c>
      <c r="B6079">
        <v>82</v>
      </c>
      <c r="C6079" s="2" t="s">
        <v>125</v>
      </c>
      <c r="D6079">
        <v>79</v>
      </c>
    </row>
    <row r="6080" spans="1:4" hidden="1" x14ac:dyDescent="0.25">
      <c r="A6080" s="2" t="s">
        <v>25</v>
      </c>
      <c r="B6080">
        <v>82</v>
      </c>
      <c r="C6080" s="2" t="s">
        <v>126</v>
      </c>
      <c r="D6080">
        <v>81</v>
      </c>
    </row>
    <row r="6081" spans="1:4" hidden="1" x14ac:dyDescent="0.25">
      <c r="A6081" s="2" t="s">
        <v>25</v>
      </c>
      <c r="B6081">
        <v>82</v>
      </c>
      <c r="C6081" s="2" t="s">
        <v>127</v>
      </c>
      <c r="D6081">
        <v>86</v>
      </c>
    </row>
    <row r="6082" spans="1:4" hidden="1" x14ac:dyDescent="0.25">
      <c r="A6082" s="2" t="s">
        <v>25</v>
      </c>
      <c r="B6082">
        <v>82</v>
      </c>
      <c r="C6082" s="2" t="s">
        <v>128</v>
      </c>
      <c r="D6082">
        <v>87</v>
      </c>
    </row>
    <row r="6083" spans="1:4" hidden="1" x14ac:dyDescent="0.25">
      <c r="A6083" s="2" t="s">
        <v>25</v>
      </c>
      <c r="B6083">
        <v>82</v>
      </c>
      <c r="C6083" s="2" t="s">
        <v>129</v>
      </c>
      <c r="D6083">
        <v>102</v>
      </c>
    </row>
    <row r="6084" spans="1:4" hidden="1" x14ac:dyDescent="0.25">
      <c r="A6084" s="2" t="s">
        <v>25</v>
      </c>
      <c r="B6084">
        <v>82</v>
      </c>
      <c r="C6084" s="2" t="s">
        <v>130</v>
      </c>
      <c r="D6084">
        <v>86</v>
      </c>
    </row>
    <row r="6085" spans="1:4" hidden="1" x14ac:dyDescent="0.25">
      <c r="A6085" s="2" t="s">
        <v>25</v>
      </c>
      <c r="B6085">
        <v>82</v>
      </c>
      <c r="C6085" s="2" t="s">
        <v>131</v>
      </c>
      <c r="D6085">
        <v>82</v>
      </c>
    </row>
    <row r="6086" spans="1:4" hidden="1" x14ac:dyDescent="0.25">
      <c r="A6086" s="2" t="s">
        <v>25</v>
      </c>
      <c r="B6086">
        <v>82</v>
      </c>
      <c r="C6086" s="2" t="s">
        <v>132</v>
      </c>
      <c r="D6086">
        <v>81</v>
      </c>
    </row>
    <row r="6087" spans="1:4" hidden="1" x14ac:dyDescent="0.25">
      <c r="A6087" s="2" t="s">
        <v>25</v>
      </c>
      <c r="B6087">
        <v>82</v>
      </c>
      <c r="C6087" s="2" t="s">
        <v>133</v>
      </c>
      <c r="D6087">
        <v>81</v>
      </c>
    </row>
    <row r="6088" spans="1:4" hidden="1" x14ac:dyDescent="0.25">
      <c r="A6088" s="2" t="s">
        <v>25</v>
      </c>
      <c r="B6088">
        <v>82</v>
      </c>
      <c r="C6088" s="2" t="s">
        <v>134</v>
      </c>
      <c r="D6088">
        <v>86</v>
      </c>
    </row>
    <row r="6089" spans="1:4" hidden="1" x14ac:dyDescent="0.25">
      <c r="A6089" s="2" t="s">
        <v>25</v>
      </c>
      <c r="B6089">
        <v>82</v>
      </c>
      <c r="C6089" s="2" t="s">
        <v>135</v>
      </c>
      <c r="D6089">
        <v>82</v>
      </c>
    </row>
    <row r="6090" spans="1:4" hidden="1" x14ac:dyDescent="0.25">
      <c r="A6090" s="2" t="s">
        <v>25</v>
      </c>
      <c r="B6090">
        <v>82</v>
      </c>
      <c r="C6090" s="2" t="s">
        <v>136</v>
      </c>
      <c r="D6090">
        <v>82</v>
      </c>
    </row>
    <row r="6091" spans="1:4" hidden="1" x14ac:dyDescent="0.25">
      <c r="A6091" s="2" t="s">
        <v>25</v>
      </c>
      <c r="B6091">
        <v>82</v>
      </c>
      <c r="C6091" s="2" t="s">
        <v>137</v>
      </c>
      <c r="D6091">
        <v>82</v>
      </c>
    </row>
    <row r="6092" spans="1:4" hidden="1" x14ac:dyDescent="0.25">
      <c r="A6092" s="2" t="s">
        <v>25</v>
      </c>
      <c r="B6092">
        <v>82</v>
      </c>
      <c r="C6092" s="2" t="s">
        <v>138</v>
      </c>
      <c r="D6092">
        <v>82</v>
      </c>
    </row>
    <row r="6093" spans="1:4" hidden="1" x14ac:dyDescent="0.25">
      <c r="A6093" s="2" t="s">
        <v>25</v>
      </c>
      <c r="B6093">
        <v>82</v>
      </c>
      <c r="C6093" s="2" t="s">
        <v>139</v>
      </c>
      <c r="D6093">
        <v>82</v>
      </c>
    </row>
    <row r="6094" spans="1:4" hidden="1" x14ac:dyDescent="0.25">
      <c r="A6094" s="2" t="s">
        <v>25</v>
      </c>
      <c r="B6094">
        <v>82</v>
      </c>
      <c r="C6094" s="2" t="s">
        <v>140</v>
      </c>
      <c r="D6094">
        <v>82</v>
      </c>
    </row>
    <row r="6095" spans="1:4" hidden="1" x14ac:dyDescent="0.25">
      <c r="A6095" s="2" t="s">
        <v>25</v>
      </c>
      <c r="B6095">
        <v>82</v>
      </c>
      <c r="C6095" s="2" t="s">
        <v>141</v>
      </c>
      <c r="D6095">
        <v>82</v>
      </c>
    </row>
    <row r="6096" spans="1:4" hidden="1" x14ac:dyDescent="0.25">
      <c r="A6096" s="2" t="s">
        <v>25</v>
      </c>
      <c r="B6096">
        <v>82</v>
      </c>
      <c r="C6096" s="2" t="s">
        <v>142</v>
      </c>
      <c r="D6096">
        <v>82</v>
      </c>
    </row>
    <row r="6097" spans="1:4" hidden="1" x14ac:dyDescent="0.25">
      <c r="A6097" s="2" t="s">
        <v>25</v>
      </c>
      <c r="B6097">
        <v>82</v>
      </c>
      <c r="C6097" s="2" t="s">
        <v>143</v>
      </c>
      <c r="D6097">
        <v>82</v>
      </c>
    </row>
    <row r="6098" spans="1:4" hidden="1" x14ac:dyDescent="0.25">
      <c r="A6098" s="2" t="s">
        <v>25</v>
      </c>
      <c r="B6098">
        <v>82</v>
      </c>
      <c r="C6098" s="2" t="s">
        <v>144</v>
      </c>
      <c r="D6098">
        <v>82</v>
      </c>
    </row>
    <row r="6099" spans="1:4" hidden="1" x14ac:dyDescent="0.25">
      <c r="A6099" s="2" t="s">
        <v>25</v>
      </c>
      <c r="B6099">
        <v>82</v>
      </c>
      <c r="C6099" s="2" t="s">
        <v>145</v>
      </c>
      <c r="D6099">
        <v>82</v>
      </c>
    </row>
    <row r="6100" spans="1:4" hidden="1" x14ac:dyDescent="0.25">
      <c r="A6100" s="2" t="s">
        <v>25</v>
      </c>
      <c r="B6100">
        <v>82</v>
      </c>
      <c r="C6100" s="2" t="s">
        <v>146</v>
      </c>
      <c r="D6100">
        <v>82</v>
      </c>
    </row>
    <row r="6101" spans="1:4" hidden="1" x14ac:dyDescent="0.25">
      <c r="A6101" s="2" t="s">
        <v>25</v>
      </c>
      <c r="B6101">
        <v>82</v>
      </c>
      <c r="C6101" s="2" t="s">
        <v>147</v>
      </c>
      <c r="D6101">
        <v>82</v>
      </c>
    </row>
    <row r="6102" spans="1:4" hidden="1" x14ac:dyDescent="0.25">
      <c r="A6102" s="2" t="s">
        <v>25</v>
      </c>
      <c r="B6102">
        <v>82</v>
      </c>
      <c r="C6102" s="2" t="s">
        <v>148</v>
      </c>
      <c r="D6102">
        <v>82</v>
      </c>
    </row>
    <row r="6103" spans="1:4" hidden="1" x14ac:dyDescent="0.25">
      <c r="A6103" s="2" t="s">
        <v>25</v>
      </c>
      <c r="B6103">
        <v>82</v>
      </c>
      <c r="C6103" s="2" t="s">
        <v>149</v>
      </c>
      <c r="D6103">
        <v>82</v>
      </c>
    </row>
    <row r="6104" spans="1:4" hidden="1" x14ac:dyDescent="0.25">
      <c r="A6104" s="2" t="s">
        <v>25</v>
      </c>
      <c r="B6104">
        <v>82</v>
      </c>
      <c r="C6104" s="2" t="s">
        <v>150</v>
      </c>
      <c r="D6104">
        <v>82</v>
      </c>
    </row>
    <row r="6105" spans="1:4" hidden="1" x14ac:dyDescent="0.25">
      <c r="A6105" s="2" t="s">
        <v>25</v>
      </c>
      <c r="B6105">
        <v>82</v>
      </c>
      <c r="C6105" s="2" t="s">
        <v>151</v>
      </c>
      <c r="D6105">
        <v>82</v>
      </c>
    </row>
    <row r="6106" spans="1:4" hidden="1" x14ac:dyDescent="0.25">
      <c r="A6106" s="2" t="s">
        <v>25</v>
      </c>
      <c r="B6106">
        <v>82</v>
      </c>
      <c r="C6106" s="2" t="s">
        <v>152</v>
      </c>
      <c r="D6106">
        <v>82</v>
      </c>
    </row>
    <row r="6107" spans="1:4" hidden="1" x14ac:dyDescent="0.25">
      <c r="A6107" s="2" t="s">
        <v>25</v>
      </c>
      <c r="B6107">
        <v>82</v>
      </c>
      <c r="C6107" s="2" t="s">
        <v>153</v>
      </c>
      <c r="D6107">
        <v>82</v>
      </c>
    </row>
    <row r="6108" spans="1:4" hidden="1" x14ac:dyDescent="0.25">
      <c r="A6108" s="2" t="s">
        <v>25</v>
      </c>
      <c r="B6108">
        <v>82</v>
      </c>
      <c r="C6108" s="2" t="s">
        <v>154</v>
      </c>
      <c r="D6108">
        <v>82</v>
      </c>
    </row>
    <row r="6109" spans="1:4" hidden="1" x14ac:dyDescent="0.25">
      <c r="A6109" s="2" t="s">
        <v>25</v>
      </c>
      <c r="B6109">
        <v>82</v>
      </c>
      <c r="C6109" s="2" t="s">
        <v>155</v>
      </c>
      <c r="D6109">
        <v>82</v>
      </c>
    </row>
    <row r="6110" spans="1:4" hidden="1" x14ac:dyDescent="0.25">
      <c r="A6110" s="2" t="s">
        <v>25</v>
      </c>
      <c r="B6110">
        <v>82</v>
      </c>
      <c r="C6110" s="2" t="s">
        <v>156</v>
      </c>
      <c r="D6110">
        <v>82</v>
      </c>
    </row>
    <row r="6111" spans="1:4" hidden="1" x14ac:dyDescent="0.25">
      <c r="A6111" s="2" t="s">
        <v>25</v>
      </c>
      <c r="B6111">
        <v>82</v>
      </c>
      <c r="C6111" s="2" t="s">
        <v>157</v>
      </c>
      <c r="D6111">
        <v>82</v>
      </c>
    </row>
    <row r="6112" spans="1:4" hidden="1" x14ac:dyDescent="0.25">
      <c r="A6112" s="2" t="s">
        <v>25</v>
      </c>
      <c r="B6112">
        <v>82</v>
      </c>
      <c r="C6112" s="2" t="s">
        <v>158</v>
      </c>
      <c r="D6112">
        <v>82</v>
      </c>
    </row>
    <row r="6113" spans="1:4" hidden="1" x14ac:dyDescent="0.25">
      <c r="A6113" s="2" t="s">
        <v>25</v>
      </c>
      <c r="B6113">
        <v>82</v>
      </c>
      <c r="C6113" s="2" t="s">
        <v>159</v>
      </c>
      <c r="D6113">
        <v>82</v>
      </c>
    </row>
    <row r="6114" spans="1:4" hidden="1" x14ac:dyDescent="0.25">
      <c r="A6114" s="2" t="s">
        <v>25</v>
      </c>
      <c r="B6114">
        <v>82</v>
      </c>
      <c r="C6114" s="2" t="s">
        <v>160</v>
      </c>
      <c r="D6114">
        <v>82</v>
      </c>
    </row>
    <row r="6115" spans="1:4" hidden="1" x14ac:dyDescent="0.25">
      <c r="A6115" s="2" t="s">
        <v>25</v>
      </c>
      <c r="B6115">
        <v>82</v>
      </c>
      <c r="C6115" s="2" t="s">
        <v>161</v>
      </c>
      <c r="D6115">
        <v>82</v>
      </c>
    </row>
    <row r="6116" spans="1:4" hidden="1" x14ac:dyDescent="0.25">
      <c r="A6116" s="2" t="s">
        <v>25</v>
      </c>
      <c r="B6116">
        <v>82</v>
      </c>
      <c r="C6116" s="2" t="s">
        <v>162</v>
      </c>
      <c r="D6116">
        <v>82</v>
      </c>
    </row>
    <row r="6117" spans="1:4" hidden="1" x14ac:dyDescent="0.25">
      <c r="A6117" s="2" t="s">
        <v>25</v>
      </c>
      <c r="B6117">
        <v>82</v>
      </c>
      <c r="C6117" s="2" t="s">
        <v>163</v>
      </c>
      <c r="D6117">
        <v>82</v>
      </c>
    </row>
    <row r="6118" spans="1:4" hidden="1" x14ac:dyDescent="0.25">
      <c r="A6118" s="2" t="s">
        <v>25</v>
      </c>
      <c r="B6118">
        <v>82</v>
      </c>
      <c r="C6118" s="2" t="s">
        <v>164</v>
      </c>
      <c r="D6118">
        <v>82</v>
      </c>
    </row>
    <row r="6119" spans="1:4" hidden="1" x14ac:dyDescent="0.25">
      <c r="A6119" s="2" t="s">
        <v>25</v>
      </c>
      <c r="B6119">
        <v>82</v>
      </c>
      <c r="C6119" s="2" t="s">
        <v>165</v>
      </c>
      <c r="D6119">
        <v>82</v>
      </c>
    </row>
    <row r="6120" spans="1:4" hidden="1" x14ac:dyDescent="0.25">
      <c r="A6120" s="2" t="s">
        <v>25</v>
      </c>
      <c r="B6120">
        <v>82</v>
      </c>
      <c r="C6120" s="2" t="s">
        <v>166</v>
      </c>
      <c r="D6120">
        <v>82</v>
      </c>
    </row>
    <row r="6121" spans="1:4" hidden="1" x14ac:dyDescent="0.25">
      <c r="A6121" s="2" t="s">
        <v>25</v>
      </c>
      <c r="B6121">
        <v>82</v>
      </c>
      <c r="C6121" s="2" t="s">
        <v>167</v>
      </c>
      <c r="D6121">
        <v>82</v>
      </c>
    </row>
    <row r="6122" spans="1:4" hidden="1" x14ac:dyDescent="0.25">
      <c r="A6122" s="2" t="s">
        <v>25</v>
      </c>
      <c r="B6122">
        <v>82</v>
      </c>
      <c r="C6122" s="2" t="s">
        <v>168</v>
      </c>
      <c r="D6122">
        <v>82</v>
      </c>
    </row>
    <row r="6123" spans="1:4" hidden="1" x14ac:dyDescent="0.25">
      <c r="A6123" s="2" t="s">
        <v>25</v>
      </c>
      <c r="B6123">
        <v>82</v>
      </c>
      <c r="C6123" s="2" t="s">
        <v>169</v>
      </c>
      <c r="D6123">
        <v>82</v>
      </c>
    </row>
    <row r="6124" spans="1:4" hidden="1" x14ac:dyDescent="0.25">
      <c r="A6124" s="2" t="s">
        <v>25</v>
      </c>
      <c r="B6124">
        <v>82</v>
      </c>
      <c r="C6124" s="2" t="s">
        <v>170</v>
      </c>
      <c r="D6124">
        <v>82</v>
      </c>
    </row>
    <row r="6125" spans="1:4" hidden="1" x14ac:dyDescent="0.25">
      <c r="A6125" s="2" t="s">
        <v>25</v>
      </c>
      <c r="B6125">
        <v>82</v>
      </c>
      <c r="C6125" s="2" t="s">
        <v>171</v>
      </c>
      <c r="D6125">
        <v>82</v>
      </c>
    </row>
    <row r="6126" spans="1:4" hidden="1" x14ac:dyDescent="0.25">
      <c r="A6126" s="2" t="s">
        <v>25</v>
      </c>
      <c r="B6126">
        <v>82</v>
      </c>
      <c r="C6126" s="2" t="s">
        <v>172</v>
      </c>
      <c r="D6126">
        <v>82</v>
      </c>
    </row>
    <row r="6127" spans="1:4" hidden="1" x14ac:dyDescent="0.25">
      <c r="A6127" s="2" t="s">
        <v>25</v>
      </c>
      <c r="B6127">
        <v>82</v>
      </c>
      <c r="C6127" s="2" t="s">
        <v>173</v>
      </c>
      <c r="D6127">
        <v>82</v>
      </c>
    </row>
    <row r="6128" spans="1:4" hidden="1" x14ac:dyDescent="0.25">
      <c r="A6128" s="2" t="s">
        <v>25</v>
      </c>
      <c r="B6128">
        <v>82</v>
      </c>
      <c r="C6128" s="2" t="s">
        <v>174</v>
      </c>
      <c r="D6128">
        <v>82</v>
      </c>
    </row>
    <row r="6129" spans="1:4" hidden="1" x14ac:dyDescent="0.25">
      <c r="A6129" s="2" t="s">
        <v>25</v>
      </c>
      <c r="B6129">
        <v>82</v>
      </c>
      <c r="C6129" s="2" t="s">
        <v>175</v>
      </c>
      <c r="D6129">
        <v>82</v>
      </c>
    </row>
    <row r="6130" spans="1:4" hidden="1" x14ac:dyDescent="0.25">
      <c r="A6130" s="2" t="s">
        <v>25</v>
      </c>
      <c r="B6130">
        <v>82</v>
      </c>
      <c r="C6130" s="2" t="s">
        <v>176</v>
      </c>
      <c r="D6130">
        <v>82</v>
      </c>
    </row>
    <row r="6131" spans="1:4" hidden="1" x14ac:dyDescent="0.25">
      <c r="A6131" s="2" t="s">
        <v>25</v>
      </c>
      <c r="B6131">
        <v>82</v>
      </c>
      <c r="C6131" s="2" t="s">
        <v>177</v>
      </c>
      <c r="D6131">
        <v>82</v>
      </c>
    </row>
    <row r="6132" spans="1:4" hidden="1" x14ac:dyDescent="0.25">
      <c r="A6132" s="2" t="s">
        <v>25</v>
      </c>
      <c r="B6132">
        <v>82</v>
      </c>
      <c r="C6132" s="2" t="s">
        <v>178</v>
      </c>
      <c r="D6132">
        <v>82</v>
      </c>
    </row>
    <row r="6133" spans="1:4" hidden="1" x14ac:dyDescent="0.25">
      <c r="A6133" s="2" t="s">
        <v>25</v>
      </c>
      <c r="B6133">
        <v>82</v>
      </c>
      <c r="C6133" s="2" t="s">
        <v>179</v>
      </c>
      <c r="D6133">
        <v>82</v>
      </c>
    </row>
    <row r="6134" spans="1:4" hidden="1" x14ac:dyDescent="0.25">
      <c r="A6134" s="2" t="s">
        <v>76</v>
      </c>
      <c r="B6134">
        <v>82</v>
      </c>
      <c r="C6134" s="2" t="s">
        <v>183</v>
      </c>
      <c r="D6134">
        <v>78</v>
      </c>
    </row>
    <row r="6135" spans="1:4" hidden="1" x14ac:dyDescent="0.25">
      <c r="A6135" s="2" t="s">
        <v>76</v>
      </c>
      <c r="B6135">
        <v>82</v>
      </c>
      <c r="C6135" s="2" t="s">
        <v>184</v>
      </c>
      <c r="D6135">
        <v>77</v>
      </c>
    </row>
    <row r="6136" spans="1:4" hidden="1" x14ac:dyDescent="0.25">
      <c r="A6136" s="2" t="s">
        <v>76</v>
      </c>
      <c r="B6136">
        <v>82</v>
      </c>
      <c r="C6136" s="2" t="s">
        <v>185</v>
      </c>
      <c r="D6136">
        <v>106</v>
      </c>
    </row>
    <row r="6137" spans="1:4" hidden="1" x14ac:dyDescent="0.25">
      <c r="A6137" s="2" t="s">
        <v>76</v>
      </c>
      <c r="B6137">
        <v>82</v>
      </c>
      <c r="C6137" s="2" t="s">
        <v>186</v>
      </c>
      <c r="D6137">
        <v>68</v>
      </c>
    </row>
    <row r="6138" spans="1:4" hidden="1" x14ac:dyDescent="0.25">
      <c r="A6138" s="2" t="s">
        <v>76</v>
      </c>
      <c r="B6138">
        <v>82</v>
      </c>
      <c r="C6138" s="2" t="s">
        <v>187</v>
      </c>
      <c r="D6138">
        <v>68</v>
      </c>
    </row>
    <row r="6139" spans="1:4" hidden="1" x14ac:dyDescent="0.25">
      <c r="A6139" s="2" t="s">
        <v>76</v>
      </c>
      <c r="B6139">
        <v>82</v>
      </c>
      <c r="C6139" s="2" t="s">
        <v>188</v>
      </c>
      <c r="D6139">
        <v>68</v>
      </c>
    </row>
    <row r="6140" spans="1:4" hidden="1" x14ac:dyDescent="0.25">
      <c r="A6140" s="2" t="s">
        <v>76</v>
      </c>
      <c r="B6140">
        <v>82</v>
      </c>
      <c r="C6140" s="2" t="s">
        <v>189</v>
      </c>
      <c r="D6140">
        <v>49</v>
      </c>
    </row>
    <row r="6141" spans="1:4" hidden="1" x14ac:dyDescent="0.25">
      <c r="A6141" s="2" t="s">
        <v>76</v>
      </c>
      <c r="B6141">
        <v>82</v>
      </c>
      <c r="C6141" s="2" t="s">
        <v>190</v>
      </c>
      <c r="D6141">
        <v>49</v>
      </c>
    </row>
    <row r="6142" spans="1:4" hidden="1" x14ac:dyDescent="0.25">
      <c r="A6142" s="2" t="s">
        <v>76</v>
      </c>
      <c r="B6142">
        <v>82</v>
      </c>
      <c r="C6142" s="2" t="s">
        <v>191</v>
      </c>
      <c r="D6142">
        <v>64</v>
      </c>
    </row>
    <row r="6143" spans="1:4" hidden="1" x14ac:dyDescent="0.25">
      <c r="A6143" s="2" t="s">
        <v>76</v>
      </c>
      <c r="B6143">
        <v>82</v>
      </c>
      <c r="C6143" s="2" t="s">
        <v>116</v>
      </c>
      <c r="D6143">
        <v>65</v>
      </c>
    </row>
    <row r="6144" spans="1:4" hidden="1" x14ac:dyDescent="0.25">
      <c r="A6144" s="2" t="s">
        <v>76</v>
      </c>
      <c r="B6144">
        <v>82</v>
      </c>
      <c r="C6144" s="2" t="s">
        <v>117</v>
      </c>
      <c r="D6144">
        <v>61</v>
      </c>
    </row>
    <row r="6145" spans="1:4" hidden="1" x14ac:dyDescent="0.25">
      <c r="A6145" s="2" t="s">
        <v>76</v>
      </c>
      <c r="B6145">
        <v>82</v>
      </c>
      <c r="C6145" s="2" t="s">
        <v>118</v>
      </c>
      <c r="D6145">
        <v>54</v>
      </c>
    </row>
    <row r="6146" spans="1:4" hidden="1" x14ac:dyDescent="0.25">
      <c r="A6146" s="2" t="s">
        <v>76</v>
      </c>
      <c r="B6146">
        <v>82</v>
      </c>
      <c r="C6146" s="2" t="s">
        <v>119</v>
      </c>
      <c r="D6146">
        <v>80</v>
      </c>
    </row>
    <row r="6147" spans="1:4" hidden="1" x14ac:dyDescent="0.25">
      <c r="A6147" s="2" t="s">
        <v>76</v>
      </c>
      <c r="B6147">
        <v>82</v>
      </c>
      <c r="C6147" s="2" t="s">
        <v>120</v>
      </c>
      <c r="D6147">
        <v>77</v>
      </c>
    </row>
    <row r="6148" spans="1:4" hidden="1" x14ac:dyDescent="0.25">
      <c r="A6148" s="2" t="s">
        <v>76</v>
      </c>
      <c r="B6148">
        <v>82</v>
      </c>
      <c r="C6148" s="2" t="s">
        <v>121</v>
      </c>
      <c r="D6148">
        <v>69</v>
      </c>
    </row>
    <row r="6149" spans="1:4" hidden="1" x14ac:dyDescent="0.25">
      <c r="A6149" s="2" t="s">
        <v>76</v>
      </c>
      <c r="B6149">
        <v>82</v>
      </c>
      <c r="C6149" s="2" t="s">
        <v>122</v>
      </c>
      <c r="D6149">
        <v>75</v>
      </c>
    </row>
    <row r="6150" spans="1:4" hidden="1" x14ac:dyDescent="0.25">
      <c r="A6150" s="2" t="s">
        <v>76</v>
      </c>
      <c r="B6150">
        <v>82</v>
      </c>
      <c r="C6150" s="2" t="s">
        <v>123</v>
      </c>
      <c r="D6150">
        <v>79</v>
      </c>
    </row>
    <row r="6151" spans="1:4" hidden="1" x14ac:dyDescent="0.25">
      <c r="A6151" s="2" t="s">
        <v>76</v>
      </c>
      <c r="B6151">
        <v>82</v>
      </c>
      <c r="C6151" s="2" t="s">
        <v>124</v>
      </c>
      <c r="D6151">
        <v>82</v>
      </c>
    </row>
    <row r="6152" spans="1:4" hidden="1" x14ac:dyDescent="0.25">
      <c r="A6152" s="2" t="s">
        <v>76</v>
      </c>
      <c r="B6152">
        <v>82</v>
      </c>
      <c r="C6152" s="2" t="s">
        <v>125</v>
      </c>
      <c r="D6152">
        <v>97</v>
      </c>
    </row>
    <row r="6153" spans="1:4" hidden="1" x14ac:dyDescent="0.25">
      <c r="A6153" s="2" t="s">
        <v>76</v>
      </c>
      <c r="B6153">
        <v>82</v>
      </c>
      <c r="C6153" s="2" t="s">
        <v>126</v>
      </c>
      <c r="D6153">
        <v>70</v>
      </c>
    </row>
    <row r="6154" spans="1:4" hidden="1" x14ac:dyDescent="0.25">
      <c r="A6154" s="2" t="s">
        <v>76</v>
      </c>
      <c r="B6154">
        <v>82</v>
      </c>
      <c r="C6154" s="2" t="s">
        <v>127</v>
      </c>
      <c r="D6154">
        <v>67</v>
      </c>
    </row>
    <row r="6155" spans="1:4" hidden="1" x14ac:dyDescent="0.25">
      <c r="A6155" s="2" t="s">
        <v>76</v>
      </c>
      <c r="B6155">
        <v>82</v>
      </c>
      <c r="C6155" s="2" t="s">
        <v>128</v>
      </c>
      <c r="D6155">
        <v>72</v>
      </c>
    </row>
    <row r="6156" spans="1:4" hidden="1" x14ac:dyDescent="0.25">
      <c r="A6156" s="2" t="s">
        <v>76</v>
      </c>
      <c r="B6156">
        <v>82</v>
      </c>
      <c r="C6156" s="2" t="s">
        <v>129</v>
      </c>
      <c r="D6156">
        <v>71</v>
      </c>
    </row>
    <row r="6157" spans="1:4" hidden="1" x14ac:dyDescent="0.25">
      <c r="A6157" s="2" t="s">
        <v>76</v>
      </c>
      <c r="B6157">
        <v>82</v>
      </c>
      <c r="C6157" s="2" t="s">
        <v>130</v>
      </c>
      <c r="D6157">
        <v>80</v>
      </c>
    </row>
    <row r="6158" spans="1:4" hidden="1" x14ac:dyDescent="0.25">
      <c r="A6158" s="2" t="s">
        <v>76</v>
      </c>
      <c r="B6158">
        <v>82</v>
      </c>
      <c r="C6158" s="2" t="s">
        <v>131</v>
      </c>
      <c r="D6158">
        <v>96</v>
      </c>
    </row>
    <row r="6159" spans="1:4" hidden="1" x14ac:dyDescent="0.25">
      <c r="A6159" s="2" t="s">
        <v>76</v>
      </c>
      <c r="B6159">
        <v>82</v>
      </c>
      <c r="C6159" s="2" t="s">
        <v>132</v>
      </c>
      <c r="D6159">
        <v>102</v>
      </c>
    </row>
    <row r="6160" spans="1:4" hidden="1" x14ac:dyDescent="0.25">
      <c r="A6160" s="2" t="s">
        <v>76</v>
      </c>
      <c r="B6160">
        <v>82</v>
      </c>
      <c r="C6160" s="2" t="s">
        <v>133</v>
      </c>
      <c r="D6160">
        <v>103</v>
      </c>
    </row>
    <row r="6161" spans="1:4" hidden="1" x14ac:dyDescent="0.25">
      <c r="A6161" s="2" t="s">
        <v>76</v>
      </c>
      <c r="B6161">
        <v>82</v>
      </c>
      <c r="C6161" s="2" t="s">
        <v>134</v>
      </c>
      <c r="D6161">
        <v>101</v>
      </c>
    </row>
    <row r="6162" spans="1:4" hidden="1" x14ac:dyDescent="0.25">
      <c r="A6162" s="2" t="s">
        <v>76</v>
      </c>
      <c r="B6162">
        <v>82</v>
      </c>
      <c r="C6162" s="2" t="s">
        <v>135</v>
      </c>
      <c r="D6162">
        <v>82</v>
      </c>
    </row>
    <row r="6163" spans="1:4" hidden="1" x14ac:dyDescent="0.25">
      <c r="A6163" s="2" t="s">
        <v>76</v>
      </c>
      <c r="B6163">
        <v>82</v>
      </c>
      <c r="C6163" s="2" t="s">
        <v>136</v>
      </c>
      <c r="D6163">
        <v>82</v>
      </c>
    </row>
    <row r="6164" spans="1:4" hidden="1" x14ac:dyDescent="0.25">
      <c r="A6164" s="2" t="s">
        <v>76</v>
      </c>
      <c r="B6164">
        <v>82</v>
      </c>
      <c r="C6164" s="2" t="s">
        <v>137</v>
      </c>
      <c r="D6164">
        <v>82</v>
      </c>
    </row>
    <row r="6165" spans="1:4" hidden="1" x14ac:dyDescent="0.25">
      <c r="A6165" s="2" t="s">
        <v>76</v>
      </c>
      <c r="B6165">
        <v>82</v>
      </c>
      <c r="C6165" s="2" t="s">
        <v>138</v>
      </c>
      <c r="D6165">
        <v>82</v>
      </c>
    </row>
    <row r="6166" spans="1:4" hidden="1" x14ac:dyDescent="0.25">
      <c r="A6166" s="2" t="s">
        <v>76</v>
      </c>
      <c r="B6166">
        <v>82</v>
      </c>
      <c r="C6166" s="2" t="s">
        <v>139</v>
      </c>
      <c r="D6166">
        <v>82</v>
      </c>
    </row>
    <row r="6167" spans="1:4" hidden="1" x14ac:dyDescent="0.25">
      <c r="A6167" s="2" t="s">
        <v>76</v>
      </c>
      <c r="B6167">
        <v>82</v>
      </c>
      <c r="C6167" s="2" t="s">
        <v>140</v>
      </c>
      <c r="D6167">
        <v>82</v>
      </c>
    </row>
    <row r="6168" spans="1:4" hidden="1" x14ac:dyDescent="0.25">
      <c r="A6168" s="2" t="s">
        <v>76</v>
      </c>
      <c r="B6168">
        <v>82</v>
      </c>
      <c r="C6168" s="2" t="s">
        <v>141</v>
      </c>
      <c r="D6168">
        <v>82</v>
      </c>
    </row>
    <row r="6169" spans="1:4" hidden="1" x14ac:dyDescent="0.25">
      <c r="A6169" s="2" t="s">
        <v>76</v>
      </c>
      <c r="B6169">
        <v>82</v>
      </c>
      <c r="C6169" s="2" t="s">
        <v>142</v>
      </c>
      <c r="D6169">
        <v>82</v>
      </c>
    </row>
    <row r="6170" spans="1:4" hidden="1" x14ac:dyDescent="0.25">
      <c r="A6170" s="2" t="s">
        <v>76</v>
      </c>
      <c r="B6170">
        <v>82</v>
      </c>
      <c r="C6170" s="2" t="s">
        <v>143</v>
      </c>
      <c r="D6170">
        <v>82</v>
      </c>
    </row>
    <row r="6171" spans="1:4" hidden="1" x14ac:dyDescent="0.25">
      <c r="A6171" s="2" t="s">
        <v>76</v>
      </c>
      <c r="B6171">
        <v>82</v>
      </c>
      <c r="C6171" s="2" t="s">
        <v>144</v>
      </c>
      <c r="D6171">
        <v>82</v>
      </c>
    </row>
    <row r="6172" spans="1:4" hidden="1" x14ac:dyDescent="0.25">
      <c r="A6172" s="2" t="s">
        <v>76</v>
      </c>
      <c r="B6172">
        <v>82</v>
      </c>
      <c r="C6172" s="2" t="s">
        <v>145</v>
      </c>
      <c r="D6172">
        <v>82</v>
      </c>
    </row>
    <row r="6173" spans="1:4" hidden="1" x14ac:dyDescent="0.25">
      <c r="A6173" s="2" t="s">
        <v>76</v>
      </c>
      <c r="B6173">
        <v>82</v>
      </c>
      <c r="C6173" s="2" t="s">
        <v>146</v>
      </c>
      <c r="D6173">
        <v>82</v>
      </c>
    </row>
    <row r="6174" spans="1:4" hidden="1" x14ac:dyDescent="0.25">
      <c r="A6174" s="2" t="s">
        <v>76</v>
      </c>
      <c r="B6174">
        <v>82</v>
      </c>
      <c r="C6174" s="2" t="s">
        <v>147</v>
      </c>
      <c r="D6174">
        <v>82</v>
      </c>
    </row>
    <row r="6175" spans="1:4" hidden="1" x14ac:dyDescent="0.25">
      <c r="A6175" s="2" t="s">
        <v>76</v>
      </c>
      <c r="B6175">
        <v>82</v>
      </c>
      <c r="C6175" s="2" t="s">
        <v>148</v>
      </c>
      <c r="D6175">
        <v>82</v>
      </c>
    </row>
    <row r="6176" spans="1:4" hidden="1" x14ac:dyDescent="0.25">
      <c r="A6176" s="2" t="s">
        <v>76</v>
      </c>
      <c r="B6176">
        <v>82</v>
      </c>
      <c r="C6176" s="2" t="s">
        <v>149</v>
      </c>
      <c r="D6176">
        <v>82</v>
      </c>
    </row>
    <row r="6177" spans="1:4" hidden="1" x14ac:dyDescent="0.25">
      <c r="A6177" s="2" t="s">
        <v>76</v>
      </c>
      <c r="B6177">
        <v>82</v>
      </c>
      <c r="C6177" s="2" t="s">
        <v>150</v>
      </c>
      <c r="D6177">
        <v>82</v>
      </c>
    </row>
    <row r="6178" spans="1:4" hidden="1" x14ac:dyDescent="0.25">
      <c r="A6178" s="2" t="s">
        <v>76</v>
      </c>
      <c r="B6178">
        <v>82</v>
      </c>
      <c r="C6178" s="2" t="s">
        <v>151</v>
      </c>
      <c r="D6178">
        <v>82</v>
      </c>
    </row>
    <row r="6179" spans="1:4" hidden="1" x14ac:dyDescent="0.25">
      <c r="A6179" s="2" t="s">
        <v>76</v>
      </c>
      <c r="B6179">
        <v>82</v>
      </c>
      <c r="C6179" s="2" t="s">
        <v>152</v>
      </c>
      <c r="D6179">
        <v>82</v>
      </c>
    </row>
    <row r="6180" spans="1:4" hidden="1" x14ac:dyDescent="0.25">
      <c r="A6180" s="2" t="s">
        <v>76</v>
      </c>
      <c r="B6180">
        <v>82</v>
      </c>
      <c r="C6180" s="2" t="s">
        <v>153</v>
      </c>
      <c r="D6180">
        <v>82</v>
      </c>
    </row>
    <row r="6181" spans="1:4" hidden="1" x14ac:dyDescent="0.25">
      <c r="A6181" s="2" t="s">
        <v>76</v>
      </c>
      <c r="B6181">
        <v>82</v>
      </c>
      <c r="C6181" s="2" t="s">
        <v>154</v>
      </c>
      <c r="D6181">
        <v>82</v>
      </c>
    </row>
    <row r="6182" spans="1:4" hidden="1" x14ac:dyDescent="0.25">
      <c r="A6182" s="2" t="s">
        <v>76</v>
      </c>
      <c r="B6182">
        <v>82</v>
      </c>
      <c r="C6182" s="2" t="s">
        <v>155</v>
      </c>
      <c r="D6182">
        <v>82</v>
      </c>
    </row>
    <row r="6183" spans="1:4" hidden="1" x14ac:dyDescent="0.25">
      <c r="A6183" s="2" t="s">
        <v>76</v>
      </c>
      <c r="B6183">
        <v>82</v>
      </c>
      <c r="C6183" s="2" t="s">
        <v>156</v>
      </c>
      <c r="D6183">
        <v>82</v>
      </c>
    </row>
    <row r="6184" spans="1:4" hidden="1" x14ac:dyDescent="0.25">
      <c r="A6184" s="2" t="s">
        <v>76</v>
      </c>
      <c r="B6184">
        <v>82</v>
      </c>
      <c r="C6184" s="2" t="s">
        <v>157</v>
      </c>
      <c r="D6184">
        <v>82</v>
      </c>
    </row>
    <row r="6185" spans="1:4" hidden="1" x14ac:dyDescent="0.25">
      <c r="A6185" s="2" t="s">
        <v>76</v>
      </c>
      <c r="B6185">
        <v>82</v>
      </c>
      <c r="C6185" s="2" t="s">
        <v>158</v>
      </c>
      <c r="D6185">
        <v>82</v>
      </c>
    </row>
    <row r="6186" spans="1:4" hidden="1" x14ac:dyDescent="0.25">
      <c r="A6186" s="2" t="s">
        <v>76</v>
      </c>
      <c r="B6186">
        <v>82</v>
      </c>
      <c r="C6186" s="2" t="s">
        <v>159</v>
      </c>
      <c r="D6186">
        <v>82</v>
      </c>
    </row>
    <row r="6187" spans="1:4" hidden="1" x14ac:dyDescent="0.25">
      <c r="A6187" s="2" t="s">
        <v>76</v>
      </c>
      <c r="B6187">
        <v>82</v>
      </c>
      <c r="C6187" s="2" t="s">
        <v>160</v>
      </c>
      <c r="D6187">
        <v>82</v>
      </c>
    </row>
    <row r="6188" spans="1:4" hidden="1" x14ac:dyDescent="0.25">
      <c r="A6188" s="2" t="s">
        <v>76</v>
      </c>
      <c r="B6188">
        <v>82</v>
      </c>
      <c r="C6188" s="2" t="s">
        <v>161</v>
      </c>
      <c r="D6188">
        <v>82</v>
      </c>
    </row>
    <row r="6189" spans="1:4" hidden="1" x14ac:dyDescent="0.25">
      <c r="A6189" s="2" t="s">
        <v>76</v>
      </c>
      <c r="B6189">
        <v>82</v>
      </c>
      <c r="C6189" s="2" t="s">
        <v>162</v>
      </c>
      <c r="D6189">
        <v>82</v>
      </c>
    </row>
    <row r="6190" spans="1:4" hidden="1" x14ac:dyDescent="0.25">
      <c r="A6190" s="2" t="s">
        <v>76</v>
      </c>
      <c r="B6190">
        <v>82</v>
      </c>
      <c r="C6190" s="2" t="s">
        <v>163</v>
      </c>
      <c r="D6190">
        <v>82</v>
      </c>
    </row>
    <row r="6191" spans="1:4" hidden="1" x14ac:dyDescent="0.25">
      <c r="A6191" s="2" t="s">
        <v>76</v>
      </c>
      <c r="B6191">
        <v>82</v>
      </c>
      <c r="C6191" s="2" t="s">
        <v>164</v>
      </c>
      <c r="D6191">
        <v>82</v>
      </c>
    </row>
    <row r="6192" spans="1:4" hidden="1" x14ac:dyDescent="0.25">
      <c r="A6192" s="2" t="s">
        <v>76</v>
      </c>
      <c r="B6192">
        <v>82</v>
      </c>
      <c r="C6192" s="2" t="s">
        <v>165</v>
      </c>
      <c r="D6192">
        <v>82</v>
      </c>
    </row>
    <row r="6193" spans="1:4" hidden="1" x14ac:dyDescent="0.25">
      <c r="A6193" s="2" t="s">
        <v>76</v>
      </c>
      <c r="B6193">
        <v>82</v>
      </c>
      <c r="C6193" s="2" t="s">
        <v>166</v>
      </c>
      <c r="D6193">
        <v>82</v>
      </c>
    </row>
    <row r="6194" spans="1:4" hidden="1" x14ac:dyDescent="0.25">
      <c r="A6194" s="2" t="s">
        <v>76</v>
      </c>
      <c r="B6194">
        <v>82</v>
      </c>
      <c r="C6194" s="2" t="s">
        <v>167</v>
      </c>
      <c r="D6194">
        <v>82</v>
      </c>
    </row>
    <row r="6195" spans="1:4" hidden="1" x14ac:dyDescent="0.25">
      <c r="A6195" s="2" t="s">
        <v>76</v>
      </c>
      <c r="B6195">
        <v>82</v>
      </c>
      <c r="C6195" s="2" t="s">
        <v>168</v>
      </c>
      <c r="D6195">
        <v>82</v>
      </c>
    </row>
    <row r="6196" spans="1:4" hidden="1" x14ac:dyDescent="0.25">
      <c r="A6196" s="2" t="s">
        <v>76</v>
      </c>
      <c r="B6196">
        <v>82</v>
      </c>
      <c r="C6196" s="2" t="s">
        <v>169</v>
      </c>
      <c r="D6196">
        <v>82</v>
      </c>
    </row>
    <row r="6197" spans="1:4" hidden="1" x14ac:dyDescent="0.25">
      <c r="A6197" s="2" t="s">
        <v>76</v>
      </c>
      <c r="B6197">
        <v>82</v>
      </c>
      <c r="C6197" s="2" t="s">
        <v>170</v>
      </c>
      <c r="D6197">
        <v>82</v>
      </c>
    </row>
    <row r="6198" spans="1:4" hidden="1" x14ac:dyDescent="0.25">
      <c r="A6198" s="2" t="s">
        <v>76</v>
      </c>
      <c r="B6198">
        <v>82</v>
      </c>
      <c r="C6198" s="2" t="s">
        <v>171</v>
      </c>
      <c r="D6198">
        <v>82</v>
      </c>
    </row>
    <row r="6199" spans="1:4" hidden="1" x14ac:dyDescent="0.25">
      <c r="A6199" s="2" t="s">
        <v>76</v>
      </c>
      <c r="B6199">
        <v>82</v>
      </c>
      <c r="C6199" s="2" t="s">
        <v>172</v>
      </c>
      <c r="D6199">
        <v>82</v>
      </c>
    </row>
    <row r="6200" spans="1:4" hidden="1" x14ac:dyDescent="0.25">
      <c r="A6200" s="2" t="s">
        <v>76</v>
      </c>
      <c r="B6200">
        <v>82</v>
      </c>
      <c r="C6200" s="2" t="s">
        <v>173</v>
      </c>
      <c r="D6200">
        <v>82</v>
      </c>
    </row>
    <row r="6201" spans="1:4" hidden="1" x14ac:dyDescent="0.25">
      <c r="A6201" s="2" t="s">
        <v>76</v>
      </c>
      <c r="B6201">
        <v>82</v>
      </c>
      <c r="C6201" s="2" t="s">
        <v>174</v>
      </c>
      <c r="D6201">
        <v>82</v>
      </c>
    </row>
    <row r="6202" spans="1:4" hidden="1" x14ac:dyDescent="0.25">
      <c r="A6202" s="2" t="s">
        <v>76</v>
      </c>
      <c r="B6202">
        <v>82</v>
      </c>
      <c r="C6202" s="2" t="s">
        <v>175</v>
      </c>
      <c r="D6202">
        <v>82</v>
      </c>
    </row>
    <row r="6203" spans="1:4" hidden="1" x14ac:dyDescent="0.25">
      <c r="A6203" s="2" t="s">
        <v>76</v>
      </c>
      <c r="B6203">
        <v>82</v>
      </c>
      <c r="C6203" s="2" t="s">
        <v>176</v>
      </c>
      <c r="D6203">
        <v>82</v>
      </c>
    </row>
    <row r="6204" spans="1:4" hidden="1" x14ac:dyDescent="0.25">
      <c r="A6204" s="2" t="s">
        <v>76</v>
      </c>
      <c r="B6204">
        <v>82</v>
      </c>
      <c r="C6204" s="2" t="s">
        <v>177</v>
      </c>
      <c r="D6204">
        <v>82</v>
      </c>
    </row>
    <row r="6205" spans="1:4" hidden="1" x14ac:dyDescent="0.25">
      <c r="A6205" s="2" t="s">
        <v>76</v>
      </c>
      <c r="B6205">
        <v>82</v>
      </c>
      <c r="C6205" s="2" t="s">
        <v>178</v>
      </c>
      <c r="D6205">
        <v>82</v>
      </c>
    </row>
    <row r="6206" spans="1:4" hidden="1" x14ac:dyDescent="0.25">
      <c r="A6206" s="2" t="s">
        <v>76</v>
      </c>
      <c r="B6206">
        <v>82</v>
      </c>
      <c r="C6206" s="2" t="s">
        <v>179</v>
      </c>
      <c r="D6206">
        <v>82</v>
      </c>
    </row>
    <row r="6207" spans="1:4" hidden="1" x14ac:dyDescent="0.25">
      <c r="A6207" s="2" t="s">
        <v>87</v>
      </c>
      <c r="B6207">
        <v>82</v>
      </c>
      <c r="C6207" s="2" t="s">
        <v>183</v>
      </c>
      <c r="D6207">
        <v>65</v>
      </c>
    </row>
    <row r="6208" spans="1:4" hidden="1" x14ac:dyDescent="0.25">
      <c r="A6208" s="2" t="s">
        <v>87</v>
      </c>
      <c r="B6208">
        <v>82</v>
      </c>
      <c r="C6208" s="2" t="s">
        <v>184</v>
      </c>
      <c r="D6208">
        <v>62</v>
      </c>
    </row>
    <row r="6209" spans="1:4" hidden="1" x14ac:dyDescent="0.25">
      <c r="A6209" s="2" t="s">
        <v>87</v>
      </c>
      <c r="B6209">
        <v>82</v>
      </c>
      <c r="C6209" s="2" t="s">
        <v>185</v>
      </c>
      <c r="D6209">
        <v>82</v>
      </c>
    </row>
    <row r="6210" spans="1:4" hidden="1" x14ac:dyDescent="0.25">
      <c r="A6210" s="2" t="s">
        <v>87</v>
      </c>
      <c r="B6210">
        <v>82</v>
      </c>
      <c r="C6210" s="2" t="s">
        <v>186</v>
      </c>
      <c r="D6210">
        <v>105</v>
      </c>
    </row>
    <row r="6211" spans="1:4" hidden="1" x14ac:dyDescent="0.25">
      <c r="A6211" s="2" t="s">
        <v>87</v>
      </c>
      <c r="B6211">
        <v>82</v>
      </c>
      <c r="C6211" s="2" t="s">
        <v>187</v>
      </c>
      <c r="D6211">
        <v>105</v>
      </c>
    </row>
    <row r="6212" spans="1:4" hidden="1" x14ac:dyDescent="0.25">
      <c r="A6212" s="2" t="s">
        <v>87</v>
      </c>
      <c r="B6212">
        <v>82</v>
      </c>
      <c r="C6212" s="2" t="s">
        <v>188</v>
      </c>
      <c r="D6212">
        <v>93</v>
      </c>
    </row>
    <row r="6213" spans="1:4" hidden="1" x14ac:dyDescent="0.25">
      <c r="A6213" s="2" t="s">
        <v>87</v>
      </c>
      <c r="B6213">
        <v>82</v>
      </c>
      <c r="C6213" s="2" t="s">
        <v>189</v>
      </c>
      <c r="D6213">
        <v>82</v>
      </c>
    </row>
    <row r="6214" spans="1:4" hidden="1" x14ac:dyDescent="0.25">
      <c r="A6214" s="2" t="s">
        <v>87</v>
      </c>
      <c r="B6214">
        <v>82</v>
      </c>
      <c r="C6214" s="2" t="s">
        <v>190</v>
      </c>
      <c r="D6214">
        <v>86</v>
      </c>
    </row>
    <row r="6215" spans="1:4" hidden="1" x14ac:dyDescent="0.25">
      <c r="A6215" s="2" t="s">
        <v>87</v>
      </c>
      <c r="B6215">
        <v>82</v>
      </c>
      <c r="C6215" s="2" t="s">
        <v>191</v>
      </c>
      <c r="D6215">
        <v>72</v>
      </c>
    </row>
    <row r="6216" spans="1:4" hidden="1" x14ac:dyDescent="0.25">
      <c r="A6216" s="2" t="s">
        <v>87</v>
      </c>
      <c r="B6216">
        <v>82</v>
      </c>
      <c r="C6216" s="2" t="s">
        <v>116</v>
      </c>
      <c r="D6216">
        <v>74</v>
      </c>
    </row>
    <row r="6217" spans="1:4" hidden="1" x14ac:dyDescent="0.25">
      <c r="A6217" s="2" t="s">
        <v>87</v>
      </c>
      <c r="B6217">
        <v>82</v>
      </c>
      <c r="C6217" s="2" t="s">
        <v>117</v>
      </c>
      <c r="D6217">
        <v>69</v>
      </c>
    </row>
    <row r="6218" spans="1:4" hidden="1" x14ac:dyDescent="0.25">
      <c r="A6218" s="2" t="s">
        <v>87</v>
      </c>
      <c r="B6218">
        <v>82</v>
      </c>
      <c r="C6218" s="2" t="s">
        <v>118</v>
      </c>
      <c r="D6218">
        <v>85</v>
      </c>
    </row>
    <row r="6219" spans="1:4" hidden="1" x14ac:dyDescent="0.25">
      <c r="A6219" s="2" t="s">
        <v>87</v>
      </c>
      <c r="B6219">
        <v>82</v>
      </c>
      <c r="C6219" s="2" t="s">
        <v>119</v>
      </c>
      <c r="D6219">
        <v>98</v>
      </c>
    </row>
    <row r="6220" spans="1:4" hidden="1" x14ac:dyDescent="0.25">
      <c r="A6220" s="2" t="s">
        <v>87</v>
      </c>
      <c r="B6220">
        <v>82</v>
      </c>
      <c r="C6220" s="2" t="s">
        <v>120</v>
      </c>
      <c r="D6220">
        <v>87</v>
      </c>
    </row>
    <row r="6221" spans="1:4" hidden="1" x14ac:dyDescent="0.25">
      <c r="A6221" s="2" t="s">
        <v>87</v>
      </c>
      <c r="B6221">
        <v>82</v>
      </c>
      <c r="C6221" s="2" t="s">
        <v>121</v>
      </c>
      <c r="D6221">
        <v>86</v>
      </c>
    </row>
    <row r="6222" spans="1:4" hidden="1" x14ac:dyDescent="0.25">
      <c r="A6222" s="2" t="s">
        <v>87</v>
      </c>
      <c r="B6222">
        <v>82</v>
      </c>
      <c r="C6222" s="2" t="s">
        <v>122</v>
      </c>
      <c r="D6222">
        <v>87</v>
      </c>
    </row>
    <row r="6223" spans="1:4" hidden="1" x14ac:dyDescent="0.25">
      <c r="A6223" s="2" t="s">
        <v>87</v>
      </c>
      <c r="B6223">
        <v>82</v>
      </c>
      <c r="C6223" s="2" t="s">
        <v>123</v>
      </c>
      <c r="D6223">
        <v>90</v>
      </c>
    </row>
    <row r="6224" spans="1:4" hidden="1" x14ac:dyDescent="0.25">
      <c r="A6224" s="2" t="s">
        <v>87</v>
      </c>
      <c r="B6224">
        <v>82</v>
      </c>
      <c r="C6224" s="2" t="s">
        <v>124</v>
      </c>
      <c r="D6224">
        <v>85</v>
      </c>
    </row>
    <row r="6225" spans="1:4" hidden="1" x14ac:dyDescent="0.25">
      <c r="A6225" s="2" t="s">
        <v>87</v>
      </c>
      <c r="B6225">
        <v>82</v>
      </c>
      <c r="C6225" s="2" t="s">
        <v>125</v>
      </c>
      <c r="D6225">
        <v>79</v>
      </c>
    </row>
    <row r="6226" spans="1:4" hidden="1" x14ac:dyDescent="0.25">
      <c r="A6226" s="2" t="s">
        <v>87</v>
      </c>
      <c r="B6226">
        <v>82</v>
      </c>
      <c r="C6226" s="2" t="s">
        <v>126</v>
      </c>
      <c r="D6226">
        <v>81</v>
      </c>
    </row>
    <row r="6227" spans="1:4" hidden="1" x14ac:dyDescent="0.25">
      <c r="A6227" s="2" t="s">
        <v>87</v>
      </c>
      <c r="B6227">
        <v>82</v>
      </c>
      <c r="C6227" s="2" t="s">
        <v>127</v>
      </c>
      <c r="D6227">
        <v>67</v>
      </c>
    </row>
    <row r="6228" spans="1:4" hidden="1" x14ac:dyDescent="0.25">
      <c r="A6228" s="2" t="s">
        <v>87</v>
      </c>
      <c r="B6228">
        <v>82</v>
      </c>
      <c r="C6228" s="2" t="s">
        <v>128</v>
      </c>
      <c r="D6228">
        <v>40</v>
      </c>
    </row>
    <row r="6229" spans="1:4" hidden="1" x14ac:dyDescent="0.25">
      <c r="A6229" s="2" t="s">
        <v>87</v>
      </c>
      <c r="B6229">
        <v>82</v>
      </c>
      <c r="C6229" s="2" t="s">
        <v>129</v>
      </c>
      <c r="D6229">
        <v>68</v>
      </c>
    </row>
    <row r="6230" spans="1:4" hidden="1" x14ac:dyDescent="0.25">
      <c r="A6230" s="2" t="s">
        <v>87</v>
      </c>
      <c r="B6230">
        <v>82</v>
      </c>
      <c r="C6230" s="2" t="s">
        <v>130</v>
      </c>
      <c r="D6230">
        <v>61</v>
      </c>
    </row>
    <row r="6231" spans="1:4" hidden="1" x14ac:dyDescent="0.25">
      <c r="A6231" s="2" t="s">
        <v>87</v>
      </c>
      <c r="B6231">
        <v>82</v>
      </c>
      <c r="C6231" s="2" t="s">
        <v>131</v>
      </c>
      <c r="D6231">
        <v>71</v>
      </c>
    </row>
    <row r="6232" spans="1:4" hidden="1" x14ac:dyDescent="0.25">
      <c r="A6232" s="2" t="s">
        <v>87</v>
      </c>
      <c r="B6232">
        <v>82</v>
      </c>
      <c r="C6232" s="2" t="s">
        <v>132</v>
      </c>
      <c r="D6232">
        <v>76</v>
      </c>
    </row>
    <row r="6233" spans="1:4" hidden="1" x14ac:dyDescent="0.25">
      <c r="A6233" s="2" t="s">
        <v>87</v>
      </c>
      <c r="B6233">
        <v>82</v>
      </c>
      <c r="C6233" s="2" t="s">
        <v>133</v>
      </c>
      <c r="D6233">
        <v>77</v>
      </c>
    </row>
    <row r="6234" spans="1:4" hidden="1" x14ac:dyDescent="0.25">
      <c r="A6234" s="2" t="s">
        <v>87</v>
      </c>
      <c r="B6234">
        <v>82</v>
      </c>
      <c r="C6234" s="2" t="s">
        <v>134</v>
      </c>
      <c r="D6234">
        <v>74</v>
      </c>
    </row>
    <row r="6235" spans="1:4" hidden="1" x14ac:dyDescent="0.25">
      <c r="A6235" s="2" t="s">
        <v>87</v>
      </c>
      <c r="B6235">
        <v>82</v>
      </c>
      <c r="C6235" s="2" t="s">
        <v>135</v>
      </c>
      <c r="D6235">
        <v>82</v>
      </c>
    </row>
    <row r="6236" spans="1:4" hidden="1" x14ac:dyDescent="0.25">
      <c r="A6236" s="2" t="s">
        <v>87</v>
      </c>
      <c r="B6236">
        <v>82</v>
      </c>
      <c r="C6236" s="2" t="s">
        <v>136</v>
      </c>
      <c r="D6236">
        <v>82</v>
      </c>
    </row>
    <row r="6237" spans="1:4" hidden="1" x14ac:dyDescent="0.25">
      <c r="A6237" s="2" t="s">
        <v>87</v>
      </c>
      <c r="B6237">
        <v>82</v>
      </c>
      <c r="C6237" s="2" t="s">
        <v>137</v>
      </c>
      <c r="D6237">
        <v>82</v>
      </c>
    </row>
    <row r="6238" spans="1:4" hidden="1" x14ac:dyDescent="0.25">
      <c r="A6238" s="2" t="s">
        <v>87</v>
      </c>
      <c r="B6238">
        <v>82</v>
      </c>
      <c r="C6238" s="2" t="s">
        <v>138</v>
      </c>
      <c r="D6238">
        <v>82</v>
      </c>
    </row>
    <row r="6239" spans="1:4" hidden="1" x14ac:dyDescent="0.25">
      <c r="A6239" s="2" t="s">
        <v>87</v>
      </c>
      <c r="B6239">
        <v>82</v>
      </c>
      <c r="C6239" s="2" t="s">
        <v>139</v>
      </c>
      <c r="D6239">
        <v>82</v>
      </c>
    </row>
    <row r="6240" spans="1:4" hidden="1" x14ac:dyDescent="0.25">
      <c r="A6240" s="2" t="s">
        <v>87</v>
      </c>
      <c r="B6240">
        <v>82</v>
      </c>
      <c r="C6240" s="2" t="s">
        <v>140</v>
      </c>
      <c r="D6240">
        <v>82</v>
      </c>
    </row>
    <row r="6241" spans="1:4" hidden="1" x14ac:dyDescent="0.25">
      <c r="A6241" s="2" t="s">
        <v>87</v>
      </c>
      <c r="B6241">
        <v>82</v>
      </c>
      <c r="C6241" s="2" t="s">
        <v>141</v>
      </c>
      <c r="D6241">
        <v>82</v>
      </c>
    </row>
    <row r="6242" spans="1:4" hidden="1" x14ac:dyDescent="0.25">
      <c r="A6242" s="2" t="s">
        <v>87</v>
      </c>
      <c r="B6242">
        <v>82</v>
      </c>
      <c r="C6242" s="2" t="s">
        <v>142</v>
      </c>
      <c r="D6242">
        <v>82</v>
      </c>
    </row>
    <row r="6243" spans="1:4" hidden="1" x14ac:dyDescent="0.25">
      <c r="A6243" s="2" t="s">
        <v>87</v>
      </c>
      <c r="B6243">
        <v>82</v>
      </c>
      <c r="C6243" s="2" t="s">
        <v>143</v>
      </c>
      <c r="D6243">
        <v>82</v>
      </c>
    </row>
    <row r="6244" spans="1:4" hidden="1" x14ac:dyDescent="0.25">
      <c r="A6244" s="2" t="s">
        <v>87</v>
      </c>
      <c r="B6244">
        <v>82</v>
      </c>
      <c r="C6244" s="2" t="s">
        <v>144</v>
      </c>
      <c r="D6244">
        <v>82</v>
      </c>
    </row>
    <row r="6245" spans="1:4" hidden="1" x14ac:dyDescent="0.25">
      <c r="A6245" s="2" t="s">
        <v>87</v>
      </c>
      <c r="B6245">
        <v>82</v>
      </c>
      <c r="C6245" s="2" t="s">
        <v>145</v>
      </c>
      <c r="D6245">
        <v>82</v>
      </c>
    </row>
    <row r="6246" spans="1:4" hidden="1" x14ac:dyDescent="0.25">
      <c r="A6246" s="2" t="s">
        <v>87</v>
      </c>
      <c r="B6246">
        <v>82</v>
      </c>
      <c r="C6246" s="2" t="s">
        <v>146</v>
      </c>
      <c r="D6246">
        <v>82</v>
      </c>
    </row>
    <row r="6247" spans="1:4" hidden="1" x14ac:dyDescent="0.25">
      <c r="A6247" s="2" t="s">
        <v>87</v>
      </c>
      <c r="B6247">
        <v>82</v>
      </c>
      <c r="C6247" s="2" t="s">
        <v>147</v>
      </c>
      <c r="D6247">
        <v>82</v>
      </c>
    </row>
    <row r="6248" spans="1:4" hidden="1" x14ac:dyDescent="0.25">
      <c r="A6248" s="2" t="s">
        <v>87</v>
      </c>
      <c r="B6248">
        <v>82</v>
      </c>
      <c r="C6248" s="2" t="s">
        <v>148</v>
      </c>
      <c r="D6248">
        <v>82</v>
      </c>
    </row>
    <row r="6249" spans="1:4" hidden="1" x14ac:dyDescent="0.25">
      <c r="A6249" s="2" t="s">
        <v>87</v>
      </c>
      <c r="B6249">
        <v>82</v>
      </c>
      <c r="C6249" s="2" t="s">
        <v>149</v>
      </c>
      <c r="D6249">
        <v>82</v>
      </c>
    </row>
    <row r="6250" spans="1:4" hidden="1" x14ac:dyDescent="0.25">
      <c r="A6250" s="2" t="s">
        <v>87</v>
      </c>
      <c r="B6250">
        <v>82</v>
      </c>
      <c r="C6250" s="2" t="s">
        <v>150</v>
      </c>
      <c r="D6250">
        <v>82</v>
      </c>
    </row>
    <row r="6251" spans="1:4" hidden="1" x14ac:dyDescent="0.25">
      <c r="A6251" s="2" t="s">
        <v>87</v>
      </c>
      <c r="B6251">
        <v>82</v>
      </c>
      <c r="C6251" s="2" t="s">
        <v>151</v>
      </c>
      <c r="D6251">
        <v>82</v>
      </c>
    </row>
    <row r="6252" spans="1:4" hidden="1" x14ac:dyDescent="0.25">
      <c r="A6252" s="2" t="s">
        <v>87</v>
      </c>
      <c r="B6252">
        <v>82</v>
      </c>
      <c r="C6252" s="2" t="s">
        <v>152</v>
      </c>
      <c r="D6252">
        <v>82</v>
      </c>
    </row>
    <row r="6253" spans="1:4" hidden="1" x14ac:dyDescent="0.25">
      <c r="A6253" s="2" t="s">
        <v>87</v>
      </c>
      <c r="B6253">
        <v>82</v>
      </c>
      <c r="C6253" s="2" t="s">
        <v>153</v>
      </c>
      <c r="D6253">
        <v>82</v>
      </c>
    </row>
    <row r="6254" spans="1:4" hidden="1" x14ac:dyDescent="0.25">
      <c r="A6254" s="2" t="s">
        <v>87</v>
      </c>
      <c r="B6254">
        <v>82</v>
      </c>
      <c r="C6254" s="2" t="s">
        <v>154</v>
      </c>
      <c r="D6254">
        <v>82</v>
      </c>
    </row>
    <row r="6255" spans="1:4" hidden="1" x14ac:dyDescent="0.25">
      <c r="A6255" s="2" t="s">
        <v>87</v>
      </c>
      <c r="B6255">
        <v>82</v>
      </c>
      <c r="C6255" s="2" t="s">
        <v>155</v>
      </c>
      <c r="D6255">
        <v>82</v>
      </c>
    </row>
    <row r="6256" spans="1:4" hidden="1" x14ac:dyDescent="0.25">
      <c r="A6256" s="2" t="s">
        <v>87</v>
      </c>
      <c r="B6256">
        <v>82</v>
      </c>
      <c r="C6256" s="2" t="s">
        <v>156</v>
      </c>
      <c r="D6256">
        <v>82</v>
      </c>
    </row>
    <row r="6257" spans="1:4" hidden="1" x14ac:dyDescent="0.25">
      <c r="A6257" s="2" t="s">
        <v>87</v>
      </c>
      <c r="B6257">
        <v>82</v>
      </c>
      <c r="C6257" s="2" t="s">
        <v>157</v>
      </c>
      <c r="D6257">
        <v>82</v>
      </c>
    </row>
    <row r="6258" spans="1:4" hidden="1" x14ac:dyDescent="0.25">
      <c r="A6258" s="2" t="s">
        <v>87</v>
      </c>
      <c r="B6258">
        <v>82</v>
      </c>
      <c r="C6258" s="2" t="s">
        <v>158</v>
      </c>
      <c r="D6258">
        <v>82</v>
      </c>
    </row>
    <row r="6259" spans="1:4" hidden="1" x14ac:dyDescent="0.25">
      <c r="A6259" s="2" t="s">
        <v>87</v>
      </c>
      <c r="B6259">
        <v>82</v>
      </c>
      <c r="C6259" s="2" t="s">
        <v>159</v>
      </c>
      <c r="D6259">
        <v>82</v>
      </c>
    </row>
    <row r="6260" spans="1:4" hidden="1" x14ac:dyDescent="0.25">
      <c r="A6260" s="2" t="s">
        <v>87</v>
      </c>
      <c r="B6260">
        <v>82</v>
      </c>
      <c r="C6260" s="2" t="s">
        <v>160</v>
      </c>
      <c r="D6260">
        <v>82</v>
      </c>
    </row>
    <row r="6261" spans="1:4" hidden="1" x14ac:dyDescent="0.25">
      <c r="A6261" s="2" t="s">
        <v>87</v>
      </c>
      <c r="B6261">
        <v>82</v>
      </c>
      <c r="C6261" s="2" t="s">
        <v>161</v>
      </c>
      <c r="D6261">
        <v>82</v>
      </c>
    </row>
    <row r="6262" spans="1:4" hidden="1" x14ac:dyDescent="0.25">
      <c r="A6262" s="2" t="s">
        <v>87</v>
      </c>
      <c r="B6262">
        <v>82</v>
      </c>
      <c r="C6262" s="2" t="s">
        <v>162</v>
      </c>
      <c r="D6262">
        <v>82</v>
      </c>
    </row>
    <row r="6263" spans="1:4" hidden="1" x14ac:dyDescent="0.25">
      <c r="A6263" s="2" t="s">
        <v>87</v>
      </c>
      <c r="B6263">
        <v>82</v>
      </c>
      <c r="C6263" s="2" t="s">
        <v>163</v>
      </c>
      <c r="D6263">
        <v>82</v>
      </c>
    </row>
    <row r="6264" spans="1:4" hidden="1" x14ac:dyDescent="0.25">
      <c r="A6264" s="2" t="s">
        <v>87</v>
      </c>
      <c r="B6264">
        <v>82</v>
      </c>
      <c r="C6264" s="2" t="s">
        <v>164</v>
      </c>
      <c r="D6264">
        <v>82</v>
      </c>
    </row>
    <row r="6265" spans="1:4" hidden="1" x14ac:dyDescent="0.25">
      <c r="A6265" s="2" t="s">
        <v>87</v>
      </c>
      <c r="B6265">
        <v>82</v>
      </c>
      <c r="C6265" s="2" t="s">
        <v>165</v>
      </c>
      <c r="D6265">
        <v>82</v>
      </c>
    </row>
    <row r="6266" spans="1:4" hidden="1" x14ac:dyDescent="0.25">
      <c r="A6266" s="2" t="s">
        <v>87</v>
      </c>
      <c r="B6266">
        <v>82</v>
      </c>
      <c r="C6266" s="2" t="s">
        <v>166</v>
      </c>
      <c r="D6266">
        <v>82</v>
      </c>
    </row>
    <row r="6267" spans="1:4" hidden="1" x14ac:dyDescent="0.25">
      <c r="A6267" s="2" t="s">
        <v>87</v>
      </c>
      <c r="B6267">
        <v>82</v>
      </c>
      <c r="C6267" s="2" t="s">
        <v>167</v>
      </c>
      <c r="D6267">
        <v>82</v>
      </c>
    </row>
    <row r="6268" spans="1:4" hidden="1" x14ac:dyDescent="0.25">
      <c r="A6268" s="2" t="s">
        <v>87</v>
      </c>
      <c r="B6268">
        <v>82</v>
      </c>
      <c r="C6268" s="2" t="s">
        <v>168</v>
      </c>
      <c r="D6268">
        <v>82</v>
      </c>
    </row>
    <row r="6269" spans="1:4" hidden="1" x14ac:dyDescent="0.25">
      <c r="A6269" s="2" t="s">
        <v>87</v>
      </c>
      <c r="B6269">
        <v>82</v>
      </c>
      <c r="C6269" s="2" t="s">
        <v>169</v>
      </c>
      <c r="D6269">
        <v>82</v>
      </c>
    </row>
    <row r="6270" spans="1:4" hidden="1" x14ac:dyDescent="0.25">
      <c r="A6270" s="2" t="s">
        <v>87</v>
      </c>
      <c r="B6270">
        <v>82</v>
      </c>
      <c r="C6270" s="2" t="s">
        <v>170</v>
      </c>
      <c r="D6270">
        <v>82</v>
      </c>
    </row>
    <row r="6271" spans="1:4" hidden="1" x14ac:dyDescent="0.25">
      <c r="A6271" s="2" t="s">
        <v>87</v>
      </c>
      <c r="B6271">
        <v>82</v>
      </c>
      <c r="C6271" s="2" t="s">
        <v>171</v>
      </c>
      <c r="D6271">
        <v>82</v>
      </c>
    </row>
    <row r="6272" spans="1:4" hidden="1" x14ac:dyDescent="0.25">
      <c r="A6272" s="2" t="s">
        <v>87</v>
      </c>
      <c r="B6272">
        <v>82</v>
      </c>
      <c r="C6272" s="2" t="s">
        <v>172</v>
      </c>
      <c r="D6272">
        <v>82</v>
      </c>
    </row>
    <row r="6273" spans="1:4" hidden="1" x14ac:dyDescent="0.25">
      <c r="A6273" s="2" t="s">
        <v>87</v>
      </c>
      <c r="B6273">
        <v>82</v>
      </c>
      <c r="C6273" s="2" t="s">
        <v>173</v>
      </c>
      <c r="D6273">
        <v>82</v>
      </c>
    </row>
    <row r="6274" spans="1:4" hidden="1" x14ac:dyDescent="0.25">
      <c r="A6274" s="2" t="s">
        <v>87</v>
      </c>
      <c r="B6274">
        <v>82</v>
      </c>
      <c r="C6274" s="2" t="s">
        <v>174</v>
      </c>
      <c r="D6274">
        <v>82</v>
      </c>
    </row>
    <row r="6275" spans="1:4" hidden="1" x14ac:dyDescent="0.25">
      <c r="A6275" s="2" t="s">
        <v>87</v>
      </c>
      <c r="B6275">
        <v>82</v>
      </c>
      <c r="C6275" s="2" t="s">
        <v>175</v>
      </c>
      <c r="D6275">
        <v>82</v>
      </c>
    </row>
    <row r="6276" spans="1:4" hidden="1" x14ac:dyDescent="0.25">
      <c r="A6276" s="2" t="s">
        <v>87</v>
      </c>
      <c r="B6276">
        <v>82</v>
      </c>
      <c r="C6276" s="2" t="s">
        <v>176</v>
      </c>
      <c r="D6276">
        <v>82</v>
      </c>
    </row>
    <row r="6277" spans="1:4" hidden="1" x14ac:dyDescent="0.25">
      <c r="A6277" s="2" t="s">
        <v>87</v>
      </c>
      <c r="B6277">
        <v>82</v>
      </c>
      <c r="C6277" s="2" t="s">
        <v>177</v>
      </c>
      <c r="D6277">
        <v>82</v>
      </c>
    </row>
    <row r="6278" spans="1:4" hidden="1" x14ac:dyDescent="0.25">
      <c r="A6278" s="2" t="s">
        <v>87</v>
      </c>
      <c r="B6278">
        <v>82</v>
      </c>
      <c r="C6278" s="2" t="s">
        <v>178</v>
      </c>
      <c r="D6278">
        <v>82</v>
      </c>
    </row>
    <row r="6279" spans="1:4" hidden="1" x14ac:dyDescent="0.25">
      <c r="A6279" s="2" t="s">
        <v>87</v>
      </c>
      <c r="B6279">
        <v>82</v>
      </c>
      <c r="C6279" s="2" t="s">
        <v>179</v>
      </c>
      <c r="D6279">
        <v>82</v>
      </c>
    </row>
    <row r="6280" spans="1:4" hidden="1" x14ac:dyDescent="0.25">
      <c r="A6280" s="2" t="s">
        <v>46</v>
      </c>
      <c r="B6280">
        <v>87</v>
      </c>
      <c r="C6280" s="2" t="s">
        <v>183</v>
      </c>
      <c r="D6280">
        <v>78</v>
      </c>
    </row>
    <row r="6281" spans="1:4" hidden="1" x14ac:dyDescent="0.25">
      <c r="A6281" s="2" t="s">
        <v>46</v>
      </c>
      <c r="B6281">
        <v>87</v>
      </c>
      <c r="C6281" s="2" t="s">
        <v>184</v>
      </c>
      <c r="D6281">
        <v>77</v>
      </c>
    </row>
    <row r="6282" spans="1:4" hidden="1" x14ac:dyDescent="0.25">
      <c r="A6282" s="2" t="s">
        <v>46</v>
      </c>
      <c r="B6282">
        <v>87</v>
      </c>
      <c r="C6282" s="2" t="s">
        <v>185</v>
      </c>
      <c r="D6282">
        <v>82</v>
      </c>
    </row>
    <row r="6283" spans="1:4" hidden="1" x14ac:dyDescent="0.25">
      <c r="A6283" s="2" t="s">
        <v>46</v>
      </c>
      <c r="B6283">
        <v>87</v>
      </c>
      <c r="C6283" s="2" t="s">
        <v>186</v>
      </c>
      <c r="D6283">
        <v>98</v>
      </c>
    </row>
    <row r="6284" spans="1:4" hidden="1" x14ac:dyDescent="0.25">
      <c r="A6284" s="2" t="s">
        <v>46</v>
      </c>
      <c r="B6284">
        <v>87</v>
      </c>
      <c r="C6284" s="2" t="s">
        <v>187</v>
      </c>
      <c r="D6284">
        <v>98</v>
      </c>
    </row>
    <row r="6285" spans="1:4" hidden="1" x14ac:dyDescent="0.25">
      <c r="A6285" s="2" t="s">
        <v>46</v>
      </c>
      <c r="B6285">
        <v>87</v>
      </c>
      <c r="C6285" s="2" t="s">
        <v>188</v>
      </c>
      <c r="D6285">
        <v>100</v>
      </c>
    </row>
    <row r="6286" spans="1:4" hidden="1" x14ac:dyDescent="0.25">
      <c r="A6286" s="2" t="s">
        <v>46</v>
      </c>
      <c r="B6286">
        <v>87</v>
      </c>
      <c r="C6286" s="2" t="s">
        <v>189</v>
      </c>
      <c r="D6286">
        <v>101</v>
      </c>
    </row>
    <row r="6287" spans="1:4" hidden="1" x14ac:dyDescent="0.25">
      <c r="A6287" s="2" t="s">
        <v>46</v>
      </c>
      <c r="B6287">
        <v>87</v>
      </c>
      <c r="C6287" s="2" t="s">
        <v>190</v>
      </c>
      <c r="D6287">
        <v>102</v>
      </c>
    </row>
    <row r="6288" spans="1:4" hidden="1" x14ac:dyDescent="0.25">
      <c r="A6288" s="2" t="s">
        <v>46</v>
      </c>
      <c r="B6288">
        <v>87</v>
      </c>
      <c r="C6288" s="2" t="s">
        <v>191</v>
      </c>
      <c r="D6288">
        <v>102</v>
      </c>
    </row>
    <row r="6289" spans="1:4" hidden="1" x14ac:dyDescent="0.25">
      <c r="A6289" s="2" t="s">
        <v>46</v>
      </c>
      <c r="B6289">
        <v>87</v>
      </c>
      <c r="C6289" s="2" t="s">
        <v>116</v>
      </c>
      <c r="D6289">
        <v>103</v>
      </c>
    </row>
    <row r="6290" spans="1:4" hidden="1" x14ac:dyDescent="0.25">
      <c r="A6290" s="2" t="s">
        <v>46</v>
      </c>
      <c r="B6290">
        <v>87</v>
      </c>
      <c r="C6290" s="2" t="s">
        <v>117</v>
      </c>
      <c r="D6290">
        <v>99</v>
      </c>
    </row>
    <row r="6291" spans="1:4" hidden="1" x14ac:dyDescent="0.25">
      <c r="A6291" s="2" t="s">
        <v>46</v>
      </c>
      <c r="B6291">
        <v>87</v>
      </c>
      <c r="C6291" s="2" t="s">
        <v>118</v>
      </c>
      <c r="D6291">
        <v>98</v>
      </c>
    </row>
    <row r="6292" spans="1:4" hidden="1" x14ac:dyDescent="0.25">
      <c r="A6292" s="2" t="s">
        <v>46</v>
      </c>
      <c r="B6292">
        <v>87</v>
      </c>
      <c r="C6292" s="2" t="s">
        <v>119</v>
      </c>
      <c r="D6292">
        <v>98</v>
      </c>
    </row>
    <row r="6293" spans="1:4" hidden="1" x14ac:dyDescent="0.25">
      <c r="A6293" s="2" t="s">
        <v>46</v>
      </c>
      <c r="B6293">
        <v>87</v>
      </c>
      <c r="C6293" s="2" t="s">
        <v>120</v>
      </c>
      <c r="D6293">
        <v>87</v>
      </c>
    </row>
    <row r="6294" spans="1:4" hidden="1" x14ac:dyDescent="0.25">
      <c r="A6294" s="2" t="s">
        <v>46</v>
      </c>
      <c r="B6294">
        <v>87</v>
      </c>
      <c r="C6294" s="2" t="s">
        <v>121</v>
      </c>
      <c r="D6294">
        <v>86</v>
      </c>
    </row>
    <row r="6295" spans="1:4" hidden="1" x14ac:dyDescent="0.25">
      <c r="A6295" s="2" t="s">
        <v>46</v>
      </c>
      <c r="B6295">
        <v>87</v>
      </c>
      <c r="C6295" s="2" t="s">
        <v>122</v>
      </c>
      <c r="D6295">
        <v>72</v>
      </c>
    </row>
    <row r="6296" spans="1:4" hidden="1" x14ac:dyDescent="0.25">
      <c r="A6296" s="2" t="s">
        <v>46</v>
      </c>
      <c r="B6296">
        <v>87</v>
      </c>
      <c r="C6296" s="2" t="s">
        <v>123</v>
      </c>
      <c r="D6296">
        <v>77</v>
      </c>
    </row>
    <row r="6297" spans="1:4" hidden="1" x14ac:dyDescent="0.25">
      <c r="A6297" s="2" t="s">
        <v>46</v>
      </c>
      <c r="B6297">
        <v>87</v>
      </c>
      <c r="C6297" s="2" t="s">
        <v>124</v>
      </c>
      <c r="D6297">
        <v>79</v>
      </c>
    </row>
    <row r="6298" spans="1:4" hidden="1" x14ac:dyDescent="0.25">
      <c r="A6298" s="2" t="s">
        <v>46</v>
      </c>
      <c r="B6298">
        <v>87</v>
      </c>
      <c r="C6298" s="2" t="s">
        <v>125</v>
      </c>
      <c r="D6298">
        <v>88</v>
      </c>
    </row>
    <row r="6299" spans="1:4" hidden="1" x14ac:dyDescent="0.25">
      <c r="A6299" s="2" t="s">
        <v>46</v>
      </c>
      <c r="B6299">
        <v>87</v>
      </c>
      <c r="C6299" s="2" t="s">
        <v>126</v>
      </c>
      <c r="D6299">
        <v>76</v>
      </c>
    </row>
    <row r="6300" spans="1:4" hidden="1" x14ac:dyDescent="0.25">
      <c r="A6300" s="2" t="s">
        <v>46</v>
      </c>
      <c r="B6300">
        <v>87</v>
      </c>
      <c r="C6300" s="2" t="s">
        <v>127</v>
      </c>
      <c r="D6300">
        <v>81</v>
      </c>
    </row>
    <row r="6301" spans="1:4" hidden="1" x14ac:dyDescent="0.25">
      <c r="A6301" s="2" t="s">
        <v>46</v>
      </c>
      <c r="B6301">
        <v>87</v>
      </c>
      <c r="C6301" s="2" t="s">
        <v>128</v>
      </c>
      <c r="D6301">
        <v>85</v>
      </c>
    </row>
    <row r="6302" spans="1:4" hidden="1" x14ac:dyDescent="0.25">
      <c r="A6302" s="2" t="s">
        <v>46</v>
      </c>
      <c r="B6302">
        <v>87</v>
      </c>
      <c r="C6302" s="2" t="s">
        <v>129</v>
      </c>
      <c r="D6302">
        <v>71</v>
      </c>
    </row>
    <row r="6303" spans="1:4" hidden="1" x14ac:dyDescent="0.25">
      <c r="A6303" s="2" t="s">
        <v>46</v>
      </c>
      <c r="B6303">
        <v>87</v>
      </c>
      <c r="C6303" s="2" t="s">
        <v>130</v>
      </c>
      <c r="D6303">
        <v>74</v>
      </c>
    </row>
    <row r="6304" spans="1:4" hidden="1" x14ac:dyDescent="0.25">
      <c r="A6304" s="2" t="s">
        <v>46</v>
      </c>
      <c r="B6304">
        <v>87</v>
      </c>
      <c r="C6304" s="2" t="s">
        <v>131</v>
      </c>
      <c r="D6304">
        <v>73</v>
      </c>
    </row>
    <row r="6305" spans="1:4" hidden="1" x14ac:dyDescent="0.25">
      <c r="A6305" s="2" t="s">
        <v>46</v>
      </c>
      <c r="B6305">
        <v>87</v>
      </c>
      <c r="C6305" s="2" t="s">
        <v>132</v>
      </c>
      <c r="D6305">
        <v>78</v>
      </c>
    </row>
    <row r="6306" spans="1:4" hidden="1" x14ac:dyDescent="0.25">
      <c r="A6306" s="2" t="s">
        <v>46</v>
      </c>
      <c r="B6306">
        <v>87</v>
      </c>
      <c r="C6306" s="2" t="s">
        <v>133</v>
      </c>
      <c r="D6306">
        <v>78</v>
      </c>
    </row>
    <row r="6307" spans="1:4" hidden="1" x14ac:dyDescent="0.25">
      <c r="A6307" s="2" t="s">
        <v>46</v>
      </c>
      <c r="B6307">
        <v>87</v>
      </c>
      <c r="C6307" s="2" t="s">
        <v>134</v>
      </c>
      <c r="D6307">
        <v>80</v>
      </c>
    </row>
    <row r="6308" spans="1:4" hidden="1" x14ac:dyDescent="0.25">
      <c r="A6308" s="2" t="s">
        <v>46</v>
      </c>
      <c r="B6308">
        <v>87</v>
      </c>
      <c r="C6308" s="2" t="s">
        <v>135</v>
      </c>
      <c r="D6308">
        <v>87</v>
      </c>
    </row>
    <row r="6309" spans="1:4" hidden="1" x14ac:dyDescent="0.25">
      <c r="A6309" s="2" t="s">
        <v>46</v>
      </c>
      <c r="B6309">
        <v>87</v>
      </c>
      <c r="C6309" s="2" t="s">
        <v>136</v>
      </c>
      <c r="D6309">
        <v>87</v>
      </c>
    </row>
    <row r="6310" spans="1:4" hidden="1" x14ac:dyDescent="0.25">
      <c r="A6310" s="2" t="s">
        <v>46</v>
      </c>
      <c r="B6310">
        <v>87</v>
      </c>
      <c r="C6310" s="2" t="s">
        <v>137</v>
      </c>
      <c r="D6310">
        <v>87</v>
      </c>
    </row>
    <row r="6311" spans="1:4" hidden="1" x14ac:dyDescent="0.25">
      <c r="A6311" s="2" t="s">
        <v>46</v>
      </c>
      <c r="B6311">
        <v>87</v>
      </c>
      <c r="C6311" s="2" t="s">
        <v>138</v>
      </c>
      <c r="D6311">
        <v>87</v>
      </c>
    </row>
    <row r="6312" spans="1:4" hidden="1" x14ac:dyDescent="0.25">
      <c r="A6312" s="2" t="s">
        <v>46</v>
      </c>
      <c r="B6312">
        <v>87</v>
      </c>
      <c r="C6312" s="2" t="s">
        <v>139</v>
      </c>
      <c r="D6312">
        <v>87</v>
      </c>
    </row>
    <row r="6313" spans="1:4" hidden="1" x14ac:dyDescent="0.25">
      <c r="A6313" s="2" t="s">
        <v>46</v>
      </c>
      <c r="B6313">
        <v>87</v>
      </c>
      <c r="C6313" s="2" t="s">
        <v>140</v>
      </c>
      <c r="D6313">
        <v>87</v>
      </c>
    </row>
    <row r="6314" spans="1:4" hidden="1" x14ac:dyDescent="0.25">
      <c r="A6314" s="2" t="s">
        <v>46</v>
      </c>
      <c r="B6314">
        <v>87</v>
      </c>
      <c r="C6314" s="2" t="s">
        <v>141</v>
      </c>
      <c r="D6314">
        <v>87</v>
      </c>
    </row>
    <row r="6315" spans="1:4" hidden="1" x14ac:dyDescent="0.25">
      <c r="A6315" s="2" t="s">
        <v>46</v>
      </c>
      <c r="B6315">
        <v>87</v>
      </c>
      <c r="C6315" s="2" t="s">
        <v>142</v>
      </c>
      <c r="D6315">
        <v>87</v>
      </c>
    </row>
    <row r="6316" spans="1:4" hidden="1" x14ac:dyDescent="0.25">
      <c r="A6316" s="2" t="s">
        <v>46</v>
      </c>
      <c r="B6316">
        <v>87</v>
      </c>
      <c r="C6316" s="2" t="s">
        <v>143</v>
      </c>
      <c r="D6316">
        <v>87</v>
      </c>
    </row>
    <row r="6317" spans="1:4" hidden="1" x14ac:dyDescent="0.25">
      <c r="A6317" s="2" t="s">
        <v>46</v>
      </c>
      <c r="B6317">
        <v>87</v>
      </c>
      <c r="C6317" s="2" t="s">
        <v>144</v>
      </c>
      <c r="D6317">
        <v>87</v>
      </c>
    </row>
    <row r="6318" spans="1:4" hidden="1" x14ac:dyDescent="0.25">
      <c r="A6318" s="2" t="s">
        <v>46</v>
      </c>
      <c r="B6318">
        <v>87</v>
      </c>
      <c r="C6318" s="2" t="s">
        <v>145</v>
      </c>
      <c r="D6318">
        <v>87</v>
      </c>
    </row>
    <row r="6319" spans="1:4" hidden="1" x14ac:dyDescent="0.25">
      <c r="A6319" s="2" t="s">
        <v>46</v>
      </c>
      <c r="B6319">
        <v>87</v>
      </c>
      <c r="C6319" s="2" t="s">
        <v>146</v>
      </c>
      <c r="D6319">
        <v>87</v>
      </c>
    </row>
    <row r="6320" spans="1:4" hidden="1" x14ac:dyDescent="0.25">
      <c r="A6320" s="2" t="s">
        <v>46</v>
      </c>
      <c r="B6320">
        <v>87</v>
      </c>
      <c r="C6320" s="2" t="s">
        <v>147</v>
      </c>
      <c r="D6320">
        <v>87</v>
      </c>
    </row>
    <row r="6321" spans="1:4" hidden="1" x14ac:dyDescent="0.25">
      <c r="A6321" s="2" t="s">
        <v>46</v>
      </c>
      <c r="B6321">
        <v>87</v>
      </c>
      <c r="C6321" s="2" t="s">
        <v>148</v>
      </c>
      <c r="D6321">
        <v>87</v>
      </c>
    </row>
    <row r="6322" spans="1:4" hidden="1" x14ac:dyDescent="0.25">
      <c r="A6322" s="2" t="s">
        <v>46</v>
      </c>
      <c r="B6322">
        <v>87</v>
      </c>
      <c r="C6322" s="2" t="s">
        <v>149</v>
      </c>
      <c r="D6322">
        <v>87</v>
      </c>
    </row>
    <row r="6323" spans="1:4" hidden="1" x14ac:dyDescent="0.25">
      <c r="A6323" s="2" t="s">
        <v>46</v>
      </c>
      <c r="B6323">
        <v>87</v>
      </c>
      <c r="C6323" s="2" t="s">
        <v>150</v>
      </c>
      <c r="D6323">
        <v>87</v>
      </c>
    </row>
    <row r="6324" spans="1:4" hidden="1" x14ac:dyDescent="0.25">
      <c r="A6324" s="2" t="s">
        <v>46</v>
      </c>
      <c r="B6324">
        <v>87</v>
      </c>
      <c r="C6324" s="2" t="s">
        <v>151</v>
      </c>
      <c r="D6324">
        <v>87</v>
      </c>
    </row>
    <row r="6325" spans="1:4" hidden="1" x14ac:dyDescent="0.25">
      <c r="A6325" s="2" t="s">
        <v>46</v>
      </c>
      <c r="B6325">
        <v>87</v>
      </c>
      <c r="C6325" s="2" t="s">
        <v>152</v>
      </c>
      <c r="D6325">
        <v>87</v>
      </c>
    </row>
    <row r="6326" spans="1:4" hidden="1" x14ac:dyDescent="0.25">
      <c r="A6326" s="2" t="s">
        <v>46</v>
      </c>
      <c r="B6326">
        <v>87</v>
      </c>
      <c r="C6326" s="2" t="s">
        <v>153</v>
      </c>
      <c r="D6326">
        <v>87</v>
      </c>
    </row>
    <row r="6327" spans="1:4" hidden="1" x14ac:dyDescent="0.25">
      <c r="A6327" s="2" t="s">
        <v>46</v>
      </c>
      <c r="B6327">
        <v>87</v>
      </c>
      <c r="C6327" s="2" t="s">
        <v>154</v>
      </c>
      <c r="D6327">
        <v>87</v>
      </c>
    </row>
    <row r="6328" spans="1:4" hidden="1" x14ac:dyDescent="0.25">
      <c r="A6328" s="2" t="s">
        <v>46</v>
      </c>
      <c r="B6328">
        <v>87</v>
      </c>
      <c r="C6328" s="2" t="s">
        <v>155</v>
      </c>
      <c r="D6328">
        <v>87</v>
      </c>
    </row>
    <row r="6329" spans="1:4" hidden="1" x14ac:dyDescent="0.25">
      <c r="A6329" s="2" t="s">
        <v>46</v>
      </c>
      <c r="B6329">
        <v>87</v>
      </c>
      <c r="C6329" s="2" t="s">
        <v>156</v>
      </c>
      <c r="D6329">
        <v>87</v>
      </c>
    </row>
    <row r="6330" spans="1:4" hidden="1" x14ac:dyDescent="0.25">
      <c r="A6330" s="2" t="s">
        <v>46</v>
      </c>
      <c r="B6330">
        <v>87</v>
      </c>
      <c r="C6330" s="2" t="s">
        <v>157</v>
      </c>
      <c r="D6330">
        <v>87</v>
      </c>
    </row>
    <row r="6331" spans="1:4" hidden="1" x14ac:dyDescent="0.25">
      <c r="A6331" s="2" t="s">
        <v>46</v>
      </c>
      <c r="B6331">
        <v>87</v>
      </c>
      <c r="C6331" s="2" t="s">
        <v>158</v>
      </c>
      <c r="D6331">
        <v>87</v>
      </c>
    </row>
    <row r="6332" spans="1:4" hidden="1" x14ac:dyDescent="0.25">
      <c r="A6332" s="2" t="s">
        <v>46</v>
      </c>
      <c r="B6332">
        <v>87</v>
      </c>
      <c r="C6332" s="2" t="s">
        <v>159</v>
      </c>
      <c r="D6332">
        <v>87</v>
      </c>
    </row>
    <row r="6333" spans="1:4" hidden="1" x14ac:dyDescent="0.25">
      <c r="A6333" s="2" t="s">
        <v>46</v>
      </c>
      <c r="B6333">
        <v>87</v>
      </c>
      <c r="C6333" s="2" t="s">
        <v>160</v>
      </c>
      <c r="D6333">
        <v>87</v>
      </c>
    </row>
    <row r="6334" spans="1:4" hidden="1" x14ac:dyDescent="0.25">
      <c r="A6334" s="2" t="s">
        <v>46</v>
      </c>
      <c r="B6334">
        <v>87</v>
      </c>
      <c r="C6334" s="2" t="s">
        <v>161</v>
      </c>
      <c r="D6334">
        <v>87</v>
      </c>
    </row>
    <row r="6335" spans="1:4" hidden="1" x14ac:dyDescent="0.25">
      <c r="A6335" s="2" t="s">
        <v>46</v>
      </c>
      <c r="B6335">
        <v>87</v>
      </c>
      <c r="C6335" s="2" t="s">
        <v>162</v>
      </c>
      <c r="D6335">
        <v>87</v>
      </c>
    </row>
    <row r="6336" spans="1:4" hidden="1" x14ac:dyDescent="0.25">
      <c r="A6336" s="2" t="s">
        <v>46</v>
      </c>
      <c r="B6336">
        <v>87</v>
      </c>
      <c r="C6336" s="2" t="s">
        <v>163</v>
      </c>
      <c r="D6336">
        <v>87</v>
      </c>
    </row>
    <row r="6337" spans="1:4" hidden="1" x14ac:dyDescent="0.25">
      <c r="A6337" s="2" t="s">
        <v>46</v>
      </c>
      <c r="B6337">
        <v>87</v>
      </c>
      <c r="C6337" s="2" t="s">
        <v>164</v>
      </c>
      <c r="D6337">
        <v>87</v>
      </c>
    </row>
    <row r="6338" spans="1:4" hidden="1" x14ac:dyDescent="0.25">
      <c r="A6338" s="2" t="s">
        <v>46</v>
      </c>
      <c r="B6338">
        <v>87</v>
      </c>
      <c r="C6338" s="2" t="s">
        <v>165</v>
      </c>
      <c r="D6338">
        <v>87</v>
      </c>
    </row>
    <row r="6339" spans="1:4" hidden="1" x14ac:dyDescent="0.25">
      <c r="A6339" s="2" t="s">
        <v>46</v>
      </c>
      <c r="B6339">
        <v>87</v>
      </c>
      <c r="C6339" s="2" t="s">
        <v>166</v>
      </c>
      <c r="D6339">
        <v>87</v>
      </c>
    </row>
    <row r="6340" spans="1:4" hidden="1" x14ac:dyDescent="0.25">
      <c r="A6340" s="2" t="s">
        <v>46</v>
      </c>
      <c r="B6340">
        <v>87</v>
      </c>
      <c r="C6340" s="2" t="s">
        <v>167</v>
      </c>
      <c r="D6340">
        <v>87</v>
      </c>
    </row>
    <row r="6341" spans="1:4" hidden="1" x14ac:dyDescent="0.25">
      <c r="A6341" s="2" t="s">
        <v>46</v>
      </c>
      <c r="B6341">
        <v>87</v>
      </c>
      <c r="C6341" s="2" t="s">
        <v>168</v>
      </c>
      <c r="D6341">
        <v>87</v>
      </c>
    </row>
    <row r="6342" spans="1:4" hidden="1" x14ac:dyDescent="0.25">
      <c r="A6342" s="2" t="s">
        <v>46</v>
      </c>
      <c r="B6342">
        <v>87</v>
      </c>
      <c r="C6342" s="2" t="s">
        <v>169</v>
      </c>
      <c r="D6342">
        <v>87</v>
      </c>
    </row>
    <row r="6343" spans="1:4" hidden="1" x14ac:dyDescent="0.25">
      <c r="A6343" s="2" t="s">
        <v>46</v>
      </c>
      <c r="B6343">
        <v>87</v>
      </c>
      <c r="C6343" s="2" t="s">
        <v>170</v>
      </c>
      <c r="D6343">
        <v>87</v>
      </c>
    </row>
    <row r="6344" spans="1:4" hidden="1" x14ac:dyDescent="0.25">
      <c r="A6344" s="2" t="s">
        <v>46</v>
      </c>
      <c r="B6344">
        <v>87</v>
      </c>
      <c r="C6344" s="2" t="s">
        <v>171</v>
      </c>
      <c r="D6344">
        <v>87</v>
      </c>
    </row>
    <row r="6345" spans="1:4" hidden="1" x14ac:dyDescent="0.25">
      <c r="A6345" s="2" t="s">
        <v>46</v>
      </c>
      <c r="B6345">
        <v>87</v>
      </c>
      <c r="C6345" s="2" t="s">
        <v>172</v>
      </c>
      <c r="D6345">
        <v>87</v>
      </c>
    </row>
    <row r="6346" spans="1:4" hidden="1" x14ac:dyDescent="0.25">
      <c r="A6346" s="2" t="s">
        <v>46</v>
      </c>
      <c r="B6346">
        <v>87</v>
      </c>
      <c r="C6346" s="2" t="s">
        <v>173</v>
      </c>
      <c r="D6346">
        <v>87</v>
      </c>
    </row>
    <row r="6347" spans="1:4" hidden="1" x14ac:dyDescent="0.25">
      <c r="A6347" s="2" t="s">
        <v>46</v>
      </c>
      <c r="B6347">
        <v>87</v>
      </c>
      <c r="C6347" s="2" t="s">
        <v>174</v>
      </c>
      <c r="D6347">
        <v>87</v>
      </c>
    </row>
    <row r="6348" spans="1:4" hidden="1" x14ac:dyDescent="0.25">
      <c r="A6348" s="2" t="s">
        <v>46</v>
      </c>
      <c r="B6348">
        <v>87</v>
      </c>
      <c r="C6348" s="2" t="s">
        <v>175</v>
      </c>
      <c r="D6348">
        <v>87</v>
      </c>
    </row>
    <row r="6349" spans="1:4" hidden="1" x14ac:dyDescent="0.25">
      <c r="A6349" s="2" t="s">
        <v>46</v>
      </c>
      <c r="B6349">
        <v>87</v>
      </c>
      <c r="C6349" s="2" t="s">
        <v>176</v>
      </c>
      <c r="D6349">
        <v>87</v>
      </c>
    </row>
    <row r="6350" spans="1:4" hidden="1" x14ac:dyDescent="0.25">
      <c r="A6350" s="2" t="s">
        <v>46</v>
      </c>
      <c r="B6350">
        <v>87</v>
      </c>
      <c r="C6350" s="2" t="s">
        <v>177</v>
      </c>
      <c r="D6350">
        <v>87</v>
      </c>
    </row>
    <row r="6351" spans="1:4" hidden="1" x14ac:dyDescent="0.25">
      <c r="A6351" s="2" t="s">
        <v>46</v>
      </c>
      <c r="B6351">
        <v>87</v>
      </c>
      <c r="C6351" s="2" t="s">
        <v>178</v>
      </c>
      <c r="D6351">
        <v>87</v>
      </c>
    </row>
    <row r="6352" spans="1:4" hidden="1" x14ac:dyDescent="0.25">
      <c r="A6352" s="2" t="s">
        <v>46</v>
      </c>
      <c r="B6352">
        <v>87</v>
      </c>
      <c r="C6352" s="2" t="s">
        <v>179</v>
      </c>
      <c r="D6352">
        <v>87</v>
      </c>
    </row>
    <row r="6353" spans="1:4" hidden="1" x14ac:dyDescent="0.25">
      <c r="A6353" s="2" t="s">
        <v>97</v>
      </c>
      <c r="B6353">
        <v>87</v>
      </c>
      <c r="C6353" s="2" t="s">
        <v>183</v>
      </c>
      <c r="D6353">
        <v>78</v>
      </c>
    </row>
    <row r="6354" spans="1:4" hidden="1" x14ac:dyDescent="0.25">
      <c r="A6354" s="2" t="s">
        <v>97</v>
      </c>
      <c r="B6354">
        <v>87</v>
      </c>
      <c r="C6354" s="2" t="s">
        <v>184</v>
      </c>
      <c r="D6354">
        <v>77</v>
      </c>
    </row>
    <row r="6355" spans="1:4" hidden="1" x14ac:dyDescent="0.25">
      <c r="A6355" s="2" t="s">
        <v>97</v>
      </c>
      <c r="B6355">
        <v>87</v>
      </c>
      <c r="C6355" s="2" t="s">
        <v>185</v>
      </c>
      <c r="D6355">
        <v>82</v>
      </c>
    </row>
    <row r="6356" spans="1:4" hidden="1" x14ac:dyDescent="0.25">
      <c r="A6356" s="2" t="s">
        <v>97</v>
      </c>
      <c r="B6356">
        <v>87</v>
      </c>
      <c r="C6356" s="2" t="s">
        <v>186</v>
      </c>
      <c r="D6356">
        <v>54</v>
      </c>
    </row>
    <row r="6357" spans="1:4" hidden="1" x14ac:dyDescent="0.25">
      <c r="A6357" s="2" t="s">
        <v>97</v>
      </c>
      <c r="B6357">
        <v>87</v>
      </c>
      <c r="C6357" s="2" t="s">
        <v>187</v>
      </c>
      <c r="D6357">
        <v>55</v>
      </c>
    </row>
    <row r="6358" spans="1:4" hidden="1" x14ac:dyDescent="0.25">
      <c r="A6358" s="2" t="s">
        <v>97</v>
      </c>
      <c r="B6358">
        <v>87</v>
      </c>
      <c r="C6358" s="2" t="s">
        <v>188</v>
      </c>
      <c r="D6358">
        <v>53</v>
      </c>
    </row>
    <row r="6359" spans="1:4" hidden="1" x14ac:dyDescent="0.25">
      <c r="A6359" s="2" t="s">
        <v>97</v>
      </c>
      <c r="B6359">
        <v>87</v>
      </c>
      <c r="C6359" s="2" t="s">
        <v>189</v>
      </c>
      <c r="D6359">
        <v>37</v>
      </c>
    </row>
    <row r="6360" spans="1:4" hidden="1" x14ac:dyDescent="0.25">
      <c r="A6360" s="2" t="s">
        <v>97</v>
      </c>
      <c r="B6360">
        <v>87</v>
      </c>
      <c r="C6360" s="2" t="s">
        <v>190</v>
      </c>
      <c r="D6360">
        <v>39</v>
      </c>
    </row>
    <row r="6361" spans="1:4" hidden="1" x14ac:dyDescent="0.25">
      <c r="A6361" s="2" t="s">
        <v>97</v>
      </c>
      <c r="B6361">
        <v>87</v>
      </c>
      <c r="C6361" s="2" t="s">
        <v>191</v>
      </c>
      <c r="D6361">
        <v>52</v>
      </c>
    </row>
    <row r="6362" spans="1:4" hidden="1" x14ac:dyDescent="0.25">
      <c r="A6362" s="2" t="s">
        <v>97</v>
      </c>
      <c r="B6362">
        <v>87</v>
      </c>
      <c r="C6362" s="2" t="s">
        <v>116</v>
      </c>
      <c r="D6362">
        <v>56</v>
      </c>
    </row>
    <row r="6363" spans="1:4" hidden="1" x14ac:dyDescent="0.25">
      <c r="A6363" s="2" t="s">
        <v>97</v>
      </c>
      <c r="B6363">
        <v>87</v>
      </c>
      <c r="C6363" s="2" t="s">
        <v>117</v>
      </c>
      <c r="D6363">
        <v>61</v>
      </c>
    </row>
    <row r="6364" spans="1:4" hidden="1" x14ac:dyDescent="0.25">
      <c r="A6364" s="2" t="s">
        <v>97</v>
      </c>
      <c r="B6364">
        <v>87</v>
      </c>
      <c r="C6364" s="2" t="s">
        <v>118</v>
      </c>
      <c r="D6364">
        <v>69</v>
      </c>
    </row>
    <row r="6365" spans="1:4" hidden="1" x14ac:dyDescent="0.25">
      <c r="A6365" s="2" t="s">
        <v>97</v>
      </c>
      <c r="B6365">
        <v>87</v>
      </c>
      <c r="C6365" s="2" t="s">
        <v>119</v>
      </c>
      <c r="D6365">
        <v>43</v>
      </c>
    </row>
    <row r="6366" spans="1:4" hidden="1" x14ac:dyDescent="0.25">
      <c r="A6366" s="2" t="s">
        <v>97</v>
      </c>
      <c r="B6366">
        <v>87</v>
      </c>
      <c r="C6366" s="2" t="s">
        <v>120</v>
      </c>
      <c r="D6366">
        <v>52</v>
      </c>
    </row>
    <row r="6367" spans="1:4" hidden="1" x14ac:dyDescent="0.25">
      <c r="A6367" s="2" t="s">
        <v>97</v>
      </c>
      <c r="B6367">
        <v>87</v>
      </c>
      <c r="C6367" s="2" t="s">
        <v>121</v>
      </c>
      <c r="D6367">
        <v>51</v>
      </c>
    </row>
    <row r="6368" spans="1:4" hidden="1" x14ac:dyDescent="0.25">
      <c r="A6368" s="2" t="s">
        <v>97</v>
      </c>
      <c r="B6368">
        <v>87</v>
      </c>
      <c r="C6368" s="2" t="s">
        <v>122</v>
      </c>
      <c r="D6368">
        <v>65</v>
      </c>
    </row>
    <row r="6369" spans="1:4" hidden="1" x14ac:dyDescent="0.25">
      <c r="A6369" s="2" t="s">
        <v>97</v>
      </c>
      <c r="B6369">
        <v>87</v>
      </c>
      <c r="C6369" s="2" t="s">
        <v>123</v>
      </c>
      <c r="D6369">
        <v>72</v>
      </c>
    </row>
    <row r="6370" spans="1:4" hidden="1" x14ac:dyDescent="0.25">
      <c r="A6370" s="2" t="s">
        <v>97</v>
      </c>
      <c r="B6370">
        <v>87</v>
      </c>
      <c r="C6370" s="2" t="s">
        <v>124</v>
      </c>
      <c r="D6370">
        <v>73</v>
      </c>
    </row>
    <row r="6371" spans="1:4" hidden="1" x14ac:dyDescent="0.25">
      <c r="A6371" s="2" t="s">
        <v>97</v>
      </c>
      <c r="B6371">
        <v>87</v>
      </c>
      <c r="C6371" s="2" t="s">
        <v>125</v>
      </c>
      <c r="D6371">
        <v>71</v>
      </c>
    </row>
    <row r="6372" spans="1:4" hidden="1" x14ac:dyDescent="0.25">
      <c r="A6372" s="2" t="s">
        <v>97</v>
      </c>
      <c r="B6372">
        <v>87</v>
      </c>
      <c r="C6372" s="2" t="s">
        <v>126</v>
      </c>
      <c r="D6372">
        <v>70</v>
      </c>
    </row>
    <row r="6373" spans="1:4" hidden="1" x14ac:dyDescent="0.25">
      <c r="A6373" s="2" t="s">
        <v>97</v>
      </c>
      <c r="B6373">
        <v>87</v>
      </c>
      <c r="C6373" s="2" t="s">
        <v>127</v>
      </c>
      <c r="D6373">
        <v>75</v>
      </c>
    </row>
    <row r="6374" spans="1:4" hidden="1" x14ac:dyDescent="0.25">
      <c r="A6374" s="2" t="s">
        <v>97</v>
      </c>
      <c r="B6374">
        <v>87</v>
      </c>
      <c r="C6374" s="2" t="s">
        <v>128</v>
      </c>
      <c r="D6374">
        <v>76</v>
      </c>
    </row>
    <row r="6375" spans="1:4" hidden="1" x14ac:dyDescent="0.25">
      <c r="A6375" s="2" t="s">
        <v>97</v>
      </c>
      <c r="B6375">
        <v>87</v>
      </c>
      <c r="C6375" s="2" t="s">
        <v>129</v>
      </c>
      <c r="D6375">
        <v>75</v>
      </c>
    </row>
    <row r="6376" spans="1:4" hidden="1" x14ac:dyDescent="0.25">
      <c r="A6376" s="2" t="s">
        <v>97</v>
      </c>
      <c r="B6376">
        <v>87</v>
      </c>
      <c r="C6376" s="2" t="s">
        <v>130</v>
      </c>
      <c r="D6376">
        <v>83</v>
      </c>
    </row>
    <row r="6377" spans="1:4" hidden="1" x14ac:dyDescent="0.25">
      <c r="A6377" s="2" t="s">
        <v>97</v>
      </c>
      <c r="B6377">
        <v>87</v>
      </c>
      <c r="C6377" s="2" t="s">
        <v>131</v>
      </c>
      <c r="D6377">
        <v>84</v>
      </c>
    </row>
    <row r="6378" spans="1:4" hidden="1" x14ac:dyDescent="0.25">
      <c r="A6378" s="2" t="s">
        <v>97</v>
      </c>
      <c r="B6378">
        <v>87</v>
      </c>
      <c r="C6378" s="2" t="s">
        <v>132</v>
      </c>
      <c r="D6378">
        <v>91</v>
      </c>
    </row>
    <row r="6379" spans="1:4" hidden="1" x14ac:dyDescent="0.25">
      <c r="A6379" s="2" t="s">
        <v>97</v>
      </c>
      <c r="B6379">
        <v>87</v>
      </c>
      <c r="C6379" s="2" t="s">
        <v>133</v>
      </c>
      <c r="D6379">
        <v>91</v>
      </c>
    </row>
    <row r="6380" spans="1:4" hidden="1" x14ac:dyDescent="0.25">
      <c r="A6380" s="2" t="s">
        <v>97</v>
      </c>
      <c r="B6380">
        <v>87</v>
      </c>
      <c r="C6380" s="2" t="s">
        <v>134</v>
      </c>
      <c r="D6380">
        <v>88</v>
      </c>
    </row>
    <row r="6381" spans="1:4" hidden="1" x14ac:dyDescent="0.25">
      <c r="A6381" s="2" t="s">
        <v>97</v>
      </c>
      <c r="B6381">
        <v>87</v>
      </c>
      <c r="C6381" s="2" t="s">
        <v>135</v>
      </c>
      <c r="D6381">
        <v>87</v>
      </c>
    </row>
    <row r="6382" spans="1:4" hidden="1" x14ac:dyDescent="0.25">
      <c r="A6382" s="2" t="s">
        <v>97</v>
      </c>
      <c r="B6382">
        <v>87</v>
      </c>
      <c r="C6382" s="2" t="s">
        <v>136</v>
      </c>
      <c r="D6382">
        <v>87</v>
      </c>
    </row>
    <row r="6383" spans="1:4" hidden="1" x14ac:dyDescent="0.25">
      <c r="A6383" s="2" t="s">
        <v>97</v>
      </c>
      <c r="B6383">
        <v>87</v>
      </c>
      <c r="C6383" s="2" t="s">
        <v>137</v>
      </c>
      <c r="D6383">
        <v>87</v>
      </c>
    </row>
    <row r="6384" spans="1:4" hidden="1" x14ac:dyDescent="0.25">
      <c r="A6384" s="2" t="s">
        <v>97</v>
      </c>
      <c r="B6384">
        <v>87</v>
      </c>
      <c r="C6384" s="2" t="s">
        <v>138</v>
      </c>
      <c r="D6384">
        <v>87</v>
      </c>
    </row>
    <row r="6385" spans="1:4" hidden="1" x14ac:dyDescent="0.25">
      <c r="A6385" s="2" t="s">
        <v>97</v>
      </c>
      <c r="B6385">
        <v>87</v>
      </c>
      <c r="C6385" s="2" t="s">
        <v>139</v>
      </c>
      <c r="D6385">
        <v>87</v>
      </c>
    </row>
    <row r="6386" spans="1:4" hidden="1" x14ac:dyDescent="0.25">
      <c r="A6386" s="2" t="s">
        <v>97</v>
      </c>
      <c r="B6386">
        <v>87</v>
      </c>
      <c r="C6386" s="2" t="s">
        <v>140</v>
      </c>
      <c r="D6386">
        <v>87</v>
      </c>
    </row>
    <row r="6387" spans="1:4" hidden="1" x14ac:dyDescent="0.25">
      <c r="A6387" s="2" t="s">
        <v>97</v>
      </c>
      <c r="B6387">
        <v>87</v>
      </c>
      <c r="C6387" s="2" t="s">
        <v>141</v>
      </c>
      <c r="D6387">
        <v>87</v>
      </c>
    </row>
    <row r="6388" spans="1:4" hidden="1" x14ac:dyDescent="0.25">
      <c r="A6388" s="2" t="s">
        <v>97</v>
      </c>
      <c r="B6388">
        <v>87</v>
      </c>
      <c r="C6388" s="2" t="s">
        <v>142</v>
      </c>
      <c r="D6388">
        <v>87</v>
      </c>
    </row>
    <row r="6389" spans="1:4" hidden="1" x14ac:dyDescent="0.25">
      <c r="A6389" s="2" t="s">
        <v>97</v>
      </c>
      <c r="B6389">
        <v>87</v>
      </c>
      <c r="C6389" s="2" t="s">
        <v>143</v>
      </c>
      <c r="D6389">
        <v>87</v>
      </c>
    </row>
    <row r="6390" spans="1:4" hidden="1" x14ac:dyDescent="0.25">
      <c r="A6390" s="2" t="s">
        <v>97</v>
      </c>
      <c r="B6390">
        <v>87</v>
      </c>
      <c r="C6390" s="2" t="s">
        <v>144</v>
      </c>
      <c r="D6390">
        <v>87</v>
      </c>
    </row>
    <row r="6391" spans="1:4" hidden="1" x14ac:dyDescent="0.25">
      <c r="A6391" s="2" t="s">
        <v>97</v>
      </c>
      <c r="B6391">
        <v>87</v>
      </c>
      <c r="C6391" s="2" t="s">
        <v>145</v>
      </c>
      <c r="D6391">
        <v>87</v>
      </c>
    </row>
    <row r="6392" spans="1:4" hidden="1" x14ac:dyDescent="0.25">
      <c r="A6392" s="2" t="s">
        <v>97</v>
      </c>
      <c r="B6392">
        <v>87</v>
      </c>
      <c r="C6392" s="2" t="s">
        <v>146</v>
      </c>
      <c r="D6392">
        <v>87</v>
      </c>
    </row>
    <row r="6393" spans="1:4" hidden="1" x14ac:dyDescent="0.25">
      <c r="A6393" s="2" t="s">
        <v>97</v>
      </c>
      <c r="B6393">
        <v>87</v>
      </c>
      <c r="C6393" s="2" t="s">
        <v>147</v>
      </c>
      <c r="D6393">
        <v>87</v>
      </c>
    </row>
    <row r="6394" spans="1:4" hidden="1" x14ac:dyDescent="0.25">
      <c r="A6394" s="2" t="s">
        <v>97</v>
      </c>
      <c r="B6394">
        <v>87</v>
      </c>
      <c r="C6394" s="2" t="s">
        <v>148</v>
      </c>
      <c r="D6394">
        <v>87</v>
      </c>
    </row>
    <row r="6395" spans="1:4" hidden="1" x14ac:dyDescent="0.25">
      <c r="A6395" s="2" t="s">
        <v>97</v>
      </c>
      <c r="B6395">
        <v>87</v>
      </c>
      <c r="C6395" s="2" t="s">
        <v>149</v>
      </c>
      <c r="D6395">
        <v>87</v>
      </c>
    </row>
    <row r="6396" spans="1:4" hidden="1" x14ac:dyDescent="0.25">
      <c r="A6396" s="2" t="s">
        <v>97</v>
      </c>
      <c r="B6396">
        <v>87</v>
      </c>
      <c r="C6396" s="2" t="s">
        <v>150</v>
      </c>
      <c r="D6396">
        <v>87</v>
      </c>
    </row>
    <row r="6397" spans="1:4" hidden="1" x14ac:dyDescent="0.25">
      <c r="A6397" s="2" t="s">
        <v>97</v>
      </c>
      <c r="B6397">
        <v>87</v>
      </c>
      <c r="C6397" s="2" t="s">
        <v>151</v>
      </c>
      <c r="D6397">
        <v>87</v>
      </c>
    </row>
    <row r="6398" spans="1:4" hidden="1" x14ac:dyDescent="0.25">
      <c r="A6398" s="2" t="s">
        <v>97</v>
      </c>
      <c r="B6398">
        <v>87</v>
      </c>
      <c r="C6398" s="2" t="s">
        <v>152</v>
      </c>
      <c r="D6398">
        <v>87</v>
      </c>
    </row>
    <row r="6399" spans="1:4" hidden="1" x14ac:dyDescent="0.25">
      <c r="A6399" s="2" t="s">
        <v>97</v>
      </c>
      <c r="B6399">
        <v>87</v>
      </c>
      <c r="C6399" s="2" t="s">
        <v>153</v>
      </c>
      <c r="D6399">
        <v>87</v>
      </c>
    </row>
    <row r="6400" spans="1:4" hidden="1" x14ac:dyDescent="0.25">
      <c r="A6400" s="2" t="s">
        <v>97</v>
      </c>
      <c r="B6400">
        <v>87</v>
      </c>
      <c r="C6400" s="2" t="s">
        <v>154</v>
      </c>
      <c r="D6400">
        <v>87</v>
      </c>
    </row>
    <row r="6401" spans="1:4" hidden="1" x14ac:dyDescent="0.25">
      <c r="A6401" s="2" t="s">
        <v>97</v>
      </c>
      <c r="B6401">
        <v>87</v>
      </c>
      <c r="C6401" s="2" t="s">
        <v>155</v>
      </c>
      <c r="D6401">
        <v>87</v>
      </c>
    </row>
    <row r="6402" spans="1:4" hidden="1" x14ac:dyDescent="0.25">
      <c r="A6402" s="2" t="s">
        <v>97</v>
      </c>
      <c r="B6402">
        <v>87</v>
      </c>
      <c r="C6402" s="2" t="s">
        <v>156</v>
      </c>
      <c r="D6402">
        <v>87</v>
      </c>
    </row>
    <row r="6403" spans="1:4" hidden="1" x14ac:dyDescent="0.25">
      <c r="A6403" s="2" t="s">
        <v>97</v>
      </c>
      <c r="B6403">
        <v>87</v>
      </c>
      <c r="C6403" s="2" t="s">
        <v>157</v>
      </c>
      <c r="D6403">
        <v>87</v>
      </c>
    </row>
    <row r="6404" spans="1:4" hidden="1" x14ac:dyDescent="0.25">
      <c r="A6404" s="2" t="s">
        <v>97</v>
      </c>
      <c r="B6404">
        <v>87</v>
      </c>
      <c r="C6404" s="2" t="s">
        <v>158</v>
      </c>
      <c r="D6404">
        <v>87</v>
      </c>
    </row>
    <row r="6405" spans="1:4" hidden="1" x14ac:dyDescent="0.25">
      <c r="A6405" s="2" t="s">
        <v>97</v>
      </c>
      <c r="B6405">
        <v>87</v>
      </c>
      <c r="C6405" s="2" t="s">
        <v>159</v>
      </c>
      <c r="D6405">
        <v>87</v>
      </c>
    </row>
    <row r="6406" spans="1:4" hidden="1" x14ac:dyDescent="0.25">
      <c r="A6406" s="2" t="s">
        <v>97</v>
      </c>
      <c r="B6406">
        <v>87</v>
      </c>
      <c r="C6406" s="2" t="s">
        <v>160</v>
      </c>
      <c r="D6406">
        <v>87</v>
      </c>
    </row>
    <row r="6407" spans="1:4" hidden="1" x14ac:dyDescent="0.25">
      <c r="A6407" s="2" t="s">
        <v>97</v>
      </c>
      <c r="B6407">
        <v>87</v>
      </c>
      <c r="C6407" s="2" t="s">
        <v>161</v>
      </c>
      <c r="D6407">
        <v>87</v>
      </c>
    </row>
    <row r="6408" spans="1:4" hidden="1" x14ac:dyDescent="0.25">
      <c r="A6408" s="2" t="s">
        <v>97</v>
      </c>
      <c r="B6408">
        <v>87</v>
      </c>
      <c r="C6408" s="2" t="s">
        <v>162</v>
      </c>
      <c r="D6408">
        <v>87</v>
      </c>
    </row>
    <row r="6409" spans="1:4" hidden="1" x14ac:dyDescent="0.25">
      <c r="A6409" s="2" t="s">
        <v>97</v>
      </c>
      <c r="B6409">
        <v>87</v>
      </c>
      <c r="C6409" s="2" t="s">
        <v>163</v>
      </c>
      <c r="D6409">
        <v>87</v>
      </c>
    </row>
    <row r="6410" spans="1:4" hidden="1" x14ac:dyDescent="0.25">
      <c r="A6410" s="2" t="s">
        <v>97</v>
      </c>
      <c r="B6410">
        <v>87</v>
      </c>
      <c r="C6410" s="2" t="s">
        <v>164</v>
      </c>
      <c r="D6410">
        <v>87</v>
      </c>
    </row>
    <row r="6411" spans="1:4" hidden="1" x14ac:dyDescent="0.25">
      <c r="A6411" s="2" t="s">
        <v>97</v>
      </c>
      <c r="B6411">
        <v>87</v>
      </c>
      <c r="C6411" s="2" t="s">
        <v>165</v>
      </c>
      <c r="D6411">
        <v>87</v>
      </c>
    </row>
    <row r="6412" spans="1:4" hidden="1" x14ac:dyDescent="0.25">
      <c r="A6412" s="2" t="s">
        <v>97</v>
      </c>
      <c r="B6412">
        <v>87</v>
      </c>
      <c r="C6412" s="2" t="s">
        <v>166</v>
      </c>
      <c r="D6412">
        <v>87</v>
      </c>
    </row>
    <row r="6413" spans="1:4" hidden="1" x14ac:dyDescent="0.25">
      <c r="A6413" s="2" t="s">
        <v>97</v>
      </c>
      <c r="B6413">
        <v>87</v>
      </c>
      <c r="C6413" s="2" t="s">
        <v>167</v>
      </c>
      <c r="D6413">
        <v>87</v>
      </c>
    </row>
    <row r="6414" spans="1:4" hidden="1" x14ac:dyDescent="0.25">
      <c r="A6414" s="2" t="s">
        <v>97</v>
      </c>
      <c r="B6414">
        <v>87</v>
      </c>
      <c r="C6414" s="2" t="s">
        <v>168</v>
      </c>
      <c r="D6414">
        <v>87</v>
      </c>
    </row>
    <row r="6415" spans="1:4" hidden="1" x14ac:dyDescent="0.25">
      <c r="A6415" s="2" t="s">
        <v>97</v>
      </c>
      <c r="B6415">
        <v>87</v>
      </c>
      <c r="C6415" s="2" t="s">
        <v>169</v>
      </c>
      <c r="D6415">
        <v>87</v>
      </c>
    </row>
    <row r="6416" spans="1:4" hidden="1" x14ac:dyDescent="0.25">
      <c r="A6416" s="2" t="s">
        <v>97</v>
      </c>
      <c r="B6416">
        <v>87</v>
      </c>
      <c r="C6416" s="2" t="s">
        <v>170</v>
      </c>
      <c r="D6416">
        <v>87</v>
      </c>
    </row>
    <row r="6417" spans="1:4" hidden="1" x14ac:dyDescent="0.25">
      <c r="A6417" s="2" t="s">
        <v>97</v>
      </c>
      <c r="B6417">
        <v>87</v>
      </c>
      <c r="C6417" s="2" t="s">
        <v>171</v>
      </c>
      <c r="D6417">
        <v>87</v>
      </c>
    </row>
    <row r="6418" spans="1:4" hidden="1" x14ac:dyDescent="0.25">
      <c r="A6418" s="2" t="s">
        <v>97</v>
      </c>
      <c r="B6418">
        <v>87</v>
      </c>
      <c r="C6418" s="2" t="s">
        <v>172</v>
      </c>
      <c r="D6418">
        <v>87</v>
      </c>
    </row>
    <row r="6419" spans="1:4" hidden="1" x14ac:dyDescent="0.25">
      <c r="A6419" s="2" t="s">
        <v>97</v>
      </c>
      <c r="B6419">
        <v>87</v>
      </c>
      <c r="C6419" s="2" t="s">
        <v>173</v>
      </c>
      <c r="D6419">
        <v>87</v>
      </c>
    </row>
    <row r="6420" spans="1:4" hidden="1" x14ac:dyDescent="0.25">
      <c r="A6420" s="2" t="s">
        <v>97</v>
      </c>
      <c r="B6420">
        <v>87</v>
      </c>
      <c r="C6420" s="2" t="s">
        <v>174</v>
      </c>
      <c r="D6420">
        <v>87</v>
      </c>
    </row>
    <row r="6421" spans="1:4" hidden="1" x14ac:dyDescent="0.25">
      <c r="A6421" s="2" t="s">
        <v>97</v>
      </c>
      <c r="B6421">
        <v>87</v>
      </c>
      <c r="C6421" s="2" t="s">
        <v>175</v>
      </c>
      <c r="D6421">
        <v>87</v>
      </c>
    </row>
    <row r="6422" spans="1:4" hidden="1" x14ac:dyDescent="0.25">
      <c r="A6422" s="2" t="s">
        <v>97</v>
      </c>
      <c r="B6422">
        <v>87</v>
      </c>
      <c r="C6422" s="2" t="s">
        <v>176</v>
      </c>
      <c r="D6422">
        <v>87</v>
      </c>
    </row>
    <row r="6423" spans="1:4" hidden="1" x14ac:dyDescent="0.25">
      <c r="A6423" s="2" t="s">
        <v>97</v>
      </c>
      <c r="B6423">
        <v>87</v>
      </c>
      <c r="C6423" s="2" t="s">
        <v>177</v>
      </c>
      <c r="D6423">
        <v>87</v>
      </c>
    </row>
    <row r="6424" spans="1:4" hidden="1" x14ac:dyDescent="0.25">
      <c r="A6424" s="2" t="s">
        <v>97</v>
      </c>
      <c r="B6424">
        <v>87</v>
      </c>
      <c r="C6424" s="2" t="s">
        <v>178</v>
      </c>
      <c r="D6424">
        <v>87</v>
      </c>
    </row>
    <row r="6425" spans="1:4" hidden="1" x14ac:dyDescent="0.25">
      <c r="A6425" s="2" t="s">
        <v>97</v>
      </c>
      <c r="B6425">
        <v>87</v>
      </c>
      <c r="C6425" s="2" t="s">
        <v>179</v>
      </c>
      <c r="D6425">
        <v>87</v>
      </c>
    </row>
    <row r="6426" spans="1:4" hidden="1" x14ac:dyDescent="0.25">
      <c r="A6426" s="2" t="s">
        <v>80</v>
      </c>
      <c r="B6426">
        <v>89</v>
      </c>
      <c r="C6426" s="2" t="s">
        <v>183</v>
      </c>
      <c r="D6426">
        <v>13</v>
      </c>
    </row>
    <row r="6427" spans="1:4" hidden="1" x14ac:dyDescent="0.25">
      <c r="A6427" s="2" t="s">
        <v>80</v>
      </c>
      <c r="B6427">
        <v>89</v>
      </c>
      <c r="C6427" s="2" t="s">
        <v>184</v>
      </c>
      <c r="D6427">
        <v>13</v>
      </c>
    </row>
    <row r="6428" spans="1:4" hidden="1" x14ac:dyDescent="0.25">
      <c r="A6428" s="2" t="s">
        <v>80</v>
      </c>
      <c r="B6428">
        <v>89</v>
      </c>
      <c r="C6428" s="2" t="s">
        <v>185</v>
      </c>
      <c r="D6428">
        <v>24</v>
      </c>
    </row>
    <row r="6429" spans="1:4" hidden="1" x14ac:dyDescent="0.25">
      <c r="A6429" s="2" t="s">
        <v>80</v>
      </c>
      <c r="B6429">
        <v>89</v>
      </c>
      <c r="C6429" s="2" t="s">
        <v>186</v>
      </c>
      <c r="D6429">
        <v>71</v>
      </c>
    </row>
    <row r="6430" spans="1:4" hidden="1" x14ac:dyDescent="0.25">
      <c r="A6430" s="2" t="s">
        <v>80</v>
      </c>
      <c r="B6430">
        <v>89</v>
      </c>
      <c r="C6430" s="2" t="s">
        <v>187</v>
      </c>
      <c r="D6430">
        <v>71</v>
      </c>
    </row>
    <row r="6431" spans="1:4" hidden="1" x14ac:dyDescent="0.25">
      <c r="A6431" s="2" t="s">
        <v>80</v>
      </c>
      <c r="B6431">
        <v>89</v>
      </c>
      <c r="C6431" s="2" t="s">
        <v>188</v>
      </c>
      <c r="D6431">
        <v>77</v>
      </c>
    </row>
    <row r="6432" spans="1:4" hidden="1" x14ac:dyDescent="0.25">
      <c r="A6432" s="2" t="s">
        <v>80</v>
      </c>
      <c r="B6432">
        <v>89</v>
      </c>
      <c r="C6432" s="2" t="s">
        <v>189</v>
      </c>
      <c r="D6432">
        <v>67</v>
      </c>
    </row>
    <row r="6433" spans="1:4" hidden="1" x14ac:dyDescent="0.25">
      <c r="A6433" s="2" t="s">
        <v>80</v>
      </c>
      <c r="B6433">
        <v>89</v>
      </c>
      <c r="C6433" s="2" t="s">
        <v>190</v>
      </c>
      <c r="D6433">
        <v>61</v>
      </c>
    </row>
    <row r="6434" spans="1:4" hidden="1" x14ac:dyDescent="0.25">
      <c r="A6434" s="2" t="s">
        <v>80</v>
      </c>
      <c r="B6434">
        <v>89</v>
      </c>
      <c r="C6434" s="2" t="s">
        <v>191</v>
      </c>
      <c r="D6434">
        <v>72</v>
      </c>
    </row>
    <row r="6435" spans="1:4" hidden="1" x14ac:dyDescent="0.25">
      <c r="A6435" s="2" t="s">
        <v>80</v>
      </c>
      <c r="B6435">
        <v>89</v>
      </c>
      <c r="C6435" s="2" t="s">
        <v>116</v>
      </c>
      <c r="D6435">
        <v>62</v>
      </c>
    </row>
    <row r="6436" spans="1:4" hidden="1" x14ac:dyDescent="0.25">
      <c r="A6436" s="2" t="s">
        <v>80</v>
      </c>
      <c r="B6436">
        <v>89</v>
      </c>
      <c r="C6436" s="2" t="s">
        <v>117</v>
      </c>
      <c r="D6436">
        <v>57</v>
      </c>
    </row>
    <row r="6437" spans="1:4" hidden="1" x14ac:dyDescent="0.25">
      <c r="A6437" s="2" t="s">
        <v>80</v>
      </c>
      <c r="B6437">
        <v>89</v>
      </c>
      <c r="C6437" s="2" t="s">
        <v>118</v>
      </c>
      <c r="D6437">
        <v>62</v>
      </c>
    </row>
    <row r="6438" spans="1:4" hidden="1" x14ac:dyDescent="0.25">
      <c r="A6438" s="2" t="s">
        <v>80</v>
      </c>
      <c r="B6438">
        <v>89</v>
      </c>
      <c r="C6438" s="2" t="s">
        <v>119</v>
      </c>
      <c r="D6438">
        <v>68</v>
      </c>
    </row>
    <row r="6439" spans="1:4" hidden="1" x14ac:dyDescent="0.25">
      <c r="A6439" s="2" t="s">
        <v>80</v>
      </c>
      <c r="B6439">
        <v>89</v>
      </c>
      <c r="C6439" s="2" t="s">
        <v>120</v>
      </c>
      <c r="D6439">
        <v>74</v>
      </c>
    </row>
    <row r="6440" spans="1:4" hidden="1" x14ac:dyDescent="0.25">
      <c r="A6440" s="2" t="s">
        <v>80</v>
      </c>
      <c r="B6440">
        <v>89</v>
      </c>
      <c r="C6440" s="2" t="s">
        <v>121</v>
      </c>
      <c r="D6440">
        <v>66</v>
      </c>
    </row>
    <row r="6441" spans="1:4" hidden="1" x14ac:dyDescent="0.25">
      <c r="A6441" s="2" t="s">
        <v>80</v>
      </c>
      <c r="B6441">
        <v>89</v>
      </c>
      <c r="C6441" s="2" t="s">
        <v>122</v>
      </c>
      <c r="D6441">
        <v>69</v>
      </c>
    </row>
    <row r="6442" spans="1:4" hidden="1" x14ac:dyDescent="0.25">
      <c r="A6442" s="2" t="s">
        <v>80</v>
      </c>
      <c r="B6442">
        <v>89</v>
      </c>
      <c r="C6442" s="2" t="s">
        <v>123</v>
      </c>
      <c r="D6442">
        <v>75</v>
      </c>
    </row>
    <row r="6443" spans="1:4" hidden="1" x14ac:dyDescent="0.25">
      <c r="A6443" s="2" t="s">
        <v>80</v>
      </c>
      <c r="B6443">
        <v>89</v>
      </c>
      <c r="C6443" s="2" t="s">
        <v>124</v>
      </c>
      <c r="D6443">
        <v>76</v>
      </c>
    </row>
    <row r="6444" spans="1:4" hidden="1" x14ac:dyDescent="0.25">
      <c r="A6444" s="2" t="s">
        <v>80</v>
      </c>
      <c r="B6444">
        <v>89</v>
      </c>
      <c r="C6444" s="2" t="s">
        <v>125</v>
      </c>
      <c r="D6444">
        <v>71</v>
      </c>
    </row>
    <row r="6445" spans="1:4" hidden="1" x14ac:dyDescent="0.25">
      <c r="A6445" s="2" t="s">
        <v>80</v>
      </c>
      <c r="B6445">
        <v>89</v>
      </c>
      <c r="C6445" s="2" t="s">
        <v>126</v>
      </c>
      <c r="D6445">
        <v>75</v>
      </c>
    </row>
    <row r="6446" spans="1:4" hidden="1" x14ac:dyDescent="0.25">
      <c r="A6446" s="2" t="s">
        <v>80</v>
      </c>
      <c r="B6446">
        <v>89</v>
      </c>
      <c r="C6446" s="2" t="s">
        <v>127</v>
      </c>
      <c r="D6446">
        <v>78</v>
      </c>
    </row>
    <row r="6447" spans="1:4" hidden="1" x14ac:dyDescent="0.25">
      <c r="A6447" s="2" t="s">
        <v>80</v>
      </c>
      <c r="B6447">
        <v>89</v>
      </c>
      <c r="C6447" s="2" t="s">
        <v>128</v>
      </c>
      <c r="D6447">
        <v>87</v>
      </c>
    </row>
    <row r="6448" spans="1:4" hidden="1" x14ac:dyDescent="0.25">
      <c r="A6448" s="2" t="s">
        <v>80</v>
      </c>
      <c r="B6448">
        <v>89</v>
      </c>
      <c r="C6448" s="2" t="s">
        <v>129</v>
      </c>
      <c r="D6448">
        <v>89</v>
      </c>
    </row>
    <row r="6449" spans="1:4" hidden="1" x14ac:dyDescent="0.25">
      <c r="A6449" s="2" t="s">
        <v>80</v>
      </c>
      <c r="B6449">
        <v>89</v>
      </c>
      <c r="C6449" s="2" t="s">
        <v>130</v>
      </c>
      <c r="D6449">
        <v>88</v>
      </c>
    </row>
    <row r="6450" spans="1:4" hidden="1" x14ac:dyDescent="0.25">
      <c r="A6450" s="2" t="s">
        <v>80</v>
      </c>
      <c r="B6450">
        <v>89</v>
      </c>
      <c r="C6450" s="2" t="s">
        <v>131</v>
      </c>
      <c r="D6450">
        <v>90</v>
      </c>
    </row>
    <row r="6451" spans="1:4" hidden="1" x14ac:dyDescent="0.25">
      <c r="A6451" s="2" t="s">
        <v>80</v>
      </c>
      <c r="B6451">
        <v>89</v>
      </c>
      <c r="C6451" s="2" t="s">
        <v>132</v>
      </c>
      <c r="D6451">
        <v>91</v>
      </c>
    </row>
    <row r="6452" spans="1:4" hidden="1" x14ac:dyDescent="0.25">
      <c r="A6452" s="2" t="s">
        <v>80</v>
      </c>
      <c r="B6452">
        <v>89</v>
      </c>
      <c r="C6452" s="2" t="s">
        <v>133</v>
      </c>
      <c r="D6452">
        <v>91</v>
      </c>
    </row>
    <row r="6453" spans="1:4" hidden="1" x14ac:dyDescent="0.25">
      <c r="A6453" s="2" t="s">
        <v>80</v>
      </c>
      <c r="B6453">
        <v>89</v>
      </c>
      <c r="C6453" s="2" t="s">
        <v>134</v>
      </c>
      <c r="D6453">
        <v>78</v>
      </c>
    </row>
    <row r="6454" spans="1:4" hidden="1" x14ac:dyDescent="0.25">
      <c r="A6454" s="2" t="s">
        <v>80</v>
      </c>
      <c r="B6454">
        <v>89</v>
      </c>
      <c r="C6454" s="2" t="s">
        <v>135</v>
      </c>
      <c r="D6454">
        <v>89</v>
      </c>
    </row>
    <row r="6455" spans="1:4" hidden="1" x14ac:dyDescent="0.25">
      <c r="A6455" s="2" t="s">
        <v>80</v>
      </c>
      <c r="B6455">
        <v>89</v>
      </c>
      <c r="C6455" s="2" t="s">
        <v>136</v>
      </c>
      <c r="D6455">
        <v>89</v>
      </c>
    </row>
    <row r="6456" spans="1:4" hidden="1" x14ac:dyDescent="0.25">
      <c r="A6456" s="2" t="s">
        <v>80</v>
      </c>
      <c r="B6456">
        <v>89</v>
      </c>
      <c r="C6456" s="2" t="s">
        <v>137</v>
      </c>
      <c r="D6456">
        <v>89</v>
      </c>
    </row>
    <row r="6457" spans="1:4" hidden="1" x14ac:dyDescent="0.25">
      <c r="A6457" s="2" t="s">
        <v>80</v>
      </c>
      <c r="B6457">
        <v>89</v>
      </c>
      <c r="C6457" s="2" t="s">
        <v>138</v>
      </c>
      <c r="D6457">
        <v>89</v>
      </c>
    </row>
    <row r="6458" spans="1:4" hidden="1" x14ac:dyDescent="0.25">
      <c r="A6458" s="2" t="s">
        <v>80</v>
      </c>
      <c r="B6458">
        <v>89</v>
      </c>
      <c r="C6458" s="2" t="s">
        <v>139</v>
      </c>
      <c r="D6458">
        <v>89</v>
      </c>
    </row>
    <row r="6459" spans="1:4" hidden="1" x14ac:dyDescent="0.25">
      <c r="A6459" s="2" t="s">
        <v>80</v>
      </c>
      <c r="B6459">
        <v>89</v>
      </c>
      <c r="C6459" s="2" t="s">
        <v>140</v>
      </c>
      <c r="D6459">
        <v>89</v>
      </c>
    </row>
    <row r="6460" spans="1:4" hidden="1" x14ac:dyDescent="0.25">
      <c r="A6460" s="2" t="s">
        <v>80</v>
      </c>
      <c r="B6460">
        <v>89</v>
      </c>
      <c r="C6460" s="2" t="s">
        <v>141</v>
      </c>
      <c r="D6460">
        <v>89</v>
      </c>
    </row>
    <row r="6461" spans="1:4" hidden="1" x14ac:dyDescent="0.25">
      <c r="A6461" s="2" t="s">
        <v>80</v>
      </c>
      <c r="B6461">
        <v>89</v>
      </c>
      <c r="C6461" s="2" t="s">
        <v>142</v>
      </c>
      <c r="D6461">
        <v>89</v>
      </c>
    </row>
    <row r="6462" spans="1:4" hidden="1" x14ac:dyDescent="0.25">
      <c r="A6462" s="2" t="s">
        <v>80</v>
      </c>
      <c r="B6462">
        <v>89</v>
      </c>
      <c r="C6462" s="2" t="s">
        <v>143</v>
      </c>
      <c r="D6462">
        <v>89</v>
      </c>
    </row>
    <row r="6463" spans="1:4" hidden="1" x14ac:dyDescent="0.25">
      <c r="A6463" s="2" t="s">
        <v>80</v>
      </c>
      <c r="B6463">
        <v>89</v>
      </c>
      <c r="C6463" s="2" t="s">
        <v>144</v>
      </c>
      <c r="D6463">
        <v>89</v>
      </c>
    </row>
    <row r="6464" spans="1:4" hidden="1" x14ac:dyDescent="0.25">
      <c r="A6464" s="2" t="s">
        <v>80</v>
      </c>
      <c r="B6464">
        <v>89</v>
      </c>
      <c r="C6464" s="2" t="s">
        <v>145</v>
      </c>
      <c r="D6464">
        <v>89</v>
      </c>
    </row>
    <row r="6465" spans="1:4" hidden="1" x14ac:dyDescent="0.25">
      <c r="A6465" s="2" t="s">
        <v>80</v>
      </c>
      <c r="B6465">
        <v>89</v>
      </c>
      <c r="C6465" s="2" t="s">
        <v>146</v>
      </c>
      <c r="D6465">
        <v>89</v>
      </c>
    </row>
    <row r="6466" spans="1:4" hidden="1" x14ac:dyDescent="0.25">
      <c r="A6466" s="2" t="s">
        <v>80</v>
      </c>
      <c r="B6466">
        <v>89</v>
      </c>
      <c r="C6466" s="2" t="s">
        <v>147</v>
      </c>
      <c r="D6466">
        <v>89</v>
      </c>
    </row>
    <row r="6467" spans="1:4" hidden="1" x14ac:dyDescent="0.25">
      <c r="A6467" s="2" t="s">
        <v>80</v>
      </c>
      <c r="B6467">
        <v>89</v>
      </c>
      <c r="C6467" s="2" t="s">
        <v>148</v>
      </c>
      <c r="D6467">
        <v>89</v>
      </c>
    </row>
    <row r="6468" spans="1:4" hidden="1" x14ac:dyDescent="0.25">
      <c r="A6468" s="2" t="s">
        <v>80</v>
      </c>
      <c r="B6468">
        <v>89</v>
      </c>
      <c r="C6468" s="2" t="s">
        <v>149</v>
      </c>
      <c r="D6468">
        <v>89</v>
      </c>
    </row>
    <row r="6469" spans="1:4" hidden="1" x14ac:dyDescent="0.25">
      <c r="A6469" s="2" t="s">
        <v>80</v>
      </c>
      <c r="B6469">
        <v>89</v>
      </c>
      <c r="C6469" s="2" t="s">
        <v>150</v>
      </c>
      <c r="D6469">
        <v>89</v>
      </c>
    </row>
    <row r="6470" spans="1:4" hidden="1" x14ac:dyDescent="0.25">
      <c r="A6470" s="2" t="s">
        <v>80</v>
      </c>
      <c r="B6470">
        <v>89</v>
      </c>
      <c r="C6470" s="2" t="s">
        <v>151</v>
      </c>
      <c r="D6470">
        <v>89</v>
      </c>
    </row>
    <row r="6471" spans="1:4" hidden="1" x14ac:dyDescent="0.25">
      <c r="A6471" s="2" t="s">
        <v>80</v>
      </c>
      <c r="B6471">
        <v>89</v>
      </c>
      <c r="C6471" s="2" t="s">
        <v>152</v>
      </c>
      <c r="D6471">
        <v>89</v>
      </c>
    </row>
    <row r="6472" spans="1:4" hidden="1" x14ac:dyDescent="0.25">
      <c r="A6472" s="2" t="s">
        <v>80</v>
      </c>
      <c r="B6472">
        <v>89</v>
      </c>
      <c r="C6472" s="2" t="s">
        <v>153</v>
      </c>
      <c r="D6472">
        <v>89</v>
      </c>
    </row>
    <row r="6473" spans="1:4" hidden="1" x14ac:dyDescent="0.25">
      <c r="A6473" s="2" t="s">
        <v>80</v>
      </c>
      <c r="B6473">
        <v>89</v>
      </c>
      <c r="C6473" s="2" t="s">
        <v>154</v>
      </c>
      <c r="D6473">
        <v>89</v>
      </c>
    </row>
    <row r="6474" spans="1:4" hidden="1" x14ac:dyDescent="0.25">
      <c r="A6474" s="2" t="s">
        <v>80</v>
      </c>
      <c r="B6474">
        <v>89</v>
      </c>
      <c r="C6474" s="2" t="s">
        <v>155</v>
      </c>
      <c r="D6474">
        <v>89</v>
      </c>
    </row>
    <row r="6475" spans="1:4" hidden="1" x14ac:dyDescent="0.25">
      <c r="A6475" s="2" t="s">
        <v>80</v>
      </c>
      <c r="B6475">
        <v>89</v>
      </c>
      <c r="C6475" s="2" t="s">
        <v>156</v>
      </c>
      <c r="D6475">
        <v>89</v>
      </c>
    </row>
    <row r="6476" spans="1:4" hidden="1" x14ac:dyDescent="0.25">
      <c r="A6476" s="2" t="s">
        <v>80</v>
      </c>
      <c r="B6476">
        <v>89</v>
      </c>
      <c r="C6476" s="2" t="s">
        <v>157</v>
      </c>
      <c r="D6476">
        <v>89</v>
      </c>
    </row>
    <row r="6477" spans="1:4" hidden="1" x14ac:dyDescent="0.25">
      <c r="A6477" s="2" t="s">
        <v>80</v>
      </c>
      <c r="B6477">
        <v>89</v>
      </c>
      <c r="C6477" s="2" t="s">
        <v>158</v>
      </c>
      <c r="D6477">
        <v>89</v>
      </c>
    </row>
    <row r="6478" spans="1:4" hidden="1" x14ac:dyDescent="0.25">
      <c r="A6478" s="2" t="s">
        <v>80</v>
      </c>
      <c r="B6478">
        <v>89</v>
      </c>
      <c r="C6478" s="2" t="s">
        <v>159</v>
      </c>
      <c r="D6478">
        <v>89</v>
      </c>
    </row>
    <row r="6479" spans="1:4" hidden="1" x14ac:dyDescent="0.25">
      <c r="A6479" s="2" t="s">
        <v>80</v>
      </c>
      <c r="B6479">
        <v>89</v>
      </c>
      <c r="C6479" s="2" t="s">
        <v>160</v>
      </c>
      <c r="D6479">
        <v>89</v>
      </c>
    </row>
    <row r="6480" spans="1:4" hidden="1" x14ac:dyDescent="0.25">
      <c r="A6480" s="2" t="s">
        <v>80</v>
      </c>
      <c r="B6480">
        <v>89</v>
      </c>
      <c r="C6480" s="2" t="s">
        <v>161</v>
      </c>
      <c r="D6480">
        <v>89</v>
      </c>
    </row>
    <row r="6481" spans="1:4" hidden="1" x14ac:dyDescent="0.25">
      <c r="A6481" s="2" t="s">
        <v>80</v>
      </c>
      <c r="B6481">
        <v>89</v>
      </c>
      <c r="C6481" s="2" t="s">
        <v>162</v>
      </c>
      <c r="D6481">
        <v>89</v>
      </c>
    </row>
    <row r="6482" spans="1:4" hidden="1" x14ac:dyDescent="0.25">
      <c r="A6482" s="2" t="s">
        <v>80</v>
      </c>
      <c r="B6482">
        <v>89</v>
      </c>
      <c r="C6482" s="2" t="s">
        <v>163</v>
      </c>
      <c r="D6482">
        <v>89</v>
      </c>
    </row>
    <row r="6483" spans="1:4" hidden="1" x14ac:dyDescent="0.25">
      <c r="A6483" s="2" t="s">
        <v>80</v>
      </c>
      <c r="B6483">
        <v>89</v>
      </c>
      <c r="C6483" s="2" t="s">
        <v>164</v>
      </c>
      <c r="D6483">
        <v>89</v>
      </c>
    </row>
    <row r="6484" spans="1:4" hidden="1" x14ac:dyDescent="0.25">
      <c r="A6484" s="2" t="s">
        <v>80</v>
      </c>
      <c r="B6484">
        <v>89</v>
      </c>
      <c r="C6484" s="2" t="s">
        <v>165</v>
      </c>
      <c r="D6484">
        <v>89</v>
      </c>
    </row>
    <row r="6485" spans="1:4" hidden="1" x14ac:dyDescent="0.25">
      <c r="A6485" s="2" t="s">
        <v>80</v>
      </c>
      <c r="B6485">
        <v>89</v>
      </c>
      <c r="C6485" s="2" t="s">
        <v>166</v>
      </c>
      <c r="D6485">
        <v>89</v>
      </c>
    </row>
    <row r="6486" spans="1:4" hidden="1" x14ac:dyDescent="0.25">
      <c r="A6486" s="2" t="s">
        <v>80</v>
      </c>
      <c r="B6486">
        <v>89</v>
      </c>
      <c r="C6486" s="2" t="s">
        <v>167</v>
      </c>
      <c r="D6486">
        <v>89</v>
      </c>
    </row>
    <row r="6487" spans="1:4" hidden="1" x14ac:dyDescent="0.25">
      <c r="A6487" s="2" t="s">
        <v>80</v>
      </c>
      <c r="B6487">
        <v>89</v>
      </c>
      <c r="C6487" s="2" t="s">
        <v>168</v>
      </c>
      <c r="D6487">
        <v>89</v>
      </c>
    </row>
    <row r="6488" spans="1:4" hidden="1" x14ac:dyDescent="0.25">
      <c r="A6488" s="2" t="s">
        <v>80</v>
      </c>
      <c r="B6488">
        <v>89</v>
      </c>
      <c r="C6488" s="2" t="s">
        <v>169</v>
      </c>
      <c r="D6488">
        <v>89</v>
      </c>
    </row>
    <row r="6489" spans="1:4" hidden="1" x14ac:dyDescent="0.25">
      <c r="A6489" s="2" t="s">
        <v>80</v>
      </c>
      <c r="B6489">
        <v>89</v>
      </c>
      <c r="C6489" s="2" t="s">
        <v>170</v>
      </c>
      <c r="D6489">
        <v>89</v>
      </c>
    </row>
    <row r="6490" spans="1:4" hidden="1" x14ac:dyDescent="0.25">
      <c r="A6490" s="2" t="s">
        <v>80</v>
      </c>
      <c r="B6490">
        <v>89</v>
      </c>
      <c r="C6490" s="2" t="s">
        <v>171</v>
      </c>
      <c r="D6490">
        <v>89</v>
      </c>
    </row>
    <row r="6491" spans="1:4" hidden="1" x14ac:dyDescent="0.25">
      <c r="A6491" s="2" t="s">
        <v>80</v>
      </c>
      <c r="B6491">
        <v>89</v>
      </c>
      <c r="C6491" s="2" t="s">
        <v>172</v>
      </c>
      <c r="D6491">
        <v>89</v>
      </c>
    </row>
    <row r="6492" spans="1:4" hidden="1" x14ac:dyDescent="0.25">
      <c r="A6492" s="2" t="s">
        <v>80</v>
      </c>
      <c r="B6492">
        <v>89</v>
      </c>
      <c r="C6492" s="2" t="s">
        <v>173</v>
      </c>
      <c r="D6492">
        <v>89</v>
      </c>
    </row>
    <row r="6493" spans="1:4" hidden="1" x14ac:dyDescent="0.25">
      <c r="A6493" s="2" t="s">
        <v>80</v>
      </c>
      <c r="B6493">
        <v>89</v>
      </c>
      <c r="C6493" s="2" t="s">
        <v>174</v>
      </c>
      <c r="D6493">
        <v>89</v>
      </c>
    </row>
    <row r="6494" spans="1:4" hidden="1" x14ac:dyDescent="0.25">
      <c r="A6494" s="2" t="s">
        <v>80</v>
      </c>
      <c r="B6494">
        <v>89</v>
      </c>
      <c r="C6494" s="2" t="s">
        <v>175</v>
      </c>
      <c r="D6494">
        <v>89</v>
      </c>
    </row>
    <row r="6495" spans="1:4" hidden="1" x14ac:dyDescent="0.25">
      <c r="A6495" s="2" t="s">
        <v>80</v>
      </c>
      <c r="B6495">
        <v>89</v>
      </c>
      <c r="C6495" s="2" t="s">
        <v>176</v>
      </c>
      <c r="D6495">
        <v>89</v>
      </c>
    </row>
    <row r="6496" spans="1:4" hidden="1" x14ac:dyDescent="0.25">
      <c r="A6496" s="2" t="s">
        <v>80</v>
      </c>
      <c r="B6496">
        <v>89</v>
      </c>
      <c r="C6496" s="2" t="s">
        <v>177</v>
      </c>
      <c r="D6496">
        <v>89</v>
      </c>
    </row>
    <row r="6497" spans="1:4" hidden="1" x14ac:dyDescent="0.25">
      <c r="A6497" s="2" t="s">
        <v>80</v>
      </c>
      <c r="B6497">
        <v>89</v>
      </c>
      <c r="C6497" s="2" t="s">
        <v>178</v>
      </c>
      <c r="D6497">
        <v>89</v>
      </c>
    </row>
    <row r="6498" spans="1:4" hidden="1" x14ac:dyDescent="0.25">
      <c r="A6498" s="2" t="s">
        <v>80</v>
      </c>
      <c r="B6498">
        <v>89</v>
      </c>
      <c r="C6498" s="2" t="s">
        <v>179</v>
      </c>
      <c r="D6498">
        <v>89</v>
      </c>
    </row>
    <row r="6499" spans="1:4" hidden="1" x14ac:dyDescent="0.25">
      <c r="A6499" s="2" t="s">
        <v>64</v>
      </c>
      <c r="B6499">
        <v>90</v>
      </c>
      <c r="C6499" s="2" t="s">
        <v>183</v>
      </c>
      <c r="D6499">
        <v>78</v>
      </c>
    </row>
    <row r="6500" spans="1:4" hidden="1" x14ac:dyDescent="0.25">
      <c r="A6500" s="2" t="s">
        <v>64</v>
      </c>
      <c r="B6500">
        <v>90</v>
      </c>
      <c r="C6500" s="2" t="s">
        <v>184</v>
      </c>
      <c r="D6500">
        <v>77</v>
      </c>
    </row>
    <row r="6501" spans="1:4" hidden="1" x14ac:dyDescent="0.25">
      <c r="A6501" s="2" t="s">
        <v>64</v>
      </c>
      <c r="B6501">
        <v>90</v>
      </c>
      <c r="C6501" s="2" t="s">
        <v>185</v>
      </c>
      <c r="D6501">
        <v>61</v>
      </c>
    </row>
    <row r="6502" spans="1:4" hidden="1" x14ac:dyDescent="0.25">
      <c r="A6502" s="2" t="s">
        <v>64</v>
      </c>
      <c r="B6502">
        <v>90</v>
      </c>
      <c r="C6502" s="2" t="s">
        <v>186</v>
      </c>
      <c r="D6502">
        <v>32</v>
      </c>
    </row>
    <row r="6503" spans="1:4" hidden="1" x14ac:dyDescent="0.25">
      <c r="A6503" s="2" t="s">
        <v>64</v>
      </c>
      <c r="B6503">
        <v>90</v>
      </c>
      <c r="C6503" s="2" t="s">
        <v>187</v>
      </c>
      <c r="D6503">
        <v>32</v>
      </c>
    </row>
    <row r="6504" spans="1:4" hidden="1" x14ac:dyDescent="0.25">
      <c r="A6504" s="2" t="s">
        <v>64</v>
      </c>
      <c r="B6504">
        <v>90</v>
      </c>
      <c r="C6504" s="2" t="s">
        <v>188</v>
      </c>
      <c r="D6504">
        <v>33</v>
      </c>
    </row>
    <row r="6505" spans="1:4" hidden="1" x14ac:dyDescent="0.25">
      <c r="A6505" s="2" t="s">
        <v>64</v>
      </c>
      <c r="B6505">
        <v>90</v>
      </c>
      <c r="C6505" s="2" t="s">
        <v>189</v>
      </c>
      <c r="D6505">
        <v>42</v>
      </c>
    </row>
    <row r="6506" spans="1:4" hidden="1" x14ac:dyDescent="0.25">
      <c r="A6506" s="2" t="s">
        <v>64</v>
      </c>
      <c r="B6506">
        <v>90</v>
      </c>
      <c r="C6506" s="2" t="s">
        <v>190</v>
      </c>
      <c r="D6506">
        <v>43</v>
      </c>
    </row>
    <row r="6507" spans="1:4" hidden="1" x14ac:dyDescent="0.25">
      <c r="A6507" s="2" t="s">
        <v>64</v>
      </c>
      <c r="B6507">
        <v>90</v>
      </c>
      <c r="C6507" s="2" t="s">
        <v>191</v>
      </c>
      <c r="D6507">
        <v>60</v>
      </c>
    </row>
    <row r="6508" spans="1:4" hidden="1" x14ac:dyDescent="0.25">
      <c r="A6508" s="2" t="s">
        <v>64</v>
      </c>
      <c r="B6508">
        <v>90</v>
      </c>
      <c r="C6508" s="2" t="s">
        <v>116</v>
      </c>
      <c r="D6508">
        <v>62</v>
      </c>
    </row>
    <row r="6509" spans="1:4" hidden="1" x14ac:dyDescent="0.25">
      <c r="A6509" s="2" t="s">
        <v>64</v>
      </c>
      <c r="B6509">
        <v>90</v>
      </c>
      <c r="C6509" s="2" t="s">
        <v>117</v>
      </c>
      <c r="D6509">
        <v>69</v>
      </c>
    </row>
    <row r="6510" spans="1:4" hidden="1" x14ac:dyDescent="0.25">
      <c r="A6510" s="2" t="s">
        <v>64</v>
      </c>
      <c r="B6510">
        <v>90</v>
      </c>
      <c r="C6510" s="2" t="s">
        <v>118</v>
      </c>
      <c r="D6510">
        <v>73</v>
      </c>
    </row>
    <row r="6511" spans="1:4" hidden="1" x14ac:dyDescent="0.25">
      <c r="A6511" s="2" t="s">
        <v>64</v>
      </c>
      <c r="B6511">
        <v>90</v>
      </c>
      <c r="C6511" s="2" t="s">
        <v>119</v>
      </c>
      <c r="D6511">
        <v>77</v>
      </c>
    </row>
    <row r="6512" spans="1:4" hidden="1" x14ac:dyDescent="0.25">
      <c r="A6512" s="2" t="s">
        <v>64</v>
      </c>
      <c r="B6512">
        <v>90</v>
      </c>
      <c r="C6512" s="2" t="s">
        <v>120</v>
      </c>
      <c r="D6512">
        <v>81</v>
      </c>
    </row>
    <row r="6513" spans="1:4" hidden="1" x14ac:dyDescent="0.25">
      <c r="A6513" s="2" t="s">
        <v>64</v>
      </c>
      <c r="B6513">
        <v>90</v>
      </c>
      <c r="C6513" s="2" t="s">
        <v>121</v>
      </c>
      <c r="D6513">
        <v>79</v>
      </c>
    </row>
    <row r="6514" spans="1:4" hidden="1" x14ac:dyDescent="0.25">
      <c r="A6514" s="2" t="s">
        <v>64</v>
      </c>
      <c r="B6514">
        <v>90</v>
      </c>
      <c r="C6514" s="2" t="s">
        <v>122</v>
      </c>
      <c r="D6514">
        <v>87</v>
      </c>
    </row>
    <row r="6515" spans="1:4" hidden="1" x14ac:dyDescent="0.25">
      <c r="A6515" s="2" t="s">
        <v>64</v>
      </c>
      <c r="B6515">
        <v>90</v>
      </c>
      <c r="C6515" s="2" t="s">
        <v>123</v>
      </c>
      <c r="D6515">
        <v>90</v>
      </c>
    </row>
    <row r="6516" spans="1:4" hidden="1" x14ac:dyDescent="0.25">
      <c r="A6516" s="2" t="s">
        <v>64</v>
      </c>
      <c r="B6516">
        <v>90</v>
      </c>
      <c r="C6516" s="2" t="s">
        <v>124</v>
      </c>
      <c r="D6516">
        <v>92</v>
      </c>
    </row>
    <row r="6517" spans="1:4" hidden="1" x14ac:dyDescent="0.25">
      <c r="A6517" s="2" t="s">
        <v>64</v>
      </c>
      <c r="B6517">
        <v>90</v>
      </c>
      <c r="C6517" s="2" t="s">
        <v>125</v>
      </c>
      <c r="D6517">
        <v>103</v>
      </c>
    </row>
    <row r="6518" spans="1:4" hidden="1" x14ac:dyDescent="0.25">
      <c r="A6518" s="2" t="s">
        <v>64</v>
      </c>
      <c r="B6518">
        <v>90</v>
      </c>
      <c r="C6518" s="2" t="s">
        <v>126</v>
      </c>
      <c r="D6518">
        <v>103</v>
      </c>
    </row>
    <row r="6519" spans="1:4" hidden="1" x14ac:dyDescent="0.25">
      <c r="A6519" s="2" t="s">
        <v>64</v>
      </c>
      <c r="B6519">
        <v>90</v>
      </c>
      <c r="C6519" s="2" t="s">
        <v>127</v>
      </c>
      <c r="D6519">
        <v>105</v>
      </c>
    </row>
    <row r="6520" spans="1:4" hidden="1" x14ac:dyDescent="0.25">
      <c r="A6520" s="2" t="s">
        <v>64</v>
      </c>
      <c r="B6520">
        <v>90</v>
      </c>
      <c r="C6520" s="2" t="s">
        <v>128</v>
      </c>
      <c r="D6520">
        <v>107</v>
      </c>
    </row>
    <row r="6521" spans="1:4" hidden="1" x14ac:dyDescent="0.25">
      <c r="A6521" s="2" t="s">
        <v>64</v>
      </c>
      <c r="B6521">
        <v>90</v>
      </c>
      <c r="C6521" s="2" t="s">
        <v>129</v>
      </c>
      <c r="D6521">
        <v>107</v>
      </c>
    </row>
    <row r="6522" spans="1:4" hidden="1" x14ac:dyDescent="0.25">
      <c r="A6522" s="2" t="s">
        <v>64</v>
      </c>
      <c r="B6522">
        <v>90</v>
      </c>
      <c r="C6522" s="2" t="s">
        <v>130</v>
      </c>
      <c r="D6522">
        <v>110</v>
      </c>
    </row>
    <row r="6523" spans="1:4" hidden="1" x14ac:dyDescent="0.25">
      <c r="A6523" s="2" t="s">
        <v>64</v>
      </c>
      <c r="B6523">
        <v>90</v>
      </c>
      <c r="C6523" s="2" t="s">
        <v>131</v>
      </c>
      <c r="D6523">
        <v>109</v>
      </c>
    </row>
    <row r="6524" spans="1:4" hidden="1" x14ac:dyDescent="0.25">
      <c r="A6524" s="2" t="s">
        <v>64</v>
      </c>
      <c r="B6524">
        <v>90</v>
      </c>
      <c r="C6524" s="2" t="s">
        <v>132</v>
      </c>
      <c r="D6524">
        <v>102</v>
      </c>
    </row>
    <row r="6525" spans="1:4" hidden="1" x14ac:dyDescent="0.25">
      <c r="A6525" s="2" t="s">
        <v>64</v>
      </c>
      <c r="B6525">
        <v>90</v>
      </c>
      <c r="C6525" s="2" t="s">
        <v>133</v>
      </c>
      <c r="D6525">
        <v>97</v>
      </c>
    </row>
    <row r="6526" spans="1:4" hidden="1" x14ac:dyDescent="0.25">
      <c r="A6526" s="2" t="s">
        <v>64</v>
      </c>
      <c r="B6526">
        <v>90</v>
      </c>
      <c r="C6526" s="2" t="s">
        <v>134</v>
      </c>
      <c r="D6526">
        <v>94</v>
      </c>
    </row>
    <row r="6527" spans="1:4" hidden="1" x14ac:dyDescent="0.25">
      <c r="A6527" s="2" t="s">
        <v>64</v>
      </c>
      <c r="B6527">
        <v>90</v>
      </c>
      <c r="C6527" s="2" t="s">
        <v>135</v>
      </c>
      <c r="D6527">
        <v>90</v>
      </c>
    </row>
    <row r="6528" spans="1:4" hidden="1" x14ac:dyDescent="0.25">
      <c r="A6528" s="2" t="s">
        <v>64</v>
      </c>
      <c r="B6528">
        <v>90</v>
      </c>
      <c r="C6528" s="2" t="s">
        <v>136</v>
      </c>
      <c r="D6528">
        <v>90</v>
      </c>
    </row>
    <row r="6529" spans="1:4" hidden="1" x14ac:dyDescent="0.25">
      <c r="A6529" s="2" t="s">
        <v>64</v>
      </c>
      <c r="B6529">
        <v>90</v>
      </c>
      <c r="C6529" s="2" t="s">
        <v>137</v>
      </c>
      <c r="D6529">
        <v>90</v>
      </c>
    </row>
    <row r="6530" spans="1:4" hidden="1" x14ac:dyDescent="0.25">
      <c r="A6530" s="2" t="s">
        <v>64</v>
      </c>
      <c r="B6530">
        <v>90</v>
      </c>
      <c r="C6530" s="2" t="s">
        <v>138</v>
      </c>
      <c r="D6530">
        <v>90</v>
      </c>
    </row>
    <row r="6531" spans="1:4" hidden="1" x14ac:dyDescent="0.25">
      <c r="A6531" s="2" t="s">
        <v>64</v>
      </c>
      <c r="B6531">
        <v>90</v>
      </c>
      <c r="C6531" s="2" t="s">
        <v>139</v>
      </c>
      <c r="D6531">
        <v>90</v>
      </c>
    </row>
    <row r="6532" spans="1:4" hidden="1" x14ac:dyDescent="0.25">
      <c r="A6532" s="2" t="s">
        <v>64</v>
      </c>
      <c r="B6532">
        <v>90</v>
      </c>
      <c r="C6532" s="2" t="s">
        <v>140</v>
      </c>
      <c r="D6532">
        <v>90</v>
      </c>
    </row>
    <row r="6533" spans="1:4" hidden="1" x14ac:dyDescent="0.25">
      <c r="A6533" s="2" t="s">
        <v>64</v>
      </c>
      <c r="B6533">
        <v>90</v>
      </c>
      <c r="C6533" s="2" t="s">
        <v>141</v>
      </c>
      <c r="D6533">
        <v>90</v>
      </c>
    </row>
    <row r="6534" spans="1:4" hidden="1" x14ac:dyDescent="0.25">
      <c r="A6534" s="2" t="s">
        <v>64</v>
      </c>
      <c r="B6534">
        <v>90</v>
      </c>
      <c r="C6534" s="2" t="s">
        <v>142</v>
      </c>
      <c r="D6534">
        <v>90</v>
      </c>
    </row>
    <row r="6535" spans="1:4" hidden="1" x14ac:dyDescent="0.25">
      <c r="A6535" s="2" t="s">
        <v>64</v>
      </c>
      <c r="B6535">
        <v>90</v>
      </c>
      <c r="C6535" s="2" t="s">
        <v>143</v>
      </c>
      <c r="D6535">
        <v>90</v>
      </c>
    </row>
    <row r="6536" spans="1:4" hidden="1" x14ac:dyDescent="0.25">
      <c r="A6536" s="2" t="s">
        <v>64</v>
      </c>
      <c r="B6536">
        <v>90</v>
      </c>
      <c r="C6536" s="2" t="s">
        <v>144</v>
      </c>
      <c r="D6536">
        <v>90</v>
      </c>
    </row>
    <row r="6537" spans="1:4" hidden="1" x14ac:dyDescent="0.25">
      <c r="A6537" s="2" t="s">
        <v>64</v>
      </c>
      <c r="B6537">
        <v>90</v>
      </c>
      <c r="C6537" s="2" t="s">
        <v>145</v>
      </c>
      <c r="D6537">
        <v>90</v>
      </c>
    </row>
    <row r="6538" spans="1:4" hidden="1" x14ac:dyDescent="0.25">
      <c r="A6538" s="2" t="s">
        <v>64</v>
      </c>
      <c r="B6538">
        <v>90</v>
      </c>
      <c r="C6538" s="2" t="s">
        <v>146</v>
      </c>
      <c r="D6538">
        <v>90</v>
      </c>
    </row>
    <row r="6539" spans="1:4" hidden="1" x14ac:dyDescent="0.25">
      <c r="A6539" s="2" t="s">
        <v>64</v>
      </c>
      <c r="B6539">
        <v>90</v>
      </c>
      <c r="C6539" s="2" t="s">
        <v>147</v>
      </c>
      <c r="D6539">
        <v>90</v>
      </c>
    </row>
    <row r="6540" spans="1:4" hidden="1" x14ac:dyDescent="0.25">
      <c r="A6540" s="2" t="s">
        <v>64</v>
      </c>
      <c r="B6540">
        <v>90</v>
      </c>
      <c r="C6540" s="2" t="s">
        <v>148</v>
      </c>
      <c r="D6540">
        <v>90</v>
      </c>
    </row>
    <row r="6541" spans="1:4" hidden="1" x14ac:dyDescent="0.25">
      <c r="A6541" s="2" t="s">
        <v>64</v>
      </c>
      <c r="B6541">
        <v>90</v>
      </c>
      <c r="C6541" s="2" t="s">
        <v>149</v>
      </c>
      <c r="D6541">
        <v>90</v>
      </c>
    </row>
    <row r="6542" spans="1:4" hidden="1" x14ac:dyDescent="0.25">
      <c r="A6542" s="2" t="s">
        <v>64</v>
      </c>
      <c r="B6542">
        <v>90</v>
      </c>
      <c r="C6542" s="2" t="s">
        <v>150</v>
      </c>
      <c r="D6542">
        <v>90</v>
      </c>
    </row>
    <row r="6543" spans="1:4" hidden="1" x14ac:dyDescent="0.25">
      <c r="A6543" s="2" t="s">
        <v>64</v>
      </c>
      <c r="B6543">
        <v>90</v>
      </c>
      <c r="C6543" s="2" t="s">
        <v>151</v>
      </c>
      <c r="D6543">
        <v>90</v>
      </c>
    </row>
    <row r="6544" spans="1:4" hidden="1" x14ac:dyDescent="0.25">
      <c r="A6544" s="2" t="s">
        <v>64</v>
      </c>
      <c r="B6544">
        <v>90</v>
      </c>
      <c r="C6544" s="2" t="s">
        <v>152</v>
      </c>
      <c r="D6544">
        <v>90</v>
      </c>
    </row>
    <row r="6545" spans="1:4" hidden="1" x14ac:dyDescent="0.25">
      <c r="A6545" s="2" t="s">
        <v>64</v>
      </c>
      <c r="B6545">
        <v>90</v>
      </c>
      <c r="C6545" s="2" t="s">
        <v>153</v>
      </c>
      <c r="D6545">
        <v>90</v>
      </c>
    </row>
    <row r="6546" spans="1:4" hidden="1" x14ac:dyDescent="0.25">
      <c r="A6546" s="2" t="s">
        <v>64</v>
      </c>
      <c r="B6546">
        <v>90</v>
      </c>
      <c r="C6546" s="2" t="s">
        <v>154</v>
      </c>
      <c r="D6546">
        <v>90</v>
      </c>
    </row>
    <row r="6547" spans="1:4" hidden="1" x14ac:dyDescent="0.25">
      <c r="A6547" s="2" t="s">
        <v>64</v>
      </c>
      <c r="B6547">
        <v>90</v>
      </c>
      <c r="C6547" s="2" t="s">
        <v>155</v>
      </c>
      <c r="D6547">
        <v>90</v>
      </c>
    </row>
    <row r="6548" spans="1:4" hidden="1" x14ac:dyDescent="0.25">
      <c r="A6548" s="2" t="s">
        <v>64</v>
      </c>
      <c r="B6548">
        <v>90</v>
      </c>
      <c r="C6548" s="2" t="s">
        <v>156</v>
      </c>
      <c r="D6548">
        <v>90</v>
      </c>
    </row>
    <row r="6549" spans="1:4" hidden="1" x14ac:dyDescent="0.25">
      <c r="A6549" s="2" t="s">
        <v>64</v>
      </c>
      <c r="B6549">
        <v>90</v>
      </c>
      <c r="C6549" s="2" t="s">
        <v>157</v>
      </c>
      <c r="D6549">
        <v>90</v>
      </c>
    </row>
    <row r="6550" spans="1:4" hidden="1" x14ac:dyDescent="0.25">
      <c r="A6550" s="2" t="s">
        <v>64</v>
      </c>
      <c r="B6550">
        <v>90</v>
      </c>
      <c r="C6550" s="2" t="s">
        <v>158</v>
      </c>
      <c r="D6550">
        <v>90</v>
      </c>
    </row>
    <row r="6551" spans="1:4" hidden="1" x14ac:dyDescent="0.25">
      <c r="A6551" s="2" t="s">
        <v>64</v>
      </c>
      <c r="B6551">
        <v>90</v>
      </c>
      <c r="C6551" s="2" t="s">
        <v>159</v>
      </c>
      <c r="D6551">
        <v>90</v>
      </c>
    </row>
    <row r="6552" spans="1:4" hidden="1" x14ac:dyDescent="0.25">
      <c r="A6552" s="2" t="s">
        <v>64</v>
      </c>
      <c r="B6552">
        <v>90</v>
      </c>
      <c r="C6552" s="2" t="s">
        <v>160</v>
      </c>
      <c r="D6552">
        <v>90</v>
      </c>
    </row>
    <row r="6553" spans="1:4" hidden="1" x14ac:dyDescent="0.25">
      <c r="A6553" s="2" t="s">
        <v>64</v>
      </c>
      <c r="B6553">
        <v>90</v>
      </c>
      <c r="C6553" s="2" t="s">
        <v>161</v>
      </c>
      <c r="D6553">
        <v>90</v>
      </c>
    </row>
    <row r="6554" spans="1:4" hidden="1" x14ac:dyDescent="0.25">
      <c r="A6554" s="2" t="s">
        <v>64</v>
      </c>
      <c r="B6554">
        <v>90</v>
      </c>
      <c r="C6554" s="2" t="s">
        <v>162</v>
      </c>
      <c r="D6554">
        <v>90</v>
      </c>
    </row>
    <row r="6555" spans="1:4" hidden="1" x14ac:dyDescent="0.25">
      <c r="A6555" s="2" t="s">
        <v>64</v>
      </c>
      <c r="B6555">
        <v>90</v>
      </c>
      <c r="C6555" s="2" t="s">
        <v>163</v>
      </c>
      <c r="D6555">
        <v>90</v>
      </c>
    </row>
    <row r="6556" spans="1:4" hidden="1" x14ac:dyDescent="0.25">
      <c r="A6556" s="2" t="s">
        <v>64</v>
      </c>
      <c r="B6556">
        <v>90</v>
      </c>
      <c r="C6556" s="2" t="s">
        <v>164</v>
      </c>
      <c r="D6556">
        <v>90</v>
      </c>
    </row>
    <row r="6557" spans="1:4" hidden="1" x14ac:dyDescent="0.25">
      <c r="A6557" s="2" t="s">
        <v>64</v>
      </c>
      <c r="B6557">
        <v>90</v>
      </c>
      <c r="C6557" s="2" t="s">
        <v>165</v>
      </c>
      <c r="D6557">
        <v>90</v>
      </c>
    </row>
    <row r="6558" spans="1:4" hidden="1" x14ac:dyDescent="0.25">
      <c r="A6558" s="2" t="s">
        <v>64</v>
      </c>
      <c r="B6558">
        <v>90</v>
      </c>
      <c r="C6558" s="2" t="s">
        <v>166</v>
      </c>
      <c r="D6558">
        <v>90</v>
      </c>
    </row>
    <row r="6559" spans="1:4" hidden="1" x14ac:dyDescent="0.25">
      <c r="A6559" s="2" t="s">
        <v>64</v>
      </c>
      <c r="B6559">
        <v>90</v>
      </c>
      <c r="C6559" s="2" t="s">
        <v>167</v>
      </c>
      <c r="D6559">
        <v>90</v>
      </c>
    </row>
    <row r="6560" spans="1:4" hidden="1" x14ac:dyDescent="0.25">
      <c r="A6560" s="2" t="s">
        <v>64</v>
      </c>
      <c r="B6560">
        <v>90</v>
      </c>
      <c r="C6560" s="2" t="s">
        <v>168</v>
      </c>
      <c r="D6560">
        <v>90</v>
      </c>
    </row>
    <row r="6561" spans="1:4" hidden="1" x14ac:dyDescent="0.25">
      <c r="A6561" s="2" t="s">
        <v>64</v>
      </c>
      <c r="B6561">
        <v>90</v>
      </c>
      <c r="C6561" s="2" t="s">
        <v>169</v>
      </c>
      <c r="D6561">
        <v>90</v>
      </c>
    </row>
    <row r="6562" spans="1:4" hidden="1" x14ac:dyDescent="0.25">
      <c r="A6562" s="2" t="s">
        <v>64</v>
      </c>
      <c r="B6562">
        <v>90</v>
      </c>
      <c r="C6562" s="2" t="s">
        <v>170</v>
      </c>
      <c r="D6562">
        <v>90</v>
      </c>
    </row>
    <row r="6563" spans="1:4" hidden="1" x14ac:dyDescent="0.25">
      <c r="A6563" s="2" t="s">
        <v>64</v>
      </c>
      <c r="B6563">
        <v>90</v>
      </c>
      <c r="C6563" s="2" t="s">
        <v>171</v>
      </c>
      <c r="D6563">
        <v>90</v>
      </c>
    </row>
    <row r="6564" spans="1:4" hidden="1" x14ac:dyDescent="0.25">
      <c r="A6564" s="2" t="s">
        <v>64</v>
      </c>
      <c r="B6564">
        <v>90</v>
      </c>
      <c r="C6564" s="2" t="s">
        <v>172</v>
      </c>
      <c r="D6564">
        <v>90</v>
      </c>
    </row>
    <row r="6565" spans="1:4" hidden="1" x14ac:dyDescent="0.25">
      <c r="A6565" s="2" t="s">
        <v>64</v>
      </c>
      <c r="B6565">
        <v>90</v>
      </c>
      <c r="C6565" s="2" t="s">
        <v>173</v>
      </c>
      <c r="D6565">
        <v>90</v>
      </c>
    </row>
    <row r="6566" spans="1:4" hidden="1" x14ac:dyDescent="0.25">
      <c r="A6566" s="2" t="s">
        <v>64</v>
      </c>
      <c r="B6566">
        <v>90</v>
      </c>
      <c r="C6566" s="2" t="s">
        <v>174</v>
      </c>
      <c r="D6566">
        <v>90</v>
      </c>
    </row>
    <row r="6567" spans="1:4" hidden="1" x14ac:dyDescent="0.25">
      <c r="A6567" s="2" t="s">
        <v>64</v>
      </c>
      <c r="B6567">
        <v>90</v>
      </c>
      <c r="C6567" s="2" t="s">
        <v>175</v>
      </c>
      <c r="D6567">
        <v>90</v>
      </c>
    </row>
    <row r="6568" spans="1:4" hidden="1" x14ac:dyDescent="0.25">
      <c r="A6568" s="2" t="s">
        <v>64</v>
      </c>
      <c r="B6568">
        <v>90</v>
      </c>
      <c r="C6568" s="2" t="s">
        <v>176</v>
      </c>
      <c r="D6568">
        <v>90</v>
      </c>
    </row>
    <row r="6569" spans="1:4" hidden="1" x14ac:dyDescent="0.25">
      <c r="A6569" s="2" t="s">
        <v>64</v>
      </c>
      <c r="B6569">
        <v>90</v>
      </c>
      <c r="C6569" s="2" t="s">
        <v>177</v>
      </c>
      <c r="D6569">
        <v>90</v>
      </c>
    </row>
    <row r="6570" spans="1:4" hidden="1" x14ac:dyDescent="0.25">
      <c r="A6570" s="2" t="s">
        <v>64</v>
      </c>
      <c r="B6570">
        <v>90</v>
      </c>
      <c r="C6570" s="2" t="s">
        <v>178</v>
      </c>
      <c r="D6570">
        <v>90</v>
      </c>
    </row>
    <row r="6571" spans="1:4" hidden="1" x14ac:dyDescent="0.25">
      <c r="A6571" s="2" t="s">
        <v>64</v>
      </c>
      <c r="B6571">
        <v>90</v>
      </c>
      <c r="C6571" s="2" t="s">
        <v>179</v>
      </c>
      <c r="D6571">
        <v>90</v>
      </c>
    </row>
    <row r="6572" spans="1:4" hidden="1" x14ac:dyDescent="0.25">
      <c r="A6572" s="2" t="s">
        <v>24</v>
      </c>
      <c r="B6572">
        <v>91</v>
      </c>
      <c r="C6572" s="2" t="s">
        <v>183</v>
      </c>
      <c r="D6572">
        <v>1</v>
      </c>
    </row>
    <row r="6573" spans="1:4" hidden="1" x14ac:dyDescent="0.25">
      <c r="A6573" s="2" t="s">
        <v>24</v>
      </c>
      <c r="B6573">
        <v>91</v>
      </c>
      <c r="C6573" s="2" t="s">
        <v>184</v>
      </c>
      <c r="D6573">
        <v>1</v>
      </c>
    </row>
    <row r="6574" spans="1:4" hidden="1" x14ac:dyDescent="0.25">
      <c r="A6574" s="2" t="s">
        <v>24</v>
      </c>
      <c r="B6574">
        <v>91</v>
      </c>
      <c r="C6574" s="2" t="s">
        <v>185</v>
      </c>
      <c r="D6574">
        <v>3</v>
      </c>
    </row>
    <row r="6575" spans="1:4" hidden="1" x14ac:dyDescent="0.25">
      <c r="A6575" s="2" t="s">
        <v>24</v>
      </c>
      <c r="B6575">
        <v>91</v>
      </c>
      <c r="C6575" s="2" t="s">
        <v>186</v>
      </c>
      <c r="D6575">
        <v>54</v>
      </c>
    </row>
    <row r="6576" spans="1:4" hidden="1" x14ac:dyDescent="0.25">
      <c r="A6576" s="2" t="s">
        <v>24</v>
      </c>
      <c r="B6576">
        <v>91</v>
      </c>
      <c r="C6576" s="2" t="s">
        <v>187</v>
      </c>
      <c r="D6576">
        <v>55</v>
      </c>
    </row>
    <row r="6577" spans="1:4" hidden="1" x14ac:dyDescent="0.25">
      <c r="A6577" s="2" t="s">
        <v>24</v>
      </c>
      <c r="B6577">
        <v>91</v>
      </c>
      <c r="C6577" s="2" t="s">
        <v>188</v>
      </c>
      <c r="D6577">
        <v>53</v>
      </c>
    </row>
    <row r="6578" spans="1:4" hidden="1" x14ac:dyDescent="0.25">
      <c r="A6578" s="2" t="s">
        <v>24</v>
      </c>
      <c r="B6578">
        <v>91</v>
      </c>
      <c r="C6578" s="2" t="s">
        <v>189</v>
      </c>
      <c r="D6578">
        <v>37</v>
      </c>
    </row>
    <row r="6579" spans="1:4" hidden="1" x14ac:dyDescent="0.25">
      <c r="A6579" s="2" t="s">
        <v>24</v>
      </c>
      <c r="B6579">
        <v>91</v>
      </c>
      <c r="C6579" s="2" t="s">
        <v>190</v>
      </c>
      <c r="D6579">
        <v>39</v>
      </c>
    </row>
    <row r="6580" spans="1:4" hidden="1" x14ac:dyDescent="0.25">
      <c r="A6580" s="2" t="s">
        <v>24</v>
      </c>
      <c r="B6580">
        <v>91</v>
      </c>
      <c r="C6580" s="2" t="s">
        <v>191</v>
      </c>
      <c r="D6580">
        <v>41</v>
      </c>
    </row>
    <row r="6581" spans="1:4" hidden="1" x14ac:dyDescent="0.25">
      <c r="A6581" s="2" t="s">
        <v>24</v>
      </c>
      <c r="B6581">
        <v>91</v>
      </c>
      <c r="C6581" s="2" t="s">
        <v>116</v>
      </c>
      <c r="D6581">
        <v>31</v>
      </c>
    </row>
    <row r="6582" spans="1:4" hidden="1" x14ac:dyDescent="0.25">
      <c r="A6582" s="2" t="s">
        <v>24</v>
      </c>
      <c r="B6582">
        <v>91</v>
      </c>
      <c r="C6582" s="2" t="s">
        <v>117</v>
      </c>
      <c r="D6582">
        <v>30</v>
      </c>
    </row>
    <row r="6583" spans="1:4" hidden="1" x14ac:dyDescent="0.25">
      <c r="A6583" s="2" t="s">
        <v>24</v>
      </c>
      <c r="B6583">
        <v>91</v>
      </c>
      <c r="C6583" s="2" t="s">
        <v>118</v>
      </c>
      <c r="D6583">
        <v>29</v>
      </c>
    </row>
    <row r="6584" spans="1:4" hidden="1" x14ac:dyDescent="0.25">
      <c r="A6584" s="2" t="s">
        <v>24</v>
      </c>
      <c r="B6584">
        <v>91</v>
      </c>
      <c r="C6584" s="2" t="s">
        <v>119</v>
      </c>
      <c r="D6584">
        <v>59</v>
      </c>
    </row>
    <row r="6585" spans="1:4" hidden="1" x14ac:dyDescent="0.25">
      <c r="A6585" s="2" t="s">
        <v>24</v>
      </c>
      <c r="B6585">
        <v>91</v>
      </c>
      <c r="C6585" s="2" t="s">
        <v>120</v>
      </c>
      <c r="D6585">
        <v>59</v>
      </c>
    </row>
    <row r="6586" spans="1:4" hidden="1" x14ac:dyDescent="0.25">
      <c r="A6586" s="2" t="s">
        <v>24</v>
      </c>
      <c r="B6586">
        <v>91</v>
      </c>
      <c r="C6586" s="2" t="s">
        <v>121</v>
      </c>
      <c r="D6586">
        <v>61</v>
      </c>
    </row>
    <row r="6587" spans="1:4" hidden="1" x14ac:dyDescent="0.25">
      <c r="A6587" s="2" t="s">
        <v>24</v>
      </c>
      <c r="B6587">
        <v>91</v>
      </c>
      <c r="C6587" s="2" t="s">
        <v>122</v>
      </c>
      <c r="D6587">
        <v>49</v>
      </c>
    </row>
    <row r="6588" spans="1:4" hidden="1" x14ac:dyDescent="0.25">
      <c r="A6588" s="2" t="s">
        <v>24</v>
      </c>
      <c r="B6588">
        <v>91</v>
      </c>
      <c r="C6588" s="2" t="s">
        <v>123</v>
      </c>
      <c r="D6588">
        <v>57</v>
      </c>
    </row>
    <row r="6589" spans="1:4" hidden="1" x14ac:dyDescent="0.25">
      <c r="A6589" s="2" t="s">
        <v>24</v>
      </c>
      <c r="B6589">
        <v>91</v>
      </c>
      <c r="C6589" s="2" t="s">
        <v>124</v>
      </c>
      <c r="D6589">
        <v>60</v>
      </c>
    </row>
    <row r="6590" spans="1:4" hidden="1" x14ac:dyDescent="0.25">
      <c r="A6590" s="2" t="s">
        <v>24</v>
      </c>
      <c r="B6590">
        <v>91</v>
      </c>
      <c r="C6590" s="2" t="s">
        <v>125</v>
      </c>
      <c r="D6590">
        <v>71</v>
      </c>
    </row>
    <row r="6591" spans="1:4" hidden="1" x14ac:dyDescent="0.25">
      <c r="A6591" s="2" t="s">
        <v>24</v>
      </c>
      <c r="B6591">
        <v>91</v>
      </c>
      <c r="C6591" s="2" t="s">
        <v>126</v>
      </c>
      <c r="D6591">
        <v>70</v>
      </c>
    </row>
    <row r="6592" spans="1:4" hidden="1" x14ac:dyDescent="0.25">
      <c r="A6592" s="2" t="s">
        <v>24</v>
      </c>
      <c r="B6592">
        <v>91</v>
      </c>
      <c r="C6592" s="2" t="s">
        <v>127</v>
      </c>
      <c r="D6592">
        <v>67</v>
      </c>
    </row>
    <row r="6593" spans="1:4" hidden="1" x14ac:dyDescent="0.25">
      <c r="A6593" s="2" t="s">
        <v>24</v>
      </c>
      <c r="B6593">
        <v>91</v>
      </c>
      <c r="C6593" s="2" t="s">
        <v>128</v>
      </c>
      <c r="D6593">
        <v>76</v>
      </c>
    </row>
    <row r="6594" spans="1:4" hidden="1" x14ac:dyDescent="0.25">
      <c r="A6594" s="2" t="s">
        <v>24</v>
      </c>
      <c r="B6594">
        <v>91</v>
      </c>
      <c r="C6594" s="2" t="s">
        <v>129</v>
      </c>
      <c r="D6594">
        <v>75</v>
      </c>
    </row>
    <row r="6595" spans="1:4" hidden="1" x14ac:dyDescent="0.25">
      <c r="A6595" s="2" t="s">
        <v>24</v>
      </c>
      <c r="B6595">
        <v>91</v>
      </c>
      <c r="C6595" s="2" t="s">
        <v>130</v>
      </c>
      <c r="D6595">
        <v>61</v>
      </c>
    </row>
    <row r="6596" spans="1:4" hidden="1" x14ac:dyDescent="0.25">
      <c r="A6596" s="2" t="s">
        <v>24</v>
      </c>
      <c r="B6596">
        <v>91</v>
      </c>
      <c r="C6596" s="2" t="s">
        <v>131</v>
      </c>
      <c r="D6596">
        <v>63</v>
      </c>
    </row>
    <row r="6597" spans="1:4" hidden="1" x14ac:dyDescent="0.25">
      <c r="A6597" s="2" t="s">
        <v>24</v>
      </c>
      <c r="B6597">
        <v>91</v>
      </c>
      <c r="C6597" s="2" t="s">
        <v>132</v>
      </c>
      <c r="D6597">
        <v>69</v>
      </c>
    </row>
    <row r="6598" spans="1:4" hidden="1" x14ac:dyDescent="0.25">
      <c r="A6598" s="2" t="s">
        <v>24</v>
      </c>
      <c r="B6598">
        <v>91</v>
      </c>
      <c r="C6598" s="2" t="s">
        <v>133</v>
      </c>
      <c r="D6598">
        <v>69</v>
      </c>
    </row>
    <row r="6599" spans="1:4" hidden="1" x14ac:dyDescent="0.25">
      <c r="A6599" s="2" t="s">
        <v>24</v>
      </c>
      <c r="B6599">
        <v>91</v>
      </c>
      <c r="C6599" s="2" t="s">
        <v>134</v>
      </c>
      <c r="D6599">
        <v>81</v>
      </c>
    </row>
    <row r="6600" spans="1:4" hidden="1" x14ac:dyDescent="0.25">
      <c r="A6600" s="2" t="s">
        <v>24</v>
      </c>
      <c r="B6600">
        <v>91</v>
      </c>
      <c r="C6600" s="2" t="s">
        <v>135</v>
      </c>
      <c r="D6600">
        <v>91</v>
      </c>
    </row>
    <row r="6601" spans="1:4" hidden="1" x14ac:dyDescent="0.25">
      <c r="A6601" s="2" t="s">
        <v>24</v>
      </c>
      <c r="B6601">
        <v>91</v>
      </c>
      <c r="C6601" s="2" t="s">
        <v>136</v>
      </c>
      <c r="D6601">
        <v>91</v>
      </c>
    </row>
    <row r="6602" spans="1:4" hidden="1" x14ac:dyDescent="0.25">
      <c r="A6602" s="2" t="s">
        <v>24</v>
      </c>
      <c r="B6602">
        <v>91</v>
      </c>
      <c r="C6602" s="2" t="s">
        <v>137</v>
      </c>
      <c r="D6602">
        <v>91</v>
      </c>
    </row>
    <row r="6603" spans="1:4" hidden="1" x14ac:dyDescent="0.25">
      <c r="A6603" s="2" t="s">
        <v>24</v>
      </c>
      <c r="B6603">
        <v>91</v>
      </c>
      <c r="C6603" s="2" t="s">
        <v>138</v>
      </c>
      <c r="D6603">
        <v>91</v>
      </c>
    </row>
    <row r="6604" spans="1:4" hidden="1" x14ac:dyDescent="0.25">
      <c r="A6604" s="2" t="s">
        <v>24</v>
      </c>
      <c r="B6604">
        <v>91</v>
      </c>
      <c r="C6604" s="2" t="s">
        <v>139</v>
      </c>
      <c r="D6604">
        <v>91</v>
      </c>
    </row>
    <row r="6605" spans="1:4" hidden="1" x14ac:dyDescent="0.25">
      <c r="A6605" s="2" t="s">
        <v>24</v>
      </c>
      <c r="B6605">
        <v>91</v>
      </c>
      <c r="C6605" s="2" t="s">
        <v>140</v>
      </c>
      <c r="D6605">
        <v>91</v>
      </c>
    </row>
    <row r="6606" spans="1:4" hidden="1" x14ac:dyDescent="0.25">
      <c r="A6606" s="2" t="s">
        <v>24</v>
      </c>
      <c r="B6606">
        <v>91</v>
      </c>
      <c r="C6606" s="2" t="s">
        <v>141</v>
      </c>
      <c r="D6606">
        <v>91</v>
      </c>
    </row>
    <row r="6607" spans="1:4" hidden="1" x14ac:dyDescent="0.25">
      <c r="A6607" s="2" t="s">
        <v>24</v>
      </c>
      <c r="B6607">
        <v>91</v>
      </c>
      <c r="C6607" s="2" t="s">
        <v>142</v>
      </c>
      <c r="D6607">
        <v>91</v>
      </c>
    </row>
    <row r="6608" spans="1:4" hidden="1" x14ac:dyDescent="0.25">
      <c r="A6608" s="2" t="s">
        <v>24</v>
      </c>
      <c r="B6608">
        <v>91</v>
      </c>
      <c r="C6608" s="2" t="s">
        <v>143</v>
      </c>
      <c r="D6608">
        <v>91</v>
      </c>
    </row>
    <row r="6609" spans="1:4" hidden="1" x14ac:dyDescent="0.25">
      <c r="A6609" s="2" t="s">
        <v>24</v>
      </c>
      <c r="B6609">
        <v>91</v>
      </c>
      <c r="C6609" s="2" t="s">
        <v>144</v>
      </c>
      <c r="D6609">
        <v>91</v>
      </c>
    </row>
    <row r="6610" spans="1:4" hidden="1" x14ac:dyDescent="0.25">
      <c r="A6610" s="2" t="s">
        <v>24</v>
      </c>
      <c r="B6610">
        <v>91</v>
      </c>
      <c r="C6610" s="2" t="s">
        <v>145</v>
      </c>
      <c r="D6610">
        <v>91</v>
      </c>
    </row>
    <row r="6611" spans="1:4" hidden="1" x14ac:dyDescent="0.25">
      <c r="A6611" s="2" t="s">
        <v>24</v>
      </c>
      <c r="B6611">
        <v>91</v>
      </c>
      <c r="C6611" s="2" t="s">
        <v>146</v>
      </c>
      <c r="D6611">
        <v>91</v>
      </c>
    </row>
    <row r="6612" spans="1:4" hidden="1" x14ac:dyDescent="0.25">
      <c r="A6612" s="2" t="s">
        <v>24</v>
      </c>
      <c r="B6612">
        <v>91</v>
      </c>
      <c r="C6612" s="2" t="s">
        <v>147</v>
      </c>
      <c r="D6612">
        <v>91</v>
      </c>
    </row>
    <row r="6613" spans="1:4" hidden="1" x14ac:dyDescent="0.25">
      <c r="A6613" s="2" t="s">
        <v>24</v>
      </c>
      <c r="B6613">
        <v>91</v>
      </c>
      <c r="C6613" s="2" t="s">
        <v>148</v>
      </c>
      <c r="D6613">
        <v>91</v>
      </c>
    </row>
    <row r="6614" spans="1:4" hidden="1" x14ac:dyDescent="0.25">
      <c r="A6614" s="2" t="s">
        <v>24</v>
      </c>
      <c r="B6614">
        <v>91</v>
      </c>
      <c r="C6614" s="2" t="s">
        <v>149</v>
      </c>
      <c r="D6614">
        <v>91</v>
      </c>
    </row>
    <row r="6615" spans="1:4" hidden="1" x14ac:dyDescent="0.25">
      <c r="A6615" s="2" t="s">
        <v>24</v>
      </c>
      <c r="B6615">
        <v>91</v>
      </c>
      <c r="C6615" s="2" t="s">
        <v>150</v>
      </c>
      <c r="D6615">
        <v>91</v>
      </c>
    </row>
    <row r="6616" spans="1:4" hidden="1" x14ac:dyDescent="0.25">
      <c r="A6616" s="2" t="s">
        <v>24</v>
      </c>
      <c r="B6616">
        <v>91</v>
      </c>
      <c r="C6616" s="2" t="s">
        <v>151</v>
      </c>
      <c r="D6616">
        <v>91</v>
      </c>
    </row>
    <row r="6617" spans="1:4" hidden="1" x14ac:dyDescent="0.25">
      <c r="A6617" s="2" t="s">
        <v>24</v>
      </c>
      <c r="B6617">
        <v>91</v>
      </c>
      <c r="C6617" s="2" t="s">
        <v>152</v>
      </c>
      <c r="D6617">
        <v>91</v>
      </c>
    </row>
    <row r="6618" spans="1:4" hidden="1" x14ac:dyDescent="0.25">
      <c r="A6618" s="2" t="s">
        <v>24</v>
      </c>
      <c r="B6618">
        <v>91</v>
      </c>
      <c r="C6618" s="2" t="s">
        <v>153</v>
      </c>
      <c r="D6618">
        <v>91</v>
      </c>
    </row>
    <row r="6619" spans="1:4" hidden="1" x14ac:dyDescent="0.25">
      <c r="A6619" s="2" t="s">
        <v>24</v>
      </c>
      <c r="B6619">
        <v>91</v>
      </c>
      <c r="C6619" s="2" t="s">
        <v>154</v>
      </c>
      <c r="D6619">
        <v>91</v>
      </c>
    </row>
    <row r="6620" spans="1:4" hidden="1" x14ac:dyDescent="0.25">
      <c r="A6620" s="2" t="s">
        <v>24</v>
      </c>
      <c r="B6620">
        <v>91</v>
      </c>
      <c r="C6620" s="2" t="s">
        <v>155</v>
      </c>
      <c r="D6620">
        <v>91</v>
      </c>
    </row>
    <row r="6621" spans="1:4" hidden="1" x14ac:dyDescent="0.25">
      <c r="A6621" s="2" t="s">
        <v>24</v>
      </c>
      <c r="B6621">
        <v>91</v>
      </c>
      <c r="C6621" s="2" t="s">
        <v>156</v>
      </c>
      <c r="D6621">
        <v>91</v>
      </c>
    </row>
    <row r="6622" spans="1:4" hidden="1" x14ac:dyDescent="0.25">
      <c r="A6622" s="2" t="s">
        <v>24</v>
      </c>
      <c r="B6622">
        <v>91</v>
      </c>
      <c r="C6622" s="2" t="s">
        <v>157</v>
      </c>
      <c r="D6622">
        <v>91</v>
      </c>
    </row>
    <row r="6623" spans="1:4" hidden="1" x14ac:dyDescent="0.25">
      <c r="A6623" s="2" t="s">
        <v>24</v>
      </c>
      <c r="B6623">
        <v>91</v>
      </c>
      <c r="C6623" s="2" t="s">
        <v>158</v>
      </c>
      <c r="D6623">
        <v>91</v>
      </c>
    </row>
    <row r="6624" spans="1:4" hidden="1" x14ac:dyDescent="0.25">
      <c r="A6624" s="2" t="s">
        <v>24</v>
      </c>
      <c r="B6624">
        <v>91</v>
      </c>
      <c r="C6624" s="2" t="s">
        <v>159</v>
      </c>
      <c r="D6624">
        <v>91</v>
      </c>
    </row>
    <row r="6625" spans="1:4" hidden="1" x14ac:dyDescent="0.25">
      <c r="A6625" s="2" t="s">
        <v>24</v>
      </c>
      <c r="B6625">
        <v>91</v>
      </c>
      <c r="C6625" s="2" t="s">
        <v>160</v>
      </c>
      <c r="D6625">
        <v>91</v>
      </c>
    </row>
    <row r="6626" spans="1:4" hidden="1" x14ac:dyDescent="0.25">
      <c r="A6626" s="2" t="s">
        <v>24</v>
      </c>
      <c r="B6626">
        <v>91</v>
      </c>
      <c r="C6626" s="2" t="s">
        <v>161</v>
      </c>
      <c r="D6626">
        <v>91</v>
      </c>
    </row>
    <row r="6627" spans="1:4" hidden="1" x14ac:dyDescent="0.25">
      <c r="A6627" s="2" t="s">
        <v>24</v>
      </c>
      <c r="B6627">
        <v>91</v>
      </c>
      <c r="C6627" s="2" t="s">
        <v>162</v>
      </c>
      <c r="D6627">
        <v>91</v>
      </c>
    </row>
    <row r="6628" spans="1:4" hidden="1" x14ac:dyDescent="0.25">
      <c r="A6628" s="2" t="s">
        <v>24</v>
      </c>
      <c r="B6628">
        <v>91</v>
      </c>
      <c r="C6628" s="2" t="s">
        <v>163</v>
      </c>
      <c r="D6628">
        <v>91</v>
      </c>
    </row>
    <row r="6629" spans="1:4" hidden="1" x14ac:dyDescent="0.25">
      <c r="A6629" s="2" t="s">
        <v>24</v>
      </c>
      <c r="B6629">
        <v>91</v>
      </c>
      <c r="C6629" s="2" t="s">
        <v>164</v>
      </c>
      <c r="D6629">
        <v>91</v>
      </c>
    </row>
    <row r="6630" spans="1:4" hidden="1" x14ac:dyDescent="0.25">
      <c r="A6630" s="2" t="s">
        <v>24</v>
      </c>
      <c r="B6630">
        <v>91</v>
      </c>
      <c r="C6630" s="2" t="s">
        <v>165</v>
      </c>
      <c r="D6630">
        <v>91</v>
      </c>
    </row>
    <row r="6631" spans="1:4" hidden="1" x14ac:dyDescent="0.25">
      <c r="A6631" s="2" t="s">
        <v>24</v>
      </c>
      <c r="B6631">
        <v>91</v>
      </c>
      <c r="C6631" s="2" t="s">
        <v>166</v>
      </c>
      <c r="D6631">
        <v>91</v>
      </c>
    </row>
    <row r="6632" spans="1:4" hidden="1" x14ac:dyDescent="0.25">
      <c r="A6632" s="2" t="s">
        <v>24</v>
      </c>
      <c r="B6632">
        <v>91</v>
      </c>
      <c r="C6632" s="2" t="s">
        <v>167</v>
      </c>
      <c r="D6632">
        <v>91</v>
      </c>
    </row>
    <row r="6633" spans="1:4" hidden="1" x14ac:dyDescent="0.25">
      <c r="A6633" s="2" t="s">
        <v>24</v>
      </c>
      <c r="B6633">
        <v>91</v>
      </c>
      <c r="C6633" s="2" t="s">
        <v>168</v>
      </c>
      <c r="D6633">
        <v>91</v>
      </c>
    </row>
    <row r="6634" spans="1:4" hidden="1" x14ac:dyDescent="0.25">
      <c r="A6634" s="2" t="s">
        <v>24</v>
      </c>
      <c r="B6634">
        <v>91</v>
      </c>
      <c r="C6634" s="2" t="s">
        <v>169</v>
      </c>
      <c r="D6634">
        <v>91</v>
      </c>
    </row>
    <row r="6635" spans="1:4" hidden="1" x14ac:dyDescent="0.25">
      <c r="A6635" s="2" t="s">
        <v>24</v>
      </c>
      <c r="B6635">
        <v>91</v>
      </c>
      <c r="C6635" s="2" t="s">
        <v>170</v>
      </c>
      <c r="D6635">
        <v>91</v>
      </c>
    </row>
    <row r="6636" spans="1:4" hidden="1" x14ac:dyDescent="0.25">
      <c r="A6636" s="2" t="s">
        <v>24</v>
      </c>
      <c r="B6636">
        <v>91</v>
      </c>
      <c r="C6636" s="2" t="s">
        <v>171</v>
      </c>
      <c r="D6636">
        <v>91</v>
      </c>
    </row>
    <row r="6637" spans="1:4" hidden="1" x14ac:dyDescent="0.25">
      <c r="A6637" s="2" t="s">
        <v>24</v>
      </c>
      <c r="B6637">
        <v>91</v>
      </c>
      <c r="C6637" s="2" t="s">
        <v>172</v>
      </c>
      <c r="D6637">
        <v>91</v>
      </c>
    </row>
    <row r="6638" spans="1:4" hidden="1" x14ac:dyDescent="0.25">
      <c r="A6638" s="2" t="s">
        <v>24</v>
      </c>
      <c r="B6638">
        <v>91</v>
      </c>
      <c r="C6638" s="2" t="s">
        <v>173</v>
      </c>
      <c r="D6638">
        <v>91</v>
      </c>
    </row>
    <row r="6639" spans="1:4" hidden="1" x14ac:dyDescent="0.25">
      <c r="A6639" s="2" t="s">
        <v>24</v>
      </c>
      <c r="B6639">
        <v>91</v>
      </c>
      <c r="C6639" s="2" t="s">
        <v>174</v>
      </c>
      <c r="D6639">
        <v>91</v>
      </c>
    </row>
    <row r="6640" spans="1:4" hidden="1" x14ac:dyDescent="0.25">
      <c r="A6640" s="2" t="s">
        <v>24</v>
      </c>
      <c r="B6640">
        <v>91</v>
      </c>
      <c r="C6640" s="2" t="s">
        <v>175</v>
      </c>
      <c r="D6640">
        <v>91</v>
      </c>
    </row>
    <row r="6641" spans="1:4" hidden="1" x14ac:dyDescent="0.25">
      <c r="A6641" s="2" t="s">
        <v>24</v>
      </c>
      <c r="B6641">
        <v>91</v>
      </c>
      <c r="C6641" s="2" t="s">
        <v>176</v>
      </c>
      <c r="D6641">
        <v>91</v>
      </c>
    </row>
    <row r="6642" spans="1:4" hidden="1" x14ac:dyDescent="0.25">
      <c r="A6642" s="2" t="s">
        <v>24</v>
      </c>
      <c r="B6642">
        <v>91</v>
      </c>
      <c r="C6642" s="2" t="s">
        <v>177</v>
      </c>
      <c r="D6642">
        <v>91</v>
      </c>
    </row>
    <row r="6643" spans="1:4" hidden="1" x14ac:dyDescent="0.25">
      <c r="A6643" s="2" t="s">
        <v>24</v>
      </c>
      <c r="B6643">
        <v>91</v>
      </c>
      <c r="C6643" s="2" t="s">
        <v>178</v>
      </c>
      <c r="D6643">
        <v>91</v>
      </c>
    </row>
    <row r="6644" spans="1:4" hidden="1" x14ac:dyDescent="0.25">
      <c r="A6644" s="2" t="s">
        <v>24</v>
      </c>
      <c r="B6644">
        <v>91</v>
      </c>
      <c r="C6644" s="2" t="s">
        <v>179</v>
      </c>
      <c r="D6644">
        <v>91</v>
      </c>
    </row>
    <row r="6645" spans="1:4" hidden="1" x14ac:dyDescent="0.25">
      <c r="A6645" s="2" t="s">
        <v>37</v>
      </c>
      <c r="B6645">
        <v>91</v>
      </c>
      <c r="C6645" s="2" t="s">
        <v>183</v>
      </c>
      <c r="D6645">
        <v>78</v>
      </c>
    </row>
    <row r="6646" spans="1:4" hidden="1" x14ac:dyDescent="0.25">
      <c r="A6646" s="2" t="s">
        <v>37</v>
      </c>
      <c r="B6646">
        <v>91</v>
      </c>
      <c r="C6646" s="2" t="s">
        <v>184</v>
      </c>
      <c r="D6646">
        <v>77</v>
      </c>
    </row>
    <row r="6647" spans="1:4" hidden="1" x14ac:dyDescent="0.25">
      <c r="A6647" s="2" t="s">
        <v>37</v>
      </c>
      <c r="B6647">
        <v>91</v>
      </c>
      <c r="C6647" s="2" t="s">
        <v>185</v>
      </c>
      <c r="D6647">
        <v>61</v>
      </c>
    </row>
    <row r="6648" spans="1:4" hidden="1" x14ac:dyDescent="0.25">
      <c r="A6648" s="2" t="s">
        <v>37</v>
      </c>
      <c r="B6648">
        <v>91</v>
      </c>
      <c r="C6648" s="2" t="s">
        <v>186</v>
      </c>
      <c r="D6648">
        <v>83</v>
      </c>
    </row>
    <row r="6649" spans="1:4" hidden="1" x14ac:dyDescent="0.25">
      <c r="A6649" s="2" t="s">
        <v>37</v>
      </c>
      <c r="B6649">
        <v>91</v>
      </c>
      <c r="C6649" s="2" t="s">
        <v>187</v>
      </c>
      <c r="D6649">
        <v>85</v>
      </c>
    </row>
    <row r="6650" spans="1:4" hidden="1" x14ac:dyDescent="0.25">
      <c r="A6650" s="2" t="s">
        <v>37</v>
      </c>
      <c r="B6650">
        <v>91</v>
      </c>
      <c r="C6650" s="2" t="s">
        <v>188</v>
      </c>
      <c r="D6650">
        <v>84</v>
      </c>
    </row>
    <row r="6651" spans="1:4" hidden="1" x14ac:dyDescent="0.25">
      <c r="A6651" s="2" t="s">
        <v>37</v>
      </c>
      <c r="B6651">
        <v>91</v>
      </c>
      <c r="C6651" s="2" t="s">
        <v>189</v>
      </c>
      <c r="D6651">
        <v>71</v>
      </c>
    </row>
    <row r="6652" spans="1:4" hidden="1" x14ac:dyDescent="0.25">
      <c r="A6652" s="2" t="s">
        <v>37</v>
      </c>
      <c r="B6652">
        <v>91</v>
      </c>
      <c r="C6652" s="2" t="s">
        <v>190</v>
      </c>
      <c r="D6652">
        <v>76</v>
      </c>
    </row>
    <row r="6653" spans="1:4" hidden="1" x14ac:dyDescent="0.25">
      <c r="A6653" s="2" t="s">
        <v>37</v>
      </c>
      <c r="B6653">
        <v>91</v>
      </c>
      <c r="C6653" s="2" t="s">
        <v>191</v>
      </c>
      <c r="D6653">
        <v>82</v>
      </c>
    </row>
    <row r="6654" spans="1:4" hidden="1" x14ac:dyDescent="0.25">
      <c r="A6654" s="2" t="s">
        <v>37</v>
      </c>
      <c r="B6654">
        <v>91</v>
      </c>
      <c r="C6654" s="2" t="s">
        <v>116</v>
      </c>
      <c r="D6654">
        <v>79</v>
      </c>
    </row>
    <row r="6655" spans="1:4" hidden="1" x14ac:dyDescent="0.25">
      <c r="A6655" s="2" t="s">
        <v>37</v>
      </c>
      <c r="B6655">
        <v>91</v>
      </c>
      <c r="C6655" s="2" t="s">
        <v>117</v>
      </c>
      <c r="D6655">
        <v>97</v>
      </c>
    </row>
    <row r="6656" spans="1:4" hidden="1" x14ac:dyDescent="0.25">
      <c r="A6656" s="2" t="s">
        <v>37</v>
      </c>
      <c r="B6656">
        <v>91</v>
      </c>
      <c r="C6656" s="2" t="s">
        <v>118</v>
      </c>
      <c r="D6656">
        <v>102</v>
      </c>
    </row>
    <row r="6657" spans="1:4" hidden="1" x14ac:dyDescent="0.25">
      <c r="A6657" s="2" t="s">
        <v>37</v>
      </c>
      <c r="B6657">
        <v>91</v>
      </c>
      <c r="C6657" s="2" t="s">
        <v>119</v>
      </c>
      <c r="D6657">
        <v>94</v>
      </c>
    </row>
    <row r="6658" spans="1:4" hidden="1" x14ac:dyDescent="0.25">
      <c r="A6658" s="2" t="s">
        <v>37</v>
      </c>
      <c r="B6658">
        <v>91</v>
      </c>
      <c r="C6658" s="2" t="s">
        <v>120</v>
      </c>
      <c r="D6658">
        <v>83</v>
      </c>
    </row>
    <row r="6659" spans="1:4" hidden="1" x14ac:dyDescent="0.25">
      <c r="A6659" s="2" t="s">
        <v>37</v>
      </c>
      <c r="B6659">
        <v>91</v>
      </c>
      <c r="C6659" s="2" t="s">
        <v>121</v>
      </c>
      <c r="D6659">
        <v>81</v>
      </c>
    </row>
    <row r="6660" spans="1:4" hidden="1" x14ac:dyDescent="0.25">
      <c r="A6660" s="2" t="s">
        <v>37</v>
      </c>
      <c r="B6660">
        <v>91</v>
      </c>
      <c r="C6660" s="2" t="s">
        <v>122</v>
      </c>
      <c r="D6660">
        <v>90</v>
      </c>
    </row>
    <row r="6661" spans="1:4" hidden="1" x14ac:dyDescent="0.25">
      <c r="A6661" s="2" t="s">
        <v>37</v>
      </c>
      <c r="B6661">
        <v>91</v>
      </c>
      <c r="C6661" s="2" t="s">
        <v>123</v>
      </c>
      <c r="D6661">
        <v>94</v>
      </c>
    </row>
    <row r="6662" spans="1:4" hidden="1" x14ac:dyDescent="0.25">
      <c r="A6662" s="2" t="s">
        <v>37</v>
      </c>
      <c r="B6662">
        <v>91</v>
      </c>
      <c r="C6662" s="2" t="s">
        <v>124</v>
      </c>
      <c r="D6662">
        <v>95</v>
      </c>
    </row>
    <row r="6663" spans="1:4" hidden="1" x14ac:dyDescent="0.25">
      <c r="A6663" s="2" t="s">
        <v>37</v>
      </c>
      <c r="B6663">
        <v>91</v>
      </c>
      <c r="C6663" s="2" t="s">
        <v>125</v>
      </c>
      <c r="D6663">
        <v>92</v>
      </c>
    </row>
    <row r="6664" spans="1:4" hidden="1" x14ac:dyDescent="0.25">
      <c r="A6664" s="2" t="s">
        <v>37</v>
      </c>
      <c r="B6664">
        <v>91</v>
      </c>
      <c r="C6664" s="2" t="s">
        <v>126</v>
      </c>
      <c r="D6664">
        <v>97</v>
      </c>
    </row>
    <row r="6665" spans="1:4" hidden="1" x14ac:dyDescent="0.25">
      <c r="A6665" s="2" t="s">
        <v>37</v>
      </c>
      <c r="B6665">
        <v>91</v>
      </c>
      <c r="C6665" s="2" t="s">
        <v>127</v>
      </c>
      <c r="D6665">
        <v>87</v>
      </c>
    </row>
    <row r="6666" spans="1:4" hidden="1" x14ac:dyDescent="0.25">
      <c r="A6666" s="2" t="s">
        <v>37</v>
      </c>
      <c r="B6666">
        <v>91</v>
      </c>
      <c r="C6666" s="2" t="s">
        <v>128</v>
      </c>
      <c r="D6666">
        <v>78</v>
      </c>
    </row>
    <row r="6667" spans="1:4" hidden="1" x14ac:dyDescent="0.25">
      <c r="A6667" s="2" t="s">
        <v>37</v>
      </c>
      <c r="B6667">
        <v>91</v>
      </c>
      <c r="C6667" s="2" t="s">
        <v>129</v>
      </c>
      <c r="D6667">
        <v>80</v>
      </c>
    </row>
    <row r="6668" spans="1:4" hidden="1" x14ac:dyDescent="0.25">
      <c r="A6668" s="2" t="s">
        <v>37</v>
      </c>
      <c r="B6668">
        <v>91</v>
      </c>
      <c r="C6668" s="2" t="s">
        <v>130</v>
      </c>
      <c r="D6668">
        <v>92</v>
      </c>
    </row>
    <row r="6669" spans="1:4" hidden="1" x14ac:dyDescent="0.25">
      <c r="A6669" s="2" t="s">
        <v>37</v>
      </c>
      <c r="B6669">
        <v>91</v>
      </c>
      <c r="C6669" s="2" t="s">
        <v>131</v>
      </c>
      <c r="D6669">
        <v>87</v>
      </c>
    </row>
    <row r="6670" spans="1:4" hidden="1" x14ac:dyDescent="0.25">
      <c r="A6670" s="2" t="s">
        <v>37</v>
      </c>
      <c r="B6670">
        <v>91</v>
      </c>
      <c r="C6670" s="2" t="s">
        <v>132</v>
      </c>
      <c r="D6670">
        <v>89</v>
      </c>
    </row>
    <row r="6671" spans="1:4" hidden="1" x14ac:dyDescent="0.25">
      <c r="A6671" s="2" t="s">
        <v>37</v>
      </c>
      <c r="B6671">
        <v>91</v>
      </c>
      <c r="C6671" s="2" t="s">
        <v>133</v>
      </c>
      <c r="D6671">
        <v>89</v>
      </c>
    </row>
    <row r="6672" spans="1:4" hidden="1" x14ac:dyDescent="0.25">
      <c r="A6672" s="2" t="s">
        <v>37</v>
      </c>
      <c r="B6672">
        <v>91</v>
      </c>
      <c r="C6672" s="2" t="s">
        <v>134</v>
      </c>
      <c r="D6672">
        <v>86</v>
      </c>
    </row>
    <row r="6673" spans="1:4" hidden="1" x14ac:dyDescent="0.25">
      <c r="A6673" s="2" t="s">
        <v>37</v>
      </c>
      <c r="B6673">
        <v>91</v>
      </c>
      <c r="C6673" s="2" t="s">
        <v>135</v>
      </c>
      <c r="D6673">
        <v>91</v>
      </c>
    </row>
    <row r="6674" spans="1:4" hidden="1" x14ac:dyDescent="0.25">
      <c r="A6674" s="2" t="s">
        <v>37</v>
      </c>
      <c r="B6674">
        <v>91</v>
      </c>
      <c r="C6674" s="2" t="s">
        <v>136</v>
      </c>
      <c r="D6674">
        <v>91</v>
      </c>
    </row>
    <row r="6675" spans="1:4" hidden="1" x14ac:dyDescent="0.25">
      <c r="A6675" s="2" t="s">
        <v>37</v>
      </c>
      <c r="B6675">
        <v>91</v>
      </c>
      <c r="C6675" s="2" t="s">
        <v>137</v>
      </c>
      <c r="D6675">
        <v>91</v>
      </c>
    </row>
    <row r="6676" spans="1:4" hidden="1" x14ac:dyDescent="0.25">
      <c r="A6676" s="2" t="s">
        <v>37</v>
      </c>
      <c r="B6676">
        <v>91</v>
      </c>
      <c r="C6676" s="2" t="s">
        <v>138</v>
      </c>
      <c r="D6676">
        <v>91</v>
      </c>
    </row>
    <row r="6677" spans="1:4" hidden="1" x14ac:dyDescent="0.25">
      <c r="A6677" s="2" t="s">
        <v>37</v>
      </c>
      <c r="B6677">
        <v>91</v>
      </c>
      <c r="C6677" s="2" t="s">
        <v>139</v>
      </c>
      <c r="D6677">
        <v>91</v>
      </c>
    </row>
    <row r="6678" spans="1:4" hidden="1" x14ac:dyDescent="0.25">
      <c r="A6678" s="2" t="s">
        <v>37</v>
      </c>
      <c r="B6678">
        <v>91</v>
      </c>
      <c r="C6678" s="2" t="s">
        <v>140</v>
      </c>
      <c r="D6678">
        <v>91</v>
      </c>
    </row>
    <row r="6679" spans="1:4" hidden="1" x14ac:dyDescent="0.25">
      <c r="A6679" s="2" t="s">
        <v>37</v>
      </c>
      <c r="B6679">
        <v>91</v>
      </c>
      <c r="C6679" s="2" t="s">
        <v>141</v>
      </c>
      <c r="D6679">
        <v>91</v>
      </c>
    </row>
    <row r="6680" spans="1:4" hidden="1" x14ac:dyDescent="0.25">
      <c r="A6680" s="2" t="s">
        <v>37</v>
      </c>
      <c r="B6680">
        <v>91</v>
      </c>
      <c r="C6680" s="2" t="s">
        <v>142</v>
      </c>
      <c r="D6680">
        <v>91</v>
      </c>
    </row>
    <row r="6681" spans="1:4" hidden="1" x14ac:dyDescent="0.25">
      <c r="A6681" s="2" t="s">
        <v>37</v>
      </c>
      <c r="B6681">
        <v>91</v>
      </c>
      <c r="C6681" s="2" t="s">
        <v>143</v>
      </c>
      <c r="D6681">
        <v>91</v>
      </c>
    </row>
    <row r="6682" spans="1:4" hidden="1" x14ac:dyDescent="0.25">
      <c r="A6682" s="2" t="s">
        <v>37</v>
      </c>
      <c r="B6682">
        <v>91</v>
      </c>
      <c r="C6682" s="2" t="s">
        <v>144</v>
      </c>
      <c r="D6682">
        <v>91</v>
      </c>
    </row>
    <row r="6683" spans="1:4" hidden="1" x14ac:dyDescent="0.25">
      <c r="A6683" s="2" t="s">
        <v>37</v>
      </c>
      <c r="B6683">
        <v>91</v>
      </c>
      <c r="C6683" s="2" t="s">
        <v>145</v>
      </c>
      <c r="D6683">
        <v>91</v>
      </c>
    </row>
    <row r="6684" spans="1:4" hidden="1" x14ac:dyDescent="0.25">
      <c r="A6684" s="2" t="s">
        <v>37</v>
      </c>
      <c r="B6684">
        <v>91</v>
      </c>
      <c r="C6684" s="2" t="s">
        <v>146</v>
      </c>
      <c r="D6684">
        <v>91</v>
      </c>
    </row>
    <row r="6685" spans="1:4" hidden="1" x14ac:dyDescent="0.25">
      <c r="A6685" s="2" t="s">
        <v>37</v>
      </c>
      <c r="B6685">
        <v>91</v>
      </c>
      <c r="C6685" s="2" t="s">
        <v>147</v>
      </c>
      <c r="D6685">
        <v>91</v>
      </c>
    </row>
    <row r="6686" spans="1:4" hidden="1" x14ac:dyDescent="0.25">
      <c r="A6686" s="2" t="s">
        <v>37</v>
      </c>
      <c r="B6686">
        <v>91</v>
      </c>
      <c r="C6686" s="2" t="s">
        <v>148</v>
      </c>
      <c r="D6686">
        <v>91</v>
      </c>
    </row>
    <row r="6687" spans="1:4" hidden="1" x14ac:dyDescent="0.25">
      <c r="A6687" s="2" t="s">
        <v>37</v>
      </c>
      <c r="B6687">
        <v>91</v>
      </c>
      <c r="C6687" s="2" t="s">
        <v>149</v>
      </c>
      <c r="D6687">
        <v>91</v>
      </c>
    </row>
    <row r="6688" spans="1:4" hidden="1" x14ac:dyDescent="0.25">
      <c r="A6688" s="2" t="s">
        <v>37</v>
      </c>
      <c r="B6688">
        <v>91</v>
      </c>
      <c r="C6688" s="2" t="s">
        <v>150</v>
      </c>
      <c r="D6688">
        <v>91</v>
      </c>
    </row>
    <row r="6689" spans="1:4" hidden="1" x14ac:dyDescent="0.25">
      <c r="A6689" s="2" t="s">
        <v>37</v>
      </c>
      <c r="B6689">
        <v>91</v>
      </c>
      <c r="C6689" s="2" t="s">
        <v>151</v>
      </c>
      <c r="D6689">
        <v>91</v>
      </c>
    </row>
    <row r="6690" spans="1:4" hidden="1" x14ac:dyDescent="0.25">
      <c r="A6690" s="2" t="s">
        <v>37</v>
      </c>
      <c r="B6690">
        <v>91</v>
      </c>
      <c r="C6690" s="2" t="s">
        <v>152</v>
      </c>
      <c r="D6690">
        <v>91</v>
      </c>
    </row>
    <row r="6691" spans="1:4" hidden="1" x14ac:dyDescent="0.25">
      <c r="A6691" s="2" t="s">
        <v>37</v>
      </c>
      <c r="B6691">
        <v>91</v>
      </c>
      <c r="C6691" s="2" t="s">
        <v>153</v>
      </c>
      <c r="D6691">
        <v>91</v>
      </c>
    </row>
    <row r="6692" spans="1:4" hidden="1" x14ac:dyDescent="0.25">
      <c r="A6692" s="2" t="s">
        <v>37</v>
      </c>
      <c r="B6692">
        <v>91</v>
      </c>
      <c r="C6692" s="2" t="s">
        <v>154</v>
      </c>
      <c r="D6692">
        <v>91</v>
      </c>
    </row>
    <row r="6693" spans="1:4" hidden="1" x14ac:dyDescent="0.25">
      <c r="A6693" s="2" t="s">
        <v>37</v>
      </c>
      <c r="B6693">
        <v>91</v>
      </c>
      <c r="C6693" s="2" t="s">
        <v>155</v>
      </c>
      <c r="D6693">
        <v>91</v>
      </c>
    </row>
    <row r="6694" spans="1:4" hidden="1" x14ac:dyDescent="0.25">
      <c r="A6694" s="2" t="s">
        <v>37</v>
      </c>
      <c r="B6694">
        <v>91</v>
      </c>
      <c r="C6694" s="2" t="s">
        <v>156</v>
      </c>
      <c r="D6694">
        <v>91</v>
      </c>
    </row>
    <row r="6695" spans="1:4" hidden="1" x14ac:dyDescent="0.25">
      <c r="A6695" s="2" t="s">
        <v>37</v>
      </c>
      <c r="B6695">
        <v>91</v>
      </c>
      <c r="C6695" s="2" t="s">
        <v>157</v>
      </c>
      <c r="D6695">
        <v>91</v>
      </c>
    </row>
    <row r="6696" spans="1:4" hidden="1" x14ac:dyDescent="0.25">
      <c r="A6696" s="2" t="s">
        <v>37</v>
      </c>
      <c r="B6696">
        <v>91</v>
      </c>
      <c r="C6696" s="2" t="s">
        <v>158</v>
      </c>
      <c r="D6696">
        <v>91</v>
      </c>
    </row>
    <row r="6697" spans="1:4" hidden="1" x14ac:dyDescent="0.25">
      <c r="A6697" s="2" t="s">
        <v>37</v>
      </c>
      <c r="B6697">
        <v>91</v>
      </c>
      <c r="C6697" s="2" t="s">
        <v>159</v>
      </c>
      <c r="D6697">
        <v>91</v>
      </c>
    </row>
    <row r="6698" spans="1:4" hidden="1" x14ac:dyDescent="0.25">
      <c r="A6698" s="2" t="s">
        <v>37</v>
      </c>
      <c r="B6698">
        <v>91</v>
      </c>
      <c r="C6698" s="2" t="s">
        <v>160</v>
      </c>
      <c r="D6698">
        <v>91</v>
      </c>
    </row>
    <row r="6699" spans="1:4" hidden="1" x14ac:dyDescent="0.25">
      <c r="A6699" s="2" t="s">
        <v>37</v>
      </c>
      <c r="B6699">
        <v>91</v>
      </c>
      <c r="C6699" s="2" t="s">
        <v>161</v>
      </c>
      <c r="D6699">
        <v>91</v>
      </c>
    </row>
    <row r="6700" spans="1:4" hidden="1" x14ac:dyDescent="0.25">
      <c r="A6700" s="2" t="s">
        <v>37</v>
      </c>
      <c r="B6700">
        <v>91</v>
      </c>
      <c r="C6700" s="2" t="s">
        <v>162</v>
      </c>
      <c r="D6700">
        <v>91</v>
      </c>
    </row>
    <row r="6701" spans="1:4" hidden="1" x14ac:dyDescent="0.25">
      <c r="A6701" s="2" t="s">
        <v>37</v>
      </c>
      <c r="B6701">
        <v>91</v>
      </c>
      <c r="C6701" s="2" t="s">
        <v>163</v>
      </c>
      <c r="D6701">
        <v>91</v>
      </c>
    </row>
    <row r="6702" spans="1:4" hidden="1" x14ac:dyDescent="0.25">
      <c r="A6702" s="2" t="s">
        <v>37</v>
      </c>
      <c r="B6702">
        <v>91</v>
      </c>
      <c r="C6702" s="2" t="s">
        <v>164</v>
      </c>
      <c r="D6702">
        <v>91</v>
      </c>
    </row>
    <row r="6703" spans="1:4" hidden="1" x14ac:dyDescent="0.25">
      <c r="A6703" s="2" t="s">
        <v>37</v>
      </c>
      <c r="B6703">
        <v>91</v>
      </c>
      <c r="C6703" s="2" t="s">
        <v>165</v>
      </c>
      <c r="D6703">
        <v>91</v>
      </c>
    </row>
    <row r="6704" spans="1:4" hidden="1" x14ac:dyDescent="0.25">
      <c r="A6704" s="2" t="s">
        <v>37</v>
      </c>
      <c r="B6704">
        <v>91</v>
      </c>
      <c r="C6704" s="2" t="s">
        <v>166</v>
      </c>
      <c r="D6704">
        <v>91</v>
      </c>
    </row>
    <row r="6705" spans="1:4" hidden="1" x14ac:dyDescent="0.25">
      <c r="A6705" s="2" t="s">
        <v>37</v>
      </c>
      <c r="B6705">
        <v>91</v>
      </c>
      <c r="C6705" s="2" t="s">
        <v>167</v>
      </c>
      <c r="D6705">
        <v>91</v>
      </c>
    </row>
    <row r="6706" spans="1:4" hidden="1" x14ac:dyDescent="0.25">
      <c r="A6706" s="2" t="s">
        <v>37</v>
      </c>
      <c r="B6706">
        <v>91</v>
      </c>
      <c r="C6706" s="2" t="s">
        <v>168</v>
      </c>
      <c r="D6706">
        <v>91</v>
      </c>
    </row>
    <row r="6707" spans="1:4" hidden="1" x14ac:dyDescent="0.25">
      <c r="A6707" s="2" t="s">
        <v>37</v>
      </c>
      <c r="B6707">
        <v>91</v>
      </c>
      <c r="C6707" s="2" t="s">
        <v>169</v>
      </c>
      <c r="D6707">
        <v>91</v>
      </c>
    </row>
    <row r="6708" spans="1:4" hidden="1" x14ac:dyDescent="0.25">
      <c r="A6708" s="2" t="s">
        <v>37</v>
      </c>
      <c r="B6708">
        <v>91</v>
      </c>
      <c r="C6708" s="2" t="s">
        <v>170</v>
      </c>
      <c r="D6708">
        <v>91</v>
      </c>
    </row>
    <row r="6709" spans="1:4" hidden="1" x14ac:dyDescent="0.25">
      <c r="A6709" s="2" t="s">
        <v>37</v>
      </c>
      <c r="B6709">
        <v>91</v>
      </c>
      <c r="C6709" s="2" t="s">
        <v>171</v>
      </c>
      <c r="D6709">
        <v>91</v>
      </c>
    </row>
    <row r="6710" spans="1:4" hidden="1" x14ac:dyDescent="0.25">
      <c r="A6710" s="2" t="s">
        <v>37</v>
      </c>
      <c r="B6710">
        <v>91</v>
      </c>
      <c r="C6710" s="2" t="s">
        <v>172</v>
      </c>
      <c r="D6710">
        <v>91</v>
      </c>
    </row>
    <row r="6711" spans="1:4" hidden="1" x14ac:dyDescent="0.25">
      <c r="A6711" s="2" t="s">
        <v>37</v>
      </c>
      <c r="B6711">
        <v>91</v>
      </c>
      <c r="C6711" s="2" t="s">
        <v>173</v>
      </c>
      <c r="D6711">
        <v>91</v>
      </c>
    </row>
    <row r="6712" spans="1:4" hidden="1" x14ac:dyDescent="0.25">
      <c r="A6712" s="2" t="s">
        <v>37</v>
      </c>
      <c r="B6712">
        <v>91</v>
      </c>
      <c r="C6712" s="2" t="s">
        <v>174</v>
      </c>
      <c r="D6712">
        <v>91</v>
      </c>
    </row>
    <row r="6713" spans="1:4" hidden="1" x14ac:dyDescent="0.25">
      <c r="A6713" s="2" t="s">
        <v>37</v>
      </c>
      <c r="B6713">
        <v>91</v>
      </c>
      <c r="C6713" s="2" t="s">
        <v>175</v>
      </c>
      <c r="D6713">
        <v>91</v>
      </c>
    </row>
    <row r="6714" spans="1:4" hidden="1" x14ac:dyDescent="0.25">
      <c r="A6714" s="2" t="s">
        <v>37</v>
      </c>
      <c r="B6714">
        <v>91</v>
      </c>
      <c r="C6714" s="2" t="s">
        <v>176</v>
      </c>
      <c r="D6714">
        <v>91</v>
      </c>
    </row>
    <row r="6715" spans="1:4" hidden="1" x14ac:dyDescent="0.25">
      <c r="A6715" s="2" t="s">
        <v>37</v>
      </c>
      <c r="B6715">
        <v>91</v>
      </c>
      <c r="C6715" s="2" t="s">
        <v>177</v>
      </c>
      <c r="D6715">
        <v>91</v>
      </c>
    </row>
    <row r="6716" spans="1:4" hidden="1" x14ac:dyDescent="0.25">
      <c r="A6716" s="2" t="s">
        <v>37</v>
      </c>
      <c r="B6716">
        <v>91</v>
      </c>
      <c r="C6716" s="2" t="s">
        <v>178</v>
      </c>
      <c r="D6716">
        <v>91</v>
      </c>
    </row>
    <row r="6717" spans="1:4" hidden="1" x14ac:dyDescent="0.25">
      <c r="A6717" s="2" t="s">
        <v>37</v>
      </c>
      <c r="B6717">
        <v>91</v>
      </c>
      <c r="C6717" s="2" t="s">
        <v>179</v>
      </c>
      <c r="D6717">
        <v>91</v>
      </c>
    </row>
    <row r="6718" spans="1:4" hidden="1" x14ac:dyDescent="0.25">
      <c r="A6718" s="2" t="s">
        <v>3</v>
      </c>
      <c r="B6718">
        <v>93</v>
      </c>
      <c r="C6718" s="2" t="s">
        <v>183</v>
      </c>
      <c r="D6718">
        <v>78</v>
      </c>
    </row>
    <row r="6719" spans="1:4" hidden="1" x14ac:dyDescent="0.25">
      <c r="A6719" s="2" t="s">
        <v>3</v>
      </c>
      <c r="B6719">
        <v>93</v>
      </c>
      <c r="C6719" s="2" t="s">
        <v>184</v>
      </c>
      <c r="D6719">
        <v>77</v>
      </c>
    </row>
    <row r="6720" spans="1:4" hidden="1" x14ac:dyDescent="0.25">
      <c r="A6720" s="2" t="s">
        <v>3</v>
      </c>
      <c r="B6720">
        <v>93</v>
      </c>
      <c r="C6720" s="2" t="s">
        <v>185</v>
      </c>
      <c r="D6720">
        <v>113</v>
      </c>
    </row>
    <row r="6721" spans="1:4" hidden="1" x14ac:dyDescent="0.25">
      <c r="A6721" s="2" t="s">
        <v>3</v>
      </c>
      <c r="B6721">
        <v>93</v>
      </c>
      <c r="C6721" s="2" t="s">
        <v>186</v>
      </c>
      <c r="D6721">
        <v>94</v>
      </c>
    </row>
    <row r="6722" spans="1:4" hidden="1" x14ac:dyDescent="0.25">
      <c r="A6722" s="2" t="s">
        <v>3</v>
      </c>
      <c r="B6722">
        <v>93</v>
      </c>
      <c r="C6722" s="2" t="s">
        <v>187</v>
      </c>
      <c r="D6722">
        <v>94</v>
      </c>
    </row>
    <row r="6723" spans="1:4" hidden="1" x14ac:dyDescent="0.25">
      <c r="A6723" s="2" t="s">
        <v>3</v>
      </c>
      <c r="B6723">
        <v>93</v>
      </c>
      <c r="C6723" s="2" t="s">
        <v>188</v>
      </c>
      <c r="D6723">
        <v>91</v>
      </c>
    </row>
    <row r="6724" spans="1:4" hidden="1" x14ac:dyDescent="0.25">
      <c r="A6724" s="2" t="s">
        <v>3</v>
      </c>
      <c r="B6724">
        <v>93</v>
      </c>
      <c r="C6724" s="2" t="s">
        <v>189</v>
      </c>
      <c r="D6724">
        <v>95</v>
      </c>
    </row>
    <row r="6725" spans="1:4" hidden="1" x14ac:dyDescent="0.25">
      <c r="A6725" s="2" t="s">
        <v>3</v>
      </c>
      <c r="B6725">
        <v>93</v>
      </c>
      <c r="C6725" s="2" t="s">
        <v>190</v>
      </c>
      <c r="D6725">
        <v>94</v>
      </c>
    </row>
    <row r="6726" spans="1:4" hidden="1" x14ac:dyDescent="0.25">
      <c r="A6726" s="2" t="s">
        <v>3</v>
      </c>
      <c r="B6726">
        <v>93</v>
      </c>
      <c r="C6726" s="2" t="s">
        <v>191</v>
      </c>
      <c r="D6726">
        <v>96</v>
      </c>
    </row>
    <row r="6727" spans="1:4" hidden="1" x14ac:dyDescent="0.25">
      <c r="A6727" s="2" t="s">
        <v>3</v>
      </c>
      <c r="B6727">
        <v>93</v>
      </c>
      <c r="C6727" s="2" t="s">
        <v>116</v>
      </c>
      <c r="D6727">
        <v>97</v>
      </c>
    </row>
    <row r="6728" spans="1:4" hidden="1" x14ac:dyDescent="0.25">
      <c r="A6728" s="2" t="s">
        <v>3</v>
      </c>
      <c r="B6728">
        <v>93</v>
      </c>
      <c r="C6728" s="2" t="s">
        <v>117</v>
      </c>
      <c r="D6728">
        <v>97</v>
      </c>
    </row>
    <row r="6729" spans="1:4" hidden="1" x14ac:dyDescent="0.25">
      <c r="A6729" s="2" t="s">
        <v>3</v>
      </c>
      <c r="B6729">
        <v>93</v>
      </c>
      <c r="C6729" s="2" t="s">
        <v>118</v>
      </c>
      <c r="D6729">
        <v>96</v>
      </c>
    </row>
    <row r="6730" spans="1:4" hidden="1" x14ac:dyDescent="0.25">
      <c r="A6730" s="2" t="s">
        <v>3</v>
      </c>
      <c r="B6730">
        <v>93</v>
      </c>
      <c r="C6730" s="2" t="s">
        <v>119</v>
      </c>
      <c r="D6730">
        <v>94</v>
      </c>
    </row>
    <row r="6731" spans="1:4" hidden="1" x14ac:dyDescent="0.25">
      <c r="A6731" s="2" t="s">
        <v>3</v>
      </c>
      <c r="B6731">
        <v>93</v>
      </c>
      <c r="C6731" s="2" t="s">
        <v>120</v>
      </c>
      <c r="D6731">
        <v>96</v>
      </c>
    </row>
    <row r="6732" spans="1:4" hidden="1" x14ac:dyDescent="0.25">
      <c r="A6732" s="2" t="s">
        <v>3</v>
      </c>
      <c r="B6732">
        <v>93</v>
      </c>
      <c r="C6732" s="2" t="s">
        <v>121</v>
      </c>
      <c r="D6732">
        <v>97</v>
      </c>
    </row>
    <row r="6733" spans="1:4" hidden="1" x14ac:dyDescent="0.25">
      <c r="A6733" s="2" t="s">
        <v>3</v>
      </c>
      <c r="B6733">
        <v>93</v>
      </c>
      <c r="C6733" s="2" t="s">
        <v>122</v>
      </c>
      <c r="D6733">
        <v>97</v>
      </c>
    </row>
    <row r="6734" spans="1:4" hidden="1" x14ac:dyDescent="0.25">
      <c r="A6734" s="2" t="s">
        <v>3</v>
      </c>
      <c r="B6734">
        <v>93</v>
      </c>
      <c r="C6734" s="2" t="s">
        <v>123</v>
      </c>
      <c r="D6734">
        <v>102</v>
      </c>
    </row>
    <row r="6735" spans="1:4" hidden="1" x14ac:dyDescent="0.25">
      <c r="A6735" s="2" t="s">
        <v>3</v>
      </c>
      <c r="B6735">
        <v>93</v>
      </c>
      <c r="C6735" s="2" t="s">
        <v>124</v>
      </c>
      <c r="D6735">
        <v>103</v>
      </c>
    </row>
    <row r="6736" spans="1:4" hidden="1" x14ac:dyDescent="0.25">
      <c r="A6736" s="2" t="s">
        <v>3</v>
      </c>
      <c r="B6736">
        <v>93</v>
      </c>
      <c r="C6736" s="2" t="s">
        <v>125</v>
      </c>
      <c r="D6736">
        <v>97</v>
      </c>
    </row>
    <row r="6737" spans="1:4" hidden="1" x14ac:dyDescent="0.25">
      <c r="A6737" s="2" t="s">
        <v>3</v>
      </c>
      <c r="B6737">
        <v>93</v>
      </c>
      <c r="C6737" s="2" t="s">
        <v>126</v>
      </c>
      <c r="D6737">
        <v>101</v>
      </c>
    </row>
    <row r="6738" spans="1:4" hidden="1" x14ac:dyDescent="0.25">
      <c r="A6738" s="2" t="s">
        <v>3</v>
      </c>
      <c r="B6738">
        <v>93</v>
      </c>
      <c r="C6738" s="2" t="s">
        <v>127</v>
      </c>
      <c r="D6738">
        <v>104</v>
      </c>
    </row>
    <row r="6739" spans="1:4" hidden="1" x14ac:dyDescent="0.25">
      <c r="A6739" s="2" t="s">
        <v>3</v>
      </c>
      <c r="B6739">
        <v>93</v>
      </c>
      <c r="C6739" s="2" t="s">
        <v>128</v>
      </c>
      <c r="D6739">
        <v>106</v>
      </c>
    </row>
    <row r="6740" spans="1:4" hidden="1" x14ac:dyDescent="0.25">
      <c r="A6740" s="2" t="s">
        <v>3</v>
      </c>
      <c r="B6740">
        <v>93</v>
      </c>
      <c r="C6740" s="2" t="s">
        <v>129</v>
      </c>
      <c r="D6740">
        <v>106</v>
      </c>
    </row>
    <row r="6741" spans="1:4" hidden="1" x14ac:dyDescent="0.25">
      <c r="A6741" s="2" t="s">
        <v>3</v>
      </c>
      <c r="B6741">
        <v>93</v>
      </c>
      <c r="C6741" s="2" t="s">
        <v>130</v>
      </c>
      <c r="D6741">
        <v>108</v>
      </c>
    </row>
    <row r="6742" spans="1:4" hidden="1" x14ac:dyDescent="0.25">
      <c r="A6742" s="2" t="s">
        <v>3</v>
      </c>
      <c r="B6742">
        <v>93</v>
      </c>
      <c r="C6742" s="2" t="s">
        <v>131</v>
      </c>
      <c r="D6742">
        <v>107</v>
      </c>
    </row>
    <row r="6743" spans="1:4" hidden="1" x14ac:dyDescent="0.25">
      <c r="A6743" s="2" t="s">
        <v>3</v>
      </c>
      <c r="B6743">
        <v>93</v>
      </c>
      <c r="C6743" s="2" t="s">
        <v>132</v>
      </c>
      <c r="D6743">
        <v>85</v>
      </c>
    </row>
    <row r="6744" spans="1:4" hidden="1" x14ac:dyDescent="0.25">
      <c r="A6744" s="2" t="s">
        <v>3</v>
      </c>
      <c r="B6744">
        <v>93</v>
      </c>
      <c r="C6744" s="2" t="s">
        <v>133</v>
      </c>
      <c r="D6744">
        <v>85</v>
      </c>
    </row>
    <row r="6745" spans="1:4" hidden="1" x14ac:dyDescent="0.25">
      <c r="A6745" s="2" t="s">
        <v>3</v>
      </c>
      <c r="B6745">
        <v>93</v>
      </c>
      <c r="C6745" s="2" t="s">
        <v>134</v>
      </c>
      <c r="D6745">
        <v>88</v>
      </c>
    </row>
    <row r="6746" spans="1:4" hidden="1" x14ac:dyDescent="0.25">
      <c r="A6746" s="2" t="s">
        <v>3</v>
      </c>
      <c r="B6746">
        <v>93</v>
      </c>
      <c r="C6746" s="2" t="s">
        <v>135</v>
      </c>
      <c r="D6746">
        <v>93</v>
      </c>
    </row>
    <row r="6747" spans="1:4" hidden="1" x14ac:dyDescent="0.25">
      <c r="A6747" s="2" t="s">
        <v>3</v>
      </c>
      <c r="B6747">
        <v>93</v>
      </c>
      <c r="C6747" s="2" t="s">
        <v>136</v>
      </c>
      <c r="D6747">
        <v>93</v>
      </c>
    </row>
    <row r="6748" spans="1:4" hidden="1" x14ac:dyDescent="0.25">
      <c r="A6748" s="2" t="s">
        <v>3</v>
      </c>
      <c r="B6748">
        <v>93</v>
      </c>
      <c r="C6748" s="2" t="s">
        <v>137</v>
      </c>
      <c r="D6748">
        <v>93</v>
      </c>
    </row>
    <row r="6749" spans="1:4" hidden="1" x14ac:dyDescent="0.25">
      <c r="A6749" s="2" t="s">
        <v>3</v>
      </c>
      <c r="B6749">
        <v>93</v>
      </c>
      <c r="C6749" s="2" t="s">
        <v>138</v>
      </c>
      <c r="D6749">
        <v>93</v>
      </c>
    </row>
    <row r="6750" spans="1:4" hidden="1" x14ac:dyDescent="0.25">
      <c r="A6750" s="2" t="s">
        <v>3</v>
      </c>
      <c r="B6750">
        <v>93</v>
      </c>
      <c r="C6750" s="2" t="s">
        <v>139</v>
      </c>
      <c r="D6750">
        <v>93</v>
      </c>
    </row>
    <row r="6751" spans="1:4" hidden="1" x14ac:dyDescent="0.25">
      <c r="A6751" s="2" t="s">
        <v>3</v>
      </c>
      <c r="B6751">
        <v>93</v>
      </c>
      <c r="C6751" s="2" t="s">
        <v>140</v>
      </c>
      <c r="D6751">
        <v>93</v>
      </c>
    </row>
    <row r="6752" spans="1:4" hidden="1" x14ac:dyDescent="0.25">
      <c r="A6752" s="2" t="s">
        <v>3</v>
      </c>
      <c r="B6752">
        <v>93</v>
      </c>
      <c r="C6752" s="2" t="s">
        <v>141</v>
      </c>
      <c r="D6752">
        <v>93</v>
      </c>
    </row>
    <row r="6753" spans="1:4" hidden="1" x14ac:dyDescent="0.25">
      <c r="A6753" s="2" t="s">
        <v>3</v>
      </c>
      <c r="B6753">
        <v>93</v>
      </c>
      <c r="C6753" s="2" t="s">
        <v>142</v>
      </c>
      <c r="D6753">
        <v>93</v>
      </c>
    </row>
    <row r="6754" spans="1:4" hidden="1" x14ac:dyDescent="0.25">
      <c r="A6754" s="2" t="s">
        <v>3</v>
      </c>
      <c r="B6754">
        <v>93</v>
      </c>
      <c r="C6754" s="2" t="s">
        <v>143</v>
      </c>
      <c r="D6754">
        <v>93</v>
      </c>
    </row>
    <row r="6755" spans="1:4" hidden="1" x14ac:dyDescent="0.25">
      <c r="A6755" s="2" t="s">
        <v>3</v>
      </c>
      <c r="B6755">
        <v>93</v>
      </c>
      <c r="C6755" s="2" t="s">
        <v>144</v>
      </c>
      <c r="D6755">
        <v>93</v>
      </c>
    </row>
    <row r="6756" spans="1:4" hidden="1" x14ac:dyDescent="0.25">
      <c r="A6756" s="2" t="s">
        <v>3</v>
      </c>
      <c r="B6756">
        <v>93</v>
      </c>
      <c r="C6756" s="2" t="s">
        <v>145</v>
      </c>
      <c r="D6756">
        <v>93</v>
      </c>
    </row>
    <row r="6757" spans="1:4" hidden="1" x14ac:dyDescent="0.25">
      <c r="A6757" s="2" t="s">
        <v>3</v>
      </c>
      <c r="B6757">
        <v>93</v>
      </c>
      <c r="C6757" s="2" t="s">
        <v>146</v>
      </c>
      <c r="D6757">
        <v>93</v>
      </c>
    </row>
    <row r="6758" spans="1:4" hidden="1" x14ac:dyDescent="0.25">
      <c r="A6758" s="2" t="s">
        <v>3</v>
      </c>
      <c r="B6758">
        <v>93</v>
      </c>
      <c r="C6758" s="2" t="s">
        <v>147</v>
      </c>
      <c r="D6758">
        <v>93</v>
      </c>
    </row>
    <row r="6759" spans="1:4" hidden="1" x14ac:dyDescent="0.25">
      <c r="A6759" s="2" t="s">
        <v>3</v>
      </c>
      <c r="B6759">
        <v>93</v>
      </c>
      <c r="C6759" s="2" t="s">
        <v>148</v>
      </c>
      <c r="D6759">
        <v>93</v>
      </c>
    </row>
    <row r="6760" spans="1:4" hidden="1" x14ac:dyDescent="0.25">
      <c r="A6760" s="2" t="s">
        <v>3</v>
      </c>
      <c r="B6760">
        <v>93</v>
      </c>
      <c r="C6760" s="2" t="s">
        <v>149</v>
      </c>
      <c r="D6760">
        <v>93</v>
      </c>
    </row>
    <row r="6761" spans="1:4" hidden="1" x14ac:dyDescent="0.25">
      <c r="A6761" s="2" t="s">
        <v>3</v>
      </c>
      <c r="B6761">
        <v>93</v>
      </c>
      <c r="C6761" s="2" t="s">
        <v>150</v>
      </c>
      <c r="D6761">
        <v>93</v>
      </c>
    </row>
    <row r="6762" spans="1:4" hidden="1" x14ac:dyDescent="0.25">
      <c r="A6762" s="2" t="s">
        <v>3</v>
      </c>
      <c r="B6762">
        <v>93</v>
      </c>
      <c r="C6762" s="2" t="s">
        <v>151</v>
      </c>
      <c r="D6762">
        <v>93</v>
      </c>
    </row>
    <row r="6763" spans="1:4" hidden="1" x14ac:dyDescent="0.25">
      <c r="A6763" s="2" t="s">
        <v>3</v>
      </c>
      <c r="B6763">
        <v>93</v>
      </c>
      <c r="C6763" s="2" t="s">
        <v>152</v>
      </c>
      <c r="D6763">
        <v>93</v>
      </c>
    </row>
    <row r="6764" spans="1:4" hidden="1" x14ac:dyDescent="0.25">
      <c r="A6764" s="2" t="s">
        <v>3</v>
      </c>
      <c r="B6764">
        <v>93</v>
      </c>
      <c r="C6764" s="2" t="s">
        <v>153</v>
      </c>
      <c r="D6764">
        <v>93</v>
      </c>
    </row>
    <row r="6765" spans="1:4" hidden="1" x14ac:dyDescent="0.25">
      <c r="A6765" s="2" t="s">
        <v>3</v>
      </c>
      <c r="B6765">
        <v>93</v>
      </c>
      <c r="C6765" s="2" t="s">
        <v>154</v>
      </c>
      <c r="D6765">
        <v>93</v>
      </c>
    </row>
    <row r="6766" spans="1:4" hidden="1" x14ac:dyDescent="0.25">
      <c r="A6766" s="2" t="s">
        <v>3</v>
      </c>
      <c r="B6766">
        <v>93</v>
      </c>
      <c r="C6766" s="2" t="s">
        <v>155</v>
      </c>
      <c r="D6766">
        <v>93</v>
      </c>
    </row>
    <row r="6767" spans="1:4" hidden="1" x14ac:dyDescent="0.25">
      <c r="A6767" s="2" t="s">
        <v>3</v>
      </c>
      <c r="B6767">
        <v>93</v>
      </c>
      <c r="C6767" s="2" t="s">
        <v>156</v>
      </c>
      <c r="D6767">
        <v>93</v>
      </c>
    </row>
    <row r="6768" spans="1:4" hidden="1" x14ac:dyDescent="0.25">
      <c r="A6768" s="2" t="s">
        <v>3</v>
      </c>
      <c r="B6768">
        <v>93</v>
      </c>
      <c r="C6768" s="2" t="s">
        <v>157</v>
      </c>
      <c r="D6768">
        <v>93</v>
      </c>
    </row>
    <row r="6769" spans="1:4" hidden="1" x14ac:dyDescent="0.25">
      <c r="A6769" s="2" t="s">
        <v>3</v>
      </c>
      <c r="B6769">
        <v>93</v>
      </c>
      <c r="C6769" s="2" t="s">
        <v>158</v>
      </c>
      <c r="D6769">
        <v>93</v>
      </c>
    </row>
    <row r="6770" spans="1:4" hidden="1" x14ac:dyDescent="0.25">
      <c r="A6770" s="2" t="s">
        <v>3</v>
      </c>
      <c r="B6770">
        <v>93</v>
      </c>
      <c r="C6770" s="2" t="s">
        <v>159</v>
      </c>
      <c r="D6770">
        <v>93</v>
      </c>
    </row>
    <row r="6771" spans="1:4" hidden="1" x14ac:dyDescent="0.25">
      <c r="A6771" s="2" t="s">
        <v>3</v>
      </c>
      <c r="B6771">
        <v>93</v>
      </c>
      <c r="C6771" s="2" t="s">
        <v>160</v>
      </c>
      <c r="D6771">
        <v>93</v>
      </c>
    </row>
    <row r="6772" spans="1:4" hidden="1" x14ac:dyDescent="0.25">
      <c r="A6772" s="2" t="s">
        <v>3</v>
      </c>
      <c r="B6772">
        <v>93</v>
      </c>
      <c r="C6772" s="2" t="s">
        <v>161</v>
      </c>
      <c r="D6772">
        <v>93</v>
      </c>
    </row>
    <row r="6773" spans="1:4" hidden="1" x14ac:dyDescent="0.25">
      <c r="A6773" s="2" t="s">
        <v>3</v>
      </c>
      <c r="B6773">
        <v>93</v>
      </c>
      <c r="C6773" s="2" t="s">
        <v>162</v>
      </c>
      <c r="D6773">
        <v>93</v>
      </c>
    </row>
    <row r="6774" spans="1:4" hidden="1" x14ac:dyDescent="0.25">
      <c r="A6774" s="2" t="s">
        <v>3</v>
      </c>
      <c r="B6774">
        <v>93</v>
      </c>
      <c r="C6774" s="2" t="s">
        <v>163</v>
      </c>
      <c r="D6774">
        <v>93</v>
      </c>
    </row>
    <row r="6775" spans="1:4" hidden="1" x14ac:dyDescent="0.25">
      <c r="A6775" s="2" t="s">
        <v>3</v>
      </c>
      <c r="B6775">
        <v>93</v>
      </c>
      <c r="C6775" s="2" t="s">
        <v>164</v>
      </c>
      <c r="D6775">
        <v>93</v>
      </c>
    </row>
    <row r="6776" spans="1:4" hidden="1" x14ac:dyDescent="0.25">
      <c r="A6776" s="2" t="s">
        <v>3</v>
      </c>
      <c r="B6776">
        <v>93</v>
      </c>
      <c r="C6776" s="2" t="s">
        <v>165</v>
      </c>
      <c r="D6776">
        <v>93</v>
      </c>
    </row>
    <row r="6777" spans="1:4" hidden="1" x14ac:dyDescent="0.25">
      <c r="A6777" s="2" t="s">
        <v>3</v>
      </c>
      <c r="B6777">
        <v>93</v>
      </c>
      <c r="C6777" s="2" t="s">
        <v>166</v>
      </c>
      <c r="D6777">
        <v>93</v>
      </c>
    </row>
    <row r="6778" spans="1:4" hidden="1" x14ac:dyDescent="0.25">
      <c r="A6778" s="2" t="s">
        <v>3</v>
      </c>
      <c r="B6778">
        <v>93</v>
      </c>
      <c r="C6778" s="2" t="s">
        <v>167</v>
      </c>
      <c r="D6778">
        <v>93</v>
      </c>
    </row>
    <row r="6779" spans="1:4" hidden="1" x14ac:dyDescent="0.25">
      <c r="A6779" s="2" t="s">
        <v>3</v>
      </c>
      <c r="B6779">
        <v>93</v>
      </c>
      <c r="C6779" s="2" t="s">
        <v>168</v>
      </c>
      <c r="D6779">
        <v>93</v>
      </c>
    </row>
    <row r="6780" spans="1:4" hidden="1" x14ac:dyDescent="0.25">
      <c r="A6780" s="2" t="s">
        <v>3</v>
      </c>
      <c r="B6780">
        <v>93</v>
      </c>
      <c r="C6780" s="2" t="s">
        <v>169</v>
      </c>
      <c r="D6780">
        <v>93</v>
      </c>
    </row>
    <row r="6781" spans="1:4" hidden="1" x14ac:dyDescent="0.25">
      <c r="A6781" s="2" t="s">
        <v>3</v>
      </c>
      <c r="B6781">
        <v>93</v>
      </c>
      <c r="C6781" s="2" t="s">
        <v>170</v>
      </c>
      <c r="D6781">
        <v>93</v>
      </c>
    </row>
    <row r="6782" spans="1:4" hidden="1" x14ac:dyDescent="0.25">
      <c r="A6782" s="2" t="s">
        <v>3</v>
      </c>
      <c r="B6782">
        <v>93</v>
      </c>
      <c r="C6782" s="2" t="s">
        <v>171</v>
      </c>
      <c r="D6782">
        <v>93</v>
      </c>
    </row>
    <row r="6783" spans="1:4" hidden="1" x14ac:dyDescent="0.25">
      <c r="A6783" s="2" t="s">
        <v>3</v>
      </c>
      <c r="B6783">
        <v>93</v>
      </c>
      <c r="C6783" s="2" t="s">
        <v>172</v>
      </c>
      <c r="D6783">
        <v>93</v>
      </c>
    </row>
    <row r="6784" spans="1:4" hidden="1" x14ac:dyDescent="0.25">
      <c r="A6784" s="2" t="s">
        <v>3</v>
      </c>
      <c r="B6784">
        <v>93</v>
      </c>
      <c r="C6784" s="2" t="s">
        <v>173</v>
      </c>
      <c r="D6784">
        <v>93</v>
      </c>
    </row>
    <row r="6785" spans="1:4" hidden="1" x14ac:dyDescent="0.25">
      <c r="A6785" s="2" t="s">
        <v>3</v>
      </c>
      <c r="B6785">
        <v>93</v>
      </c>
      <c r="C6785" s="2" t="s">
        <v>174</v>
      </c>
      <c r="D6785">
        <v>93</v>
      </c>
    </row>
    <row r="6786" spans="1:4" hidden="1" x14ac:dyDescent="0.25">
      <c r="A6786" s="2" t="s">
        <v>3</v>
      </c>
      <c r="B6786">
        <v>93</v>
      </c>
      <c r="C6786" s="2" t="s">
        <v>175</v>
      </c>
      <c r="D6786">
        <v>93</v>
      </c>
    </row>
    <row r="6787" spans="1:4" hidden="1" x14ac:dyDescent="0.25">
      <c r="A6787" s="2" t="s">
        <v>3</v>
      </c>
      <c r="B6787">
        <v>93</v>
      </c>
      <c r="C6787" s="2" t="s">
        <v>176</v>
      </c>
      <c r="D6787">
        <v>93</v>
      </c>
    </row>
    <row r="6788" spans="1:4" hidden="1" x14ac:dyDescent="0.25">
      <c r="A6788" s="2" t="s">
        <v>3</v>
      </c>
      <c r="B6788">
        <v>93</v>
      </c>
      <c r="C6788" s="2" t="s">
        <v>177</v>
      </c>
      <c r="D6788">
        <v>93</v>
      </c>
    </row>
    <row r="6789" spans="1:4" hidden="1" x14ac:dyDescent="0.25">
      <c r="A6789" s="2" t="s">
        <v>3</v>
      </c>
      <c r="B6789">
        <v>93</v>
      </c>
      <c r="C6789" s="2" t="s">
        <v>178</v>
      </c>
      <c r="D6789">
        <v>93</v>
      </c>
    </row>
    <row r="6790" spans="1:4" hidden="1" x14ac:dyDescent="0.25">
      <c r="A6790" s="2" t="s">
        <v>3</v>
      </c>
      <c r="B6790">
        <v>93</v>
      </c>
      <c r="C6790" s="2" t="s">
        <v>179</v>
      </c>
      <c r="D6790">
        <v>93</v>
      </c>
    </row>
    <row r="6791" spans="1:4" hidden="1" x14ac:dyDescent="0.25">
      <c r="A6791" s="2" t="s">
        <v>65</v>
      </c>
      <c r="B6791">
        <v>93</v>
      </c>
      <c r="C6791" s="2" t="s">
        <v>183</v>
      </c>
      <c r="D6791">
        <v>78</v>
      </c>
    </row>
    <row r="6792" spans="1:4" hidden="1" x14ac:dyDescent="0.25">
      <c r="A6792" s="2" t="s">
        <v>65</v>
      </c>
      <c r="B6792">
        <v>93</v>
      </c>
      <c r="C6792" s="2" t="s">
        <v>184</v>
      </c>
      <c r="D6792">
        <v>77</v>
      </c>
    </row>
    <row r="6793" spans="1:4" hidden="1" x14ac:dyDescent="0.25">
      <c r="A6793" s="2" t="s">
        <v>65</v>
      </c>
      <c r="B6793">
        <v>93</v>
      </c>
      <c r="C6793" s="2" t="s">
        <v>185</v>
      </c>
      <c r="D6793">
        <v>61</v>
      </c>
    </row>
    <row r="6794" spans="1:4" hidden="1" x14ac:dyDescent="0.25">
      <c r="A6794" s="2" t="s">
        <v>65</v>
      </c>
      <c r="B6794">
        <v>93</v>
      </c>
      <c r="C6794" s="2" t="s">
        <v>186</v>
      </c>
      <c r="D6794">
        <v>32</v>
      </c>
    </row>
    <row r="6795" spans="1:4" hidden="1" x14ac:dyDescent="0.25">
      <c r="A6795" s="2" t="s">
        <v>65</v>
      </c>
      <c r="B6795">
        <v>93</v>
      </c>
      <c r="C6795" s="2" t="s">
        <v>187</v>
      </c>
      <c r="D6795">
        <v>32</v>
      </c>
    </row>
    <row r="6796" spans="1:4" hidden="1" x14ac:dyDescent="0.25">
      <c r="A6796" s="2" t="s">
        <v>65</v>
      </c>
      <c r="B6796">
        <v>93</v>
      </c>
      <c r="C6796" s="2" t="s">
        <v>188</v>
      </c>
      <c r="D6796">
        <v>33</v>
      </c>
    </row>
    <row r="6797" spans="1:4" hidden="1" x14ac:dyDescent="0.25">
      <c r="A6797" s="2" t="s">
        <v>65</v>
      </c>
      <c r="B6797">
        <v>93</v>
      </c>
      <c r="C6797" s="2" t="s">
        <v>189</v>
      </c>
      <c r="D6797">
        <v>42</v>
      </c>
    </row>
    <row r="6798" spans="1:4" hidden="1" x14ac:dyDescent="0.25">
      <c r="A6798" s="2" t="s">
        <v>65</v>
      </c>
      <c r="B6798">
        <v>93</v>
      </c>
      <c r="C6798" s="2" t="s">
        <v>190</v>
      </c>
      <c r="D6798">
        <v>38</v>
      </c>
    </row>
    <row r="6799" spans="1:4" hidden="1" x14ac:dyDescent="0.25">
      <c r="A6799" s="2" t="s">
        <v>65</v>
      </c>
      <c r="B6799">
        <v>93</v>
      </c>
      <c r="C6799" s="2" t="s">
        <v>191</v>
      </c>
      <c r="D6799">
        <v>40</v>
      </c>
    </row>
    <row r="6800" spans="1:4" hidden="1" x14ac:dyDescent="0.25">
      <c r="A6800" s="2" t="s">
        <v>65</v>
      </c>
      <c r="B6800">
        <v>93</v>
      </c>
      <c r="C6800" s="2" t="s">
        <v>116</v>
      </c>
      <c r="D6800">
        <v>41</v>
      </c>
    </row>
    <row r="6801" spans="1:4" hidden="1" x14ac:dyDescent="0.25">
      <c r="A6801" s="2" t="s">
        <v>65</v>
      </c>
      <c r="B6801">
        <v>93</v>
      </c>
      <c r="C6801" s="2" t="s">
        <v>117</v>
      </c>
      <c r="D6801">
        <v>39</v>
      </c>
    </row>
    <row r="6802" spans="1:4" hidden="1" x14ac:dyDescent="0.25">
      <c r="A6802" s="2" t="s">
        <v>65</v>
      </c>
      <c r="B6802">
        <v>93</v>
      </c>
      <c r="C6802" s="2" t="s">
        <v>118</v>
      </c>
      <c r="D6802">
        <v>40</v>
      </c>
    </row>
    <row r="6803" spans="1:4" hidden="1" x14ac:dyDescent="0.25">
      <c r="A6803" s="2" t="s">
        <v>65</v>
      </c>
      <c r="B6803">
        <v>93</v>
      </c>
      <c r="C6803" s="2" t="s">
        <v>119</v>
      </c>
      <c r="D6803">
        <v>56</v>
      </c>
    </row>
    <row r="6804" spans="1:4" hidden="1" x14ac:dyDescent="0.25">
      <c r="A6804" s="2" t="s">
        <v>65</v>
      </c>
      <c r="B6804">
        <v>93</v>
      </c>
      <c r="C6804" s="2" t="s">
        <v>120</v>
      </c>
      <c r="D6804">
        <v>68</v>
      </c>
    </row>
    <row r="6805" spans="1:4" hidden="1" x14ac:dyDescent="0.25">
      <c r="A6805" s="2" t="s">
        <v>65</v>
      </c>
      <c r="B6805">
        <v>93</v>
      </c>
      <c r="C6805" s="2" t="s">
        <v>121</v>
      </c>
      <c r="D6805">
        <v>66</v>
      </c>
    </row>
    <row r="6806" spans="1:4" hidden="1" x14ac:dyDescent="0.25">
      <c r="A6806" s="2" t="s">
        <v>65</v>
      </c>
      <c r="B6806">
        <v>93</v>
      </c>
      <c r="C6806" s="2" t="s">
        <v>122</v>
      </c>
      <c r="D6806">
        <v>93</v>
      </c>
    </row>
    <row r="6807" spans="1:4" hidden="1" x14ac:dyDescent="0.25">
      <c r="A6807" s="2" t="s">
        <v>65</v>
      </c>
      <c r="B6807">
        <v>93</v>
      </c>
      <c r="C6807" s="2" t="s">
        <v>123</v>
      </c>
      <c r="D6807">
        <v>97</v>
      </c>
    </row>
    <row r="6808" spans="1:4" hidden="1" x14ac:dyDescent="0.25">
      <c r="A6808" s="2" t="s">
        <v>65</v>
      </c>
      <c r="B6808">
        <v>93</v>
      </c>
      <c r="C6808" s="2" t="s">
        <v>124</v>
      </c>
      <c r="D6808">
        <v>99</v>
      </c>
    </row>
    <row r="6809" spans="1:4" hidden="1" x14ac:dyDescent="0.25">
      <c r="A6809" s="2" t="s">
        <v>65</v>
      </c>
      <c r="B6809">
        <v>93</v>
      </c>
      <c r="C6809" s="2" t="s">
        <v>125</v>
      </c>
      <c r="D6809">
        <v>106</v>
      </c>
    </row>
    <row r="6810" spans="1:4" hidden="1" x14ac:dyDescent="0.25">
      <c r="A6810" s="2" t="s">
        <v>65</v>
      </c>
      <c r="B6810">
        <v>93</v>
      </c>
      <c r="C6810" s="2" t="s">
        <v>126</v>
      </c>
      <c r="D6810">
        <v>105</v>
      </c>
    </row>
    <row r="6811" spans="1:4" hidden="1" x14ac:dyDescent="0.25">
      <c r="A6811" s="2" t="s">
        <v>65</v>
      </c>
      <c r="B6811">
        <v>93</v>
      </c>
      <c r="C6811" s="2" t="s">
        <v>127</v>
      </c>
      <c r="D6811">
        <v>108</v>
      </c>
    </row>
    <row r="6812" spans="1:4" hidden="1" x14ac:dyDescent="0.25">
      <c r="A6812" s="2" t="s">
        <v>65</v>
      </c>
      <c r="B6812">
        <v>93</v>
      </c>
      <c r="C6812" s="2" t="s">
        <v>128</v>
      </c>
      <c r="D6812">
        <v>104</v>
      </c>
    </row>
    <row r="6813" spans="1:4" hidden="1" x14ac:dyDescent="0.25">
      <c r="A6813" s="2" t="s">
        <v>65</v>
      </c>
      <c r="B6813">
        <v>93</v>
      </c>
      <c r="C6813" s="2" t="s">
        <v>129</v>
      </c>
      <c r="D6813">
        <v>102</v>
      </c>
    </row>
    <row r="6814" spans="1:4" hidden="1" x14ac:dyDescent="0.25">
      <c r="A6814" s="2" t="s">
        <v>65</v>
      </c>
      <c r="B6814">
        <v>93</v>
      </c>
      <c r="C6814" s="2" t="s">
        <v>130</v>
      </c>
      <c r="D6814">
        <v>100</v>
      </c>
    </row>
    <row r="6815" spans="1:4" hidden="1" x14ac:dyDescent="0.25">
      <c r="A6815" s="2" t="s">
        <v>65</v>
      </c>
      <c r="B6815">
        <v>93</v>
      </c>
      <c r="C6815" s="2" t="s">
        <v>131</v>
      </c>
      <c r="D6815">
        <v>104</v>
      </c>
    </row>
    <row r="6816" spans="1:4" hidden="1" x14ac:dyDescent="0.25">
      <c r="A6816" s="2" t="s">
        <v>65</v>
      </c>
      <c r="B6816">
        <v>93</v>
      </c>
      <c r="C6816" s="2" t="s">
        <v>132</v>
      </c>
      <c r="D6816">
        <v>97</v>
      </c>
    </row>
    <row r="6817" spans="1:4" hidden="1" x14ac:dyDescent="0.25">
      <c r="A6817" s="2" t="s">
        <v>65</v>
      </c>
      <c r="B6817">
        <v>93</v>
      </c>
      <c r="C6817" s="2" t="s">
        <v>133</v>
      </c>
      <c r="D6817">
        <v>97</v>
      </c>
    </row>
    <row r="6818" spans="1:4" hidden="1" x14ac:dyDescent="0.25">
      <c r="A6818" s="2" t="s">
        <v>65</v>
      </c>
      <c r="B6818">
        <v>93</v>
      </c>
      <c r="C6818" s="2" t="s">
        <v>134</v>
      </c>
      <c r="D6818">
        <v>95</v>
      </c>
    </row>
    <row r="6819" spans="1:4" hidden="1" x14ac:dyDescent="0.25">
      <c r="A6819" s="2" t="s">
        <v>65</v>
      </c>
      <c r="B6819">
        <v>93</v>
      </c>
      <c r="C6819" s="2" t="s">
        <v>135</v>
      </c>
      <c r="D6819">
        <v>93</v>
      </c>
    </row>
    <row r="6820" spans="1:4" hidden="1" x14ac:dyDescent="0.25">
      <c r="A6820" s="2" t="s">
        <v>65</v>
      </c>
      <c r="B6820">
        <v>93</v>
      </c>
      <c r="C6820" s="2" t="s">
        <v>136</v>
      </c>
      <c r="D6820">
        <v>93</v>
      </c>
    </row>
    <row r="6821" spans="1:4" hidden="1" x14ac:dyDescent="0.25">
      <c r="A6821" s="2" t="s">
        <v>65</v>
      </c>
      <c r="B6821">
        <v>93</v>
      </c>
      <c r="C6821" s="2" t="s">
        <v>137</v>
      </c>
      <c r="D6821">
        <v>93</v>
      </c>
    </row>
    <row r="6822" spans="1:4" hidden="1" x14ac:dyDescent="0.25">
      <c r="A6822" s="2" t="s">
        <v>65</v>
      </c>
      <c r="B6822">
        <v>93</v>
      </c>
      <c r="C6822" s="2" t="s">
        <v>138</v>
      </c>
      <c r="D6822">
        <v>93</v>
      </c>
    </row>
    <row r="6823" spans="1:4" hidden="1" x14ac:dyDescent="0.25">
      <c r="A6823" s="2" t="s">
        <v>65</v>
      </c>
      <c r="B6823">
        <v>93</v>
      </c>
      <c r="C6823" s="2" t="s">
        <v>139</v>
      </c>
      <c r="D6823">
        <v>93</v>
      </c>
    </row>
    <row r="6824" spans="1:4" hidden="1" x14ac:dyDescent="0.25">
      <c r="A6824" s="2" t="s">
        <v>65</v>
      </c>
      <c r="B6824">
        <v>93</v>
      </c>
      <c r="C6824" s="2" t="s">
        <v>140</v>
      </c>
      <c r="D6824">
        <v>93</v>
      </c>
    </row>
    <row r="6825" spans="1:4" hidden="1" x14ac:dyDescent="0.25">
      <c r="A6825" s="2" t="s">
        <v>65</v>
      </c>
      <c r="B6825">
        <v>93</v>
      </c>
      <c r="C6825" s="2" t="s">
        <v>141</v>
      </c>
      <c r="D6825">
        <v>93</v>
      </c>
    </row>
    <row r="6826" spans="1:4" hidden="1" x14ac:dyDescent="0.25">
      <c r="A6826" s="2" t="s">
        <v>65</v>
      </c>
      <c r="B6826">
        <v>93</v>
      </c>
      <c r="C6826" s="2" t="s">
        <v>142</v>
      </c>
      <c r="D6826">
        <v>93</v>
      </c>
    </row>
    <row r="6827" spans="1:4" hidden="1" x14ac:dyDescent="0.25">
      <c r="A6827" s="2" t="s">
        <v>65</v>
      </c>
      <c r="B6827">
        <v>93</v>
      </c>
      <c r="C6827" s="2" t="s">
        <v>143</v>
      </c>
      <c r="D6827">
        <v>93</v>
      </c>
    </row>
    <row r="6828" spans="1:4" hidden="1" x14ac:dyDescent="0.25">
      <c r="A6828" s="2" t="s">
        <v>65</v>
      </c>
      <c r="B6828">
        <v>93</v>
      </c>
      <c r="C6828" s="2" t="s">
        <v>144</v>
      </c>
      <c r="D6828">
        <v>93</v>
      </c>
    </row>
    <row r="6829" spans="1:4" hidden="1" x14ac:dyDescent="0.25">
      <c r="A6829" s="2" t="s">
        <v>65</v>
      </c>
      <c r="B6829">
        <v>93</v>
      </c>
      <c r="C6829" s="2" t="s">
        <v>145</v>
      </c>
      <c r="D6829">
        <v>93</v>
      </c>
    </row>
    <row r="6830" spans="1:4" hidden="1" x14ac:dyDescent="0.25">
      <c r="A6830" s="2" t="s">
        <v>65</v>
      </c>
      <c r="B6830">
        <v>93</v>
      </c>
      <c r="C6830" s="2" t="s">
        <v>146</v>
      </c>
      <c r="D6830">
        <v>93</v>
      </c>
    </row>
    <row r="6831" spans="1:4" hidden="1" x14ac:dyDescent="0.25">
      <c r="A6831" s="2" t="s">
        <v>65</v>
      </c>
      <c r="B6831">
        <v>93</v>
      </c>
      <c r="C6831" s="2" t="s">
        <v>147</v>
      </c>
      <c r="D6831">
        <v>93</v>
      </c>
    </row>
    <row r="6832" spans="1:4" hidden="1" x14ac:dyDescent="0.25">
      <c r="A6832" s="2" t="s">
        <v>65</v>
      </c>
      <c r="B6832">
        <v>93</v>
      </c>
      <c r="C6832" s="2" t="s">
        <v>148</v>
      </c>
      <c r="D6832">
        <v>93</v>
      </c>
    </row>
    <row r="6833" spans="1:4" hidden="1" x14ac:dyDescent="0.25">
      <c r="A6833" s="2" t="s">
        <v>65</v>
      </c>
      <c r="B6833">
        <v>93</v>
      </c>
      <c r="C6833" s="2" t="s">
        <v>149</v>
      </c>
      <c r="D6833">
        <v>93</v>
      </c>
    </row>
    <row r="6834" spans="1:4" hidden="1" x14ac:dyDescent="0.25">
      <c r="A6834" s="2" t="s">
        <v>65</v>
      </c>
      <c r="B6834">
        <v>93</v>
      </c>
      <c r="C6834" s="2" t="s">
        <v>150</v>
      </c>
      <c r="D6834">
        <v>93</v>
      </c>
    </row>
    <row r="6835" spans="1:4" hidden="1" x14ac:dyDescent="0.25">
      <c r="A6835" s="2" t="s">
        <v>65</v>
      </c>
      <c r="B6835">
        <v>93</v>
      </c>
      <c r="C6835" s="2" t="s">
        <v>151</v>
      </c>
      <c r="D6835">
        <v>93</v>
      </c>
    </row>
    <row r="6836" spans="1:4" hidden="1" x14ac:dyDescent="0.25">
      <c r="A6836" s="2" t="s">
        <v>65</v>
      </c>
      <c r="B6836">
        <v>93</v>
      </c>
      <c r="C6836" s="2" t="s">
        <v>152</v>
      </c>
      <c r="D6836">
        <v>93</v>
      </c>
    </row>
    <row r="6837" spans="1:4" hidden="1" x14ac:dyDescent="0.25">
      <c r="A6837" s="2" t="s">
        <v>65</v>
      </c>
      <c r="B6837">
        <v>93</v>
      </c>
      <c r="C6837" s="2" t="s">
        <v>153</v>
      </c>
      <c r="D6837">
        <v>93</v>
      </c>
    </row>
    <row r="6838" spans="1:4" hidden="1" x14ac:dyDescent="0.25">
      <c r="A6838" s="2" t="s">
        <v>65</v>
      </c>
      <c r="B6838">
        <v>93</v>
      </c>
      <c r="C6838" s="2" t="s">
        <v>154</v>
      </c>
      <c r="D6838">
        <v>93</v>
      </c>
    </row>
    <row r="6839" spans="1:4" hidden="1" x14ac:dyDescent="0.25">
      <c r="A6839" s="2" t="s">
        <v>65</v>
      </c>
      <c r="B6839">
        <v>93</v>
      </c>
      <c r="C6839" s="2" t="s">
        <v>155</v>
      </c>
      <c r="D6839">
        <v>93</v>
      </c>
    </row>
    <row r="6840" spans="1:4" hidden="1" x14ac:dyDescent="0.25">
      <c r="A6840" s="2" t="s">
        <v>65</v>
      </c>
      <c r="B6840">
        <v>93</v>
      </c>
      <c r="C6840" s="2" t="s">
        <v>156</v>
      </c>
      <c r="D6840">
        <v>93</v>
      </c>
    </row>
    <row r="6841" spans="1:4" hidden="1" x14ac:dyDescent="0.25">
      <c r="A6841" s="2" t="s">
        <v>65</v>
      </c>
      <c r="B6841">
        <v>93</v>
      </c>
      <c r="C6841" s="2" t="s">
        <v>157</v>
      </c>
      <c r="D6841">
        <v>93</v>
      </c>
    </row>
    <row r="6842" spans="1:4" hidden="1" x14ac:dyDescent="0.25">
      <c r="A6842" s="2" t="s">
        <v>65</v>
      </c>
      <c r="B6842">
        <v>93</v>
      </c>
      <c r="C6842" s="2" t="s">
        <v>158</v>
      </c>
      <c r="D6842">
        <v>93</v>
      </c>
    </row>
    <row r="6843" spans="1:4" hidden="1" x14ac:dyDescent="0.25">
      <c r="A6843" s="2" t="s">
        <v>65</v>
      </c>
      <c r="B6843">
        <v>93</v>
      </c>
      <c r="C6843" s="2" t="s">
        <v>159</v>
      </c>
      <c r="D6843">
        <v>93</v>
      </c>
    </row>
    <row r="6844" spans="1:4" hidden="1" x14ac:dyDescent="0.25">
      <c r="A6844" s="2" t="s">
        <v>65</v>
      </c>
      <c r="B6844">
        <v>93</v>
      </c>
      <c r="C6844" s="2" t="s">
        <v>160</v>
      </c>
      <c r="D6844">
        <v>93</v>
      </c>
    </row>
    <row r="6845" spans="1:4" hidden="1" x14ac:dyDescent="0.25">
      <c r="A6845" s="2" t="s">
        <v>65</v>
      </c>
      <c r="B6845">
        <v>93</v>
      </c>
      <c r="C6845" s="2" t="s">
        <v>161</v>
      </c>
      <c r="D6845">
        <v>93</v>
      </c>
    </row>
    <row r="6846" spans="1:4" hidden="1" x14ac:dyDescent="0.25">
      <c r="A6846" s="2" t="s">
        <v>65</v>
      </c>
      <c r="B6846">
        <v>93</v>
      </c>
      <c r="C6846" s="2" t="s">
        <v>162</v>
      </c>
      <c r="D6846">
        <v>93</v>
      </c>
    </row>
    <row r="6847" spans="1:4" hidden="1" x14ac:dyDescent="0.25">
      <c r="A6847" s="2" t="s">
        <v>65</v>
      </c>
      <c r="B6847">
        <v>93</v>
      </c>
      <c r="C6847" s="2" t="s">
        <v>163</v>
      </c>
      <c r="D6847">
        <v>93</v>
      </c>
    </row>
    <row r="6848" spans="1:4" hidden="1" x14ac:dyDescent="0.25">
      <c r="A6848" s="2" t="s">
        <v>65</v>
      </c>
      <c r="B6848">
        <v>93</v>
      </c>
      <c r="C6848" s="2" t="s">
        <v>164</v>
      </c>
      <c r="D6848">
        <v>93</v>
      </c>
    </row>
    <row r="6849" spans="1:4" hidden="1" x14ac:dyDescent="0.25">
      <c r="A6849" s="2" t="s">
        <v>65</v>
      </c>
      <c r="B6849">
        <v>93</v>
      </c>
      <c r="C6849" s="2" t="s">
        <v>165</v>
      </c>
      <c r="D6849">
        <v>93</v>
      </c>
    </row>
    <row r="6850" spans="1:4" hidden="1" x14ac:dyDescent="0.25">
      <c r="A6850" s="2" t="s">
        <v>65</v>
      </c>
      <c r="B6850">
        <v>93</v>
      </c>
      <c r="C6850" s="2" t="s">
        <v>166</v>
      </c>
      <c r="D6850">
        <v>93</v>
      </c>
    </row>
    <row r="6851" spans="1:4" hidden="1" x14ac:dyDescent="0.25">
      <c r="A6851" s="2" t="s">
        <v>65</v>
      </c>
      <c r="B6851">
        <v>93</v>
      </c>
      <c r="C6851" s="2" t="s">
        <v>167</v>
      </c>
      <c r="D6851">
        <v>93</v>
      </c>
    </row>
    <row r="6852" spans="1:4" hidden="1" x14ac:dyDescent="0.25">
      <c r="A6852" s="2" t="s">
        <v>65</v>
      </c>
      <c r="B6852">
        <v>93</v>
      </c>
      <c r="C6852" s="2" t="s">
        <v>168</v>
      </c>
      <c r="D6852">
        <v>93</v>
      </c>
    </row>
    <row r="6853" spans="1:4" hidden="1" x14ac:dyDescent="0.25">
      <c r="A6853" s="2" t="s">
        <v>65</v>
      </c>
      <c r="B6853">
        <v>93</v>
      </c>
      <c r="C6853" s="2" t="s">
        <v>169</v>
      </c>
      <c r="D6853">
        <v>93</v>
      </c>
    </row>
    <row r="6854" spans="1:4" hidden="1" x14ac:dyDescent="0.25">
      <c r="A6854" s="2" t="s">
        <v>65</v>
      </c>
      <c r="B6854">
        <v>93</v>
      </c>
      <c r="C6854" s="2" t="s">
        <v>170</v>
      </c>
      <c r="D6854">
        <v>93</v>
      </c>
    </row>
    <row r="6855" spans="1:4" hidden="1" x14ac:dyDescent="0.25">
      <c r="A6855" s="2" t="s">
        <v>65</v>
      </c>
      <c r="B6855">
        <v>93</v>
      </c>
      <c r="C6855" s="2" t="s">
        <v>171</v>
      </c>
      <c r="D6855">
        <v>93</v>
      </c>
    </row>
    <row r="6856" spans="1:4" hidden="1" x14ac:dyDescent="0.25">
      <c r="A6856" s="2" t="s">
        <v>65</v>
      </c>
      <c r="B6856">
        <v>93</v>
      </c>
      <c r="C6856" s="2" t="s">
        <v>172</v>
      </c>
      <c r="D6856">
        <v>93</v>
      </c>
    </row>
    <row r="6857" spans="1:4" hidden="1" x14ac:dyDescent="0.25">
      <c r="A6857" s="2" t="s">
        <v>65</v>
      </c>
      <c r="B6857">
        <v>93</v>
      </c>
      <c r="C6857" s="2" t="s">
        <v>173</v>
      </c>
      <c r="D6857">
        <v>93</v>
      </c>
    </row>
    <row r="6858" spans="1:4" hidden="1" x14ac:dyDescent="0.25">
      <c r="A6858" s="2" t="s">
        <v>65</v>
      </c>
      <c r="B6858">
        <v>93</v>
      </c>
      <c r="C6858" s="2" t="s">
        <v>174</v>
      </c>
      <c r="D6858">
        <v>93</v>
      </c>
    </row>
    <row r="6859" spans="1:4" hidden="1" x14ac:dyDescent="0.25">
      <c r="A6859" s="2" t="s">
        <v>65</v>
      </c>
      <c r="B6859">
        <v>93</v>
      </c>
      <c r="C6859" s="2" t="s">
        <v>175</v>
      </c>
      <c r="D6859">
        <v>93</v>
      </c>
    </row>
    <row r="6860" spans="1:4" hidden="1" x14ac:dyDescent="0.25">
      <c r="A6860" s="2" t="s">
        <v>65</v>
      </c>
      <c r="B6860">
        <v>93</v>
      </c>
      <c r="C6860" s="2" t="s">
        <v>176</v>
      </c>
      <c r="D6860">
        <v>93</v>
      </c>
    </row>
    <row r="6861" spans="1:4" hidden="1" x14ac:dyDescent="0.25">
      <c r="A6861" s="2" t="s">
        <v>65</v>
      </c>
      <c r="B6861">
        <v>93</v>
      </c>
      <c r="C6861" s="2" t="s">
        <v>177</v>
      </c>
      <c r="D6861">
        <v>93</v>
      </c>
    </row>
    <row r="6862" spans="1:4" hidden="1" x14ac:dyDescent="0.25">
      <c r="A6862" s="2" t="s">
        <v>65</v>
      </c>
      <c r="B6862">
        <v>93</v>
      </c>
      <c r="C6862" s="2" t="s">
        <v>178</v>
      </c>
      <c r="D6862">
        <v>93</v>
      </c>
    </row>
    <row r="6863" spans="1:4" hidden="1" x14ac:dyDescent="0.25">
      <c r="A6863" s="2" t="s">
        <v>65</v>
      </c>
      <c r="B6863">
        <v>93</v>
      </c>
      <c r="C6863" s="2" t="s">
        <v>179</v>
      </c>
      <c r="D6863">
        <v>93</v>
      </c>
    </row>
    <row r="6864" spans="1:4" hidden="1" x14ac:dyDescent="0.25">
      <c r="A6864" s="2" t="s">
        <v>68</v>
      </c>
      <c r="B6864">
        <v>95</v>
      </c>
      <c r="C6864" s="2" t="s">
        <v>183</v>
      </c>
      <c r="D6864">
        <v>78</v>
      </c>
    </row>
    <row r="6865" spans="1:4" hidden="1" x14ac:dyDescent="0.25">
      <c r="A6865" s="2" t="s">
        <v>68</v>
      </c>
      <c r="B6865">
        <v>95</v>
      </c>
      <c r="C6865" s="2" t="s">
        <v>184</v>
      </c>
      <c r="D6865">
        <v>77</v>
      </c>
    </row>
    <row r="6866" spans="1:4" hidden="1" x14ac:dyDescent="0.25">
      <c r="A6866" s="2" t="s">
        <v>68</v>
      </c>
      <c r="B6866">
        <v>95</v>
      </c>
      <c r="C6866" s="2" t="s">
        <v>185</v>
      </c>
      <c r="D6866">
        <v>110</v>
      </c>
    </row>
    <row r="6867" spans="1:4" hidden="1" x14ac:dyDescent="0.25">
      <c r="A6867" s="2" t="s">
        <v>68</v>
      </c>
      <c r="B6867">
        <v>95</v>
      </c>
      <c r="C6867" s="2" t="s">
        <v>186</v>
      </c>
      <c r="D6867">
        <v>110</v>
      </c>
    </row>
    <row r="6868" spans="1:4" hidden="1" x14ac:dyDescent="0.25">
      <c r="A6868" s="2" t="s">
        <v>68</v>
      </c>
      <c r="B6868">
        <v>95</v>
      </c>
      <c r="C6868" s="2" t="s">
        <v>187</v>
      </c>
      <c r="D6868">
        <v>110</v>
      </c>
    </row>
    <row r="6869" spans="1:4" hidden="1" x14ac:dyDescent="0.25">
      <c r="A6869" s="2" t="s">
        <v>68</v>
      </c>
      <c r="B6869">
        <v>95</v>
      </c>
      <c r="C6869" s="2" t="s">
        <v>188</v>
      </c>
      <c r="D6869">
        <v>113</v>
      </c>
    </row>
    <row r="6870" spans="1:4" hidden="1" x14ac:dyDescent="0.25">
      <c r="A6870" s="2" t="s">
        <v>68</v>
      </c>
      <c r="B6870">
        <v>95</v>
      </c>
      <c r="C6870" s="2" t="s">
        <v>189</v>
      </c>
      <c r="D6870">
        <v>114</v>
      </c>
    </row>
    <row r="6871" spans="1:4" hidden="1" x14ac:dyDescent="0.25">
      <c r="A6871" s="2" t="s">
        <v>68</v>
      </c>
      <c r="B6871">
        <v>95</v>
      </c>
      <c r="C6871" s="2" t="s">
        <v>190</v>
      </c>
      <c r="D6871">
        <v>114</v>
      </c>
    </row>
    <row r="6872" spans="1:4" hidden="1" x14ac:dyDescent="0.25">
      <c r="A6872" s="2" t="s">
        <v>68</v>
      </c>
      <c r="B6872">
        <v>95</v>
      </c>
      <c r="C6872" s="2" t="s">
        <v>191</v>
      </c>
      <c r="D6872">
        <v>114</v>
      </c>
    </row>
    <row r="6873" spans="1:4" hidden="1" x14ac:dyDescent="0.25">
      <c r="A6873" s="2" t="s">
        <v>68</v>
      </c>
      <c r="B6873">
        <v>95</v>
      </c>
      <c r="C6873" s="2" t="s">
        <v>116</v>
      </c>
      <c r="D6873">
        <v>114</v>
      </c>
    </row>
    <row r="6874" spans="1:4" hidden="1" x14ac:dyDescent="0.25">
      <c r="A6874" s="2" t="s">
        <v>68</v>
      </c>
      <c r="B6874">
        <v>95</v>
      </c>
      <c r="C6874" s="2" t="s">
        <v>117</v>
      </c>
      <c r="D6874">
        <v>114</v>
      </c>
    </row>
    <row r="6875" spans="1:4" hidden="1" x14ac:dyDescent="0.25">
      <c r="A6875" s="2" t="s">
        <v>68</v>
      </c>
      <c r="B6875">
        <v>95</v>
      </c>
      <c r="C6875" s="2" t="s">
        <v>118</v>
      </c>
      <c r="D6875">
        <v>114</v>
      </c>
    </row>
    <row r="6876" spans="1:4" hidden="1" x14ac:dyDescent="0.25">
      <c r="A6876" s="2" t="s">
        <v>68</v>
      </c>
      <c r="B6876">
        <v>95</v>
      </c>
      <c r="C6876" s="2" t="s">
        <v>119</v>
      </c>
      <c r="D6876">
        <v>109</v>
      </c>
    </row>
    <row r="6877" spans="1:4" hidden="1" x14ac:dyDescent="0.25">
      <c r="A6877" s="2" t="s">
        <v>68</v>
      </c>
      <c r="B6877">
        <v>95</v>
      </c>
      <c r="C6877" s="2" t="s">
        <v>120</v>
      </c>
      <c r="D6877">
        <v>109</v>
      </c>
    </row>
    <row r="6878" spans="1:4" hidden="1" x14ac:dyDescent="0.25">
      <c r="A6878" s="2" t="s">
        <v>68</v>
      </c>
      <c r="B6878">
        <v>95</v>
      </c>
      <c r="C6878" s="2" t="s">
        <v>121</v>
      </c>
      <c r="D6878">
        <v>108</v>
      </c>
    </row>
    <row r="6879" spans="1:4" hidden="1" x14ac:dyDescent="0.25">
      <c r="A6879" s="2" t="s">
        <v>68</v>
      </c>
      <c r="B6879">
        <v>95</v>
      </c>
      <c r="C6879" s="2" t="s">
        <v>122</v>
      </c>
      <c r="D6879">
        <v>103</v>
      </c>
    </row>
    <row r="6880" spans="1:4" hidden="1" x14ac:dyDescent="0.25">
      <c r="A6880" s="2" t="s">
        <v>68</v>
      </c>
      <c r="B6880">
        <v>95</v>
      </c>
      <c r="C6880" s="2" t="s">
        <v>123</v>
      </c>
      <c r="D6880">
        <v>87</v>
      </c>
    </row>
    <row r="6881" spans="1:4" hidden="1" x14ac:dyDescent="0.25">
      <c r="A6881" s="2" t="s">
        <v>68</v>
      </c>
      <c r="B6881">
        <v>95</v>
      </c>
      <c r="C6881" s="2" t="s">
        <v>124</v>
      </c>
      <c r="D6881">
        <v>90</v>
      </c>
    </row>
    <row r="6882" spans="1:4" hidden="1" x14ac:dyDescent="0.25">
      <c r="A6882" s="2" t="s">
        <v>68</v>
      </c>
      <c r="B6882">
        <v>95</v>
      </c>
      <c r="C6882" s="2" t="s">
        <v>125</v>
      </c>
      <c r="D6882">
        <v>82</v>
      </c>
    </row>
    <row r="6883" spans="1:4" hidden="1" x14ac:dyDescent="0.25">
      <c r="A6883" s="2" t="s">
        <v>68</v>
      </c>
      <c r="B6883">
        <v>95</v>
      </c>
      <c r="C6883" s="2" t="s">
        <v>126</v>
      </c>
      <c r="D6883">
        <v>85</v>
      </c>
    </row>
    <row r="6884" spans="1:4" hidden="1" x14ac:dyDescent="0.25">
      <c r="A6884" s="2" t="s">
        <v>68</v>
      </c>
      <c r="B6884">
        <v>95</v>
      </c>
      <c r="C6884" s="2" t="s">
        <v>127</v>
      </c>
      <c r="D6884">
        <v>76</v>
      </c>
    </row>
    <row r="6885" spans="1:4" hidden="1" x14ac:dyDescent="0.25">
      <c r="A6885" s="2" t="s">
        <v>68</v>
      </c>
      <c r="B6885">
        <v>95</v>
      </c>
      <c r="C6885" s="2" t="s">
        <v>128</v>
      </c>
      <c r="D6885">
        <v>78</v>
      </c>
    </row>
    <row r="6886" spans="1:4" hidden="1" x14ac:dyDescent="0.25">
      <c r="A6886" s="2" t="s">
        <v>68</v>
      </c>
      <c r="B6886">
        <v>95</v>
      </c>
      <c r="C6886" s="2" t="s">
        <v>129</v>
      </c>
      <c r="D6886">
        <v>77</v>
      </c>
    </row>
    <row r="6887" spans="1:4" hidden="1" x14ac:dyDescent="0.25">
      <c r="A6887" s="2" t="s">
        <v>68</v>
      </c>
      <c r="B6887">
        <v>95</v>
      </c>
      <c r="C6887" s="2" t="s">
        <v>130</v>
      </c>
      <c r="D6887">
        <v>92</v>
      </c>
    </row>
    <row r="6888" spans="1:4" hidden="1" x14ac:dyDescent="0.25">
      <c r="A6888" s="2" t="s">
        <v>68</v>
      </c>
      <c r="B6888">
        <v>95</v>
      </c>
      <c r="C6888" s="2" t="s">
        <v>131</v>
      </c>
      <c r="D6888">
        <v>87</v>
      </c>
    </row>
    <row r="6889" spans="1:4" hidden="1" x14ac:dyDescent="0.25">
      <c r="A6889" s="2" t="s">
        <v>68</v>
      </c>
      <c r="B6889">
        <v>95</v>
      </c>
      <c r="C6889" s="2" t="s">
        <v>132</v>
      </c>
      <c r="D6889">
        <v>89</v>
      </c>
    </row>
    <row r="6890" spans="1:4" hidden="1" x14ac:dyDescent="0.25">
      <c r="A6890" s="2" t="s">
        <v>68</v>
      </c>
      <c r="B6890">
        <v>95</v>
      </c>
      <c r="C6890" s="2" t="s">
        <v>133</v>
      </c>
      <c r="D6890">
        <v>89</v>
      </c>
    </row>
    <row r="6891" spans="1:4" hidden="1" x14ac:dyDescent="0.25">
      <c r="A6891" s="2" t="s">
        <v>68</v>
      </c>
      <c r="B6891">
        <v>95</v>
      </c>
      <c r="C6891" s="2" t="s">
        <v>134</v>
      </c>
      <c r="D6891">
        <v>99</v>
      </c>
    </row>
    <row r="6892" spans="1:4" hidden="1" x14ac:dyDescent="0.25">
      <c r="A6892" s="2" t="s">
        <v>68</v>
      </c>
      <c r="B6892">
        <v>95</v>
      </c>
      <c r="C6892" s="2" t="s">
        <v>135</v>
      </c>
      <c r="D6892">
        <v>95</v>
      </c>
    </row>
    <row r="6893" spans="1:4" hidden="1" x14ac:dyDescent="0.25">
      <c r="A6893" s="2" t="s">
        <v>68</v>
      </c>
      <c r="B6893">
        <v>95</v>
      </c>
      <c r="C6893" s="2" t="s">
        <v>136</v>
      </c>
      <c r="D6893">
        <v>95</v>
      </c>
    </row>
    <row r="6894" spans="1:4" hidden="1" x14ac:dyDescent="0.25">
      <c r="A6894" s="2" t="s">
        <v>68</v>
      </c>
      <c r="B6894">
        <v>95</v>
      </c>
      <c r="C6894" s="2" t="s">
        <v>137</v>
      </c>
      <c r="D6894">
        <v>95</v>
      </c>
    </row>
    <row r="6895" spans="1:4" hidden="1" x14ac:dyDescent="0.25">
      <c r="A6895" s="2" t="s">
        <v>68</v>
      </c>
      <c r="B6895">
        <v>95</v>
      </c>
      <c r="C6895" s="2" t="s">
        <v>138</v>
      </c>
      <c r="D6895">
        <v>95</v>
      </c>
    </row>
    <row r="6896" spans="1:4" hidden="1" x14ac:dyDescent="0.25">
      <c r="A6896" s="2" t="s">
        <v>68</v>
      </c>
      <c r="B6896">
        <v>95</v>
      </c>
      <c r="C6896" s="2" t="s">
        <v>139</v>
      </c>
      <c r="D6896">
        <v>95</v>
      </c>
    </row>
    <row r="6897" spans="1:4" hidden="1" x14ac:dyDescent="0.25">
      <c r="A6897" s="2" t="s">
        <v>68</v>
      </c>
      <c r="B6897">
        <v>95</v>
      </c>
      <c r="C6897" s="2" t="s">
        <v>140</v>
      </c>
      <c r="D6897">
        <v>95</v>
      </c>
    </row>
    <row r="6898" spans="1:4" hidden="1" x14ac:dyDescent="0.25">
      <c r="A6898" s="2" t="s">
        <v>68</v>
      </c>
      <c r="B6898">
        <v>95</v>
      </c>
      <c r="C6898" s="2" t="s">
        <v>141</v>
      </c>
      <c r="D6898">
        <v>95</v>
      </c>
    </row>
    <row r="6899" spans="1:4" hidden="1" x14ac:dyDescent="0.25">
      <c r="A6899" s="2" t="s">
        <v>68</v>
      </c>
      <c r="B6899">
        <v>95</v>
      </c>
      <c r="C6899" s="2" t="s">
        <v>142</v>
      </c>
      <c r="D6899">
        <v>95</v>
      </c>
    </row>
    <row r="6900" spans="1:4" hidden="1" x14ac:dyDescent="0.25">
      <c r="A6900" s="2" t="s">
        <v>68</v>
      </c>
      <c r="B6900">
        <v>95</v>
      </c>
      <c r="C6900" s="2" t="s">
        <v>143</v>
      </c>
      <c r="D6900">
        <v>95</v>
      </c>
    </row>
    <row r="6901" spans="1:4" hidden="1" x14ac:dyDescent="0.25">
      <c r="A6901" s="2" t="s">
        <v>68</v>
      </c>
      <c r="B6901">
        <v>95</v>
      </c>
      <c r="C6901" s="2" t="s">
        <v>144</v>
      </c>
      <c r="D6901">
        <v>95</v>
      </c>
    </row>
    <row r="6902" spans="1:4" hidden="1" x14ac:dyDescent="0.25">
      <c r="A6902" s="2" t="s">
        <v>68</v>
      </c>
      <c r="B6902">
        <v>95</v>
      </c>
      <c r="C6902" s="2" t="s">
        <v>145</v>
      </c>
      <c r="D6902">
        <v>95</v>
      </c>
    </row>
    <row r="6903" spans="1:4" hidden="1" x14ac:dyDescent="0.25">
      <c r="A6903" s="2" t="s">
        <v>68</v>
      </c>
      <c r="B6903">
        <v>95</v>
      </c>
      <c r="C6903" s="2" t="s">
        <v>146</v>
      </c>
      <c r="D6903">
        <v>95</v>
      </c>
    </row>
    <row r="6904" spans="1:4" hidden="1" x14ac:dyDescent="0.25">
      <c r="A6904" s="2" t="s">
        <v>68</v>
      </c>
      <c r="B6904">
        <v>95</v>
      </c>
      <c r="C6904" s="2" t="s">
        <v>147</v>
      </c>
      <c r="D6904">
        <v>95</v>
      </c>
    </row>
    <row r="6905" spans="1:4" hidden="1" x14ac:dyDescent="0.25">
      <c r="A6905" s="2" t="s">
        <v>68</v>
      </c>
      <c r="B6905">
        <v>95</v>
      </c>
      <c r="C6905" s="2" t="s">
        <v>148</v>
      </c>
      <c r="D6905">
        <v>95</v>
      </c>
    </row>
    <row r="6906" spans="1:4" hidden="1" x14ac:dyDescent="0.25">
      <c r="A6906" s="2" t="s">
        <v>68</v>
      </c>
      <c r="B6906">
        <v>95</v>
      </c>
      <c r="C6906" s="2" t="s">
        <v>149</v>
      </c>
      <c r="D6906">
        <v>95</v>
      </c>
    </row>
    <row r="6907" spans="1:4" hidden="1" x14ac:dyDescent="0.25">
      <c r="A6907" s="2" t="s">
        <v>68</v>
      </c>
      <c r="B6907">
        <v>95</v>
      </c>
      <c r="C6907" s="2" t="s">
        <v>150</v>
      </c>
      <c r="D6907">
        <v>95</v>
      </c>
    </row>
    <row r="6908" spans="1:4" hidden="1" x14ac:dyDescent="0.25">
      <c r="A6908" s="2" t="s">
        <v>68</v>
      </c>
      <c r="B6908">
        <v>95</v>
      </c>
      <c r="C6908" s="2" t="s">
        <v>151</v>
      </c>
      <c r="D6908">
        <v>95</v>
      </c>
    </row>
    <row r="6909" spans="1:4" hidden="1" x14ac:dyDescent="0.25">
      <c r="A6909" s="2" t="s">
        <v>68</v>
      </c>
      <c r="B6909">
        <v>95</v>
      </c>
      <c r="C6909" s="2" t="s">
        <v>152</v>
      </c>
      <c r="D6909">
        <v>95</v>
      </c>
    </row>
    <row r="6910" spans="1:4" hidden="1" x14ac:dyDescent="0.25">
      <c r="A6910" s="2" t="s">
        <v>68</v>
      </c>
      <c r="B6910">
        <v>95</v>
      </c>
      <c r="C6910" s="2" t="s">
        <v>153</v>
      </c>
      <c r="D6910">
        <v>95</v>
      </c>
    </row>
    <row r="6911" spans="1:4" hidden="1" x14ac:dyDescent="0.25">
      <c r="A6911" s="2" t="s">
        <v>68</v>
      </c>
      <c r="B6911">
        <v>95</v>
      </c>
      <c r="C6911" s="2" t="s">
        <v>154</v>
      </c>
      <c r="D6911">
        <v>95</v>
      </c>
    </row>
    <row r="6912" spans="1:4" hidden="1" x14ac:dyDescent="0.25">
      <c r="A6912" s="2" t="s">
        <v>68</v>
      </c>
      <c r="B6912">
        <v>95</v>
      </c>
      <c r="C6912" s="2" t="s">
        <v>155</v>
      </c>
      <c r="D6912">
        <v>95</v>
      </c>
    </row>
    <row r="6913" spans="1:4" hidden="1" x14ac:dyDescent="0.25">
      <c r="A6913" s="2" t="s">
        <v>68</v>
      </c>
      <c r="B6913">
        <v>95</v>
      </c>
      <c r="C6913" s="2" t="s">
        <v>156</v>
      </c>
      <c r="D6913">
        <v>95</v>
      </c>
    </row>
    <row r="6914" spans="1:4" hidden="1" x14ac:dyDescent="0.25">
      <c r="A6914" s="2" t="s">
        <v>68</v>
      </c>
      <c r="B6914">
        <v>95</v>
      </c>
      <c r="C6914" s="2" t="s">
        <v>157</v>
      </c>
      <c r="D6914">
        <v>95</v>
      </c>
    </row>
    <row r="6915" spans="1:4" hidden="1" x14ac:dyDescent="0.25">
      <c r="A6915" s="2" t="s">
        <v>68</v>
      </c>
      <c r="B6915">
        <v>95</v>
      </c>
      <c r="C6915" s="2" t="s">
        <v>158</v>
      </c>
      <c r="D6915">
        <v>95</v>
      </c>
    </row>
    <row r="6916" spans="1:4" hidden="1" x14ac:dyDescent="0.25">
      <c r="A6916" s="2" t="s">
        <v>68</v>
      </c>
      <c r="B6916">
        <v>95</v>
      </c>
      <c r="C6916" s="2" t="s">
        <v>159</v>
      </c>
      <c r="D6916">
        <v>95</v>
      </c>
    </row>
    <row r="6917" spans="1:4" hidden="1" x14ac:dyDescent="0.25">
      <c r="A6917" s="2" t="s">
        <v>68</v>
      </c>
      <c r="B6917">
        <v>95</v>
      </c>
      <c r="C6917" s="2" t="s">
        <v>160</v>
      </c>
      <c r="D6917">
        <v>95</v>
      </c>
    </row>
    <row r="6918" spans="1:4" hidden="1" x14ac:dyDescent="0.25">
      <c r="A6918" s="2" t="s">
        <v>68</v>
      </c>
      <c r="B6918">
        <v>95</v>
      </c>
      <c r="C6918" s="2" t="s">
        <v>161</v>
      </c>
      <c r="D6918">
        <v>95</v>
      </c>
    </row>
    <row r="6919" spans="1:4" hidden="1" x14ac:dyDescent="0.25">
      <c r="A6919" s="2" t="s">
        <v>68</v>
      </c>
      <c r="B6919">
        <v>95</v>
      </c>
      <c r="C6919" s="2" t="s">
        <v>162</v>
      </c>
      <c r="D6919">
        <v>95</v>
      </c>
    </row>
    <row r="6920" spans="1:4" hidden="1" x14ac:dyDescent="0.25">
      <c r="A6920" s="2" t="s">
        <v>68</v>
      </c>
      <c r="B6920">
        <v>95</v>
      </c>
      <c r="C6920" s="2" t="s">
        <v>163</v>
      </c>
      <c r="D6920">
        <v>95</v>
      </c>
    </row>
    <row r="6921" spans="1:4" hidden="1" x14ac:dyDescent="0.25">
      <c r="A6921" s="2" t="s">
        <v>68</v>
      </c>
      <c r="B6921">
        <v>95</v>
      </c>
      <c r="C6921" s="2" t="s">
        <v>164</v>
      </c>
      <c r="D6921">
        <v>95</v>
      </c>
    </row>
    <row r="6922" spans="1:4" hidden="1" x14ac:dyDescent="0.25">
      <c r="A6922" s="2" t="s">
        <v>68</v>
      </c>
      <c r="B6922">
        <v>95</v>
      </c>
      <c r="C6922" s="2" t="s">
        <v>165</v>
      </c>
      <c r="D6922">
        <v>95</v>
      </c>
    </row>
    <row r="6923" spans="1:4" hidden="1" x14ac:dyDescent="0.25">
      <c r="A6923" s="2" t="s">
        <v>68</v>
      </c>
      <c r="B6923">
        <v>95</v>
      </c>
      <c r="C6923" s="2" t="s">
        <v>166</v>
      </c>
      <c r="D6923">
        <v>95</v>
      </c>
    </row>
    <row r="6924" spans="1:4" hidden="1" x14ac:dyDescent="0.25">
      <c r="A6924" s="2" t="s">
        <v>68</v>
      </c>
      <c r="B6924">
        <v>95</v>
      </c>
      <c r="C6924" s="2" t="s">
        <v>167</v>
      </c>
      <c r="D6924">
        <v>95</v>
      </c>
    </row>
    <row r="6925" spans="1:4" hidden="1" x14ac:dyDescent="0.25">
      <c r="A6925" s="2" t="s">
        <v>68</v>
      </c>
      <c r="B6925">
        <v>95</v>
      </c>
      <c r="C6925" s="2" t="s">
        <v>168</v>
      </c>
      <c r="D6925">
        <v>95</v>
      </c>
    </row>
    <row r="6926" spans="1:4" hidden="1" x14ac:dyDescent="0.25">
      <c r="A6926" s="2" t="s">
        <v>68</v>
      </c>
      <c r="B6926">
        <v>95</v>
      </c>
      <c r="C6926" s="2" t="s">
        <v>169</v>
      </c>
      <c r="D6926">
        <v>95</v>
      </c>
    </row>
    <row r="6927" spans="1:4" hidden="1" x14ac:dyDescent="0.25">
      <c r="A6927" s="2" t="s">
        <v>68</v>
      </c>
      <c r="B6927">
        <v>95</v>
      </c>
      <c r="C6927" s="2" t="s">
        <v>170</v>
      </c>
      <c r="D6927">
        <v>95</v>
      </c>
    </row>
    <row r="6928" spans="1:4" hidden="1" x14ac:dyDescent="0.25">
      <c r="A6928" s="2" t="s">
        <v>68</v>
      </c>
      <c r="B6928">
        <v>95</v>
      </c>
      <c r="C6928" s="2" t="s">
        <v>171</v>
      </c>
      <c r="D6928">
        <v>95</v>
      </c>
    </row>
    <row r="6929" spans="1:4" hidden="1" x14ac:dyDescent="0.25">
      <c r="A6929" s="2" t="s">
        <v>68</v>
      </c>
      <c r="B6929">
        <v>95</v>
      </c>
      <c r="C6929" s="2" t="s">
        <v>172</v>
      </c>
      <c r="D6929">
        <v>95</v>
      </c>
    </row>
    <row r="6930" spans="1:4" hidden="1" x14ac:dyDescent="0.25">
      <c r="A6930" s="2" t="s">
        <v>68</v>
      </c>
      <c r="B6930">
        <v>95</v>
      </c>
      <c r="C6930" s="2" t="s">
        <v>173</v>
      </c>
      <c r="D6930">
        <v>95</v>
      </c>
    </row>
    <row r="6931" spans="1:4" hidden="1" x14ac:dyDescent="0.25">
      <c r="A6931" s="2" t="s">
        <v>68</v>
      </c>
      <c r="B6931">
        <v>95</v>
      </c>
      <c r="C6931" s="2" t="s">
        <v>174</v>
      </c>
      <c r="D6931">
        <v>95</v>
      </c>
    </row>
    <row r="6932" spans="1:4" hidden="1" x14ac:dyDescent="0.25">
      <c r="A6932" s="2" t="s">
        <v>68</v>
      </c>
      <c r="B6932">
        <v>95</v>
      </c>
      <c r="C6932" s="2" t="s">
        <v>175</v>
      </c>
      <c r="D6932">
        <v>95</v>
      </c>
    </row>
    <row r="6933" spans="1:4" hidden="1" x14ac:dyDescent="0.25">
      <c r="A6933" s="2" t="s">
        <v>68</v>
      </c>
      <c r="B6933">
        <v>95</v>
      </c>
      <c r="C6933" s="2" t="s">
        <v>176</v>
      </c>
      <c r="D6933">
        <v>95</v>
      </c>
    </row>
    <row r="6934" spans="1:4" hidden="1" x14ac:dyDescent="0.25">
      <c r="A6934" s="2" t="s">
        <v>68</v>
      </c>
      <c r="B6934">
        <v>95</v>
      </c>
      <c r="C6934" s="2" t="s">
        <v>177</v>
      </c>
      <c r="D6934">
        <v>95</v>
      </c>
    </row>
    <row r="6935" spans="1:4" hidden="1" x14ac:dyDescent="0.25">
      <c r="A6935" s="2" t="s">
        <v>68</v>
      </c>
      <c r="B6935">
        <v>95</v>
      </c>
      <c r="C6935" s="2" t="s">
        <v>178</v>
      </c>
      <c r="D6935">
        <v>95</v>
      </c>
    </row>
    <row r="6936" spans="1:4" hidden="1" x14ac:dyDescent="0.25">
      <c r="A6936" s="2" t="s">
        <v>68</v>
      </c>
      <c r="B6936">
        <v>95</v>
      </c>
      <c r="C6936" s="2" t="s">
        <v>179</v>
      </c>
      <c r="D6936">
        <v>95</v>
      </c>
    </row>
    <row r="6937" spans="1:4" hidden="1" x14ac:dyDescent="0.25">
      <c r="A6937" s="2" t="s">
        <v>110</v>
      </c>
      <c r="B6937">
        <v>95</v>
      </c>
      <c r="C6937" s="2" t="s">
        <v>183</v>
      </c>
      <c r="D6937">
        <v>78</v>
      </c>
    </row>
    <row r="6938" spans="1:4" hidden="1" x14ac:dyDescent="0.25">
      <c r="A6938" s="2" t="s">
        <v>110</v>
      </c>
      <c r="B6938">
        <v>95</v>
      </c>
      <c r="C6938" s="2" t="s">
        <v>184</v>
      </c>
      <c r="D6938">
        <v>77</v>
      </c>
    </row>
    <row r="6939" spans="1:4" hidden="1" x14ac:dyDescent="0.25">
      <c r="A6939" s="2" t="s">
        <v>110</v>
      </c>
      <c r="B6939">
        <v>95</v>
      </c>
      <c r="C6939" s="2" t="s">
        <v>185</v>
      </c>
      <c r="D6939">
        <v>82</v>
      </c>
    </row>
    <row r="6940" spans="1:4" hidden="1" x14ac:dyDescent="0.25">
      <c r="A6940" s="2" t="s">
        <v>110</v>
      </c>
      <c r="B6940">
        <v>95</v>
      </c>
      <c r="C6940" s="2" t="s">
        <v>186</v>
      </c>
      <c r="D6940">
        <v>98</v>
      </c>
    </row>
    <row r="6941" spans="1:4" hidden="1" x14ac:dyDescent="0.25">
      <c r="A6941" s="2" t="s">
        <v>110</v>
      </c>
      <c r="B6941">
        <v>95</v>
      </c>
      <c r="C6941" s="2" t="s">
        <v>187</v>
      </c>
      <c r="D6941">
        <v>98</v>
      </c>
    </row>
    <row r="6942" spans="1:4" hidden="1" x14ac:dyDescent="0.25">
      <c r="A6942" s="2" t="s">
        <v>110</v>
      </c>
      <c r="B6942">
        <v>95</v>
      </c>
      <c r="C6942" s="2" t="s">
        <v>188</v>
      </c>
      <c r="D6942">
        <v>100</v>
      </c>
    </row>
    <row r="6943" spans="1:4" hidden="1" x14ac:dyDescent="0.25">
      <c r="A6943" s="2" t="s">
        <v>110</v>
      </c>
      <c r="B6943">
        <v>95</v>
      </c>
      <c r="C6943" s="2" t="s">
        <v>189</v>
      </c>
      <c r="D6943">
        <v>103</v>
      </c>
    </row>
    <row r="6944" spans="1:4" hidden="1" x14ac:dyDescent="0.25">
      <c r="A6944" s="2" t="s">
        <v>110</v>
      </c>
      <c r="B6944">
        <v>95</v>
      </c>
      <c r="C6944" s="2" t="s">
        <v>190</v>
      </c>
      <c r="D6944">
        <v>102</v>
      </c>
    </row>
    <row r="6945" spans="1:4" hidden="1" x14ac:dyDescent="0.25">
      <c r="A6945" s="2" t="s">
        <v>110</v>
      </c>
      <c r="B6945">
        <v>95</v>
      </c>
      <c r="C6945" s="2" t="s">
        <v>191</v>
      </c>
      <c r="D6945">
        <v>102</v>
      </c>
    </row>
    <row r="6946" spans="1:4" hidden="1" x14ac:dyDescent="0.25">
      <c r="A6946" s="2" t="s">
        <v>110</v>
      </c>
      <c r="B6946">
        <v>95</v>
      </c>
      <c r="C6946" s="2" t="s">
        <v>116</v>
      </c>
      <c r="D6946">
        <v>103</v>
      </c>
    </row>
    <row r="6947" spans="1:4" hidden="1" x14ac:dyDescent="0.25">
      <c r="A6947" s="2" t="s">
        <v>110</v>
      </c>
      <c r="B6947">
        <v>95</v>
      </c>
      <c r="C6947" s="2" t="s">
        <v>117</v>
      </c>
      <c r="D6947">
        <v>99</v>
      </c>
    </row>
    <row r="6948" spans="1:4" hidden="1" x14ac:dyDescent="0.25">
      <c r="A6948" s="2" t="s">
        <v>110</v>
      </c>
      <c r="B6948">
        <v>95</v>
      </c>
      <c r="C6948" s="2" t="s">
        <v>118</v>
      </c>
      <c r="D6948">
        <v>98</v>
      </c>
    </row>
    <row r="6949" spans="1:4" hidden="1" x14ac:dyDescent="0.25">
      <c r="A6949" s="2" t="s">
        <v>110</v>
      </c>
      <c r="B6949">
        <v>95</v>
      </c>
      <c r="C6949" s="2" t="s">
        <v>119</v>
      </c>
      <c r="D6949">
        <v>105</v>
      </c>
    </row>
    <row r="6950" spans="1:4" hidden="1" x14ac:dyDescent="0.25">
      <c r="A6950" s="2" t="s">
        <v>110</v>
      </c>
      <c r="B6950">
        <v>95</v>
      </c>
      <c r="C6950" s="2" t="s">
        <v>120</v>
      </c>
      <c r="D6950">
        <v>100</v>
      </c>
    </row>
    <row r="6951" spans="1:4" hidden="1" x14ac:dyDescent="0.25">
      <c r="A6951" s="2" t="s">
        <v>110</v>
      </c>
      <c r="B6951">
        <v>95</v>
      </c>
      <c r="C6951" s="2" t="s">
        <v>121</v>
      </c>
      <c r="D6951">
        <v>100</v>
      </c>
    </row>
    <row r="6952" spans="1:4" hidden="1" x14ac:dyDescent="0.25">
      <c r="A6952" s="2" t="s">
        <v>110</v>
      </c>
      <c r="B6952">
        <v>95</v>
      </c>
      <c r="C6952" s="2" t="s">
        <v>122</v>
      </c>
      <c r="D6952">
        <v>98</v>
      </c>
    </row>
    <row r="6953" spans="1:4" hidden="1" x14ac:dyDescent="0.25">
      <c r="A6953" s="2" t="s">
        <v>110</v>
      </c>
      <c r="B6953">
        <v>95</v>
      </c>
      <c r="C6953" s="2" t="s">
        <v>123</v>
      </c>
      <c r="D6953">
        <v>79</v>
      </c>
    </row>
    <row r="6954" spans="1:4" hidden="1" x14ac:dyDescent="0.25">
      <c r="A6954" s="2" t="s">
        <v>110</v>
      </c>
      <c r="B6954">
        <v>95</v>
      </c>
      <c r="C6954" s="2" t="s">
        <v>124</v>
      </c>
      <c r="D6954">
        <v>82</v>
      </c>
    </row>
    <row r="6955" spans="1:4" hidden="1" x14ac:dyDescent="0.25">
      <c r="A6955" s="2" t="s">
        <v>110</v>
      </c>
      <c r="B6955">
        <v>95</v>
      </c>
      <c r="C6955" s="2" t="s">
        <v>125</v>
      </c>
      <c r="D6955">
        <v>82</v>
      </c>
    </row>
    <row r="6956" spans="1:4" hidden="1" x14ac:dyDescent="0.25">
      <c r="A6956" s="2" t="s">
        <v>110</v>
      </c>
      <c r="B6956">
        <v>95</v>
      </c>
      <c r="C6956" s="2" t="s">
        <v>126</v>
      </c>
      <c r="D6956">
        <v>85</v>
      </c>
    </row>
    <row r="6957" spans="1:4" hidden="1" x14ac:dyDescent="0.25">
      <c r="A6957" s="2" t="s">
        <v>110</v>
      </c>
      <c r="B6957">
        <v>95</v>
      </c>
      <c r="C6957" s="2" t="s">
        <v>127</v>
      </c>
      <c r="D6957">
        <v>87</v>
      </c>
    </row>
    <row r="6958" spans="1:4" hidden="1" x14ac:dyDescent="0.25">
      <c r="A6958" s="2" t="s">
        <v>110</v>
      </c>
      <c r="B6958">
        <v>95</v>
      </c>
      <c r="C6958" s="2" t="s">
        <v>128</v>
      </c>
      <c r="D6958">
        <v>90</v>
      </c>
    </row>
    <row r="6959" spans="1:4" hidden="1" x14ac:dyDescent="0.25">
      <c r="A6959" s="2" t="s">
        <v>110</v>
      </c>
      <c r="B6959">
        <v>95</v>
      </c>
      <c r="C6959" s="2" t="s">
        <v>129</v>
      </c>
      <c r="D6959">
        <v>86</v>
      </c>
    </row>
    <row r="6960" spans="1:4" hidden="1" x14ac:dyDescent="0.25">
      <c r="A6960" s="2" t="s">
        <v>110</v>
      </c>
      <c r="B6960">
        <v>95</v>
      </c>
      <c r="C6960" s="2" t="s">
        <v>130</v>
      </c>
      <c r="D6960">
        <v>96</v>
      </c>
    </row>
    <row r="6961" spans="1:4" hidden="1" x14ac:dyDescent="0.25">
      <c r="A6961" s="2" t="s">
        <v>110</v>
      </c>
      <c r="B6961">
        <v>95</v>
      </c>
      <c r="C6961" s="2" t="s">
        <v>131</v>
      </c>
      <c r="D6961">
        <v>95</v>
      </c>
    </row>
    <row r="6962" spans="1:4" hidden="1" x14ac:dyDescent="0.25">
      <c r="A6962" s="2" t="s">
        <v>110</v>
      </c>
      <c r="B6962">
        <v>95</v>
      </c>
      <c r="C6962" s="2" t="s">
        <v>132</v>
      </c>
      <c r="D6962">
        <v>101</v>
      </c>
    </row>
    <row r="6963" spans="1:4" hidden="1" x14ac:dyDescent="0.25">
      <c r="A6963" s="2" t="s">
        <v>110</v>
      </c>
      <c r="B6963">
        <v>95</v>
      </c>
      <c r="C6963" s="2" t="s">
        <v>133</v>
      </c>
      <c r="D6963">
        <v>102</v>
      </c>
    </row>
    <row r="6964" spans="1:4" hidden="1" x14ac:dyDescent="0.25">
      <c r="A6964" s="2" t="s">
        <v>110</v>
      </c>
      <c r="B6964">
        <v>95</v>
      </c>
      <c r="C6964" s="2" t="s">
        <v>134</v>
      </c>
      <c r="D6964">
        <v>99</v>
      </c>
    </row>
    <row r="6965" spans="1:4" hidden="1" x14ac:dyDescent="0.25">
      <c r="A6965" s="2" t="s">
        <v>110</v>
      </c>
      <c r="B6965">
        <v>95</v>
      </c>
      <c r="C6965" s="2" t="s">
        <v>135</v>
      </c>
      <c r="D6965">
        <v>95</v>
      </c>
    </row>
    <row r="6966" spans="1:4" hidden="1" x14ac:dyDescent="0.25">
      <c r="A6966" s="2" t="s">
        <v>110</v>
      </c>
      <c r="B6966">
        <v>95</v>
      </c>
      <c r="C6966" s="2" t="s">
        <v>136</v>
      </c>
      <c r="D6966">
        <v>95</v>
      </c>
    </row>
    <row r="6967" spans="1:4" hidden="1" x14ac:dyDescent="0.25">
      <c r="A6967" s="2" t="s">
        <v>110</v>
      </c>
      <c r="B6967">
        <v>95</v>
      </c>
      <c r="C6967" s="2" t="s">
        <v>137</v>
      </c>
      <c r="D6967">
        <v>95</v>
      </c>
    </row>
    <row r="6968" spans="1:4" hidden="1" x14ac:dyDescent="0.25">
      <c r="A6968" s="2" t="s">
        <v>110</v>
      </c>
      <c r="B6968">
        <v>95</v>
      </c>
      <c r="C6968" s="2" t="s">
        <v>138</v>
      </c>
      <c r="D6968">
        <v>95</v>
      </c>
    </row>
    <row r="6969" spans="1:4" hidden="1" x14ac:dyDescent="0.25">
      <c r="A6969" s="2" t="s">
        <v>110</v>
      </c>
      <c r="B6969">
        <v>95</v>
      </c>
      <c r="C6969" s="2" t="s">
        <v>139</v>
      </c>
      <c r="D6969">
        <v>95</v>
      </c>
    </row>
    <row r="6970" spans="1:4" hidden="1" x14ac:dyDescent="0.25">
      <c r="A6970" s="2" t="s">
        <v>110</v>
      </c>
      <c r="B6970">
        <v>95</v>
      </c>
      <c r="C6970" s="2" t="s">
        <v>140</v>
      </c>
      <c r="D6970">
        <v>95</v>
      </c>
    </row>
    <row r="6971" spans="1:4" hidden="1" x14ac:dyDescent="0.25">
      <c r="A6971" s="2" t="s">
        <v>110</v>
      </c>
      <c r="B6971">
        <v>95</v>
      </c>
      <c r="C6971" s="2" t="s">
        <v>141</v>
      </c>
      <c r="D6971">
        <v>95</v>
      </c>
    </row>
    <row r="6972" spans="1:4" hidden="1" x14ac:dyDescent="0.25">
      <c r="A6972" s="2" t="s">
        <v>110</v>
      </c>
      <c r="B6972">
        <v>95</v>
      </c>
      <c r="C6972" s="2" t="s">
        <v>142</v>
      </c>
      <c r="D6972">
        <v>95</v>
      </c>
    </row>
    <row r="6973" spans="1:4" hidden="1" x14ac:dyDescent="0.25">
      <c r="A6973" s="2" t="s">
        <v>110</v>
      </c>
      <c r="B6973">
        <v>95</v>
      </c>
      <c r="C6973" s="2" t="s">
        <v>143</v>
      </c>
      <c r="D6973">
        <v>95</v>
      </c>
    </row>
    <row r="6974" spans="1:4" hidden="1" x14ac:dyDescent="0.25">
      <c r="A6974" s="2" t="s">
        <v>110</v>
      </c>
      <c r="B6974">
        <v>95</v>
      </c>
      <c r="C6974" s="2" t="s">
        <v>144</v>
      </c>
      <c r="D6974">
        <v>95</v>
      </c>
    </row>
    <row r="6975" spans="1:4" hidden="1" x14ac:dyDescent="0.25">
      <c r="A6975" s="2" t="s">
        <v>110</v>
      </c>
      <c r="B6975">
        <v>95</v>
      </c>
      <c r="C6975" s="2" t="s">
        <v>145</v>
      </c>
      <c r="D6975">
        <v>95</v>
      </c>
    </row>
    <row r="6976" spans="1:4" hidden="1" x14ac:dyDescent="0.25">
      <c r="A6976" s="2" t="s">
        <v>110</v>
      </c>
      <c r="B6976">
        <v>95</v>
      </c>
      <c r="C6976" s="2" t="s">
        <v>146</v>
      </c>
      <c r="D6976">
        <v>95</v>
      </c>
    </row>
    <row r="6977" spans="1:4" hidden="1" x14ac:dyDescent="0.25">
      <c r="A6977" s="2" t="s">
        <v>110</v>
      </c>
      <c r="B6977">
        <v>95</v>
      </c>
      <c r="C6977" s="2" t="s">
        <v>147</v>
      </c>
      <c r="D6977">
        <v>95</v>
      </c>
    </row>
    <row r="6978" spans="1:4" hidden="1" x14ac:dyDescent="0.25">
      <c r="A6978" s="2" t="s">
        <v>110</v>
      </c>
      <c r="B6978">
        <v>95</v>
      </c>
      <c r="C6978" s="2" t="s">
        <v>148</v>
      </c>
      <c r="D6978">
        <v>95</v>
      </c>
    </row>
    <row r="6979" spans="1:4" hidden="1" x14ac:dyDescent="0.25">
      <c r="A6979" s="2" t="s">
        <v>110</v>
      </c>
      <c r="B6979">
        <v>95</v>
      </c>
      <c r="C6979" s="2" t="s">
        <v>149</v>
      </c>
      <c r="D6979">
        <v>95</v>
      </c>
    </row>
    <row r="6980" spans="1:4" hidden="1" x14ac:dyDescent="0.25">
      <c r="A6980" s="2" t="s">
        <v>110</v>
      </c>
      <c r="B6980">
        <v>95</v>
      </c>
      <c r="C6980" s="2" t="s">
        <v>150</v>
      </c>
      <c r="D6980">
        <v>95</v>
      </c>
    </row>
    <row r="6981" spans="1:4" hidden="1" x14ac:dyDescent="0.25">
      <c r="A6981" s="2" t="s">
        <v>110</v>
      </c>
      <c r="B6981">
        <v>95</v>
      </c>
      <c r="C6981" s="2" t="s">
        <v>151</v>
      </c>
      <c r="D6981">
        <v>95</v>
      </c>
    </row>
    <row r="6982" spans="1:4" hidden="1" x14ac:dyDescent="0.25">
      <c r="A6982" s="2" t="s">
        <v>110</v>
      </c>
      <c r="B6982">
        <v>95</v>
      </c>
      <c r="C6982" s="2" t="s">
        <v>152</v>
      </c>
      <c r="D6982">
        <v>95</v>
      </c>
    </row>
    <row r="6983" spans="1:4" hidden="1" x14ac:dyDescent="0.25">
      <c r="A6983" s="2" t="s">
        <v>110</v>
      </c>
      <c r="B6983">
        <v>95</v>
      </c>
      <c r="C6983" s="2" t="s">
        <v>153</v>
      </c>
      <c r="D6983">
        <v>95</v>
      </c>
    </row>
    <row r="6984" spans="1:4" hidden="1" x14ac:dyDescent="0.25">
      <c r="A6984" s="2" t="s">
        <v>110</v>
      </c>
      <c r="B6984">
        <v>95</v>
      </c>
      <c r="C6984" s="2" t="s">
        <v>154</v>
      </c>
      <c r="D6984">
        <v>95</v>
      </c>
    </row>
    <row r="6985" spans="1:4" hidden="1" x14ac:dyDescent="0.25">
      <c r="A6985" s="2" t="s">
        <v>110</v>
      </c>
      <c r="B6985">
        <v>95</v>
      </c>
      <c r="C6985" s="2" t="s">
        <v>155</v>
      </c>
      <c r="D6985">
        <v>95</v>
      </c>
    </row>
    <row r="6986" spans="1:4" hidden="1" x14ac:dyDescent="0.25">
      <c r="A6986" s="2" t="s">
        <v>110</v>
      </c>
      <c r="B6986">
        <v>95</v>
      </c>
      <c r="C6986" s="2" t="s">
        <v>156</v>
      </c>
      <c r="D6986">
        <v>95</v>
      </c>
    </row>
    <row r="6987" spans="1:4" hidden="1" x14ac:dyDescent="0.25">
      <c r="A6987" s="2" t="s">
        <v>110</v>
      </c>
      <c r="B6987">
        <v>95</v>
      </c>
      <c r="C6987" s="2" t="s">
        <v>157</v>
      </c>
      <c r="D6987">
        <v>95</v>
      </c>
    </row>
    <row r="6988" spans="1:4" hidden="1" x14ac:dyDescent="0.25">
      <c r="A6988" s="2" t="s">
        <v>110</v>
      </c>
      <c r="B6988">
        <v>95</v>
      </c>
      <c r="C6988" s="2" t="s">
        <v>158</v>
      </c>
      <c r="D6988">
        <v>95</v>
      </c>
    </row>
    <row r="6989" spans="1:4" hidden="1" x14ac:dyDescent="0.25">
      <c r="A6989" s="2" t="s">
        <v>110</v>
      </c>
      <c r="B6989">
        <v>95</v>
      </c>
      <c r="C6989" s="2" t="s">
        <v>159</v>
      </c>
      <c r="D6989">
        <v>95</v>
      </c>
    </row>
    <row r="6990" spans="1:4" hidden="1" x14ac:dyDescent="0.25">
      <c r="A6990" s="2" t="s">
        <v>110</v>
      </c>
      <c r="B6990">
        <v>95</v>
      </c>
      <c r="C6990" s="2" t="s">
        <v>160</v>
      </c>
      <c r="D6990">
        <v>95</v>
      </c>
    </row>
    <row r="6991" spans="1:4" hidden="1" x14ac:dyDescent="0.25">
      <c r="A6991" s="2" t="s">
        <v>110</v>
      </c>
      <c r="B6991">
        <v>95</v>
      </c>
      <c r="C6991" s="2" t="s">
        <v>161</v>
      </c>
      <c r="D6991">
        <v>95</v>
      </c>
    </row>
    <row r="6992" spans="1:4" hidden="1" x14ac:dyDescent="0.25">
      <c r="A6992" s="2" t="s">
        <v>110</v>
      </c>
      <c r="B6992">
        <v>95</v>
      </c>
      <c r="C6992" s="2" t="s">
        <v>162</v>
      </c>
      <c r="D6992">
        <v>95</v>
      </c>
    </row>
    <row r="6993" spans="1:4" hidden="1" x14ac:dyDescent="0.25">
      <c r="A6993" s="2" t="s">
        <v>110</v>
      </c>
      <c r="B6993">
        <v>95</v>
      </c>
      <c r="C6993" s="2" t="s">
        <v>163</v>
      </c>
      <c r="D6993">
        <v>95</v>
      </c>
    </row>
    <row r="6994" spans="1:4" hidden="1" x14ac:dyDescent="0.25">
      <c r="A6994" s="2" t="s">
        <v>110</v>
      </c>
      <c r="B6994">
        <v>95</v>
      </c>
      <c r="C6994" s="2" t="s">
        <v>164</v>
      </c>
      <c r="D6994">
        <v>95</v>
      </c>
    </row>
    <row r="6995" spans="1:4" hidden="1" x14ac:dyDescent="0.25">
      <c r="A6995" s="2" t="s">
        <v>110</v>
      </c>
      <c r="B6995">
        <v>95</v>
      </c>
      <c r="C6995" s="2" t="s">
        <v>165</v>
      </c>
      <c r="D6995">
        <v>95</v>
      </c>
    </row>
    <row r="6996" spans="1:4" hidden="1" x14ac:dyDescent="0.25">
      <c r="A6996" s="2" t="s">
        <v>110</v>
      </c>
      <c r="B6996">
        <v>95</v>
      </c>
      <c r="C6996" s="2" t="s">
        <v>166</v>
      </c>
      <c r="D6996">
        <v>95</v>
      </c>
    </row>
    <row r="6997" spans="1:4" hidden="1" x14ac:dyDescent="0.25">
      <c r="A6997" s="2" t="s">
        <v>110</v>
      </c>
      <c r="B6997">
        <v>95</v>
      </c>
      <c r="C6997" s="2" t="s">
        <v>167</v>
      </c>
      <c r="D6997">
        <v>95</v>
      </c>
    </row>
    <row r="6998" spans="1:4" hidden="1" x14ac:dyDescent="0.25">
      <c r="A6998" s="2" t="s">
        <v>110</v>
      </c>
      <c r="B6998">
        <v>95</v>
      </c>
      <c r="C6998" s="2" t="s">
        <v>168</v>
      </c>
      <c r="D6998">
        <v>95</v>
      </c>
    </row>
    <row r="6999" spans="1:4" hidden="1" x14ac:dyDescent="0.25">
      <c r="A6999" s="2" t="s">
        <v>110</v>
      </c>
      <c r="B6999">
        <v>95</v>
      </c>
      <c r="C6999" s="2" t="s">
        <v>169</v>
      </c>
      <c r="D6999">
        <v>95</v>
      </c>
    </row>
    <row r="7000" spans="1:4" hidden="1" x14ac:dyDescent="0.25">
      <c r="A7000" s="2" t="s">
        <v>110</v>
      </c>
      <c r="B7000">
        <v>95</v>
      </c>
      <c r="C7000" s="2" t="s">
        <v>170</v>
      </c>
      <c r="D7000">
        <v>95</v>
      </c>
    </row>
    <row r="7001" spans="1:4" hidden="1" x14ac:dyDescent="0.25">
      <c r="A7001" s="2" t="s">
        <v>110</v>
      </c>
      <c r="B7001">
        <v>95</v>
      </c>
      <c r="C7001" s="2" t="s">
        <v>171</v>
      </c>
      <c r="D7001">
        <v>95</v>
      </c>
    </row>
    <row r="7002" spans="1:4" hidden="1" x14ac:dyDescent="0.25">
      <c r="A7002" s="2" t="s">
        <v>110</v>
      </c>
      <c r="B7002">
        <v>95</v>
      </c>
      <c r="C7002" s="2" t="s">
        <v>172</v>
      </c>
      <c r="D7002">
        <v>95</v>
      </c>
    </row>
    <row r="7003" spans="1:4" hidden="1" x14ac:dyDescent="0.25">
      <c r="A7003" s="2" t="s">
        <v>110</v>
      </c>
      <c r="B7003">
        <v>95</v>
      </c>
      <c r="C7003" s="2" t="s">
        <v>173</v>
      </c>
      <c r="D7003">
        <v>95</v>
      </c>
    </row>
    <row r="7004" spans="1:4" hidden="1" x14ac:dyDescent="0.25">
      <c r="A7004" s="2" t="s">
        <v>110</v>
      </c>
      <c r="B7004">
        <v>95</v>
      </c>
      <c r="C7004" s="2" t="s">
        <v>174</v>
      </c>
      <c r="D7004">
        <v>95</v>
      </c>
    </row>
    <row r="7005" spans="1:4" hidden="1" x14ac:dyDescent="0.25">
      <c r="A7005" s="2" t="s">
        <v>110</v>
      </c>
      <c r="B7005">
        <v>95</v>
      </c>
      <c r="C7005" s="2" t="s">
        <v>175</v>
      </c>
      <c r="D7005">
        <v>95</v>
      </c>
    </row>
    <row r="7006" spans="1:4" hidden="1" x14ac:dyDescent="0.25">
      <c r="A7006" s="2" t="s">
        <v>110</v>
      </c>
      <c r="B7006">
        <v>95</v>
      </c>
      <c r="C7006" s="2" t="s">
        <v>176</v>
      </c>
      <c r="D7006">
        <v>95</v>
      </c>
    </row>
    <row r="7007" spans="1:4" hidden="1" x14ac:dyDescent="0.25">
      <c r="A7007" s="2" t="s">
        <v>110</v>
      </c>
      <c r="B7007">
        <v>95</v>
      </c>
      <c r="C7007" s="2" t="s">
        <v>177</v>
      </c>
      <c r="D7007">
        <v>95</v>
      </c>
    </row>
    <row r="7008" spans="1:4" hidden="1" x14ac:dyDescent="0.25">
      <c r="A7008" s="2" t="s">
        <v>110</v>
      </c>
      <c r="B7008">
        <v>95</v>
      </c>
      <c r="C7008" s="2" t="s">
        <v>178</v>
      </c>
      <c r="D7008">
        <v>95</v>
      </c>
    </row>
    <row r="7009" spans="1:4" hidden="1" x14ac:dyDescent="0.25">
      <c r="A7009" s="2" t="s">
        <v>110</v>
      </c>
      <c r="B7009">
        <v>95</v>
      </c>
      <c r="C7009" s="2" t="s">
        <v>179</v>
      </c>
      <c r="D7009">
        <v>95</v>
      </c>
    </row>
    <row r="7010" spans="1:4" hidden="1" x14ac:dyDescent="0.25">
      <c r="A7010" s="2" t="s">
        <v>38</v>
      </c>
      <c r="B7010">
        <v>97</v>
      </c>
      <c r="C7010" s="2" t="s">
        <v>183</v>
      </c>
      <c r="D7010">
        <v>78</v>
      </c>
    </row>
    <row r="7011" spans="1:4" hidden="1" x14ac:dyDescent="0.25">
      <c r="A7011" s="2" t="s">
        <v>38</v>
      </c>
      <c r="B7011">
        <v>97</v>
      </c>
      <c r="C7011" s="2" t="s">
        <v>184</v>
      </c>
      <c r="D7011">
        <v>77</v>
      </c>
    </row>
    <row r="7012" spans="1:4" hidden="1" x14ac:dyDescent="0.25">
      <c r="A7012" s="2" t="s">
        <v>38</v>
      </c>
      <c r="B7012">
        <v>97</v>
      </c>
      <c r="C7012" s="2" t="s">
        <v>185</v>
      </c>
      <c r="D7012">
        <v>82</v>
      </c>
    </row>
    <row r="7013" spans="1:4" hidden="1" x14ac:dyDescent="0.25">
      <c r="A7013" s="2" t="s">
        <v>38</v>
      </c>
      <c r="B7013">
        <v>97</v>
      </c>
      <c r="C7013" s="2" t="s">
        <v>186</v>
      </c>
      <c r="D7013">
        <v>98</v>
      </c>
    </row>
    <row r="7014" spans="1:4" hidden="1" x14ac:dyDescent="0.25">
      <c r="A7014" s="2" t="s">
        <v>38</v>
      </c>
      <c r="B7014">
        <v>97</v>
      </c>
      <c r="C7014" s="2" t="s">
        <v>187</v>
      </c>
      <c r="D7014">
        <v>98</v>
      </c>
    </row>
    <row r="7015" spans="1:4" hidden="1" x14ac:dyDescent="0.25">
      <c r="A7015" s="2" t="s">
        <v>38</v>
      </c>
      <c r="B7015">
        <v>97</v>
      </c>
      <c r="C7015" s="2" t="s">
        <v>188</v>
      </c>
      <c r="D7015">
        <v>100</v>
      </c>
    </row>
    <row r="7016" spans="1:4" hidden="1" x14ac:dyDescent="0.25">
      <c r="A7016" s="2" t="s">
        <v>38</v>
      </c>
      <c r="B7016">
        <v>97</v>
      </c>
      <c r="C7016" s="2" t="s">
        <v>189</v>
      </c>
      <c r="D7016">
        <v>93</v>
      </c>
    </row>
    <row r="7017" spans="1:4" hidden="1" x14ac:dyDescent="0.25">
      <c r="A7017" s="2" t="s">
        <v>38</v>
      </c>
      <c r="B7017">
        <v>97</v>
      </c>
      <c r="C7017" s="2" t="s">
        <v>190</v>
      </c>
      <c r="D7017">
        <v>86</v>
      </c>
    </row>
    <row r="7018" spans="1:4" hidden="1" x14ac:dyDescent="0.25">
      <c r="A7018" s="2" t="s">
        <v>38</v>
      </c>
      <c r="B7018">
        <v>97</v>
      </c>
      <c r="C7018" s="2" t="s">
        <v>191</v>
      </c>
      <c r="D7018">
        <v>85</v>
      </c>
    </row>
    <row r="7019" spans="1:4" hidden="1" x14ac:dyDescent="0.25">
      <c r="A7019" s="2" t="s">
        <v>38</v>
      </c>
      <c r="B7019">
        <v>97</v>
      </c>
      <c r="C7019" s="2" t="s">
        <v>116</v>
      </c>
      <c r="D7019">
        <v>86</v>
      </c>
    </row>
    <row r="7020" spans="1:4" hidden="1" x14ac:dyDescent="0.25">
      <c r="A7020" s="2" t="s">
        <v>38</v>
      </c>
      <c r="B7020">
        <v>97</v>
      </c>
      <c r="C7020" s="2" t="s">
        <v>117</v>
      </c>
      <c r="D7020">
        <v>88</v>
      </c>
    </row>
    <row r="7021" spans="1:4" hidden="1" x14ac:dyDescent="0.25">
      <c r="A7021" s="2" t="s">
        <v>38</v>
      </c>
      <c r="B7021">
        <v>97</v>
      </c>
      <c r="C7021" s="2" t="s">
        <v>118</v>
      </c>
      <c r="D7021">
        <v>92</v>
      </c>
    </row>
    <row r="7022" spans="1:4" hidden="1" x14ac:dyDescent="0.25">
      <c r="A7022" s="2" t="s">
        <v>38</v>
      </c>
      <c r="B7022">
        <v>97</v>
      </c>
      <c r="C7022" s="2" t="s">
        <v>119</v>
      </c>
      <c r="D7022">
        <v>92</v>
      </c>
    </row>
    <row r="7023" spans="1:4" hidden="1" x14ac:dyDescent="0.25">
      <c r="A7023" s="2" t="s">
        <v>38</v>
      </c>
      <c r="B7023">
        <v>97</v>
      </c>
      <c r="C7023" s="2" t="s">
        <v>120</v>
      </c>
      <c r="D7023">
        <v>100</v>
      </c>
    </row>
    <row r="7024" spans="1:4" hidden="1" x14ac:dyDescent="0.25">
      <c r="A7024" s="2" t="s">
        <v>38</v>
      </c>
      <c r="B7024">
        <v>97</v>
      </c>
      <c r="C7024" s="2" t="s">
        <v>121</v>
      </c>
      <c r="D7024">
        <v>95</v>
      </c>
    </row>
    <row r="7025" spans="1:4" hidden="1" x14ac:dyDescent="0.25">
      <c r="A7025" s="2" t="s">
        <v>38</v>
      </c>
      <c r="B7025">
        <v>97</v>
      </c>
      <c r="C7025" s="2" t="s">
        <v>122</v>
      </c>
      <c r="D7025">
        <v>93</v>
      </c>
    </row>
    <row r="7026" spans="1:4" hidden="1" x14ac:dyDescent="0.25">
      <c r="A7026" s="2" t="s">
        <v>38</v>
      </c>
      <c r="B7026">
        <v>97</v>
      </c>
      <c r="C7026" s="2" t="s">
        <v>123</v>
      </c>
      <c r="D7026">
        <v>97</v>
      </c>
    </row>
    <row r="7027" spans="1:4" hidden="1" x14ac:dyDescent="0.25">
      <c r="A7027" s="2" t="s">
        <v>38</v>
      </c>
      <c r="B7027">
        <v>97</v>
      </c>
      <c r="C7027" s="2" t="s">
        <v>124</v>
      </c>
      <c r="D7027">
        <v>99</v>
      </c>
    </row>
    <row r="7028" spans="1:4" hidden="1" x14ac:dyDescent="0.25">
      <c r="A7028" s="2" t="s">
        <v>38</v>
      </c>
      <c r="B7028">
        <v>97</v>
      </c>
      <c r="C7028" s="2" t="s">
        <v>125</v>
      </c>
      <c r="D7028">
        <v>90</v>
      </c>
    </row>
    <row r="7029" spans="1:4" hidden="1" x14ac:dyDescent="0.25">
      <c r="A7029" s="2" t="s">
        <v>38</v>
      </c>
      <c r="B7029">
        <v>97</v>
      </c>
      <c r="C7029" s="2" t="s">
        <v>126</v>
      </c>
      <c r="D7029">
        <v>95</v>
      </c>
    </row>
    <row r="7030" spans="1:4" hidden="1" x14ac:dyDescent="0.25">
      <c r="A7030" s="2" t="s">
        <v>38</v>
      </c>
      <c r="B7030">
        <v>97</v>
      </c>
      <c r="C7030" s="2" t="s">
        <v>127</v>
      </c>
      <c r="D7030">
        <v>91</v>
      </c>
    </row>
    <row r="7031" spans="1:4" hidden="1" x14ac:dyDescent="0.25">
      <c r="A7031" s="2" t="s">
        <v>38</v>
      </c>
      <c r="B7031">
        <v>97</v>
      </c>
      <c r="C7031" s="2" t="s">
        <v>128</v>
      </c>
      <c r="D7031">
        <v>87</v>
      </c>
    </row>
    <row r="7032" spans="1:4" hidden="1" x14ac:dyDescent="0.25">
      <c r="A7032" s="2" t="s">
        <v>38</v>
      </c>
      <c r="B7032">
        <v>97</v>
      </c>
      <c r="C7032" s="2" t="s">
        <v>129</v>
      </c>
      <c r="D7032">
        <v>89</v>
      </c>
    </row>
    <row r="7033" spans="1:4" hidden="1" x14ac:dyDescent="0.25">
      <c r="A7033" s="2" t="s">
        <v>38</v>
      </c>
      <c r="B7033">
        <v>97</v>
      </c>
      <c r="C7033" s="2" t="s">
        <v>130</v>
      </c>
      <c r="D7033">
        <v>88</v>
      </c>
    </row>
    <row r="7034" spans="1:4" hidden="1" x14ac:dyDescent="0.25">
      <c r="A7034" s="2" t="s">
        <v>38</v>
      </c>
      <c r="B7034">
        <v>97</v>
      </c>
      <c r="C7034" s="2" t="s">
        <v>131</v>
      </c>
      <c r="D7034">
        <v>84</v>
      </c>
    </row>
    <row r="7035" spans="1:4" hidden="1" x14ac:dyDescent="0.25">
      <c r="A7035" s="2" t="s">
        <v>38</v>
      </c>
      <c r="B7035">
        <v>97</v>
      </c>
      <c r="C7035" s="2" t="s">
        <v>132</v>
      </c>
      <c r="D7035">
        <v>85</v>
      </c>
    </row>
    <row r="7036" spans="1:4" hidden="1" x14ac:dyDescent="0.25">
      <c r="A7036" s="2" t="s">
        <v>38</v>
      </c>
      <c r="B7036">
        <v>97</v>
      </c>
      <c r="C7036" s="2" t="s">
        <v>133</v>
      </c>
      <c r="D7036">
        <v>85</v>
      </c>
    </row>
    <row r="7037" spans="1:4" hidden="1" x14ac:dyDescent="0.25">
      <c r="A7037" s="2" t="s">
        <v>38</v>
      </c>
      <c r="B7037">
        <v>97</v>
      </c>
      <c r="C7037" s="2" t="s">
        <v>134</v>
      </c>
      <c r="D7037">
        <v>88</v>
      </c>
    </row>
    <row r="7038" spans="1:4" hidden="1" x14ac:dyDescent="0.25">
      <c r="A7038" s="2" t="s">
        <v>38</v>
      </c>
      <c r="B7038">
        <v>97</v>
      </c>
      <c r="C7038" s="2" t="s">
        <v>135</v>
      </c>
      <c r="D7038">
        <v>97</v>
      </c>
    </row>
    <row r="7039" spans="1:4" hidden="1" x14ac:dyDescent="0.25">
      <c r="A7039" s="2" t="s">
        <v>38</v>
      </c>
      <c r="B7039">
        <v>97</v>
      </c>
      <c r="C7039" s="2" t="s">
        <v>136</v>
      </c>
      <c r="D7039">
        <v>97</v>
      </c>
    </row>
    <row r="7040" spans="1:4" hidden="1" x14ac:dyDescent="0.25">
      <c r="A7040" s="2" t="s">
        <v>38</v>
      </c>
      <c r="B7040">
        <v>97</v>
      </c>
      <c r="C7040" s="2" t="s">
        <v>137</v>
      </c>
      <c r="D7040">
        <v>97</v>
      </c>
    </row>
    <row r="7041" spans="1:4" hidden="1" x14ac:dyDescent="0.25">
      <c r="A7041" s="2" t="s">
        <v>38</v>
      </c>
      <c r="B7041">
        <v>97</v>
      </c>
      <c r="C7041" s="2" t="s">
        <v>138</v>
      </c>
      <c r="D7041">
        <v>97</v>
      </c>
    </row>
    <row r="7042" spans="1:4" hidden="1" x14ac:dyDescent="0.25">
      <c r="A7042" s="2" t="s">
        <v>38</v>
      </c>
      <c r="B7042">
        <v>97</v>
      </c>
      <c r="C7042" s="2" t="s">
        <v>139</v>
      </c>
      <c r="D7042">
        <v>97</v>
      </c>
    </row>
    <row r="7043" spans="1:4" hidden="1" x14ac:dyDescent="0.25">
      <c r="A7043" s="2" t="s">
        <v>38</v>
      </c>
      <c r="B7043">
        <v>97</v>
      </c>
      <c r="C7043" s="2" t="s">
        <v>140</v>
      </c>
      <c r="D7043">
        <v>97</v>
      </c>
    </row>
    <row r="7044" spans="1:4" hidden="1" x14ac:dyDescent="0.25">
      <c r="A7044" s="2" t="s">
        <v>38</v>
      </c>
      <c r="B7044">
        <v>97</v>
      </c>
      <c r="C7044" s="2" t="s">
        <v>141</v>
      </c>
      <c r="D7044">
        <v>97</v>
      </c>
    </row>
    <row r="7045" spans="1:4" hidden="1" x14ac:dyDescent="0.25">
      <c r="A7045" s="2" t="s">
        <v>38</v>
      </c>
      <c r="B7045">
        <v>97</v>
      </c>
      <c r="C7045" s="2" t="s">
        <v>142</v>
      </c>
      <c r="D7045">
        <v>97</v>
      </c>
    </row>
    <row r="7046" spans="1:4" hidden="1" x14ac:dyDescent="0.25">
      <c r="A7046" s="2" t="s">
        <v>38</v>
      </c>
      <c r="B7046">
        <v>97</v>
      </c>
      <c r="C7046" s="2" t="s">
        <v>143</v>
      </c>
      <c r="D7046">
        <v>97</v>
      </c>
    </row>
    <row r="7047" spans="1:4" hidden="1" x14ac:dyDescent="0.25">
      <c r="A7047" s="2" t="s">
        <v>38</v>
      </c>
      <c r="B7047">
        <v>97</v>
      </c>
      <c r="C7047" s="2" t="s">
        <v>144</v>
      </c>
      <c r="D7047">
        <v>97</v>
      </c>
    </row>
    <row r="7048" spans="1:4" hidden="1" x14ac:dyDescent="0.25">
      <c r="A7048" s="2" t="s">
        <v>38</v>
      </c>
      <c r="B7048">
        <v>97</v>
      </c>
      <c r="C7048" s="2" t="s">
        <v>145</v>
      </c>
      <c r="D7048">
        <v>97</v>
      </c>
    </row>
    <row r="7049" spans="1:4" hidden="1" x14ac:dyDescent="0.25">
      <c r="A7049" s="2" t="s">
        <v>38</v>
      </c>
      <c r="B7049">
        <v>97</v>
      </c>
      <c r="C7049" s="2" t="s">
        <v>146</v>
      </c>
      <c r="D7049">
        <v>97</v>
      </c>
    </row>
    <row r="7050" spans="1:4" hidden="1" x14ac:dyDescent="0.25">
      <c r="A7050" s="2" t="s">
        <v>38</v>
      </c>
      <c r="B7050">
        <v>97</v>
      </c>
      <c r="C7050" s="2" t="s">
        <v>147</v>
      </c>
      <c r="D7050">
        <v>97</v>
      </c>
    </row>
    <row r="7051" spans="1:4" hidden="1" x14ac:dyDescent="0.25">
      <c r="A7051" s="2" t="s">
        <v>38</v>
      </c>
      <c r="B7051">
        <v>97</v>
      </c>
      <c r="C7051" s="2" t="s">
        <v>148</v>
      </c>
      <c r="D7051">
        <v>97</v>
      </c>
    </row>
    <row r="7052" spans="1:4" hidden="1" x14ac:dyDescent="0.25">
      <c r="A7052" s="2" t="s">
        <v>38</v>
      </c>
      <c r="B7052">
        <v>97</v>
      </c>
      <c r="C7052" s="2" t="s">
        <v>149</v>
      </c>
      <c r="D7052">
        <v>97</v>
      </c>
    </row>
    <row r="7053" spans="1:4" hidden="1" x14ac:dyDescent="0.25">
      <c r="A7053" s="2" t="s">
        <v>38</v>
      </c>
      <c r="B7053">
        <v>97</v>
      </c>
      <c r="C7053" s="2" t="s">
        <v>150</v>
      </c>
      <c r="D7053">
        <v>97</v>
      </c>
    </row>
    <row r="7054" spans="1:4" hidden="1" x14ac:dyDescent="0.25">
      <c r="A7054" s="2" t="s">
        <v>38</v>
      </c>
      <c r="B7054">
        <v>97</v>
      </c>
      <c r="C7054" s="2" t="s">
        <v>151</v>
      </c>
      <c r="D7054">
        <v>97</v>
      </c>
    </row>
    <row r="7055" spans="1:4" hidden="1" x14ac:dyDescent="0.25">
      <c r="A7055" s="2" t="s">
        <v>38</v>
      </c>
      <c r="B7055">
        <v>97</v>
      </c>
      <c r="C7055" s="2" t="s">
        <v>152</v>
      </c>
      <c r="D7055">
        <v>97</v>
      </c>
    </row>
    <row r="7056" spans="1:4" hidden="1" x14ac:dyDescent="0.25">
      <c r="A7056" s="2" t="s">
        <v>38</v>
      </c>
      <c r="B7056">
        <v>97</v>
      </c>
      <c r="C7056" s="2" t="s">
        <v>153</v>
      </c>
      <c r="D7056">
        <v>97</v>
      </c>
    </row>
    <row r="7057" spans="1:4" hidden="1" x14ac:dyDescent="0.25">
      <c r="A7057" s="2" t="s">
        <v>38</v>
      </c>
      <c r="B7057">
        <v>97</v>
      </c>
      <c r="C7057" s="2" t="s">
        <v>154</v>
      </c>
      <c r="D7057">
        <v>97</v>
      </c>
    </row>
    <row r="7058" spans="1:4" hidden="1" x14ac:dyDescent="0.25">
      <c r="A7058" s="2" t="s">
        <v>38</v>
      </c>
      <c r="B7058">
        <v>97</v>
      </c>
      <c r="C7058" s="2" t="s">
        <v>155</v>
      </c>
      <c r="D7058">
        <v>97</v>
      </c>
    </row>
    <row r="7059" spans="1:4" hidden="1" x14ac:dyDescent="0.25">
      <c r="A7059" s="2" t="s">
        <v>38</v>
      </c>
      <c r="B7059">
        <v>97</v>
      </c>
      <c r="C7059" s="2" t="s">
        <v>156</v>
      </c>
      <c r="D7059">
        <v>97</v>
      </c>
    </row>
    <row r="7060" spans="1:4" hidden="1" x14ac:dyDescent="0.25">
      <c r="A7060" s="2" t="s">
        <v>38</v>
      </c>
      <c r="B7060">
        <v>97</v>
      </c>
      <c r="C7060" s="2" t="s">
        <v>157</v>
      </c>
      <c r="D7060">
        <v>97</v>
      </c>
    </row>
    <row r="7061" spans="1:4" hidden="1" x14ac:dyDescent="0.25">
      <c r="A7061" s="2" t="s">
        <v>38</v>
      </c>
      <c r="B7061">
        <v>97</v>
      </c>
      <c r="C7061" s="2" t="s">
        <v>158</v>
      </c>
      <c r="D7061">
        <v>97</v>
      </c>
    </row>
    <row r="7062" spans="1:4" hidden="1" x14ac:dyDescent="0.25">
      <c r="A7062" s="2" t="s">
        <v>38</v>
      </c>
      <c r="B7062">
        <v>97</v>
      </c>
      <c r="C7062" s="2" t="s">
        <v>159</v>
      </c>
      <c r="D7062">
        <v>97</v>
      </c>
    </row>
    <row r="7063" spans="1:4" hidden="1" x14ac:dyDescent="0.25">
      <c r="A7063" s="2" t="s">
        <v>38</v>
      </c>
      <c r="B7063">
        <v>97</v>
      </c>
      <c r="C7063" s="2" t="s">
        <v>160</v>
      </c>
      <c r="D7063">
        <v>97</v>
      </c>
    </row>
    <row r="7064" spans="1:4" hidden="1" x14ac:dyDescent="0.25">
      <c r="A7064" s="2" t="s">
        <v>38</v>
      </c>
      <c r="B7064">
        <v>97</v>
      </c>
      <c r="C7064" s="2" t="s">
        <v>161</v>
      </c>
      <c r="D7064">
        <v>97</v>
      </c>
    </row>
    <row r="7065" spans="1:4" hidden="1" x14ac:dyDescent="0.25">
      <c r="A7065" s="2" t="s">
        <v>38</v>
      </c>
      <c r="B7065">
        <v>97</v>
      </c>
      <c r="C7065" s="2" t="s">
        <v>162</v>
      </c>
      <c r="D7065">
        <v>97</v>
      </c>
    </row>
    <row r="7066" spans="1:4" hidden="1" x14ac:dyDescent="0.25">
      <c r="A7066" s="2" t="s">
        <v>38</v>
      </c>
      <c r="B7066">
        <v>97</v>
      </c>
      <c r="C7066" s="2" t="s">
        <v>163</v>
      </c>
      <c r="D7066">
        <v>97</v>
      </c>
    </row>
    <row r="7067" spans="1:4" hidden="1" x14ac:dyDescent="0.25">
      <c r="A7067" s="2" t="s">
        <v>38</v>
      </c>
      <c r="B7067">
        <v>97</v>
      </c>
      <c r="C7067" s="2" t="s">
        <v>164</v>
      </c>
      <c r="D7067">
        <v>97</v>
      </c>
    </row>
    <row r="7068" spans="1:4" hidden="1" x14ac:dyDescent="0.25">
      <c r="A7068" s="2" t="s">
        <v>38</v>
      </c>
      <c r="B7068">
        <v>97</v>
      </c>
      <c r="C7068" s="2" t="s">
        <v>165</v>
      </c>
      <c r="D7068">
        <v>97</v>
      </c>
    </row>
    <row r="7069" spans="1:4" hidden="1" x14ac:dyDescent="0.25">
      <c r="A7069" s="2" t="s">
        <v>38</v>
      </c>
      <c r="B7069">
        <v>97</v>
      </c>
      <c r="C7069" s="2" t="s">
        <v>166</v>
      </c>
      <c r="D7069">
        <v>97</v>
      </c>
    </row>
    <row r="7070" spans="1:4" hidden="1" x14ac:dyDescent="0.25">
      <c r="A7070" s="2" t="s">
        <v>38</v>
      </c>
      <c r="B7070">
        <v>97</v>
      </c>
      <c r="C7070" s="2" t="s">
        <v>167</v>
      </c>
      <c r="D7070">
        <v>97</v>
      </c>
    </row>
    <row r="7071" spans="1:4" hidden="1" x14ac:dyDescent="0.25">
      <c r="A7071" s="2" t="s">
        <v>38</v>
      </c>
      <c r="B7071">
        <v>97</v>
      </c>
      <c r="C7071" s="2" t="s">
        <v>168</v>
      </c>
      <c r="D7071">
        <v>97</v>
      </c>
    </row>
    <row r="7072" spans="1:4" hidden="1" x14ac:dyDescent="0.25">
      <c r="A7072" s="2" t="s">
        <v>38</v>
      </c>
      <c r="B7072">
        <v>97</v>
      </c>
      <c r="C7072" s="2" t="s">
        <v>169</v>
      </c>
      <c r="D7072">
        <v>97</v>
      </c>
    </row>
    <row r="7073" spans="1:4" hidden="1" x14ac:dyDescent="0.25">
      <c r="A7073" s="2" t="s">
        <v>38</v>
      </c>
      <c r="B7073">
        <v>97</v>
      </c>
      <c r="C7073" s="2" t="s">
        <v>170</v>
      </c>
      <c r="D7073">
        <v>97</v>
      </c>
    </row>
    <row r="7074" spans="1:4" hidden="1" x14ac:dyDescent="0.25">
      <c r="A7074" s="2" t="s">
        <v>38</v>
      </c>
      <c r="B7074">
        <v>97</v>
      </c>
      <c r="C7074" s="2" t="s">
        <v>171</v>
      </c>
      <c r="D7074">
        <v>97</v>
      </c>
    </row>
    <row r="7075" spans="1:4" hidden="1" x14ac:dyDescent="0.25">
      <c r="A7075" s="2" t="s">
        <v>38</v>
      </c>
      <c r="B7075">
        <v>97</v>
      </c>
      <c r="C7075" s="2" t="s">
        <v>172</v>
      </c>
      <c r="D7075">
        <v>97</v>
      </c>
    </row>
    <row r="7076" spans="1:4" hidden="1" x14ac:dyDescent="0.25">
      <c r="A7076" s="2" t="s">
        <v>38</v>
      </c>
      <c r="B7076">
        <v>97</v>
      </c>
      <c r="C7076" s="2" t="s">
        <v>173</v>
      </c>
      <c r="D7076">
        <v>97</v>
      </c>
    </row>
    <row r="7077" spans="1:4" hidden="1" x14ac:dyDescent="0.25">
      <c r="A7077" s="2" t="s">
        <v>38</v>
      </c>
      <c r="B7077">
        <v>97</v>
      </c>
      <c r="C7077" s="2" t="s">
        <v>174</v>
      </c>
      <c r="D7077">
        <v>97</v>
      </c>
    </row>
    <row r="7078" spans="1:4" hidden="1" x14ac:dyDescent="0.25">
      <c r="A7078" s="2" t="s">
        <v>38</v>
      </c>
      <c r="B7078">
        <v>97</v>
      </c>
      <c r="C7078" s="2" t="s">
        <v>175</v>
      </c>
      <c r="D7078">
        <v>97</v>
      </c>
    </row>
    <row r="7079" spans="1:4" hidden="1" x14ac:dyDescent="0.25">
      <c r="A7079" s="2" t="s">
        <v>38</v>
      </c>
      <c r="B7079">
        <v>97</v>
      </c>
      <c r="C7079" s="2" t="s">
        <v>176</v>
      </c>
      <c r="D7079">
        <v>97</v>
      </c>
    </row>
    <row r="7080" spans="1:4" hidden="1" x14ac:dyDescent="0.25">
      <c r="A7080" s="2" t="s">
        <v>38</v>
      </c>
      <c r="B7080">
        <v>97</v>
      </c>
      <c r="C7080" s="2" t="s">
        <v>177</v>
      </c>
      <c r="D7080">
        <v>97</v>
      </c>
    </row>
    <row r="7081" spans="1:4" hidden="1" x14ac:dyDescent="0.25">
      <c r="A7081" s="2" t="s">
        <v>38</v>
      </c>
      <c r="B7081">
        <v>97</v>
      </c>
      <c r="C7081" s="2" t="s">
        <v>178</v>
      </c>
      <c r="D7081">
        <v>97</v>
      </c>
    </row>
    <row r="7082" spans="1:4" hidden="1" x14ac:dyDescent="0.25">
      <c r="A7082" s="2" t="s">
        <v>38</v>
      </c>
      <c r="B7082">
        <v>97</v>
      </c>
      <c r="C7082" s="2" t="s">
        <v>179</v>
      </c>
      <c r="D7082">
        <v>97</v>
      </c>
    </row>
    <row r="7083" spans="1:4" hidden="1" x14ac:dyDescent="0.25">
      <c r="A7083" s="2" t="s">
        <v>79</v>
      </c>
      <c r="B7083">
        <v>97</v>
      </c>
      <c r="C7083" s="2" t="s">
        <v>183</v>
      </c>
      <c r="D7083">
        <v>78</v>
      </c>
    </row>
    <row r="7084" spans="1:4" hidden="1" x14ac:dyDescent="0.25">
      <c r="A7084" s="2" t="s">
        <v>79</v>
      </c>
      <c r="B7084">
        <v>97</v>
      </c>
      <c r="C7084" s="2" t="s">
        <v>184</v>
      </c>
      <c r="D7084">
        <v>77</v>
      </c>
    </row>
    <row r="7085" spans="1:4" hidden="1" x14ac:dyDescent="0.25">
      <c r="A7085" s="2" t="s">
        <v>79</v>
      </c>
      <c r="B7085">
        <v>97</v>
      </c>
      <c r="C7085" s="2" t="s">
        <v>185</v>
      </c>
      <c r="D7085">
        <v>61</v>
      </c>
    </row>
    <row r="7086" spans="1:4" hidden="1" x14ac:dyDescent="0.25">
      <c r="A7086" s="2" t="s">
        <v>79</v>
      </c>
      <c r="B7086">
        <v>97</v>
      </c>
      <c r="C7086" s="2" t="s">
        <v>186</v>
      </c>
      <c r="D7086">
        <v>94</v>
      </c>
    </row>
    <row r="7087" spans="1:4" hidden="1" x14ac:dyDescent="0.25">
      <c r="A7087" s="2" t="s">
        <v>79</v>
      </c>
      <c r="B7087">
        <v>97</v>
      </c>
      <c r="C7087" s="2" t="s">
        <v>187</v>
      </c>
      <c r="D7087">
        <v>94</v>
      </c>
    </row>
    <row r="7088" spans="1:4" hidden="1" x14ac:dyDescent="0.25">
      <c r="A7088" s="2" t="s">
        <v>79</v>
      </c>
      <c r="B7088">
        <v>97</v>
      </c>
      <c r="C7088" s="2" t="s">
        <v>188</v>
      </c>
      <c r="D7088">
        <v>99</v>
      </c>
    </row>
    <row r="7089" spans="1:4" hidden="1" x14ac:dyDescent="0.25">
      <c r="A7089" s="2" t="s">
        <v>79</v>
      </c>
      <c r="B7089">
        <v>97</v>
      </c>
      <c r="C7089" s="2" t="s">
        <v>189</v>
      </c>
      <c r="D7089">
        <v>90</v>
      </c>
    </row>
    <row r="7090" spans="1:4" hidden="1" x14ac:dyDescent="0.25">
      <c r="A7090" s="2" t="s">
        <v>79</v>
      </c>
      <c r="B7090">
        <v>97</v>
      </c>
      <c r="C7090" s="2" t="s">
        <v>190</v>
      </c>
      <c r="D7090">
        <v>83</v>
      </c>
    </row>
    <row r="7091" spans="1:4" hidden="1" x14ac:dyDescent="0.25">
      <c r="A7091" s="2" t="s">
        <v>79</v>
      </c>
      <c r="B7091">
        <v>97</v>
      </c>
      <c r="C7091" s="2" t="s">
        <v>191</v>
      </c>
      <c r="D7091">
        <v>82</v>
      </c>
    </row>
    <row r="7092" spans="1:4" hidden="1" x14ac:dyDescent="0.25">
      <c r="A7092" s="2" t="s">
        <v>79</v>
      </c>
      <c r="B7092">
        <v>97</v>
      </c>
      <c r="C7092" s="2" t="s">
        <v>116</v>
      </c>
      <c r="D7092">
        <v>85</v>
      </c>
    </row>
    <row r="7093" spans="1:4" hidden="1" x14ac:dyDescent="0.25">
      <c r="A7093" s="2" t="s">
        <v>79</v>
      </c>
      <c r="B7093">
        <v>97</v>
      </c>
      <c r="C7093" s="2" t="s">
        <v>117</v>
      </c>
      <c r="D7093">
        <v>81</v>
      </c>
    </row>
    <row r="7094" spans="1:4" hidden="1" x14ac:dyDescent="0.25">
      <c r="A7094" s="2" t="s">
        <v>79</v>
      </c>
      <c r="B7094">
        <v>97</v>
      </c>
      <c r="C7094" s="2" t="s">
        <v>118</v>
      </c>
      <c r="D7094">
        <v>76</v>
      </c>
    </row>
    <row r="7095" spans="1:4" hidden="1" x14ac:dyDescent="0.25">
      <c r="A7095" s="2" t="s">
        <v>79</v>
      </c>
      <c r="B7095">
        <v>97</v>
      </c>
      <c r="C7095" s="2" t="s">
        <v>119</v>
      </c>
      <c r="D7095">
        <v>73</v>
      </c>
    </row>
    <row r="7096" spans="1:4" hidden="1" x14ac:dyDescent="0.25">
      <c r="A7096" s="2" t="s">
        <v>79</v>
      </c>
      <c r="B7096">
        <v>97</v>
      </c>
      <c r="C7096" s="2" t="s">
        <v>120</v>
      </c>
      <c r="D7096">
        <v>70</v>
      </c>
    </row>
    <row r="7097" spans="1:4" hidden="1" x14ac:dyDescent="0.25">
      <c r="A7097" s="2" t="s">
        <v>79</v>
      </c>
      <c r="B7097">
        <v>97</v>
      </c>
      <c r="C7097" s="2" t="s">
        <v>121</v>
      </c>
      <c r="D7097">
        <v>69</v>
      </c>
    </row>
    <row r="7098" spans="1:4" hidden="1" x14ac:dyDescent="0.25">
      <c r="A7098" s="2" t="s">
        <v>79</v>
      </c>
      <c r="B7098">
        <v>97</v>
      </c>
      <c r="C7098" s="2" t="s">
        <v>122</v>
      </c>
      <c r="D7098">
        <v>59</v>
      </c>
    </row>
    <row r="7099" spans="1:4" hidden="1" x14ac:dyDescent="0.25">
      <c r="A7099" s="2" t="s">
        <v>79</v>
      </c>
      <c r="B7099">
        <v>97</v>
      </c>
      <c r="C7099" s="2" t="s">
        <v>123</v>
      </c>
      <c r="D7099">
        <v>64</v>
      </c>
    </row>
    <row r="7100" spans="1:4" hidden="1" x14ac:dyDescent="0.25">
      <c r="A7100" s="2" t="s">
        <v>79</v>
      </c>
      <c r="B7100">
        <v>97</v>
      </c>
      <c r="C7100" s="2" t="s">
        <v>124</v>
      </c>
      <c r="D7100">
        <v>67</v>
      </c>
    </row>
    <row r="7101" spans="1:4" hidden="1" x14ac:dyDescent="0.25">
      <c r="A7101" s="2" t="s">
        <v>79</v>
      </c>
      <c r="B7101">
        <v>97</v>
      </c>
      <c r="C7101" s="2" t="s">
        <v>125</v>
      </c>
      <c r="D7101">
        <v>79</v>
      </c>
    </row>
    <row r="7102" spans="1:4" hidden="1" x14ac:dyDescent="0.25">
      <c r="A7102" s="2" t="s">
        <v>79</v>
      </c>
      <c r="B7102">
        <v>97</v>
      </c>
      <c r="C7102" s="2" t="s">
        <v>126</v>
      </c>
      <c r="D7102">
        <v>81</v>
      </c>
    </row>
    <row r="7103" spans="1:4" hidden="1" x14ac:dyDescent="0.25">
      <c r="A7103" s="2" t="s">
        <v>79</v>
      </c>
      <c r="B7103">
        <v>97</v>
      </c>
      <c r="C7103" s="2" t="s">
        <v>127</v>
      </c>
      <c r="D7103">
        <v>78</v>
      </c>
    </row>
    <row r="7104" spans="1:4" hidden="1" x14ac:dyDescent="0.25">
      <c r="A7104" s="2" t="s">
        <v>79</v>
      </c>
      <c r="B7104">
        <v>97</v>
      </c>
      <c r="C7104" s="2" t="s">
        <v>128</v>
      </c>
      <c r="D7104">
        <v>83</v>
      </c>
    </row>
    <row r="7105" spans="1:4" hidden="1" x14ac:dyDescent="0.25">
      <c r="A7105" s="2" t="s">
        <v>79</v>
      </c>
      <c r="B7105">
        <v>97</v>
      </c>
      <c r="C7105" s="2" t="s">
        <v>129</v>
      </c>
      <c r="D7105">
        <v>83</v>
      </c>
    </row>
    <row r="7106" spans="1:4" hidden="1" x14ac:dyDescent="0.25">
      <c r="A7106" s="2" t="s">
        <v>79</v>
      </c>
      <c r="B7106">
        <v>97</v>
      </c>
      <c r="C7106" s="2" t="s">
        <v>130</v>
      </c>
      <c r="D7106">
        <v>98</v>
      </c>
    </row>
    <row r="7107" spans="1:4" hidden="1" x14ac:dyDescent="0.25">
      <c r="A7107" s="2" t="s">
        <v>79</v>
      </c>
      <c r="B7107">
        <v>97</v>
      </c>
      <c r="C7107" s="2" t="s">
        <v>131</v>
      </c>
      <c r="D7107">
        <v>100</v>
      </c>
    </row>
    <row r="7108" spans="1:4" hidden="1" x14ac:dyDescent="0.25">
      <c r="A7108" s="2" t="s">
        <v>79</v>
      </c>
      <c r="B7108">
        <v>97</v>
      </c>
      <c r="C7108" s="2" t="s">
        <v>132</v>
      </c>
      <c r="D7108">
        <v>91</v>
      </c>
    </row>
    <row r="7109" spans="1:4" hidden="1" x14ac:dyDescent="0.25">
      <c r="A7109" s="2" t="s">
        <v>79</v>
      </c>
      <c r="B7109">
        <v>97</v>
      </c>
      <c r="C7109" s="2" t="s">
        <v>133</v>
      </c>
      <c r="D7109">
        <v>91</v>
      </c>
    </row>
    <row r="7110" spans="1:4" hidden="1" x14ac:dyDescent="0.25">
      <c r="A7110" s="2" t="s">
        <v>79</v>
      </c>
      <c r="B7110">
        <v>97</v>
      </c>
      <c r="C7110" s="2" t="s">
        <v>134</v>
      </c>
      <c r="D7110">
        <v>88</v>
      </c>
    </row>
    <row r="7111" spans="1:4" hidden="1" x14ac:dyDescent="0.25">
      <c r="A7111" s="2" t="s">
        <v>79</v>
      </c>
      <c r="B7111">
        <v>97</v>
      </c>
      <c r="C7111" s="2" t="s">
        <v>135</v>
      </c>
      <c r="D7111">
        <v>97</v>
      </c>
    </row>
    <row r="7112" spans="1:4" hidden="1" x14ac:dyDescent="0.25">
      <c r="A7112" s="2" t="s">
        <v>79</v>
      </c>
      <c r="B7112">
        <v>97</v>
      </c>
      <c r="C7112" s="2" t="s">
        <v>136</v>
      </c>
      <c r="D7112">
        <v>97</v>
      </c>
    </row>
    <row r="7113" spans="1:4" hidden="1" x14ac:dyDescent="0.25">
      <c r="A7113" s="2" t="s">
        <v>79</v>
      </c>
      <c r="B7113">
        <v>97</v>
      </c>
      <c r="C7113" s="2" t="s">
        <v>137</v>
      </c>
      <c r="D7113">
        <v>97</v>
      </c>
    </row>
    <row r="7114" spans="1:4" hidden="1" x14ac:dyDescent="0.25">
      <c r="A7114" s="2" t="s">
        <v>79</v>
      </c>
      <c r="B7114">
        <v>97</v>
      </c>
      <c r="C7114" s="2" t="s">
        <v>138</v>
      </c>
      <c r="D7114">
        <v>97</v>
      </c>
    </row>
    <row r="7115" spans="1:4" hidden="1" x14ac:dyDescent="0.25">
      <c r="A7115" s="2" t="s">
        <v>79</v>
      </c>
      <c r="B7115">
        <v>97</v>
      </c>
      <c r="C7115" s="2" t="s">
        <v>139</v>
      </c>
      <c r="D7115">
        <v>97</v>
      </c>
    </row>
    <row r="7116" spans="1:4" hidden="1" x14ac:dyDescent="0.25">
      <c r="A7116" s="2" t="s">
        <v>79</v>
      </c>
      <c r="B7116">
        <v>97</v>
      </c>
      <c r="C7116" s="2" t="s">
        <v>140</v>
      </c>
      <c r="D7116">
        <v>97</v>
      </c>
    </row>
    <row r="7117" spans="1:4" hidden="1" x14ac:dyDescent="0.25">
      <c r="A7117" s="2" t="s">
        <v>79</v>
      </c>
      <c r="B7117">
        <v>97</v>
      </c>
      <c r="C7117" s="2" t="s">
        <v>141</v>
      </c>
      <c r="D7117">
        <v>97</v>
      </c>
    </row>
    <row r="7118" spans="1:4" hidden="1" x14ac:dyDescent="0.25">
      <c r="A7118" s="2" t="s">
        <v>79</v>
      </c>
      <c r="B7118">
        <v>97</v>
      </c>
      <c r="C7118" s="2" t="s">
        <v>142</v>
      </c>
      <c r="D7118">
        <v>97</v>
      </c>
    </row>
    <row r="7119" spans="1:4" hidden="1" x14ac:dyDescent="0.25">
      <c r="A7119" s="2" t="s">
        <v>79</v>
      </c>
      <c r="B7119">
        <v>97</v>
      </c>
      <c r="C7119" s="2" t="s">
        <v>143</v>
      </c>
      <c r="D7119">
        <v>97</v>
      </c>
    </row>
    <row r="7120" spans="1:4" hidden="1" x14ac:dyDescent="0.25">
      <c r="A7120" s="2" t="s">
        <v>79</v>
      </c>
      <c r="B7120">
        <v>97</v>
      </c>
      <c r="C7120" s="2" t="s">
        <v>144</v>
      </c>
      <c r="D7120">
        <v>97</v>
      </c>
    </row>
    <row r="7121" spans="1:4" hidden="1" x14ac:dyDescent="0.25">
      <c r="A7121" s="2" t="s">
        <v>79</v>
      </c>
      <c r="B7121">
        <v>97</v>
      </c>
      <c r="C7121" s="2" t="s">
        <v>145</v>
      </c>
      <c r="D7121">
        <v>97</v>
      </c>
    </row>
    <row r="7122" spans="1:4" hidden="1" x14ac:dyDescent="0.25">
      <c r="A7122" s="2" t="s">
        <v>79</v>
      </c>
      <c r="B7122">
        <v>97</v>
      </c>
      <c r="C7122" s="2" t="s">
        <v>146</v>
      </c>
      <c r="D7122">
        <v>97</v>
      </c>
    </row>
    <row r="7123" spans="1:4" hidden="1" x14ac:dyDescent="0.25">
      <c r="A7123" s="2" t="s">
        <v>79</v>
      </c>
      <c r="B7123">
        <v>97</v>
      </c>
      <c r="C7123" s="2" t="s">
        <v>147</v>
      </c>
      <c r="D7123">
        <v>97</v>
      </c>
    </row>
    <row r="7124" spans="1:4" hidden="1" x14ac:dyDescent="0.25">
      <c r="A7124" s="2" t="s">
        <v>79</v>
      </c>
      <c r="B7124">
        <v>97</v>
      </c>
      <c r="C7124" s="2" t="s">
        <v>148</v>
      </c>
      <c r="D7124">
        <v>97</v>
      </c>
    </row>
    <row r="7125" spans="1:4" hidden="1" x14ac:dyDescent="0.25">
      <c r="A7125" s="2" t="s">
        <v>79</v>
      </c>
      <c r="B7125">
        <v>97</v>
      </c>
      <c r="C7125" s="2" t="s">
        <v>149</v>
      </c>
      <c r="D7125">
        <v>97</v>
      </c>
    </row>
    <row r="7126" spans="1:4" hidden="1" x14ac:dyDescent="0.25">
      <c r="A7126" s="2" t="s">
        <v>79</v>
      </c>
      <c r="B7126">
        <v>97</v>
      </c>
      <c r="C7126" s="2" t="s">
        <v>150</v>
      </c>
      <c r="D7126">
        <v>97</v>
      </c>
    </row>
    <row r="7127" spans="1:4" hidden="1" x14ac:dyDescent="0.25">
      <c r="A7127" s="2" t="s">
        <v>79</v>
      </c>
      <c r="B7127">
        <v>97</v>
      </c>
      <c r="C7127" s="2" t="s">
        <v>151</v>
      </c>
      <c r="D7127">
        <v>97</v>
      </c>
    </row>
    <row r="7128" spans="1:4" hidden="1" x14ac:dyDescent="0.25">
      <c r="A7128" s="2" t="s">
        <v>79</v>
      </c>
      <c r="B7128">
        <v>97</v>
      </c>
      <c r="C7128" s="2" t="s">
        <v>152</v>
      </c>
      <c r="D7128">
        <v>97</v>
      </c>
    </row>
    <row r="7129" spans="1:4" hidden="1" x14ac:dyDescent="0.25">
      <c r="A7129" s="2" t="s">
        <v>79</v>
      </c>
      <c r="B7129">
        <v>97</v>
      </c>
      <c r="C7129" s="2" t="s">
        <v>153</v>
      </c>
      <c r="D7129">
        <v>97</v>
      </c>
    </row>
    <row r="7130" spans="1:4" hidden="1" x14ac:dyDescent="0.25">
      <c r="A7130" s="2" t="s">
        <v>79</v>
      </c>
      <c r="B7130">
        <v>97</v>
      </c>
      <c r="C7130" s="2" t="s">
        <v>154</v>
      </c>
      <c r="D7130">
        <v>97</v>
      </c>
    </row>
    <row r="7131" spans="1:4" hidden="1" x14ac:dyDescent="0.25">
      <c r="A7131" s="2" t="s">
        <v>79</v>
      </c>
      <c r="B7131">
        <v>97</v>
      </c>
      <c r="C7131" s="2" t="s">
        <v>155</v>
      </c>
      <c r="D7131">
        <v>97</v>
      </c>
    </row>
    <row r="7132" spans="1:4" hidden="1" x14ac:dyDescent="0.25">
      <c r="A7132" s="2" t="s">
        <v>79</v>
      </c>
      <c r="B7132">
        <v>97</v>
      </c>
      <c r="C7132" s="2" t="s">
        <v>156</v>
      </c>
      <c r="D7132">
        <v>97</v>
      </c>
    </row>
    <row r="7133" spans="1:4" hidden="1" x14ac:dyDescent="0.25">
      <c r="A7133" s="2" t="s">
        <v>79</v>
      </c>
      <c r="B7133">
        <v>97</v>
      </c>
      <c r="C7133" s="2" t="s">
        <v>157</v>
      </c>
      <c r="D7133">
        <v>97</v>
      </c>
    </row>
    <row r="7134" spans="1:4" hidden="1" x14ac:dyDescent="0.25">
      <c r="A7134" s="2" t="s">
        <v>79</v>
      </c>
      <c r="B7134">
        <v>97</v>
      </c>
      <c r="C7134" s="2" t="s">
        <v>158</v>
      </c>
      <c r="D7134">
        <v>97</v>
      </c>
    </row>
    <row r="7135" spans="1:4" hidden="1" x14ac:dyDescent="0.25">
      <c r="A7135" s="2" t="s">
        <v>79</v>
      </c>
      <c r="B7135">
        <v>97</v>
      </c>
      <c r="C7135" s="2" t="s">
        <v>159</v>
      </c>
      <c r="D7135">
        <v>97</v>
      </c>
    </row>
    <row r="7136" spans="1:4" hidden="1" x14ac:dyDescent="0.25">
      <c r="A7136" s="2" t="s">
        <v>79</v>
      </c>
      <c r="B7136">
        <v>97</v>
      </c>
      <c r="C7136" s="2" t="s">
        <v>160</v>
      </c>
      <c r="D7136">
        <v>97</v>
      </c>
    </row>
    <row r="7137" spans="1:4" hidden="1" x14ac:dyDescent="0.25">
      <c r="A7137" s="2" t="s">
        <v>79</v>
      </c>
      <c r="B7137">
        <v>97</v>
      </c>
      <c r="C7137" s="2" t="s">
        <v>161</v>
      </c>
      <c r="D7137">
        <v>97</v>
      </c>
    </row>
    <row r="7138" spans="1:4" hidden="1" x14ac:dyDescent="0.25">
      <c r="A7138" s="2" t="s">
        <v>79</v>
      </c>
      <c r="B7138">
        <v>97</v>
      </c>
      <c r="C7138" s="2" t="s">
        <v>162</v>
      </c>
      <c r="D7138">
        <v>97</v>
      </c>
    </row>
    <row r="7139" spans="1:4" hidden="1" x14ac:dyDescent="0.25">
      <c r="A7139" s="2" t="s">
        <v>79</v>
      </c>
      <c r="B7139">
        <v>97</v>
      </c>
      <c r="C7139" s="2" t="s">
        <v>163</v>
      </c>
      <c r="D7139">
        <v>97</v>
      </c>
    </row>
    <row r="7140" spans="1:4" hidden="1" x14ac:dyDescent="0.25">
      <c r="A7140" s="2" t="s">
        <v>79</v>
      </c>
      <c r="B7140">
        <v>97</v>
      </c>
      <c r="C7140" s="2" t="s">
        <v>164</v>
      </c>
      <c r="D7140">
        <v>97</v>
      </c>
    </row>
    <row r="7141" spans="1:4" hidden="1" x14ac:dyDescent="0.25">
      <c r="A7141" s="2" t="s">
        <v>79</v>
      </c>
      <c r="B7141">
        <v>97</v>
      </c>
      <c r="C7141" s="2" t="s">
        <v>165</v>
      </c>
      <c r="D7141">
        <v>97</v>
      </c>
    </row>
    <row r="7142" spans="1:4" hidden="1" x14ac:dyDescent="0.25">
      <c r="A7142" s="2" t="s">
        <v>79</v>
      </c>
      <c r="B7142">
        <v>97</v>
      </c>
      <c r="C7142" s="2" t="s">
        <v>166</v>
      </c>
      <c r="D7142">
        <v>97</v>
      </c>
    </row>
    <row r="7143" spans="1:4" hidden="1" x14ac:dyDescent="0.25">
      <c r="A7143" s="2" t="s">
        <v>79</v>
      </c>
      <c r="B7143">
        <v>97</v>
      </c>
      <c r="C7143" s="2" t="s">
        <v>167</v>
      </c>
      <c r="D7143">
        <v>97</v>
      </c>
    </row>
    <row r="7144" spans="1:4" hidden="1" x14ac:dyDescent="0.25">
      <c r="A7144" s="2" t="s">
        <v>79</v>
      </c>
      <c r="B7144">
        <v>97</v>
      </c>
      <c r="C7144" s="2" t="s">
        <v>168</v>
      </c>
      <c r="D7144">
        <v>97</v>
      </c>
    </row>
    <row r="7145" spans="1:4" hidden="1" x14ac:dyDescent="0.25">
      <c r="A7145" s="2" t="s">
        <v>79</v>
      </c>
      <c r="B7145">
        <v>97</v>
      </c>
      <c r="C7145" s="2" t="s">
        <v>169</v>
      </c>
      <c r="D7145">
        <v>97</v>
      </c>
    </row>
    <row r="7146" spans="1:4" hidden="1" x14ac:dyDescent="0.25">
      <c r="A7146" s="2" t="s">
        <v>79</v>
      </c>
      <c r="B7146">
        <v>97</v>
      </c>
      <c r="C7146" s="2" t="s">
        <v>170</v>
      </c>
      <c r="D7146">
        <v>97</v>
      </c>
    </row>
    <row r="7147" spans="1:4" hidden="1" x14ac:dyDescent="0.25">
      <c r="A7147" s="2" t="s">
        <v>79</v>
      </c>
      <c r="B7147">
        <v>97</v>
      </c>
      <c r="C7147" s="2" t="s">
        <v>171</v>
      </c>
      <c r="D7147">
        <v>97</v>
      </c>
    </row>
    <row r="7148" spans="1:4" hidden="1" x14ac:dyDescent="0.25">
      <c r="A7148" s="2" t="s">
        <v>79</v>
      </c>
      <c r="B7148">
        <v>97</v>
      </c>
      <c r="C7148" s="2" t="s">
        <v>172</v>
      </c>
      <c r="D7148">
        <v>97</v>
      </c>
    </row>
    <row r="7149" spans="1:4" hidden="1" x14ac:dyDescent="0.25">
      <c r="A7149" s="2" t="s">
        <v>79</v>
      </c>
      <c r="B7149">
        <v>97</v>
      </c>
      <c r="C7149" s="2" t="s">
        <v>173</v>
      </c>
      <c r="D7149">
        <v>97</v>
      </c>
    </row>
    <row r="7150" spans="1:4" hidden="1" x14ac:dyDescent="0.25">
      <c r="A7150" s="2" t="s">
        <v>79</v>
      </c>
      <c r="B7150">
        <v>97</v>
      </c>
      <c r="C7150" s="2" t="s">
        <v>174</v>
      </c>
      <c r="D7150">
        <v>97</v>
      </c>
    </row>
    <row r="7151" spans="1:4" hidden="1" x14ac:dyDescent="0.25">
      <c r="A7151" s="2" t="s">
        <v>79</v>
      </c>
      <c r="B7151">
        <v>97</v>
      </c>
      <c r="C7151" s="2" t="s">
        <v>175</v>
      </c>
      <c r="D7151">
        <v>97</v>
      </c>
    </row>
    <row r="7152" spans="1:4" hidden="1" x14ac:dyDescent="0.25">
      <c r="A7152" s="2" t="s">
        <v>79</v>
      </c>
      <c r="B7152">
        <v>97</v>
      </c>
      <c r="C7152" s="2" t="s">
        <v>176</v>
      </c>
      <c r="D7152">
        <v>97</v>
      </c>
    </row>
    <row r="7153" spans="1:4" hidden="1" x14ac:dyDescent="0.25">
      <c r="A7153" s="2" t="s">
        <v>79</v>
      </c>
      <c r="B7153">
        <v>97</v>
      </c>
      <c r="C7153" s="2" t="s">
        <v>177</v>
      </c>
      <c r="D7153">
        <v>97</v>
      </c>
    </row>
    <row r="7154" spans="1:4" hidden="1" x14ac:dyDescent="0.25">
      <c r="A7154" s="2" t="s">
        <v>79</v>
      </c>
      <c r="B7154">
        <v>97</v>
      </c>
      <c r="C7154" s="2" t="s">
        <v>178</v>
      </c>
      <c r="D7154">
        <v>97</v>
      </c>
    </row>
    <row r="7155" spans="1:4" hidden="1" x14ac:dyDescent="0.25">
      <c r="A7155" s="2" t="s">
        <v>79</v>
      </c>
      <c r="B7155">
        <v>97</v>
      </c>
      <c r="C7155" s="2" t="s">
        <v>179</v>
      </c>
      <c r="D7155">
        <v>97</v>
      </c>
    </row>
    <row r="7156" spans="1:4" hidden="1" x14ac:dyDescent="0.25">
      <c r="A7156" s="2" t="s">
        <v>84</v>
      </c>
      <c r="B7156">
        <v>97</v>
      </c>
      <c r="C7156" s="2" t="s">
        <v>183</v>
      </c>
      <c r="D7156">
        <v>78</v>
      </c>
    </row>
    <row r="7157" spans="1:4" hidden="1" x14ac:dyDescent="0.25">
      <c r="A7157" s="2" t="s">
        <v>84</v>
      </c>
      <c r="B7157">
        <v>97</v>
      </c>
      <c r="C7157" s="2" t="s">
        <v>184</v>
      </c>
      <c r="D7157">
        <v>77</v>
      </c>
    </row>
    <row r="7158" spans="1:4" hidden="1" x14ac:dyDescent="0.25">
      <c r="A7158" s="2" t="s">
        <v>84</v>
      </c>
      <c r="B7158">
        <v>97</v>
      </c>
      <c r="C7158" s="2" t="s">
        <v>185</v>
      </c>
      <c r="D7158">
        <v>61</v>
      </c>
    </row>
    <row r="7159" spans="1:4" hidden="1" x14ac:dyDescent="0.25">
      <c r="A7159" s="2" t="s">
        <v>84</v>
      </c>
      <c r="B7159">
        <v>97</v>
      </c>
      <c r="C7159" s="2" t="s">
        <v>186</v>
      </c>
      <c r="D7159">
        <v>83</v>
      </c>
    </row>
    <row r="7160" spans="1:4" hidden="1" x14ac:dyDescent="0.25">
      <c r="A7160" s="2" t="s">
        <v>84</v>
      </c>
      <c r="B7160">
        <v>97</v>
      </c>
      <c r="C7160" s="2" t="s">
        <v>187</v>
      </c>
      <c r="D7160">
        <v>85</v>
      </c>
    </row>
    <row r="7161" spans="1:4" hidden="1" x14ac:dyDescent="0.25">
      <c r="A7161" s="2" t="s">
        <v>84</v>
      </c>
      <c r="B7161">
        <v>97</v>
      </c>
      <c r="C7161" s="2" t="s">
        <v>188</v>
      </c>
      <c r="D7161">
        <v>84</v>
      </c>
    </row>
    <row r="7162" spans="1:4" hidden="1" x14ac:dyDescent="0.25">
      <c r="A7162" s="2" t="s">
        <v>84</v>
      </c>
      <c r="B7162">
        <v>97</v>
      </c>
      <c r="C7162" s="2" t="s">
        <v>189</v>
      </c>
      <c r="D7162">
        <v>71</v>
      </c>
    </row>
    <row r="7163" spans="1:4" hidden="1" x14ac:dyDescent="0.25">
      <c r="A7163" s="2" t="s">
        <v>84</v>
      </c>
      <c r="B7163">
        <v>97</v>
      </c>
      <c r="C7163" s="2" t="s">
        <v>190</v>
      </c>
      <c r="D7163">
        <v>76</v>
      </c>
    </row>
    <row r="7164" spans="1:4" hidden="1" x14ac:dyDescent="0.25">
      <c r="A7164" s="2" t="s">
        <v>84</v>
      </c>
      <c r="B7164">
        <v>97</v>
      </c>
      <c r="C7164" s="2" t="s">
        <v>191</v>
      </c>
      <c r="D7164">
        <v>77</v>
      </c>
    </row>
    <row r="7165" spans="1:4" hidden="1" x14ac:dyDescent="0.25">
      <c r="A7165" s="2" t="s">
        <v>84</v>
      </c>
      <c r="B7165">
        <v>97</v>
      </c>
      <c r="C7165" s="2" t="s">
        <v>116</v>
      </c>
      <c r="D7165">
        <v>65</v>
      </c>
    </row>
    <row r="7166" spans="1:4" hidden="1" x14ac:dyDescent="0.25">
      <c r="A7166" s="2" t="s">
        <v>84</v>
      </c>
      <c r="B7166">
        <v>97</v>
      </c>
      <c r="C7166" s="2" t="s">
        <v>117</v>
      </c>
      <c r="D7166">
        <v>61</v>
      </c>
    </row>
    <row r="7167" spans="1:4" hidden="1" x14ac:dyDescent="0.25">
      <c r="A7167" s="2" t="s">
        <v>84</v>
      </c>
      <c r="B7167">
        <v>97</v>
      </c>
      <c r="C7167" s="2" t="s">
        <v>118</v>
      </c>
      <c r="D7167">
        <v>69</v>
      </c>
    </row>
    <row r="7168" spans="1:4" hidden="1" x14ac:dyDescent="0.25">
      <c r="A7168" s="2" t="s">
        <v>84</v>
      </c>
      <c r="B7168">
        <v>97</v>
      </c>
      <c r="C7168" s="2" t="s">
        <v>119</v>
      </c>
      <c r="D7168">
        <v>85</v>
      </c>
    </row>
    <row r="7169" spans="1:4" hidden="1" x14ac:dyDescent="0.25">
      <c r="A7169" s="2" t="s">
        <v>84</v>
      </c>
      <c r="B7169">
        <v>97</v>
      </c>
      <c r="C7169" s="2" t="s">
        <v>120</v>
      </c>
      <c r="D7169">
        <v>83</v>
      </c>
    </row>
    <row r="7170" spans="1:4" hidden="1" x14ac:dyDescent="0.25">
      <c r="A7170" s="2" t="s">
        <v>84</v>
      </c>
      <c r="B7170">
        <v>97</v>
      </c>
      <c r="C7170" s="2" t="s">
        <v>121</v>
      </c>
      <c r="D7170">
        <v>81</v>
      </c>
    </row>
    <row r="7171" spans="1:4" hidden="1" x14ac:dyDescent="0.25">
      <c r="A7171" s="2" t="s">
        <v>84</v>
      </c>
      <c r="B7171">
        <v>97</v>
      </c>
      <c r="C7171" s="2" t="s">
        <v>122</v>
      </c>
      <c r="D7171">
        <v>84</v>
      </c>
    </row>
    <row r="7172" spans="1:4" hidden="1" x14ac:dyDescent="0.25">
      <c r="A7172" s="2" t="s">
        <v>84</v>
      </c>
      <c r="B7172">
        <v>97</v>
      </c>
      <c r="C7172" s="2" t="s">
        <v>123</v>
      </c>
      <c r="D7172">
        <v>87</v>
      </c>
    </row>
    <row r="7173" spans="1:4" hidden="1" x14ac:dyDescent="0.25">
      <c r="A7173" s="2" t="s">
        <v>84</v>
      </c>
      <c r="B7173">
        <v>97</v>
      </c>
      <c r="C7173" s="2" t="s">
        <v>124</v>
      </c>
      <c r="D7173">
        <v>90</v>
      </c>
    </row>
    <row r="7174" spans="1:4" hidden="1" x14ac:dyDescent="0.25">
      <c r="A7174" s="2" t="s">
        <v>84</v>
      </c>
      <c r="B7174">
        <v>97</v>
      </c>
      <c r="C7174" s="2" t="s">
        <v>125</v>
      </c>
      <c r="D7174">
        <v>88</v>
      </c>
    </row>
    <row r="7175" spans="1:4" hidden="1" x14ac:dyDescent="0.25">
      <c r="A7175" s="2" t="s">
        <v>84</v>
      </c>
      <c r="B7175">
        <v>97</v>
      </c>
      <c r="C7175" s="2" t="s">
        <v>126</v>
      </c>
      <c r="D7175">
        <v>92</v>
      </c>
    </row>
    <row r="7176" spans="1:4" hidden="1" x14ac:dyDescent="0.25">
      <c r="A7176" s="2" t="s">
        <v>84</v>
      </c>
      <c r="B7176">
        <v>97</v>
      </c>
      <c r="C7176" s="2" t="s">
        <v>127</v>
      </c>
      <c r="D7176">
        <v>95</v>
      </c>
    </row>
    <row r="7177" spans="1:4" hidden="1" x14ac:dyDescent="0.25">
      <c r="A7177" s="2" t="s">
        <v>84</v>
      </c>
      <c r="B7177">
        <v>97</v>
      </c>
      <c r="C7177" s="2" t="s">
        <v>128</v>
      </c>
      <c r="D7177">
        <v>98</v>
      </c>
    </row>
    <row r="7178" spans="1:4" hidden="1" x14ac:dyDescent="0.25">
      <c r="A7178" s="2" t="s">
        <v>84</v>
      </c>
      <c r="B7178">
        <v>97</v>
      </c>
      <c r="C7178" s="2" t="s">
        <v>129</v>
      </c>
      <c r="D7178">
        <v>98</v>
      </c>
    </row>
    <row r="7179" spans="1:4" hidden="1" x14ac:dyDescent="0.25">
      <c r="A7179" s="2" t="s">
        <v>84</v>
      </c>
      <c r="B7179">
        <v>97</v>
      </c>
      <c r="C7179" s="2" t="s">
        <v>130</v>
      </c>
      <c r="D7179">
        <v>105</v>
      </c>
    </row>
    <row r="7180" spans="1:4" hidden="1" x14ac:dyDescent="0.25">
      <c r="A7180" s="2" t="s">
        <v>84</v>
      </c>
      <c r="B7180">
        <v>97</v>
      </c>
      <c r="C7180" s="2" t="s">
        <v>131</v>
      </c>
      <c r="D7180">
        <v>90</v>
      </c>
    </row>
    <row r="7181" spans="1:4" hidden="1" x14ac:dyDescent="0.25">
      <c r="A7181" s="2" t="s">
        <v>84</v>
      </c>
      <c r="B7181">
        <v>97</v>
      </c>
      <c r="C7181" s="2" t="s">
        <v>132</v>
      </c>
      <c r="D7181">
        <v>91</v>
      </c>
    </row>
    <row r="7182" spans="1:4" hidden="1" x14ac:dyDescent="0.25">
      <c r="A7182" s="2" t="s">
        <v>84</v>
      </c>
      <c r="B7182">
        <v>97</v>
      </c>
      <c r="C7182" s="2" t="s">
        <v>133</v>
      </c>
      <c r="D7182">
        <v>91</v>
      </c>
    </row>
    <row r="7183" spans="1:4" hidden="1" x14ac:dyDescent="0.25">
      <c r="A7183" s="2" t="s">
        <v>84</v>
      </c>
      <c r="B7183">
        <v>97</v>
      </c>
      <c r="C7183" s="2" t="s">
        <v>134</v>
      </c>
      <c r="D7183">
        <v>101</v>
      </c>
    </row>
    <row r="7184" spans="1:4" hidden="1" x14ac:dyDescent="0.25">
      <c r="A7184" s="2" t="s">
        <v>84</v>
      </c>
      <c r="B7184">
        <v>97</v>
      </c>
      <c r="C7184" s="2" t="s">
        <v>135</v>
      </c>
      <c r="D7184">
        <v>97</v>
      </c>
    </row>
    <row r="7185" spans="1:4" hidden="1" x14ac:dyDescent="0.25">
      <c r="A7185" s="2" t="s">
        <v>84</v>
      </c>
      <c r="B7185">
        <v>97</v>
      </c>
      <c r="C7185" s="2" t="s">
        <v>136</v>
      </c>
      <c r="D7185">
        <v>97</v>
      </c>
    </row>
    <row r="7186" spans="1:4" hidden="1" x14ac:dyDescent="0.25">
      <c r="A7186" s="2" t="s">
        <v>84</v>
      </c>
      <c r="B7186">
        <v>97</v>
      </c>
      <c r="C7186" s="2" t="s">
        <v>137</v>
      </c>
      <c r="D7186">
        <v>97</v>
      </c>
    </row>
    <row r="7187" spans="1:4" hidden="1" x14ac:dyDescent="0.25">
      <c r="A7187" s="2" t="s">
        <v>84</v>
      </c>
      <c r="B7187">
        <v>97</v>
      </c>
      <c r="C7187" s="2" t="s">
        <v>138</v>
      </c>
      <c r="D7187">
        <v>97</v>
      </c>
    </row>
    <row r="7188" spans="1:4" hidden="1" x14ac:dyDescent="0.25">
      <c r="A7188" s="2" t="s">
        <v>84</v>
      </c>
      <c r="B7188">
        <v>97</v>
      </c>
      <c r="C7188" s="2" t="s">
        <v>139</v>
      </c>
      <c r="D7188">
        <v>97</v>
      </c>
    </row>
    <row r="7189" spans="1:4" hidden="1" x14ac:dyDescent="0.25">
      <c r="A7189" s="2" t="s">
        <v>84</v>
      </c>
      <c r="B7189">
        <v>97</v>
      </c>
      <c r="C7189" s="2" t="s">
        <v>140</v>
      </c>
      <c r="D7189">
        <v>97</v>
      </c>
    </row>
    <row r="7190" spans="1:4" hidden="1" x14ac:dyDescent="0.25">
      <c r="A7190" s="2" t="s">
        <v>84</v>
      </c>
      <c r="B7190">
        <v>97</v>
      </c>
      <c r="C7190" s="2" t="s">
        <v>141</v>
      </c>
      <c r="D7190">
        <v>97</v>
      </c>
    </row>
    <row r="7191" spans="1:4" hidden="1" x14ac:dyDescent="0.25">
      <c r="A7191" s="2" t="s">
        <v>84</v>
      </c>
      <c r="B7191">
        <v>97</v>
      </c>
      <c r="C7191" s="2" t="s">
        <v>142</v>
      </c>
      <c r="D7191">
        <v>97</v>
      </c>
    </row>
    <row r="7192" spans="1:4" hidden="1" x14ac:dyDescent="0.25">
      <c r="A7192" s="2" t="s">
        <v>84</v>
      </c>
      <c r="B7192">
        <v>97</v>
      </c>
      <c r="C7192" s="2" t="s">
        <v>143</v>
      </c>
      <c r="D7192">
        <v>97</v>
      </c>
    </row>
    <row r="7193" spans="1:4" hidden="1" x14ac:dyDescent="0.25">
      <c r="A7193" s="2" t="s">
        <v>84</v>
      </c>
      <c r="B7193">
        <v>97</v>
      </c>
      <c r="C7193" s="2" t="s">
        <v>144</v>
      </c>
      <c r="D7193">
        <v>97</v>
      </c>
    </row>
    <row r="7194" spans="1:4" hidden="1" x14ac:dyDescent="0.25">
      <c r="A7194" s="2" t="s">
        <v>84</v>
      </c>
      <c r="B7194">
        <v>97</v>
      </c>
      <c r="C7194" s="2" t="s">
        <v>145</v>
      </c>
      <c r="D7194">
        <v>97</v>
      </c>
    </row>
    <row r="7195" spans="1:4" hidden="1" x14ac:dyDescent="0.25">
      <c r="A7195" s="2" t="s">
        <v>84</v>
      </c>
      <c r="B7195">
        <v>97</v>
      </c>
      <c r="C7195" s="2" t="s">
        <v>146</v>
      </c>
      <c r="D7195">
        <v>97</v>
      </c>
    </row>
    <row r="7196" spans="1:4" hidden="1" x14ac:dyDescent="0.25">
      <c r="A7196" s="2" t="s">
        <v>84</v>
      </c>
      <c r="B7196">
        <v>97</v>
      </c>
      <c r="C7196" s="2" t="s">
        <v>147</v>
      </c>
      <c r="D7196">
        <v>97</v>
      </c>
    </row>
    <row r="7197" spans="1:4" hidden="1" x14ac:dyDescent="0.25">
      <c r="A7197" s="2" t="s">
        <v>84</v>
      </c>
      <c r="B7197">
        <v>97</v>
      </c>
      <c r="C7197" s="2" t="s">
        <v>148</v>
      </c>
      <c r="D7197">
        <v>97</v>
      </c>
    </row>
    <row r="7198" spans="1:4" hidden="1" x14ac:dyDescent="0.25">
      <c r="A7198" s="2" t="s">
        <v>84</v>
      </c>
      <c r="B7198">
        <v>97</v>
      </c>
      <c r="C7198" s="2" t="s">
        <v>149</v>
      </c>
      <c r="D7198">
        <v>97</v>
      </c>
    </row>
    <row r="7199" spans="1:4" hidden="1" x14ac:dyDescent="0.25">
      <c r="A7199" s="2" t="s">
        <v>84</v>
      </c>
      <c r="B7199">
        <v>97</v>
      </c>
      <c r="C7199" s="2" t="s">
        <v>150</v>
      </c>
      <c r="D7199">
        <v>97</v>
      </c>
    </row>
    <row r="7200" spans="1:4" hidden="1" x14ac:dyDescent="0.25">
      <c r="A7200" s="2" t="s">
        <v>84</v>
      </c>
      <c r="B7200">
        <v>97</v>
      </c>
      <c r="C7200" s="2" t="s">
        <v>151</v>
      </c>
      <c r="D7200">
        <v>97</v>
      </c>
    </row>
    <row r="7201" spans="1:4" hidden="1" x14ac:dyDescent="0.25">
      <c r="A7201" s="2" t="s">
        <v>84</v>
      </c>
      <c r="B7201">
        <v>97</v>
      </c>
      <c r="C7201" s="2" t="s">
        <v>152</v>
      </c>
      <c r="D7201">
        <v>97</v>
      </c>
    </row>
    <row r="7202" spans="1:4" hidden="1" x14ac:dyDescent="0.25">
      <c r="A7202" s="2" t="s">
        <v>84</v>
      </c>
      <c r="B7202">
        <v>97</v>
      </c>
      <c r="C7202" s="2" t="s">
        <v>153</v>
      </c>
      <c r="D7202">
        <v>97</v>
      </c>
    </row>
    <row r="7203" spans="1:4" hidden="1" x14ac:dyDescent="0.25">
      <c r="A7203" s="2" t="s">
        <v>84</v>
      </c>
      <c r="B7203">
        <v>97</v>
      </c>
      <c r="C7203" s="2" t="s">
        <v>154</v>
      </c>
      <c r="D7203">
        <v>97</v>
      </c>
    </row>
    <row r="7204" spans="1:4" hidden="1" x14ac:dyDescent="0.25">
      <c r="A7204" s="2" t="s">
        <v>84</v>
      </c>
      <c r="B7204">
        <v>97</v>
      </c>
      <c r="C7204" s="2" t="s">
        <v>155</v>
      </c>
      <c r="D7204">
        <v>97</v>
      </c>
    </row>
    <row r="7205" spans="1:4" hidden="1" x14ac:dyDescent="0.25">
      <c r="A7205" s="2" t="s">
        <v>84</v>
      </c>
      <c r="B7205">
        <v>97</v>
      </c>
      <c r="C7205" s="2" t="s">
        <v>156</v>
      </c>
      <c r="D7205">
        <v>97</v>
      </c>
    </row>
    <row r="7206" spans="1:4" hidden="1" x14ac:dyDescent="0.25">
      <c r="A7206" s="2" t="s">
        <v>84</v>
      </c>
      <c r="B7206">
        <v>97</v>
      </c>
      <c r="C7206" s="2" t="s">
        <v>157</v>
      </c>
      <c r="D7206">
        <v>97</v>
      </c>
    </row>
    <row r="7207" spans="1:4" hidden="1" x14ac:dyDescent="0.25">
      <c r="A7207" s="2" t="s">
        <v>84</v>
      </c>
      <c r="B7207">
        <v>97</v>
      </c>
      <c r="C7207" s="2" t="s">
        <v>158</v>
      </c>
      <c r="D7207">
        <v>97</v>
      </c>
    </row>
    <row r="7208" spans="1:4" hidden="1" x14ac:dyDescent="0.25">
      <c r="A7208" s="2" t="s">
        <v>84</v>
      </c>
      <c r="B7208">
        <v>97</v>
      </c>
      <c r="C7208" s="2" t="s">
        <v>159</v>
      </c>
      <c r="D7208">
        <v>97</v>
      </c>
    </row>
    <row r="7209" spans="1:4" hidden="1" x14ac:dyDescent="0.25">
      <c r="A7209" s="2" t="s">
        <v>84</v>
      </c>
      <c r="B7209">
        <v>97</v>
      </c>
      <c r="C7209" s="2" t="s">
        <v>160</v>
      </c>
      <c r="D7209">
        <v>97</v>
      </c>
    </row>
    <row r="7210" spans="1:4" hidden="1" x14ac:dyDescent="0.25">
      <c r="A7210" s="2" t="s">
        <v>84</v>
      </c>
      <c r="B7210">
        <v>97</v>
      </c>
      <c r="C7210" s="2" t="s">
        <v>161</v>
      </c>
      <c r="D7210">
        <v>97</v>
      </c>
    </row>
    <row r="7211" spans="1:4" hidden="1" x14ac:dyDescent="0.25">
      <c r="A7211" s="2" t="s">
        <v>84</v>
      </c>
      <c r="B7211">
        <v>97</v>
      </c>
      <c r="C7211" s="2" t="s">
        <v>162</v>
      </c>
      <c r="D7211">
        <v>97</v>
      </c>
    </row>
    <row r="7212" spans="1:4" hidden="1" x14ac:dyDescent="0.25">
      <c r="A7212" s="2" t="s">
        <v>84</v>
      </c>
      <c r="B7212">
        <v>97</v>
      </c>
      <c r="C7212" s="2" t="s">
        <v>163</v>
      </c>
      <c r="D7212">
        <v>97</v>
      </c>
    </row>
    <row r="7213" spans="1:4" hidden="1" x14ac:dyDescent="0.25">
      <c r="A7213" s="2" t="s">
        <v>84</v>
      </c>
      <c r="B7213">
        <v>97</v>
      </c>
      <c r="C7213" s="2" t="s">
        <v>164</v>
      </c>
      <c r="D7213">
        <v>97</v>
      </c>
    </row>
    <row r="7214" spans="1:4" hidden="1" x14ac:dyDescent="0.25">
      <c r="A7214" s="2" t="s">
        <v>84</v>
      </c>
      <c r="B7214">
        <v>97</v>
      </c>
      <c r="C7214" s="2" t="s">
        <v>165</v>
      </c>
      <c r="D7214">
        <v>97</v>
      </c>
    </row>
    <row r="7215" spans="1:4" hidden="1" x14ac:dyDescent="0.25">
      <c r="A7215" s="2" t="s">
        <v>84</v>
      </c>
      <c r="B7215">
        <v>97</v>
      </c>
      <c r="C7215" s="2" t="s">
        <v>166</v>
      </c>
      <c r="D7215">
        <v>97</v>
      </c>
    </row>
    <row r="7216" spans="1:4" hidden="1" x14ac:dyDescent="0.25">
      <c r="A7216" s="2" t="s">
        <v>84</v>
      </c>
      <c r="B7216">
        <v>97</v>
      </c>
      <c r="C7216" s="2" t="s">
        <v>167</v>
      </c>
      <c r="D7216">
        <v>97</v>
      </c>
    </row>
    <row r="7217" spans="1:4" hidden="1" x14ac:dyDescent="0.25">
      <c r="A7217" s="2" t="s">
        <v>84</v>
      </c>
      <c r="B7217">
        <v>97</v>
      </c>
      <c r="C7217" s="2" t="s">
        <v>168</v>
      </c>
      <c r="D7217">
        <v>97</v>
      </c>
    </row>
    <row r="7218" spans="1:4" hidden="1" x14ac:dyDescent="0.25">
      <c r="A7218" s="2" t="s">
        <v>84</v>
      </c>
      <c r="B7218">
        <v>97</v>
      </c>
      <c r="C7218" s="2" t="s">
        <v>169</v>
      </c>
      <c r="D7218">
        <v>97</v>
      </c>
    </row>
    <row r="7219" spans="1:4" hidden="1" x14ac:dyDescent="0.25">
      <c r="A7219" s="2" t="s">
        <v>84</v>
      </c>
      <c r="B7219">
        <v>97</v>
      </c>
      <c r="C7219" s="2" t="s">
        <v>170</v>
      </c>
      <c r="D7219">
        <v>97</v>
      </c>
    </row>
    <row r="7220" spans="1:4" hidden="1" x14ac:dyDescent="0.25">
      <c r="A7220" s="2" t="s">
        <v>84</v>
      </c>
      <c r="B7220">
        <v>97</v>
      </c>
      <c r="C7220" s="2" t="s">
        <v>171</v>
      </c>
      <c r="D7220">
        <v>97</v>
      </c>
    </row>
    <row r="7221" spans="1:4" hidden="1" x14ac:dyDescent="0.25">
      <c r="A7221" s="2" t="s">
        <v>84</v>
      </c>
      <c r="B7221">
        <v>97</v>
      </c>
      <c r="C7221" s="2" t="s">
        <v>172</v>
      </c>
      <c r="D7221">
        <v>97</v>
      </c>
    </row>
    <row r="7222" spans="1:4" hidden="1" x14ac:dyDescent="0.25">
      <c r="A7222" s="2" t="s">
        <v>84</v>
      </c>
      <c r="B7222">
        <v>97</v>
      </c>
      <c r="C7222" s="2" t="s">
        <v>173</v>
      </c>
      <c r="D7222">
        <v>97</v>
      </c>
    </row>
    <row r="7223" spans="1:4" hidden="1" x14ac:dyDescent="0.25">
      <c r="A7223" s="2" t="s">
        <v>84</v>
      </c>
      <c r="B7223">
        <v>97</v>
      </c>
      <c r="C7223" s="2" t="s">
        <v>174</v>
      </c>
      <c r="D7223">
        <v>97</v>
      </c>
    </row>
    <row r="7224" spans="1:4" hidden="1" x14ac:dyDescent="0.25">
      <c r="A7224" s="2" t="s">
        <v>84</v>
      </c>
      <c r="B7224">
        <v>97</v>
      </c>
      <c r="C7224" s="2" t="s">
        <v>175</v>
      </c>
      <c r="D7224">
        <v>97</v>
      </c>
    </row>
    <row r="7225" spans="1:4" hidden="1" x14ac:dyDescent="0.25">
      <c r="A7225" s="2" t="s">
        <v>84</v>
      </c>
      <c r="B7225">
        <v>97</v>
      </c>
      <c r="C7225" s="2" t="s">
        <v>176</v>
      </c>
      <c r="D7225">
        <v>97</v>
      </c>
    </row>
    <row r="7226" spans="1:4" hidden="1" x14ac:dyDescent="0.25">
      <c r="A7226" s="2" t="s">
        <v>84</v>
      </c>
      <c r="B7226">
        <v>97</v>
      </c>
      <c r="C7226" s="2" t="s">
        <v>177</v>
      </c>
      <c r="D7226">
        <v>97</v>
      </c>
    </row>
    <row r="7227" spans="1:4" hidden="1" x14ac:dyDescent="0.25">
      <c r="A7227" s="2" t="s">
        <v>84</v>
      </c>
      <c r="B7227">
        <v>97</v>
      </c>
      <c r="C7227" s="2" t="s">
        <v>178</v>
      </c>
      <c r="D7227">
        <v>97</v>
      </c>
    </row>
    <row r="7228" spans="1:4" hidden="1" x14ac:dyDescent="0.25">
      <c r="A7228" s="2" t="s">
        <v>84</v>
      </c>
      <c r="B7228">
        <v>97</v>
      </c>
      <c r="C7228" s="2" t="s">
        <v>179</v>
      </c>
      <c r="D7228">
        <v>97</v>
      </c>
    </row>
    <row r="7229" spans="1:4" hidden="1" x14ac:dyDescent="0.25">
      <c r="A7229" s="2" t="s">
        <v>106</v>
      </c>
      <c r="B7229">
        <v>100</v>
      </c>
      <c r="C7229" s="2" t="s">
        <v>183</v>
      </c>
      <c r="D7229">
        <v>13</v>
      </c>
    </row>
    <row r="7230" spans="1:4" hidden="1" x14ac:dyDescent="0.25">
      <c r="A7230" s="2" t="s">
        <v>106</v>
      </c>
      <c r="B7230">
        <v>100</v>
      </c>
      <c r="C7230" s="2" t="s">
        <v>184</v>
      </c>
      <c r="D7230">
        <v>14</v>
      </c>
    </row>
    <row r="7231" spans="1:4" hidden="1" x14ac:dyDescent="0.25">
      <c r="A7231" s="2" t="s">
        <v>106</v>
      </c>
      <c r="B7231">
        <v>100</v>
      </c>
      <c r="C7231" s="2" t="s">
        <v>185</v>
      </c>
      <c r="D7231">
        <v>24</v>
      </c>
    </row>
    <row r="7232" spans="1:4" hidden="1" x14ac:dyDescent="0.25">
      <c r="A7232" s="2" t="s">
        <v>106</v>
      </c>
      <c r="B7232">
        <v>100</v>
      </c>
      <c r="C7232" s="2" t="s">
        <v>186</v>
      </c>
      <c r="D7232">
        <v>52</v>
      </c>
    </row>
    <row r="7233" spans="1:4" hidden="1" x14ac:dyDescent="0.25">
      <c r="A7233" s="2" t="s">
        <v>106</v>
      </c>
      <c r="B7233">
        <v>100</v>
      </c>
      <c r="C7233" s="2" t="s">
        <v>187</v>
      </c>
      <c r="D7233">
        <v>52</v>
      </c>
    </row>
    <row r="7234" spans="1:4" hidden="1" x14ac:dyDescent="0.25">
      <c r="A7234" s="2" t="s">
        <v>106</v>
      </c>
      <c r="B7234">
        <v>100</v>
      </c>
      <c r="C7234" s="2" t="s">
        <v>188</v>
      </c>
      <c r="D7234">
        <v>66</v>
      </c>
    </row>
    <row r="7235" spans="1:4" hidden="1" x14ac:dyDescent="0.25">
      <c r="A7235" s="2" t="s">
        <v>106</v>
      </c>
      <c r="B7235">
        <v>100</v>
      </c>
      <c r="C7235" s="2" t="s">
        <v>189</v>
      </c>
      <c r="D7235">
        <v>42</v>
      </c>
    </row>
    <row r="7236" spans="1:4" hidden="1" x14ac:dyDescent="0.25">
      <c r="A7236" s="2" t="s">
        <v>106</v>
      </c>
      <c r="B7236">
        <v>100</v>
      </c>
      <c r="C7236" s="2" t="s">
        <v>190</v>
      </c>
      <c r="D7236">
        <v>43</v>
      </c>
    </row>
    <row r="7237" spans="1:4" hidden="1" x14ac:dyDescent="0.25">
      <c r="A7237" s="2" t="s">
        <v>106</v>
      </c>
      <c r="B7237">
        <v>100</v>
      </c>
      <c r="C7237" s="2" t="s">
        <v>191</v>
      </c>
      <c r="D7237">
        <v>48</v>
      </c>
    </row>
    <row r="7238" spans="1:4" hidden="1" x14ac:dyDescent="0.25">
      <c r="A7238" s="2" t="s">
        <v>106</v>
      </c>
      <c r="B7238">
        <v>100</v>
      </c>
      <c r="C7238" s="2" t="s">
        <v>116</v>
      </c>
      <c r="D7238">
        <v>50</v>
      </c>
    </row>
    <row r="7239" spans="1:4" hidden="1" x14ac:dyDescent="0.25">
      <c r="A7239" s="2" t="s">
        <v>106</v>
      </c>
      <c r="B7239">
        <v>100</v>
      </c>
      <c r="C7239" s="2" t="s">
        <v>117</v>
      </c>
      <c r="D7239">
        <v>57</v>
      </c>
    </row>
    <row r="7240" spans="1:4" hidden="1" x14ac:dyDescent="0.25">
      <c r="A7240" s="2" t="s">
        <v>106</v>
      </c>
      <c r="B7240">
        <v>100</v>
      </c>
      <c r="C7240" s="2" t="s">
        <v>118</v>
      </c>
      <c r="D7240">
        <v>62</v>
      </c>
    </row>
    <row r="7241" spans="1:4" hidden="1" x14ac:dyDescent="0.25">
      <c r="A7241" s="2" t="s">
        <v>106</v>
      </c>
      <c r="B7241">
        <v>100</v>
      </c>
      <c r="C7241" s="2" t="s">
        <v>119</v>
      </c>
      <c r="D7241">
        <v>68</v>
      </c>
    </row>
    <row r="7242" spans="1:4" hidden="1" x14ac:dyDescent="0.25">
      <c r="A7242" s="2" t="s">
        <v>106</v>
      </c>
      <c r="B7242">
        <v>100</v>
      </c>
      <c r="C7242" s="2" t="s">
        <v>120</v>
      </c>
      <c r="D7242">
        <v>74</v>
      </c>
    </row>
    <row r="7243" spans="1:4" hidden="1" x14ac:dyDescent="0.25">
      <c r="A7243" s="2" t="s">
        <v>106</v>
      </c>
      <c r="B7243">
        <v>100</v>
      </c>
      <c r="C7243" s="2" t="s">
        <v>121</v>
      </c>
      <c r="D7243">
        <v>73</v>
      </c>
    </row>
    <row r="7244" spans="1:4" hidden="1" x14ac:dyDescent="0.25">
      <c r="A7244" s="2" t="s">
        <v>106</v>
      </c>
      <c r="B7244">
        <v>100</v>
      </c>
      <c r="C7244" s="2" t="s">
        <v>122</v>
      </c>
      <c r="D7244">
        <v>78</v>
      </c>
    </row>
    <row r="7245" spans="1:4" hidden="1" x14ac:dyDescent="0.25">
      <c r="A7245" s="2" t="s">
        <v>106</v>
      </c>
      <c r="B7245">
        <v>100</v>
      </c>
      <c r="C7245" s="2" t="s">
        <v>123</v>
      </c>
      <c r="D7245">
        <v>68</v>
      </c>
    </row>
    <row r="7246" spans="1:4" hidden="1" x14ac:dyDescent="0.25">
      <c r="A7246" s="2" t="s">
        <v>106</v>
      </c>
      <c r="B7246">
        <v>100</v>
      </c>
      <c r="C7246" s="2" t="s">
        <v>124</v>
      </c>
      <c r="D7246">
        <v>70</v>
      </c>
    </row>
    <row r="7247" spans="1:4" hidden="1" x14ac:dyDescent="0.25">
      <c r="A7247" s="2" t="s">
        <v>106</v>
      </c>
      <c r="B7247">
        <v>100</v>
      </c>
      <c r="C7247" s="2" t="s">
        <v>125</v>
      </c>
      <c r="D7247">
        <v>67</v>
      </c>
    </row>
    <row r="7248" spans="1:4" hidden="1" x14ac:dyDescent="0.25">
      <c r="A7248" s="2" t="s">
        <v>106</v>
      </c>
      <c r="B7248">
        <v>100</v>
      </c>
      <c r="C7248" s="2" t="s">
        <v>126</v>
      </c>
      <c r="D7248">
        <v>67</v>
      </c>
    </row>
    <row r="7249" spans="1:4" hidden="1" x14ac:dyDescent="0.25">
      <c r="A7249" s="2" t="s">
        <v>106</v>
      </c>
      <c r="B7249">
        <v>100</v>
      </c>
      <c r="C7249" s="2" t="s">
        <v>127</v>
      </c>
      <c r="D7249">
        <v>73</v>
      </c>
    </row>
    <row r="7250" spans="1:4" hidden="1" x14ac:dyDescent="0.25">
      <c r="A7250" s="2" t="s">
        <v>106</v>
      </c>
      <c r="B7250">
        <v>100</v>
      </c>
      <c r="C7250" s="2" t="s">
        <v>128</v>
      </c>
      <c r="D7250">
        <v>78</v>
      </c>
    </row>
    <row r="7251" spans="1:4" hidden="1" x14ac:dyDescent="0.25">
      <c r="A7251" s="2" t="s">
        <v>106</v>
      </c>
      <c r="B7251">
        <v>100</v>
      </c>
      <c r="C7251" s="2" t="s">
        <v>129</v>
      </c>
      <c r="D7251">
        <v>77</v>
      </c>
    </row>
    <row r="7252" spans="1:4" hidden="1" x14ac:dyDescent="0.25">
      <c r="A7252" s="2" t="s">
        <v>106</v>
      </c>
      <c r="B7252">
        <v>100</v>
      </c>
      <c r="C7252" s="2" t="s">
        <v>130</v>
      </c>
      <c r="D7252">
        <v>86</v>
      </c>
    </row>
    <row r="7253" spans="1:4" hidden="1" x14ac:dyDescent="0.25">
      <c r="A7253" s="2" t="s">
        <v>106</v>
      </c>
      <c r="B7253">
        <v>100</v>
      </c>
      <c r="C7253" s="2" t="s">
        <v>131</v>
      </c>
      <c r="D7253">
        <v>87</v>
      </c>
    </row>
    <row r="7254" spans="1:4" hidden="1" x14ac:dyDescent="0.25">
      <c r="A7254" s="2" t="s">
        <v>106</v>
      </c>
      <c r="B7254">
        <v>100</v>
      </c>
      <c r="C7254" s="2" t="s">
        <v>132</v>
      </c>
      <c r="D7254">
        <v>96</v>
      </c>
    </row>
    <row r="7255" spans="1:4" hidden="1" x14ac:dyDescent="0.25">
      <c r="A7255" s="2" t="s">
        <v>106</v>
      </c>
      <c r="B7255">
        <v>100</v>
      </c>
      <c r="C7255" s="2" t="s">
        <v>133</v>
      </c>
      <c r="D7255">
        <v>96</v>
      </c>
    </row>
    <row r="7256" spans="1:4" hidden="1" x14ac:dyDescent="0.25">
      <c r="A7256" s="2" t="s">
        <v>106</v>
      </c>
      <c r="B7256">
        <v>100</v>
      </c>
      <c r="C7256" s="2" t="s">
        <v>134</v>
      </c>
      <c r="D7256">
        <v>93</v>
      </c>
    </row>
    <row r="7257" spans="1:4" hidden="1" x14ac:dyDescent="0.25">
      <c r="A7257" s="2" t="s">
        <v>106</v>
      </c>
      <c r="B7257">
        <v>100</v>
      </c>
      <c r="C7257" s="2" t="s">
        <v>135</v>
      </c>
      <c r="D7257">
        <v>100</v>
      </c>
    </row>
    <row r="7258" spans="1:4" hidden="1" x14ac:dyDescent="0.25">
      <c r="A7258" s="2" t="s">
        <v>106</v>
      </c>
      <c r="B7258">
        <v>100</v>
      </c>
      <c r="C7258" s="2" t="s">
        <v>136</v>
      </c>
      <c r="D7258">
        <v>100</v>
      </c>
    </row>
    <row r="7259" spans="1:4" hidden="1" x14ac:dyDescent="0.25">
      <c r="A7259" s="2" t="s">
        <v>106</v>
      </c>
      <c r="B7259">
        <v>100</v>
      </c>
      <c r="C7259" s="2" t="s">
        <v>137</v>
      </c>
      <c r="D7259">
        <v>100</v>
      </c>
    </row>
    <row r="7260" spans="1:4" hidden="1" x14ac:dyDescent="0.25">
      <c r="A7260" s="2" t="s">
        <v>106</v>
      </c>
      <c r="B7260">
        <v>100</v>
      </c>
      <c r="C7260" s="2" t="s">
        <v>138</v>
      </c>
      <c r="D7260">
        <v>100</v>
      </c>
    </row>
    <row r="7261" spans="1:4" hidden="1" x14ac:dyDescent="0.25">
      <c r="A7261" s="2" t="s">
        <v>106</v>
      </c>
      <c r="B7261">
        <v>100</v>
      </c>
      <c r="C7261" s="2" t="s">
        <v>139</v>
      </c>
      <c r="D7261">
        <v>100</v>
      </c>
    </row>
    <row r="7262" spans="1:4" hidden="1" x14ac:dyDescent="0.25">
      <c r="A7262" s="2" t="s">
        <v>106</v>
      </c>
      <c r="B7262">
        <v>100</v>
      </c>
      <c r="C7262" s="2" t="s">
        <v>140</v>
      </c>
      <c r="D7262">
        <v>100</v>
      </c>
    </row>
    <row r="7263" spans="1:4" hidden="1" x14ac:dyDescent="0.25">
      <c r="A7263" s="2" t="s">
        <v>106</v>
      </c>
      <c r="B7263">
        <v>100</v>
      </c>
      <c r="C7263" s="2" t="s">
        <v>141</v>
      </c>
      <c r="D7263">
        <v>100</v>
      </c>
    </row>
    <row r="7264" spans="1:4" hidden="1" x14ac:dyDescent="0.25">
      <c r="A7264" s="2" t="s">
        <v>106</v>
      </c>
      <c r="B7264">
        <v>100</v>
      </c>
      <c r="C7264" s="2" t="s">
        <v>142</v>
      </c>
      <c r="D7264">
        <v>100</v>
      </c>
    </row>
    <row r="7265" spans="1:4" hidden="1" x14ac:dyDescent="0.25">
      <c r="A7265" s="2" t="s">
        <v>106</v>
      </c>
      <c r="B7265">
        <v>100</v>
      </c>
      <c r="C7265" s="2" t="s">
        <v>143</v>
      </c>
      <c r="D7265">
        <v>100</v>
      </c>
    </row>
    <row r="7266" spans="1:4" hidden="1" x14ac:dyDescent="0.25">
      <c r="A7266" s="2" t="s">
        <v>106</v>
      </c>
      <c r="B7266">
        <v>100</v>
      </c>
      <c r="C7266" s="2" t="s">
        <v>144</v>
      </c>
      <c r="D7266">
        <v>100</v>
      </c>
    </row>
    <row r="7267" spans="1:4" hidden="1" x14ac:dyDescent="0.25">
      <c r="A7267" s="2" t="s">
        <v>106</v>
      </c>
      <c r="B7267">
        <v>100</v>
      </c>
      <c r="C7267" s="2" t="s">
        <v>145</v>
      </c>
      <c r="D7267">
        <v>100</v>
      </c>
    </row>
    <row r="7268" spans="1:4" hidden="1" x14ac:dyDescent="0.25">
      <c r="A7268" s="2" t="s">
        <v>106</v>
      </c>
      <c r="B7268">
        <v>100</v>
      </c>
      <c r="C7268" s="2" t="s">
        <v>146</v>
      </c>
      <c r="D7268">
        <v>100</v>
      </c>
    </row>
    <row r="7269" spans="1:4" hidden="1" x14ac:dyDescent="0.25">
      <c r="A7269" s="2" t="s">
        <v>106</v>
      </c>
      <c r="B7269">
        <v>100</v>
      </c>
      <c r="C7269" s="2" t="s">
        <v>147</v>
      </c>
      <c r="D7269">
        <v>100</v>
      </c>
    </row>
    <row r="7270" spans="1:4" hidden="1" x14ac:dyDescent="0.25">
      <c r="A7270" s="2" t="s">
        <v>106</v>
      </c>
      <c r="B7270">
        <v>100</v>
      </c>
      <c r="C7270" s="2" t="s">
        <v>148</v>
      </c>
      <c r="D7270">
        <v>100</v>
      </c>
    </row>
    <row r="7271" spans="1:4" hidden="1" x14ac:dyDescent="0.25">
      <c r="A7271" s="2" t="s">
        <v>106</v>
      </c>
      <c r="B7271">
        <v>100</v>
      </c>
      <c r="C7271" s="2" t="s">
        <v>149</v>
      </c>
      <c r="D7271">
        <v>100</v>
      </c>
    </row>
    <row r="7272" spans="1:4" hidden="1" x14ac:dyDescent="0.25">
      <c r="A7272" s="2" t="s">
        <v>106</v>
      </c>
      <c r="B7272">
        <v>100</v>
      </c>
      <c r="C7272" s="2" t="s">
        <v>150</v>
      </c>
      <c r="D7272">
        <v>100</v>
      </c>
    </row>
    <row r="7273" spans="1:4" hidden="1" x14ac:dyDescent="0.25">
      <c r="A7273" s="2" t="s">
        <v>106</v>
      </c>
      <c r="B7273">
        <v>100</v>
      </c>
      <c r="C7273" s="2" t="s">
        <v>151</v>
      </c>
      <c r="D7273">
        <v>100</v>
      </c>
    </row>
    <row r="7274" spans="1:4" hidden="1" x14ac:dyDescent="0.25">
      <c r="A7274" s="2" t="s">
        <v>106</v>
      </c>
      <c r="B7274">
        <v>100</v>
      </c>
      <c r="C7274" s="2" t="s">
        <v>152</v>
      </c>
      <c r="D7274">
        <v>100</v>
      </c>
    </row>
    <row r="7275" spans="1:4" hidden="1" x14ac:dyDescent="0.25">
      <c r="A7275" s="2" t="s">
        <v>106</v>
      </c>
      <c r="B7275">
        <v>100</v>
      </c>
      <c r="C7275" s="2" t="s">
        <v>153</v>
      </c>
      <c r="D7275">
        <v>100</v>
      </c>
    </row>
    <row r="7276" spans="1:4" hidden="1" x14ac:dyDescent="0.25">
      <c r="A7276" s="2" t="s">
        <v>106</v>
      </c>
      <c r="B7276">
        <v>100</v>
      </c>
      <c r="C7276" s="2" t="s">
        <v>154</v>
      </c>
      <c r="D7276">
        <v>100</v>
      </c>
    </row>
    <row r="7277" spans="1:4" hidden="1" x14ac:dyDescent="0.25">
      <c r="A7277" s="2" t="s">
        <v>106</v>
      </c>
      <c r="B7277">
        <v>100</v>
      </c>
      <c r="C7277" s="2" t="s">
        <v>155</v>
      </c>
      <c r="D7277">
        <v>100</v>
      </c>
    </row>
    <row r="7278" spans="1:4" hidden="1" x14ac:dyDescent="0.25">
      <c r="A7278" s="2" t="s">
        <v>106</v>
      </c>
      <c r="B7278">
        <v>100</v>
      </c>
      <c r="C7278" s="2" t="s">
        <v>156</v>
      </c>
      <c r="D7278">
        <v>100</v>
      </c>
    </row>
    <row r="7279" spans="1:4" hidden="1" x14ac:dyDescent="0.25">
      <c r="A7279" s="2" t="s">
        <v>106</v>
      </c>
      <c r="B7279">
        <v>100</v>
      </c>
      <c r="C7279" s="2" t="s">
        <v>157</v>
      </c>
      <c r="D7279">
        <v>100</v>
      </c>
    </row>
    <row r="7280" spans="1:4" hidden="1" x14ac:dyDescent="0.25">
      <c r="A7280" s="2" t="s">
        <v>106</v>
      </c>
      <c r="B7280">
        <v>100</v>
      </c>
      <c r="C7280" s="2" t="s">
        <v>158</v>
      </c>
      <c r="D7280">
        <v>100</v>
      </c>
    </row>
    <row r="7281" spans="1:4" hidden="1" x14ac:dyDescent="0.25">
      <c r="A7281" s="2" t="s">
        <v>106</v>
      </c>
      <c r="B7281">
        <v>100</v>
      </c>
      <c r="C7281" s="2" t="s">
        <v>159</v>
      </c>
      <c r="D7281">
        <v>100</v>
      </c>
    </row>
    <row r="7282" spans="1:4" hidden="1" x14ac:dyDescent="0.25">
      <c r="A7282" s="2" t="s">
        <v>106</v>
      </c>
      <c r="B7282">
        <v>100</v>
      </c>
      <c r="C7282" s="2" t="s">
        <v>160</v>
      </c>
      <c r="D7282">
        <v>100</v>
      </c>
    </row>
    <row r="7283" spans="1:4" hidden="1" x14ac:dyDescent="0.25">
      <c r="A7283" s="2" t="s">
        <v>106</v>
      </c>
      <c r="B7283">
        <v>100</v>
      </c>
      <c r="C7283" s="2" t="s">
        <v>161</v>
      </c>
      <c r="D7283">
        <v>100</v>
      </c>
    </row>
    <row r="7284" spans="1:4" hidden="1" x14ac:dyDescent="0.25">
      <c r="A7284" s="2" t="s">
        <v>106</v>
      </c>
      <c r="B7284">
        <v>100</v>
      </c>
      <c r="C7284" s="2" t="s">
        <v>162</v>
      </c>
      <c r="D7284">
        <v>100</v>
      </c>
    </row>
    <row r="7285" spans="1:4" hidden="1" x14ac:dyDescent="0.25">
      <c r="A7285" s="2" t="s">
        <v>106</v>
      </c>
      <c r="B7285">
        <v>100</v>
      </c>
      <c r="C7285" s="2" t="s">
        <v>163</v>
      </c>
      <c r="D7285">
        <v>100</v>
      </c>
    </row>
    <row r="7286" spans="1:4" hidden="1" x14ac:dyDescent="0.25">
      <c r="A7286" s="2" t="s">
        <v>106</v>
      </c>
      <c r="B7286">
        <v>100</v>
      </c>
      <c r="C7286" s="2" t="s">
        <v>164</v>
      </c>
      <c r="D7286">
        <v>100</v>
      </c>
    </row>
    <row r="7287" spans="1:4" hidden="1" x14ac:dyDescent="0.25">
      <c r="A7287" s="2" t="s">
        <v>106</v>
      </c>
      <c r="B7287">
        <v>100</v>
      </c>
      <c r="C7287" s="2" t="s">
        <v>165</v>
      </c>
      <c r="D7287">
        <v>100</v>
      </c>
    </row>
    <row r="7288" spans="1:4" hidden="1" x14ac:dyDescent="0.25">
      <c r="A7288" s="2" t="s">
        <v>106</v>
      </c>
      <c r="B7288">
        <v>100</v>
      </c>
      <c r="C7288" s="2" t="s">
        <v>166</v>
      </c>
      <c r="D7288">
        <v>100</v>
      </c>
    </row>
    <row r="7289" spans="1:4" hidden="1" x14ac:dyDescent="0.25">
      <c r="A7289" s="2" t="s">
        <v>106</v>
      </c>
      <c r="B7289">
        <v>100</v>
      </c>
      <c r="C7289" s="2" t="s">
        <v>167</v>
      </c>
      <c r="D7289">
        <v>100</v>
      </c>
    </row>
    <row r="7290" spans="1:4" hidden="1" x14ac:dyDescent="0.25">
      <c r="A7290" s="2" t="s">
        <v>106</v>
      </c>
      <c r="B7290">
        <v>100</v>
      </c>
      <c r="C7290" s="2" t="s">
        <v>168</v>
      </c>
      <c r="D7290">
        <v>100</v>
      </c>
    </row>
    <row r="7291" spans="1:4" hidden="1" x14ac:dyDescent="0.25">
      <c r="A7291" s="2" t="s">
        <v>106</v>
      </c>
      <c r="B7291">
        <v>100</v>
      </c>
      <c r="C7291" s="2" t="s">
        <v>169</v>
      </c>
      <c r="D7291">
        <v>100</v>
      </c>
    </row>
    <row r="7292" spans="1:4" hidden="1" x14ac:dyDescent="0.25">
      <c r="A7292" s="2" t="s">
        <v>106</v>
      </c>
      <c r="B7292">
        <v>100</v>
      </c>
      <c r="C7292" s="2" t="s">
        <v>170</v>
      </c>
      <c r="D7292">
        <v>100</v>
      </c>
    </row>
    <row r="7293" spans="1:4" hidden="1" x14ac:dyDescent="0.25">
      <c r="A7293" s="2" t="s">
        <v>106</v>
      </c>
      <c r="B7293">
        <v>100</v>
      </c>
      <c r="C7293" s="2" t="s">
        <v>171</v>
      </c>
      <c r="D7293">
        <v>100</v>
      </c>
    </row>
    <row r="7294" spans="1:4" hidden="1" x14ac:dyDescent="0.25">
      <c r="A7294" s="2" t="s">
        <v>106</v>
      </c>
      <c r="B7294">
        <v>100</v>
      </c>
      <c r="C7294" s="2" t="s">
        <v>172</v>
      </c>
      <c r="D7294">
        <v>100</v>
      </c>
    </row>
    <row r="7295" spans="1:4" hidden="1" x14ac:dyDescent="0.25">
      <c r="A7295" s="2" t="s">
        <v>106</v>
      </c>
      <c r="B7295">
        <v>100</v>
      </c>
      <c r="C7295" s="2" t="s">
        <v>173</v>
      </c>
      <c r="D7295">
        <v>100</v>
      </c>
    </row>
    <row r="7296" spans="1:4" hidden="1" x14ac:dyDescent="0.25">
      <c r="A7296" s="2" t="s">
        <v>106</v>
      </c>
      <c r="B7296">
        <v>100</v>
      </c>
      <c r="C7296" s="2" t="s">
        <v>174</v>
      </c>
      <c r="D7296">
        <v>100</v>
      </c>
    </row>
    <row r="7297" spans="1:4" hidden="1" x14ac:dyDescent="0.25">
      <c r="A7297" s="2" t="s">
        <v>106</v>
      </c>
      <c r="B7297">
        <v>100</v>
      </c>
      <c r="C7297" s="2" t="s">
        <v>175</v>
      </c>
      <c r="D7297">
        <v>100</v>
      </c>
    </row>
    <row r="7298" spans="1:4" hidden="1" x14ac:dyDescent="0.25">
      <c r="A7298" s="2" t="s">
        <v>106</v>
      </c>
      <c r="B7298">
        <v>100</v>
      </c>
      <c r="C7298" s="2" t="s">
        <v>176</v>
      </c>
      <c r="D7298">
        <v>100</v>
      </c>
    </row>
    <row r="7299" spans="1:4" hidden="1" x14ac:dyDescent="0.25">
      <c r="A7299" s="2" t="s">
        <v>106</v>
      </c>
      <c r="B7299">
        <v>100</v>
      </c>
      <c r="C7299" s="2" t="s">
        <v>177</v>
      </c>
      <c r="D7299">
        <v>100</v>
      </c>
    </row>
    <row r="7300" spans="1:4" hidden="1" x14ac:dyDescent="0.25">
      <c r="A7300" s="2" t="s">
        <v>106</v>
      </c>
      <c r="B7300">
        <v>100</v>
      </c>
      <c r="C7300" s="2" t="s">
        <v>178</v>
      </c>
      <c r="D7300">
        <v>100</v>
      </c>
    </row>
    <row r="7301" spans="1:4" hidden="1" x14ac:dyDescent="0.25">
      <c r="A7301" s="2" t="s">
        <v>106</v>
      </c>
      <c r="B7301">
        <v>100</v>
      </c>
      <c r="C7301" s="2" t="s">
        <v>179</v>
      </c>
      <c r="D7301">
        <v>100</v>
      </c>
    </row>
    <row r="7302" spans="1:4" hidden="1" x14ac:dyDescent="0.25">
      <c r="A7302" s="2" t="s">
        <v>48</v>
      </c>
      <c r="B7302">
        <v>101</v>
      </c>
      <c r="C7302" s="2" t="s">
        <v>183</v>
      </c>
      <c r="D7302">
        <v>78</v>
      </c>
    </row>
    <row r="7303" spans="1:4" hidden="1" x14ac:dyDescent="0.25">
      <c r="A7303" s="2" t="s">
        <v>48</v>
      </c>
      <c r="B7303">
        <v>101</v>
      </c>
      <c r="C7303" s="2" t="s">
        <v>184</v>
      </c>
      <c r="D7303">
        <v>77</v>
      </c>
    </row>
    <row r="7304" spans="1:4" hidden="1" x14ac:dyDescent="0.25">
      <c r="A7304" s="2" t="s">
        <v>48</v>
      </c>
      <c r="B7304">
        <v>101</v>
      </c>
      <c r="C7304" s="2" t="s">
        <v>185</v>
      </c>
      <c r="D7304">
        <v>61</v>
      </c>
    </row>
    <row r="7305" spans="1:4" hidden="1" x14ac:dyDescent="0.25">
      <c r="A7305" s="2" t="s">
        <v>48</v>
      </c>
      <c r="B7305">
        <v>101</v>
      </c>
      <c r="C7305" s="2" t="s">
        <v>186</v>
      </c>
      <c r="D7305">
        <v>68</v>
      </c>
    </row>
    <row r="7306" spans="1:4" hidden="1" x14ac:dyDescent="0.25">
      <c r="A7306" s="2" t="s">
        <v>48</v>
      </c>
      <c r="B7306">
        <v>101</v>
      </c>
      <c r="C7306" s="2" t="s">
        <v>187</v>
      </c>
      <c r="D7306">
        <v>68</v>
      </c>
    </row>
    <row r="7307" spans="1:4" hidden="1" x14ac:dyDescent="0.25">
      <c r="A7307" s="2" t="s">
        <v>48</v>
      </c>
      <c r="B7307">
        <v>101</v>
      </c>
      <c r="C7307" s="2" t="s">
        <v>188</v>
      </c>
      <c r="D7307">
        <v>75</v>
      </c>
    </row>
    <row r="7308" spans="1:4" hidden="1" x14ac:dyDescent="0.25">
      <c r="A7308" s="2" t="s">
        <v>48</v>
      </c>
      <c r="B7308">
        <v>101</v>
      </c>
      <c r="C7308" s="2" t="s">
        <v>189</v>
      </c>
      <c r="D7308">
        <v>90</v>
      </c>
    </row>
    <row r="7309" spans="1:4" hidden="1" x14ac:dyDescent="0.25">
      <c r="A7309" s="2" t="s">
        <v>48</v>
      </c>
      <c r="B7309">
        <v>101</v>
      </c>
      <c r="C7309" s="2" t="s">
        <v>190</v>
      </c>
      <c r="D7309">
        <v>83</v>
      </c>
    </row>
    <row r="7310" spans="1:4" hidden="1" x14ac:dyDescent="0.25">
      <c r="A7310" s="2" t="s">
        <v>48</v>
      </c>
      <c r="B7310">
        <v>101</v>
      </c>
      <c r="C7310" s="2" t="s">
        <v>191</v>
      </c>
      <c r="D7310">
        <v>93</v>
      </c>
    </row>
    <row r="7311" spans="1:4" hidden="1" x14ac:dyDescent="0.25">
      <c r="A7311" s="2" t="s">
        <v>48</v>
      </c>
      <c r="B7311">
        <v>101</v>
      </c>
      <c r="C7311" s="2" t="s">
        <v>116</v>
      </c>
      <c r="D7311">
        <v>94</v>
      </c>
    </row>
    <row r="7312" spans="1:4" hidden="1" x14ac:dyDescent="0.25">
      <c r="A7312" s="2" t="s">
        <v>48</v>
      </c>
      <c r="B7312">
        <v>101</v>
      </c>
      <c r="C7312" s="2" t="s">
        <v>117</v>
      </c>
      <c r="D7312">
        <v>94</v>
      </c>
    </row>
    <row r="7313" spans="1:4" hidden="1" x14ac:dyDescent="0.25">
      <c r="A7313" s="2" t="s">
        <v>48</v>
      </c>
      <c r="B7313">
        <v>101</v>
      </c>
      <c r="C7313" s="2" t="s">
        <v>118</v>
      </c>
      <c r="D7313">
        <v>96</v>
      </c>
    </row>
    <row r="7314" spans="1:4" hidden="1" x14ac:dyDescent="0.25">
      <c r="A7314" s="2" t="s">
        <v>48</v>
      </c>
      <c r="B7314">
        <v>101</v>
      </c>
      <c r="C7314" s="2" t="s">
        <v>119</v>
      </c>
      <c r="D7314">
        <v>77</v>
      </c>
    </row>
    <row r="7315" spans="1:4" hidden="1" x14ac:dyDescent="0.25">
      <c r="A7315" s="2" t="s">
        <v>48</v>
      </c>
      <c r="B7315">
        <v>101</v>
      </c>
      <c r="C7315" s="2" t="s">
        <v>120</v>
      </c>
      <c r="D7315">
        <v>74</v>
      </c>
    </row>
    <row r="7316" spans="1:4" hidden="1" x14ac:dyDescent="0.25">
      <c r="A7316" s="2" t="s">
        <v>48</v>
      </c>
      <c r="B7316">
        <v>101</v>
      </c>
      <c r="C7316" s="2" t="s">
        <v>121</v>
      </c>
      <c r="D7316">
        <v>73</v>
      </c>
    </row>
    <row r="7317" spans="1:4" hidden="1" x14ac:dyDescent="0.25">
      <c r="A7317" s="2" t="s">
        <v>48</v>
      </c>
      <c r="B7317">
        <v>101</v>
      </c>
      <c r="C7317" s="2" t="s">
        <v>122</v>
      </c>
      <c r="D7317">
        <v>78</v>
      </c>
    </row>
    <row r="7318" spans="1:4" hidden="1" x14ac:dyDescent="0.25">
      <c r="A7318" s="2" t="s">
        <v>48</v>
      </c>
      <c r="B7318">
        <v>101</v>
      </c>
      <c r="C7318" s="2" t="s">
        <v>123</v>
      </c>
      <c r="D7318">
        <v>83</v>
      </c>
    </row>
    <row r="7319" spans="1:4" hidden="1" x14ac:dyDescent="0.25">
      <c r="A7319" s="2" t="s">
        <v>48</v>
      </c>
      <c r="B7319">
        <v>101</v>
      </c>
      <c r="C7319" s="2" t="s">
        <v>124</v>
      </c>
      <c r="D7319">
        <v>85</v>
      </c>
    </row>
    <row r="7320" spans="1:4" hidden="1" x14ac:dyDescent="0.25">
      <c r="A7320" s="2" t="s">
        <v>48</v>
      </c>
      <c r="B7320">
        <v>101</v>
      </c>
      <c r="C7320" s="2" t="s">
        <v>125</v>
      </c>
      <c r="D7320">
        <v>99</v>
      </c>
    </row>
    <row r="7321" spans="1:4" hidden="1" x14ac:dyDescent="0.25">
      <c r="A7321" s="2" t="s">
        <v>48</v>
      </c>
      <c r="B7321">
        <v>101</v>
      </c>
      <c r="C7321" s="2" t="s">
        <v>126</v>
      </c>
      <c r="D7321">
        <v>98</v>
      </c>
    </row>
    <row r="7322" spans="1:4" hidden="1" x14ac:dyDescent="0.25">
      <c r="A7322" s="2" t="s">
        <v>48</v>
      </c>
      <c r="B7322">
        <v>101</v>
      </c>
      <c r="C7322" s="2" t="s">
        <v>127</v>
      </c>
      <c r="D7322">
        <v>100</v>
      </c>
    </row>
    <row r="7323" spans="1:4" hidden="1" x14ac:dyDescent="0.25">
      <c r="A7323" s="2" t="s">
        <v>48</v>
      </c>
      <c r="B7323">
        <v>101</v>
      </c>
      <c r="C7323" s="2" t="s">
        <v>128</v>
      </c>
      <c r="D7323">
        <v>78</v>
      </c>
    </row>
    <row r="7324" spans="1:4" hidden="1" x14ac:dyDescent="0.25">
      <c r="A7324" s="2" t="s">
        <v>48</v>
      </c>
      <c r="B7324">
        <v>101</v>
      </c>
      <c r="C7324" s="2" t="s">
        <v>129</v>
      </c>
      <c r="D7324">
        <v>94</v>
      </c>
    </row>
    <row r="7325" spans="1:4" hidden="1" x14ac:dyDescent="0.25">
      <c r="A7325" s="2" t="s">
        <v>48</v>
      </c>
      <c r="B7325">
        <v>101</v>
      </c>
      <c r="C7325" s="2" t="s">
        <v>130</v>
      </c>
      <c r="D7325">
        <v>77</v>
      </c>
    </row>
    <row r="7326" spans="1:4" hidden="1" x14ac:dyDescent="0.25">
      <c r="A7326" s="2" t="s">
        <v>48</v>
      </c>
      <c r="B7326">
        <v>101</v>
      </c>
      <c r="C7326" s="2" t="s">
        <v>131</v>
      </c>
      <c r="D7326">
        <v>90</v>
      </c>
    </row>
    <row r="7327" spans="1:4" hidden="1" x14ac:dyDescent="0.25">
      <c r="A7327" s="2" t="s">
        <v>48</v>
      </c>
      <c r="B7327">
        <v>101</v>
      </c>
      <c r="C7327" s="2" t="s">
        <v>132</v>
      </c>
      <c r="D7327">
        <v>97</v>
      </c>
    </row>
    <row r="7328" spans="1:4" hidden="1" x14ac:dyDescent="0.25">
      <c r="A7328" s="2" t="s">
        <v>48</v>
      </c>
      <c r="B7328">
        <v>101</v>
      </c>
      <c r="C7328" s="2" t="s">
        <v>133</v>
      </c>
      <c r="D7328">
        <v>97</v>
      </c>
    </row>
    <row r="7329" spans="1:4" hidden="1" x14ac:dyDescent="0.25">
      <c r="A7329" s="2" t="s">
        <v>48</v>
      </c>
      <c r="B7329">
        <v>101</v>
      </c>
      <c r="C7329" s="2" t="s">
        <v>134</v>
      </c>
      <c r="D7329">
        <v>95</v>
      </c>
    </row>
    <row r="7330" spans="1:4" hidden="1" x14ac:dyDescent="0.25">
      <c r="A7330" s="2" t="s">
        <v>48</v>
      </c>
      <c r="B7330">
        <v>101</v>
      </c>
      <c r="C7330" s="2" t="s">
        <v>135</v>
      </c>
      <c r="D7330">
        <v>101</v>
      </c>
    </row>
    <row r="7331" spans="1:4" hidden="1" x14ac:dyDescent="0.25">
      <c r="A7331" s="2" t="s">
        <v>48</v>
      </c>
      <c r="B7331">
        <v>101</v>
      </c>
      <c r="C7331" s="2" t="s">
        <v>136</v>
      </c>
      <c r="D7331">
        <v>101</v>
      </c>
    </row>
    <row r="7332" spans="1:4" hidden="1" x14ac:dyDescent="0.25">
      <c r="A7332" s="2" t="s">
        <v>48</v>
      </c>
      <c r="B7332">
        <v>101</v>
      </c>
      <c r="C7332" s="2" t="s">
        <v>137</v>
      </c>
      <c r="D7332">
        <v>101</v>
      </c>
    </row>
    <row r="7333" spans="1:4" hidden="1" x14ac:dyDescent="0.25">
      <c r="A7333" s="2" t="s">
        <v>48</v>
      </c>
      <c r="B7333">
        <v>101</v>
      </c>
      <c r="C7333" s="2" t="s">
        <v>138</v>
      </c>
      <c r="D7333">
        <v>101</v>
      </c>
    </row>
    <row r="7334" spans="1:4" hidden="1" x14ac:dyDescent="0.25">
      <c r="A7334" s="2" t="s">
        <v>48</v>
      </c>
      <c r="B7334">
        <v>101</v>
      </c>
      <c r="C7334" s="2" t="s">
        <v>139</v>
      </c>
      <c r="D7334">
        <v>101</v>
      </c>
    </row>
    <row r="7335" spans="1:4" hidden="1" x14ac:dyDescent="0.25">
      <c r="A7335" s="2" t="s">
        <v>48</v>
      </c>
      <c r="B7335">
        <v>101</v>
      </c>
      <c r="C7335" s="2" t="s">
        <v>140</v>
      </c>
      <c r="D7335">
        <v>101</v>
      </c>
    </row>
    <row r="7336" spans="1:4" hidden="1" x14ac:dyDescent="0.25">
      <c r="A7336" s="2" t="s">
        <v>48</v>
      </c>
      <c r="B7336">
        <v>101</v>
      </c>
      <c r="C7336" s="2" t="s">
        <v>141</v>
      </c>
      <c r="D7336">
        <v>101</v>
      </c>
    </row>
    <row r="7337" spans="1:4" hidden="1" x14ac:dyDescent="0.25">
      <c r="A7337" s="2" t="s">
        <v>48</v>
      </c>
      <c r="B7337">
        <v>101</v>
      </c>
      <c r="C7337" s="2" t="s">
        <v>142</v>
      </c>
      <c r="D7337">
        <v>101</v>
      </c>
    </row>
    <row r="7338" spans="1:4" hidden="1" x14ac:dyDescent="0.25">
      <c r="A7338" s="2" t="s">
        <v>48</v>
      </c>
      <c r="B7338">
        <v>101</v>
      </c>
      <c r="C7338" s="2" t="s">
        <v>143</v>
      </c>
      <c r="D7338">
        <v>101</v>
      </c>
    </row>
    <row r="7339" spans="1:4" hidden="1" x14ac:dyDescent="0.25">
      <c r="A7339" s="2" t="s">
        <v>48</v>
      </c>
      <c r="B7339">
        <v>101</v>
      </c>
      <c r="C7339" s="2" t="s">
        <v>144</v>
      </c>
      <c r="D7339">
        <v>101</v>
      </c>
    </row>
    <row r="7340" spans="1:4" hidden="1" x14ac:dyDescent="0.25">
      <c r="A7340" s="2" t="s">
        <v>48</v>
      </c>
      <c r="B7340">
        <v>101</v>
      </c>
      <c r="C7340" s="2" t="s">
        <v>145</v>
      </c>
      <c r="D7340">
        <v>101</v>
      </c>
    </row>
    <row r="7341" spans="1:4" hidden="1" x14ac:dyDescent="0.25">
      <c r="A7341" s="2" t="s">
        <v>48</v>
      </c>
      <c r="B7341">
        <v>101</v>
      </c>
      <c r="C7341" s="2" t="s">
        <v>146</v>
      </c>
      <c r="D7341">
        <v>101</v>
      </c>
    </row>
    <row r="7342" spans="1:4" hidden="1" x14ac:dyDescent="0.25">
      <c r="A7342" s="2" t="s">
        <v>48</v>
      </c>
      <c r="B7342">
        <v>101</v>
      </c>
      <c r="C7342" s="2" t="s">
        <v>147</v>
      </c>
      <c r="D7342">
        <v>101</v>
      </c>
    </row>
    <row r="7343" spans="1:4" hidden="1" x14ac:dyDescent="0.25">
      <c r="A7343" s="2" t="s">
        <v>48</v>
      </c>
      <c r="B7343">
        <v>101</v>
      </c>
      <c r="C7343" s="2" t="s">
        <v>148</v>
      </c>
      <c r="D7343">
        <v>101</v>
      </c>
    </row>
    <row r="7344" spans="1:4" hidden="1" x14ac:dyDescent="0.25">
      <c r="A7344" s="2" t="s">
        <v>48</v>
      </c>
      <c r="B7344">
        <v>101</v>
      </c>
      <c r="C7344" s="2" t="s">
        <v>149</v>
      </c>
      <c r="D7344">
        <v>101</v>
      </c>
    </row>
    <row r="7345" spans="1:4" hidden="1" x14ac:dyDescent="0.25">
      <c r="A7345" s="2" t="s">
        <v>48</v>
      </c>
      <c r="B7345">
        <v>101</v>
      </c>
      <c r="C7345" s="2" t="s">
        <v>150</v>
      </c>
      <c r="D7345">
        <v>101</v>
      </c>
    </row>
    <row r="7346" spans="1:4" hidden="1" x14ac:dyDescent="0.25">
      <c r="A7346" s="2" t="s">
        <v>48</v>
      </c>
      <c r="B7346">
        <v>101</v>
      </c>
      <c r="C7346" s="2" t="s">
        <v>151</v>
      </c>
      <c r="D7346">
        <v>101</v>
      </c>
    </row>
    <row r="7347" spans="1:4" hidden="1" x14ac:dyDescent="0.25">
      <c r="A7347" s="2" t="s">
        <v>48</v>
      </c>
      <c r="B7347">
        <v>101</v>
      </c>
      <c r="C7347" s="2" t="s">
        <v>152</v>
      </c>
      <c r="D7347">
        <v>101</v>
      </c>
    </row>
    <row r="7348" spans="1:4" hidden="1" x14ac:dyDescent="0.25">
      <c r="A7348" s="2" t="s">
        <v>48</v>
      </c>
      <c r="B7348">
        <v>101</v>
      </c>
      <c r="C7348" s="2" t="s">
        <v>153</v>
      </c>
      <c r="D7348">
        <v>101</v>
      </c>
    </row>
    <row r="7349" spans="1:4" hidden="1" x14ac:dyDescent="0.25">
      <c r="A7349" s="2" t="s">
        <v>48</v>
      </c>
      <c r="B7349">
        <v>101</v>
      </c>
      <c r="C7349" s="2" t="s">
        <v>154</v>
      </c>
      <c r="D7349">
        <v>101</v>
      </c>
    </row>
    <row r="7350" spans="1:4" hidden="1" x14ac:dyDescent="0.25">
      <c r="A7350" s="2" t="s">
        <v>48</v>
      </c>
      <c r="B7350">
        <v>101</v>
      </c>
      <c r="C7350" s="2" t="s">
        <v>155</v>
      </c>
      <c r="D7350">
        <v>101</v>
      </c>
    </row>
    <row r="7351" spans="1:4" hidden="1" x14ac:dyDescent="0.25">
      <c r="A7351" s="2" t="s">
        <v>48</v>
      </c>
      <c r="B7351">
        <v>101</v>
      </c>
      <c r="C7351" s="2" t="s">
        <v>156</v>
      </c>
      <c r="D7351">
        <v>101</v>
      </c>
    </row>
    <row r="7352" spans="1:4" hidden="1" x14ac:dyDescent="0.25">
      <c r="A7352" s="2" t="s">
        <v>48</v>
      </c>
      <c r="B7352">
        <v>101</v>
      </c>
      <c r="C7352" s="2" t="s">
        <v>157</v>
      </c>
      <c r="D7352">
        <v>101</v>
      </c>
    </row>
    <row r="7353" spans="1:4" hidden="1" x14ac:dyDescent="0.25">
      <c r="A7353" s="2" t="s">
        <v>48</v>
      </c>
      <c r="B7353">
        <v>101</v>
      </c>
      <c r="C7353" s="2" t="s">
        <v>158</v>
      </c>
      <c r="D7353">
        <v>101</v>
      </c>
    </row>
    <row r="7354" spans="1:4" hidden="1" x14ac:dyDescent="0.25">
      <c r="A7354" s="2" t="s">
        <v>48</v>
      </c>
      <c r="B7354">
        <v>101</v>
      </c>
      <c r="C7354" s="2" t="s">
        <v>159</v>
      </c>
      <c r="D7354">
        <v>101</v>
      </c>
    </row>
    <row r="7355" spans="1:4" hidden="1" x14ac:dyDescent="0.25">
      <c r="A7355" s="2" t="s">
        <v>48</v>
      </c>
      <c r="B7355">
        <v>101</v>
      </c>
      <c r="C7355" s="2" t="s">
        <v>160</v>
      </c>
      <c r="D7355">
        <v>101</v>
      </c>
    </row>
    <row r="7356" spans="1:4" hidden="1" x14ac:dyDescent="0.25">
      <c r="A7356" s="2" t="s">
        <v>48</v>
      </c>
      <c r="B7356">
        <v>101</v>
      </c>
      <c r="C7356" s="2" t="s">
        <v>161</v>
      </c>
      <c r="D7356">
        <v>101</v>
      </c>
    </row>
    <row r="7357" spans="1:4" hidden="1" x14ac:dyDescent="0.25">
      <c r="A7357" s="2" t="s">
        <v>48</v>
      </c>
      <c r="B7357">
        <v>101</v>
      </c>
      <c r="C7357" s="2" t="s">
        <v>162</v>
      </c>
      <c r="D7357">
        <v>101</v>
      </c>
    </row>
    <row r="7358" spans="1:4" hidden="1" x14ac:dyDescent="0.25">
      <c r="A7358" s="2" t="s">
        <v>48</v>
      </c>
      <c r="B7358">
        <v>101</v>
      </c>
      <c r="C7358" s="2" t="s">
        <v>163</v>
      </c>
      <c r="D7358">
        <v>101</v>
      </c>
    </row>
    <row r="7359" spans="1:4" hidden="1" x14ac:dyDescent="0.25">
      <c r="A7359" s="2" t="s">
        <v>48</v>
      </c>
      <c r="B7359">
        <v>101</v>
      </c>
      <c r="C7359" s="2" t="s">
        <v>164</v>
      </c>
      <c r="D7359">
        <v>101</v>
      </c>
    </row>
    <row r="7360" spans="1:4" hidden="1" x14ac:dyDescent="0.25">
      <c r="A7360" s="2" t="s">
        <v>48</v>
      </c>
      <c r="B7360">
        <v>101</v>
      </c>
      <c r="C7360" s="2" t="s">
        <v>165</v>
      </c>
      <c r="D7360">
        <v>101</v>
      </c>
    </row>
    <row r="7361" spans="1:4" hidden="1" x14ac:dyDescent="0.25">
      <c r="A7361" s="2" t="s">
        <v>48</v>
      </c>
      <c r="B7361">
        <v>101</v>
      </c>
      <c r="C7361" s="2" t="s">
        <v>166</v>
      </c>
      <c r="D7361">
        <v>101</v>
      </c>
    </row>
    <row r="7362" spans="1:4" hidden="1" x14ac:dyDescent="0.25">
      <c r="A7362" s="2" t="s">
        <v>48</v>
      </c>
      <c r="B7362">
        <v>101</v>
      </c>
      <c r="C7362" s="2" t="s">
        <v>167</v>
      </c>
      <c r="D7362">
        <v>101</v>
      </c>
    </row>
    <row r="7363" spans="1:4" hidden="1" x14ac:dyDescent="0.25">
      <c r="A7363" s="2" t="s">
        <v>48</v>
      </c>
      <c r="B7363">
        <v>101</v>
      </c>
      <c r="C7363" s="2" t="s">
        <v>168</v>
      </c>
      <c r="D7363">
        <v>101</v>
      </c>
    </row>
    <row r="7364" spans="1:4" hidden="1" x14ac:dyDescent="0.25">
      <c r="A7364" s="2" t="s">
        <v>48</v>
      </c>
      <c r="B7364">
        <v>101</v>
      </c>
      <c r="C7364" s="2" t="s">
        <v>169</v>
      </c>
      <c r="D7364">
        <v>101</v>
      </c>
    </row>
    <row r="7365" spans="1:4" hidden="1" x14ac:dyDescent="0.25">
      <c r="A7365" s="2" t="s">
        <v>48</v>
      </c>
      <c r="B7365">
        <v>101</v>
      </c>
      <c r="C7365" s="2" t="s">
        <v>170</v>
      </c>
      <c r="D7365">
        <v>101</v>
      </c>
    </row>
    <row r="7366" spans="1:4" hidden="1" x14ac:dyDescent="0.25">
      <c r="A7366" s="2" t="s">
        <v>48</v>
      </c>
      <c r="B7366">
        <v>101</v>
      </c>
      <c r="C7366" s="2" t="s">
        <v>171</v>
      </c>
      <c r="D7366">
        <v>101</v>
      </c>
    </row>
    <row r="7367" spans="1:4" hidden="1" x14ac:dyDescent="0.25">
      <c r="A7367" s="2" t="s">
        <v>48</v>
      </c>
      <c r="B7367">
        <v>101</v>
      </c>
      <c r="C7367" s="2" t="s">
        <v>172</v>
      </c>
      <c r="D7367">
        <v>101</v>
      </c>
    </row>
    <row r="7368" spans="1:4" hidden="1" x14ac:dyDescent="0.25">
      <c r="A7368" s="2" t="s">
        <v>48</v>
      </c>
      <c r="B7368">
        <v>101</v>
      </c>
      <c r="C7368" s="2" t="s">
        <v>173</v>
      </c>
      <c r="D7368">
        <v>101</v>
      </c>
    </row>
    <row r="7369" spans="1:4" hidden="1" x14ac:dyDescent="0.25">
      <c r="A7369" s="2" t="s">
        <v>48</v>
      </c>
      <c r="B7369">
        <v>101</v>
      </c>
      <c r="C7369" s="2" t="s">
        <v>174</v>
      </c>
      <c r="D7369">
        <v>101</v>
      </c>
    </row>
    <row r="7370" spans="1:4" hidden="1" x14ac:dyDescent="0.25">
      <c r="A7370" s="2" t="s">
        <v>48</v>
      </c>
      <c r="B7370">
        <v>101</v>
      </c>
      <c r="C7370" s="2" t="s">
        <v>175</v>
      </c>
      <c r="D7370">
        <v>101</v>
      </c>
    </row>
    <row r="7371" spans="1:4" hidden="1" x14ac:dyDescent="0.25">
      <c r="A7371" s="2" t="s">
        <v>48</v>
      </c>
      <c r="B7371">
        <v>101</v>
      </c>
      <c r="C7371" s="2" t="s">
        <v>176</v>
      </c>
      <c r="D7371">
        <v>101</v>
      </c>
    </row>
    <row r="7372" spans="1:4" hidden="1" x14ac:dyDescent="0.25">
      <c r="A7372" s="2" t="s">
        <v>48</v>
      </c>
      <c r="B7372">
        <v>101</v>
      </c>
      <c r="C7372" s="2" t="s">
        <v>177</v>
      </c>
      <c r="D7372">
        <v>101</v>
      </c>
    </row>
    <row r="7373" spans="1:4" hidden="1" x14ac:dyDescent="0.25">
      <c r="A7373" s="2" t="s">
        <v>48</v>
      </c>
      <c r="B7373">
        <v>101</v>
      </c>
      <c r="C7373" s="2" t="s">
        <v>178</v>
      </c>
      <c r="D7373">
        <v>101</v>
      </c>
    </row>
    <row r="7374" spans="1:4" hidden="1" x14ac:dyDescent="0.25">
      <c r="A7374" s="2" t="s">
        <v>48</v>
      </c>
      <c r="B7374">
        <v>101</v>
      </c>
      <c r="C7374" s="2" t="s">
        <v>179</v>
      </c>
      <c r="D7374">
        <v>101</v>
      </c>
    </row>
    <row r="7375" spans="1:4" hidden="1" x14ac:dyDescent="0.25">
      <c r="A7375" s="2" t="s">
        <v>70</v>
      </c>
      <c r="B7375">
        <v>101</v>
      </c>
      <c r="C7375" s="2" t="s">
        <v>183</v>
      </c>
      <c r="D7375">
        <v>13</v>
      </c>
    </row>
    <row r="7376" spans="1:4" hidden="1" x14ac:dyDescent="0.25">
      <c r="A7376" s="2" t="s">
        <v>70</v>
      </c>
      <c r="B7376">
        <v>101</v>
      </c>
      <c r="C7376" s="2" t="s">
        <v>184</v>
      </c>
      <c r="D7376">
        <v>14</v>
      </c>
    </row>
    <row r="7377" spans="1:4" hidden="1" x14ac:dyDescent="0.25">
      <c r="A7377" s="2" t="s">
        <v>70</v>
      </c>
      <c r="B7377">
        <v>101</v>
      </c>
      <c r="C7377" s="2" t="s">
        <v>185</v>
      </c>
      <c r="D7377">
        <v>82</v>
      </c>
    </row>
    <row r="7378" spans="1:4" hidden="1" x14ac:dyDescent="0.25">
      <c r="A7378" s="2" t="s">
        <v>70</v>
      </c>
      <c r="B7378">
        <v>101</v>
      </c>
      <c r="C7378" s="2" t="s">
        <v>186</v>
      </c>
      <c r="D7378">
        <v>54</v>
      </c>
    </row>
    <row r="7379" spans="1:4" hidden="1" x14ac:dyDescent="0.25">
      <c r="A7379" s="2" t="s">
        <v>70</v>
      </c>
      <c r="B7379">
        <v>101</v>
      </c>
      <c r="C7379" s="2" t="s">
        <v>187</v>
      </c>
      <c r="D7379">
        <v>55</v>
      </c>
    </row>
    <row r="7380" spans="1:4" hidden="1" x14ac:dyDescent="0.25">
      <c r="A7380" s="2" t="s">
        <v>70</v>
      </c>
      <c r="B7380">
        <v>101</v>
      </c>
      <c r="C7380" s="2" t="s">
        <v>188</v>
      </c>
      <c r="D7380">
        <v>53</v>
      </c>
    </row>
    <row r="7381" spans="1:4" hidden="1" x14ac:dyDescent="0.25">
      <c r="A7381" s="2" t="s">
        <v>70</v>
      </c>
      <c r="B7381">
        <v>101</v>
      </c>
      <c r="C7381" s="2" t="s">
        <v>189</v>
      </c>
      <c r="D7381">
        <v>71</v>
      </c>
    </row>
    <row r="7382" spans="1:4" hidden="1" x14ac:dyDescent="0.25">
      <c r="A7382" s="2" t="s">
        <v>70</v>
      </c>
      <c r="B7382">
        <v>101</v>
      </c>
      <c r="C7382" s="2" t="s">
        <v>190</v>
      </c>
      <c r="D7382">
        <v>65</v>
      </c>
    </row>
    <row r="7383" spans="1:4" hidden="1" x14ac:dyDescent="0.25">
      <c r="A7383" s="2" t="s">
        <v>70</v>
      </c>
      <c r="B7383">
        <v>101</v>
      </c>
      <c r="C7383" s="2" t="s">
        <v>191</v>
      </c>
      <c r="D7383">
        <v>64</v>
      </c>
    </row>
    <row r="7384" spans="1:4" hidden="1" x14ac:dyDescent="0.25">
      <c r="A7384" s="2" t="s">
        <v>70</v>
      </c>
      <c r="B7384">
        <v>101</v>
      </c>
      <c r="C7384" s="2" t="s">
        <v>116</v>
      </c>
      <c r="D7384">
        <v>65</v>
      </c>
    </row>
    <row r="7385" spans="1:4" hidden="1" x14ac:dyDescent="0.25">
      <c r="A7385" s="2" t="s">
        <v>70</v>
      </c>
      <c r="B7385">
        <v>101</v>
      </c>
      <c r="C7385" s="2" t="s">
        <v>117</v>
      </c>
      <c r="D7385">
        <v>61</v>
      </c>
    </row>
    <row r="7386" spans="1:4" hidden="1" x14ac:dyDescent="0.25">
      <c r="A7386" s="2" t="s">
        <v>70</v>
      </c>
      <c r="B7386">
        <v>101</v>
      </c>
      <c r="C7386" s="2" t="s">
        <v>118</v>
      </c>
      <c r="D7386">
        <v>69</v>
      </c>
    </row>
    <row r="7387" spans="1:4" hidden="1" x14ac:dyDescent="0.25">
      <c r="A7387" s="2" t="s">
        <v>70</v>
      </c>
      <c r="B7387">
        <v>101</v>
      </c>
      <c r="C7387" s="2" t="s">
        <v>119</v>
      </c>
      <c r="D7387">
        <v>73</v>
      </c>
    </row>
    <row r="7388" spans="1:4" hidden="1" x14ac:dyDescent="0.25">
      <c r="A7388" s="2" t="s">
        <v>70</v>
      </c>
      <c r="B7388">
        <v>101</v>
      </c>
      <c r="C7388" s="2" t="s">
        <v>120</v>
      </c>
      <c r="D7388">
        <v>70</v>
      </c>
    </row>
    <row r="7389" spans="1:4" hidden="1" x14ac:dyDescent="0.25">
      <c r="A7389" s="2" t="s">
        <v>70</v>
      </c>
      <c r="B7389">
        <v>101</v>
      </c>
      <c r="C7389" s="2" t="s">
        <v>121</v>
      </c>
      <c r="D7389">
        <v>92</v>
      </c>
    </row>
    <row r="7390" spans="1:4" hidden="1" x14ac:dyDescent="0.25">
      <c r="A7390" s="2" t="s">
        <v>70</v>
      </c>
      <c r="B7390">
        <v>101</v>
      </c>
      <c r="C7390" s="2" t="s">
        <v>122</v>
      </c>
      <c r="D7390">
        <v>90</v>
      </c>
    </row>
    <row r="7391" spans="1:4" hidden="1" x14ac:dyDescent="0.25">
      <c r="A7391" s="2" t="s">
        <v>70</v>
      </c>
      <c r="B7391">
        <v>101</v>
      </c>
      <c r="C7391" s="2" t="s">
        <v>123</v>
      </c>
      <c r="D7391">
        <v>94</v>
      </c>
    </row>
    <row r="7392" spans="1:4" hidden="1" x14ac:dyDescent="0.25">
      <c r="A7392" s="2" t="s">
        <v>70</v>
      </c>
      <c r="B7392">
        <v>101</v>
      </c>
      <c r="C7392" s="2" t="s">
        <v>124</v>
      </c>
      <c r="D7392">
        <v>95</v>
      </c>
    </row>
    <row r="7393" spans="1:4" hidden="1" x14ac:dyDescent="0.25">
      <c r="A7393" s="2" t="s">
        <v>70</v>
      </c>
      <c r="B7393">
        <v>101</v>
      </c>
      <c r="C7393" s="2" t="s">
        <v>125</v>
      </c>
      <c r="D7393">
        <v>92</v>
      </c>
    </row>
    <row r="7394" spans="1:4" hidden="1" x14ac:dyDescent="0.25">
      <c r="A7394" s="2" t="s">
        <v>70</v>
      </c>
      <c r="B7394">
        <v>101</v>
      </c>
      <c r="C7394" s="2" t="s">
        <v>126</v>
      </c>
      <c r="D7394">
        <v>92</v>
      </c>
    </row>
    <row r="7395" spans="1:4" hidden="1" x14ac:dyDescent="0.25">
      <c r="A7395" s="2" t="s">
        <v>70</v>
      </c>
      <c r="B7395">
        <v>101</v>
      </c>
      <c r="C7395" s="2" t="s">
        <v>127</v>
      </c>
      <c r="D7395">
        <v>95</v>
      </c>
    </row>
    <row r="7396" spans="1:4" hidden="1" x14ac:dyDescent="0.25">
      <c r="A7396" s="2" t="s">
        <v>70</v>
      </c>
      <c r="B7396">
        <v>101</v>
      </c>
      <c r="C7396" s="2" t="s">
        <v>128</v>
      </c>
      <c r="D7396">
        <v>98</v>
      </c>
    </row>
    <row r="7397" spans="1:4" hidden="1" x14ac:dyDescent="0.25">
      <c r="A7397" s="2" t="s">
        <v>70</v>
      </c>
      <c r="B7397">
        <v>101</v>
      </c>
      <c r="C7397" s="2" t="s">
        <v>129</v>
      </c>
      <c r="D7397">
        <v>83</v>
      </c>
    </row>
    <row r="7398" spans="1:4" hidden="1" x14ac:dyDescent="0.25">
      <c r="A7398" s="2" t="s">
        <v>70</v>
      </c>
      <c r="B7398">
        <v>101</v>
      </c>
      <c r="C7398" s="2" t="s">
        <v>130</v>
      </c>
      <c r="D7398">
        <v>94</v>
      </c>
    </row>
    <row r="7399" spans="1:4" hidden="1" x14ac:dyDescent="0.25">
      <c r="A7399" s="2" t="s">
        <v>70</v>
      </c>
      <c r="B7399">
        <v>101</v>
      </c>
      <c r="C7399" s="2" t="s">
        <v>131</v>
      </c>
      <c r="D7399">
        <v>90</v>
      </c>
    </row>
    <row r="7400" spans="1:4" hidden="1" x14ac:dyDescent="0.25">
      <c r="A7400" s="2" t="s">
        <v>70</v>
      </c>
      <c r="B7400">
        <v>101</v>
      </c>
      <c r="C7400" s="2" t="s">
        <v>132</v>
      </c>
      <c r="D7400">
        <v>97</v>
      </c>
    </row>
    <row r="7401" spans="1:4" hidden="1" x14ac:dyDescent="0.25">
      <c r="A7401" s="2" t="s">
        <v>70</v>
      </c>
      <c r="B7401">
        <v>101</v>
      </c>
      <c r="C7401" s="2" t="s">
        <v>133</v>
      </c>
      <c r="D7401">
        <v>97</v>
      </c>
    </row>
    <row r="7402" spans="1:4" hidden="1" x14ac:dyDescent="0.25">
      <c r="A7402" s="2" t="s">
        <v>70</v>
      </c>
      <c r="B7402">
        <v>101</v>
      </c>
      <c r="C7402" s="2" t="s">
        <v>134</v>
      </c>
      <c r="D7402">
        <v>95</v>
      </c>
    </row>
    <row r="7403" spans="1:4" hidden="1" x14ac:dyDescent="0.25">
      <c r="A7403" s="2" t="s">
        <v>70</v>
      </c>
      <c r="B7403">
        <v>101</v>
      </c>
      <c r="C7403" s="2" t="s">
        <v>135</v>
      </c>
      <c r="D7403">
        <v>101</v>
      </c>
    </row>
    <row r="7404" spans="1:4" hidden="1" x14ac:dyDescent="0.25">
      <c r="A7404" s="2" t="s">
        <v>70</v>
      </c>
      <c r="B7404">
        <v>101</v>
      </c>
      <c r="C7404" s="2" t="s">
        <v>136</v>
      </c>
      <c r="D7404">
        <v>101</v>
      </c>
    </row>
    <row r="7405" spans="1:4" hidden="1" x14ac:dyDescent="0.25">
      <c r="A7405" s="2" t="s">
        <v>70</v>
      </c>
      <c r="B7405">
        <v>101</v>
      </c>
      <c r="C7405" s="2" t="s">
        <v>137</v>
      </c>
      <c r="D7405">
        <v>101</v>
      </c>
    </row>
    <row r="7406" spans="1:4" hidden="1" x14ac:dyDescent="0.25">
      <c r="A7406" s="2" t="s">
        <v>70</v>
      </c>
      <c r="B7406">
        <v>101</v>
      </c>
      <c r="C7406" s="2" t="s">
        <v>138</v>
      </c>
      <c r="D7406">
        <v>101</v>
      </c>
    </row>
    <row r="7407" spans="1:4" hidden="1" x14ac:dyDescent="0.25">
      <c r="A7407" s="2" t="s">
        <v>70</v>
      </c>
      <c r="B7407">
        <v>101</v>
      </c>
      <c r="C7407" s="2" t="s">
        <v>139</v>
      </c>
      <c r="D7407">
        <v>101</v>
      </c>
    </row>
    <row r="7408" spans="1:4" hidden="1" x14ac:dyDescent="0.25">
      <c r="A7408" s="2" t="s">
        <v>70</v>
      </c>
      <c r="B7408">
        <v>101</v>
      </c>
      <c r="C7408" s="2" t="s">
        <v>140</v>
      </c>
      <c r="D7408">
        <v>101</v>
      </c>
    </row>
    <row r="7409" spans="1:4" hidden="1" x14ac:dyDescent="0.25">
      <c r="A7409" s="2" t="s">
        <v>70</v>
      </c>
      <c r="B7409">
        <v>101</v>
      </c>
      <c r="C7409" s="2" t="s">
        <v>141</v>
      </c>
      <c r="D7409">
        <v>101</v>
      </c>
    </row>
    <row r="7410" spans="1:4" hidden="1" x14ac:dyDescent="0.25">
      <c r="A7410" s="2" t="s">
        <v>70</v>
      </c>
      <c r="B7410">
        <v>101</v>
      </c>
      <c r="C7410" s="2" t="s">
        <v>142</v>
      </c>
      <c r="D7410">
        <v>101</v>
      </c>
    </row>
    <row r="7411" spans="1:4" hidden="1" x14ac:dyDescent="0.25">
      <c r="A7411" s="2" t="s">
        <v>70</v>
      </c>
      <c r="B7411">
        <v>101</v>
      </c>
      <c r="C7411" s="2" t="s">
        <v>143</v>
      </c>
      <c r="D7411">
        <v>101</v>
      </c>
    </row>
    <row r="7412" spans="1:4" hidden="1" x14ac:dyDescent="0.25">
      <c r="A7412" s="2" t="s">
        <v>70</v>
      </c>
      <c r="B7412">
        <v>101</v>
      </c>
      <c r="C7412" s="2" t="s">
        <v>144</v>
      </c>
      <c r="D7412">
        <v>101</v>
      </c>
    </row>
    <row r="7413" spans="1:4" hidden="1" x14ac:dyDescent="0.25">
      <c r="A7413" s="2" t="s">
        <v>70</v>
      </c>
      <c r="B7413">
        <v>101</v>
      </c>
      <c r="C7413" s="2" t="s">
        <v>145</v>
      </c>
      <c r="D7413">
        <v>101</v>
      </c>
    </row>
    <row r="7414" spans="1:4" hidden="1" x14ac:dyDescent="0.25">
      <c r="A7414" s="2" t="s">
        <v>70</v>
      </c>
      <c r="B7414">
        <v>101</v>
      </c>
      <c r="C7414" s="2" t="s">
        <v>146</v>
      </c>
      <c r="D7414">
        <v>101</v>
      </c>
    </row>
    <row r="7415" spans="1:4" hidden="1" x14ac:dyDescent="0.25">
      <c r="A7415" s="2" t="s">
        <v>70</v>
      </c>
      <c r="B7415">
        <v>101</v>
      </c>
      <c r="C7415" s="2" t="s">
        <v>147</v>
      </c>
      <c r="D7415">
        <v>101</v>
      </c>
    </row>
    <row r="7416" spans="1:4" hidden="1" x14ac:dyDescent="0.25">
      <c r="A7416" s="2" t="s">
        <v>70</v>
      </c>
      <c r="B7416">
        <v>101</v>
      </c>
      <c r="C7416" s="2" t="s">
        <v>148</v>
      </c>
      <c r="D7416">
        <v>101</v>
      </c>
    </row>
    <row r="7417" spans="1:4" hidden="1" x14ac:dyDescent="0.25">
      <c r="A7417" s="2" t="s">
        <v>70</v>
      </c>
      <c r="B7417">
        <v>101</v>
      </c>
      <c r="C7417" s="2" t="s">
        <v>149</v>
      </c>
      <c r="D7417">
        <v>101</v>
      </c>
    </row>
    <row r="7418" spans="1:4" hidden="1" x14ac:dyDescent="0.25">
      <c r="A7418" s="2" t="s">
        <v>70</v>
      </c>
      <c r="B7418">
        <v>101</v>
      </c>
      <c r="C7418" s="2" t="s">
        <v>150</v>
      </c>
      <c r="D7418">
        <v>101</v>
      </c>
    </row>
    <row r="7419" spans="1:4" hidden="1" x14ac:dyDescent="0.25">
      <c r="A7419" s="2" t="s">
        <v>70</v>
      </c>
      <c r="B7419">
        <v>101</v>
      </c>
      <c r="C7419" s="2" t="s">
        <v>151</v>
      </c>
      <c r="D7419">
        <v>101</v>
      </c>
    </row>
    <row r="7420" spans="1:4" hidden="1" x14ac:dyDescent="0.25">
      <c r="A7420" s="2" t="s">
        <v>70</v>
      </c>
      <c r="B7420">
        <v>101</v>
      </c>
      <c r="C7420" s="2" t="s">
        <v>152</v>
      </c>
      <c r="D7420">
        <v>101</v>
      </c>
    </row>
    <row r="7421" spans="1:4" hidden="1" x14ac:dyDescent="0.25">
      <c r="A7421" s="2" t="s">
        <v>70</v>
      </c>
      <c r="B7421">
        <v>101</v>
      </c>
      <c r="C7421" s="2" t="s">
        <v>153</v>
      </c>
      <c r="D7421">
        <v>101</v>
      </c>
    </row>
    <row r="7422" spans="1:4" hidden="1" x14ac:dyDescent="0.25">
      <c r="A7422" s="2" t="s">
        <v>70</v>
      </c>
      <c r="B7422">
        <v>101</v>
      </c>
      <c r="C7422" s="2" t="s">
        <v>154</v>
      </c>
      <c r="D7422">
        <v>101</v>
      </c>
    </row>
    <row r="7423" spans="1:4" hidden="1" x14ac:dyDescent="0.25">
      <c r="A7423" s="2" t="s">
        <v>70</v>
      </c>
      <c r="B7423">
        <v>101</v>
      </c>
      <c r="C7423" s="2" t="s">
        <v>155</v>
      </c>
      <c r="D7423">
        <v>101</v>
      </c>
    </row>
    <row r="7424" spans="1:4" hidden="1" x14ac:dyDescent="0.25">
      <c r="A7424" s="2" t="s">
        <v>70</v>
      </c>
      <c r="B7424">
        <v>101</v>
      </c>
      <c r="C7424" s="2" t="s">
        <v>156</v>
      </c>
      <c r="D7424">
        <v>101</v>
      </c>
    </row>
    <row r="7425" spans="1:4" hidden="1" x14ac:dyDescent="0.25">
      <c r="A7425" s="2" t="s">
        <v>70</v>
      </c>
      <c r="B7425">
        <v>101</v>
      </c>
      <c r="C7425" s="2" t="s">
        <v>157</v>
      </c>
      <c r="D7425">
        <v>101</v>
      </c>
    </row>
    <row r="7426" spans="1:4" hidden="1" x14ac:dyDescent="0.25">
      <c r="A7426" s="2" t="s">
        <v>70</v>
      </c>
      <c r="B7426">
        <v>101</v>
      </c>
      <c r="C7426" s="2" t="s">
        <v>158</v>
      </c>
      <c r="D7426">
        <v>101</v>
      </c>
    </row>
    <row r="7427" spans="1:4" hidden="1" x14ac:dyDescent="0.25">
      <c r="A7427" s="2" t="s">
        <v>70</v>
      </c>
      <c r="B7427">
        <v>101</v>
      </c>
      <c r="C7427" s="2" t="s">
        <v>159</v>
      </c>
      <c r="D7427">
        <v>101</v>
      </c>
    </row>
    <row r="7428" spans="1:4" hidden="1" x14ac:dyDescent="0.25">
      <c r="A7428" s="2" t="s">
        <v>70</v>
      </c>
      <c r="B7428">
        <v>101</v>
      </c>
      <c r="C7428" s="2" t="s">
        <v>160</v>
      </c>
      <c r="D7428">
        <v>101</v>
      </c>
    </row>
    <row r="7429" spans="1:4" hidden="1" x14ac:dyDescent="0.25">
      <c r="A7429" s="2" t="s">
        <v>70</v>
      </c>
      <c r="B7429">
        <v>101</v>
      </c>
      <c r="C7429" s="2" t="s">
        <v>161</v>
      </c>
      <c r="D7429">
        <v>101</v>
      </c>
    </row>
    <row r="7430" spans="1:4" hidden="1" x14ac:dyDescent="0.25">
      <c r="A7430" s="2" t="s">
        <v>70</v>
      </c>
      <c r="B7430">
        <v>101</v>
      </c>
      <c r="C7430" s="2" t="s">
        <v>162</v>
      </c>
      <c r="D7430">
        <v>101</v>
      </c>
    </row>
    <row r="7431" spans="1:4" hidden="1" x14ac:dyDescent="0.25">
      <c r="A7431" s="2" t="s">
        <v>70</v>
      </c>
      <c r="B7431">
        <v>101</v>
      </c>
      <c r="C7431" s="2" t="s">
        <v>163</v>
      </c>
      <c r="D7431">
        <v>101</v>
      </c>
    </row>
    <row r="7432" spans="1:4" hidden="1" x14ac:dyDescent="0.25">
      <c r="A7432" s="2" t="s">
        <v>70</v>
      </c>
      <c r="B7432">
        <v>101</v>
      </c>
      <c r="C7432" s="2" t="s">
        <v>164</v>
      </c>
      <c r="D7432">
        <v>101</v>
      </c>
    </row>
    <row r="7433" spans="1:4" hidden="1" x14ac:dyDescent="0.25">
      <c r="A7433" s="2" t="s">
        <v>70</v>
      </c>
      <c r="B7433">
        <v>101</v>
      </c>
      <c r="C7433" s="2" t="s">
        <v>165</v>
      </c>
      <c r="D7433">
        <v>101</v>
      </c>
    </row>
    <row r="7434" spans="1:4" hidden="1" x14ac:dyDescent="0.25">
      <c r="A7434" s="2" t="s">
        <v>70</v>
      </c>
      <c r="B7434">
        <v>101</v>
      </c>
      <c r="C7434" s="2" t="s">
        <v>166</v>
      </c>
      <c r="D7434">
        <v>101</v>
      </c>
    </row>
    <row r="7435" spans="1:4" hidden="1" x14ac:dyDescent="0.25">
      <c r="A7435" s="2" t="s">
        <v>70</v>
      </c>
      <c r="B7435">
        <v>101</v>
      </c>
      <c r="C7435" s="2" t="s">
        <v>167</v>
      </c>
      <c r="D7435">
        <v>101</v>
      </c>
    </row>
    <row r="7436" spans="1:4" hidden="1" x14ac:dyDescent="0.25">
      <c r="A7436" s="2" t="s">
        <v>70</v>
      </c>
      <c r="B7436">
        <v>101</v>
      </c>
      <c r="C7436" s="2" t="s">
        <v>168</v>
      </c>
      <c r="D7436">
        <v>101</v>
      </c>
    </row>
    <row r="7437" spans="1:4" hidden="1" x14ac:dyDescent="0.25">
      <c r="A7437" s="2" t="s">
        <v>70</v>
      </c>
      <c r="B7437">
        <v>101</v>
      </c>
      <c r="C7437" s="2" t="s">
        <v>169</v>
      </c>
      <c r="D7437">
        <v>101</v>
      </c>
    </row>
    <row r="7438" spans="1:4" hidden="1" x14ac:dyDescent="0.25">
      <c r="A7438" s="2" t="s">
        <v>70</v>
      </c>
      <c r="B7438">
        <v>101</v>
      </c>
      <c r="C7438" s="2" t="s">
        <v>170</v>
      </c>
      <c r="D7438">
        <v>101</v>
      </c>
    </row>
    <row r="7439" spans="1:4" hidden="1" x14ac:dyDescent="0.25">
      <c r="A7439" s="2" t="s">
        <v>70</v>
      </c>
      <c r="B7439">
        <v>101</v>
      </c>
      <c r="C7439" s="2" t="s">
        <v>171</v>
      </c>
      <c r="D7439">
        <v>101</v>
      </c>
    </row>
    <row r="7440" spans="1:4" hidden="1" x14ac:dyDescent="0.25">
      <c r="A7440" s="2" t="s">
        <v>70</v>
      </c>
      <c r="B7440">
        <v>101</v>
      </c>
      <c r="C7440" s="2" t="s">
        <v>172</v>
      </c>
      <c r="D7440">
        <v>101</v>
      </c>
    </row>
    <row r="7441" spans="1:4" hidden="1" x14ac:dyDescent="0.25">
      <c r="A7441" s="2" t="s">
        <v>70</v>
      </c>
      <c r="B7441">
        <v>101</v>
      </c>
      <c r="C7441" s="2" t="s">
        <v>173</v>
      </c>
      <c r="D7441">
        <v>101</v>
      </c>
    </row>
    <row r="7442" spans="1:4" hidden="1" x14ac:dyDescent="0.25">
      <c r="A7442" s="2" t="s">
        <v>70</v>
      </c>
      <c r="B7442">
        <v>101</v>
      </c>
      <c r="C7442" s="2" t="s">
        <v>174</v>
      </c>
      <c r="D7442">
        <v>101</v>
      </c>
    </row>
    <row r="7443" spans="1:4" hidden="1" x14ac:dyDescent="0.25">
      <c r="A7443" s="2" t="s">
        <v>70</v>
      </c>
      <c r="B7443">
        <v>101</v>
      </c>
      <c r="C7443" s="2" t="s">
        <v>175</v>
      </c>
      <c r="D7443">
        <v>101</v>
      </c>
    </row>
    <row r="7444" spans="1:4" hidden="1" x14ac:dyDescent="0.25">
      <c r="A7444" s="2" t="s">
        <v>70</v>
      </c>
      <c r="B7444">
        <v>101</v>
      </c>
      <c r="C7444" s="2" t="s">
        <v>176</v>
      </c>
      <c r="D7444">
        <v>101</v>
      </c>
    </row>
    <row r="7445" spans="1:4" hidden="1" x14ac:dyDescent="0.25">
      <c r="A7445" s="2" t="s">
        <v>70</v>
      </c>
      <c r="B7445">
        <v>101</v>
      </c>
      <c r="C7445" s="2" t="s">
        <v>177</v>
      </c>
      <c r="D7445">
        <v>101</v>
      </c>
    </row>
    <row r="7446" spans="1:4" hidden="1" x14ac:dyDescent="0.25">
      <c r="A7446" s="2" t="s">
        <v>70</v>
      </c>
      <c r="B7446">
        <v>101</v>
      </c>
      <c r="C7446" s="2" t="s">
        <v>178</v>
      </c>
      <c r="D7446">
        <v>101</v>
      </c>
    </row>
    <row r="7447" spans="1:4" hidden="1" x14ac:dyDescent="0.25">
      <c r="A7447" s="2" t="s">
        <v>70</v>
      </c>
      <c r="B7447">
        <v>101</v>
      </c>
      <c r="C7447" s="2" t="s">
        <v>179</v>
      </c>
      <c r="D7447">
        <v>101</v>
      </c>
    </row>
    <row r="7448" spans="1:4" hidden="1" x14ac:dyDescent="0.25">
      <c r="A7448" s="2" t="s">
        <v>103</v>
      </c>
      <c r="B7448">
        <v>101</v>
      </c>
      <c r="C7448" s="2" t="s">
        <v>183</v>
      </c>
      <c r="D7448">
        <v>78</v>
      </c>
    </row>
    <row r="7449" spans="1:4" hidden="1" x14ac:dyDescent="0.25">
      <c r="A7449" s="2" t="s">
        <v>103</v>
      </c>
      <c r="B7449">
        <v>101</v>
      </c>
      <c r="C7449" s="2" t="s">
        <v>184</v>
      </c>
      <c r="D7449">
        <v>77</v>
      </c>
    </row>
    <row r="7450" spans="1:4" hidden="1" x14ac:dyDescent="0.25">
      <c r="A7450" s="2" t="s">
        <v>103</v>
      </c>
      <c r="B7450">
        <v>101</v>
      </c>
      <c r="C7450" s="2" t="s">
        <v>185</v>
      </c>
      <c r="D7450">
        <v>110</v>
      </c>
    </row>
    <row r="7451" spans="1:4" hidden="1" x14ac:dyDescent="0.25">
      <c r="A7451" s="2" t="s">
        <v>103</v>
      </c>
      <c r="B7451">
        <v>101</v>
      </c>
      <c r="C7451" s="2" t="s">
        <v>186</v>
      </c>
      <c r="D7451">
        <v>110</v>
      </c>
    </row>
    <row r="7452" spans="1:4" hidden="1" x14ac:dyDescent="0.25">
      <c r="A7452" s="2" t="s">
        <v>103</v>
      </c>
      <c r="B7452">
        <v>101</v>
      </c>
      <c r="C7452" s="2" t="s">
        <v>187</v>
      </c>
      <c r="D7452">
        <v>110</v>
      </c>
    </row>
    <row r="7453" spans="1:4" hidden="1" x14ac:dyDescent="0.25">
      <c r="A7453" s="2" t="s">
        <v>103</v>
      </c>
      <c r="B7453">
        <v>101</v>
      </c>
      <c r="C7453" s="2" t="s">
        <v>188</v>
      </c>
      <c r="D7453">
        <v>111</v>
      </c>
    </row>
    <row r="7454" spans="1:4" hidden="1" x14ac:dyDescent="0.25">
      <c r="A7454" s="2" t="s">
        <v>103</v>
      </c>
      <c r="B7454">
        <v>101</v>
      </c>
      <c r="C7454" s="2" t="s">
        <v>189</v>
      </c>
      <c r="D7454">
        <v>103</v>
      </c>
    </row>
    <row r="7455" spans="1:4" hidden="1" x14ac:dyDescent="0.25">
      <c r="A7455" s="2" t="s">
        <v>103</v>
      </c>
      <c r="B7455">
        <v>101</v>
      </c>
      <c r="C7455" s="2" t="s">
        <v>190</v>
      </c>
      <c r="D7455">
        <v>102</v>
      </c>
    </row>
    <row r="7456" spans="1:4" hidden="1" x14ac:dyDescent="0.25">
      <c r="A7456" s="2" t="s">
        <v>103</v>
      </c>
      <c r="B7456">
        <v>101</v>
      </c>
      <c r="C7456" s="2" t="s">
        <v>191</v>
      </c>
      <c r="D7456">
        <v>102</v>
      </c>
    </row>
    <row r="7457" spans="1:4" hidden="1" x14ac:dyDescent="0.25">
      <c r="A7457" s="2" t="s">
        <v>103</v>
      </c>
      <c r="B7457">
        <v>101</v>
      </c>
      <c r="C7457" s="2" t="s">
        <v>116</v>
      </c>
      <c r="D7457">
        <v>103</v>
      </c>
    </row>
    <row r="7458" spans="1:4" hidden="1" x14ac:dyDescent="0.25">
      <c r="A7458" s="2" t="s">
        <v>103</v>
      </c>
      <c r="B7458">
        <v>101</v>
      </c>
      <c r="C7458" s="2" t="s">
        <v>117</v>
      </c>
      <c r="D7458">
        <v>99</v>
      </c>
    </row>
    <row r="7459" spans="1:4" hidden="1" x14ac:dyDescent="0.25">
      <c r="A7459" s="2" t="s">
        <v>103</v>
      </c>
      <c r="B7459">
        <v>101</v>
      </c>
      <c r="C7459" s="2" t="s">
        <v>118</v>
      </c>
      <c r="D7459">
        <v>103</v>
      </c>
    </row>
    <row r="7460" spans="1:4" hidden="1" x14ac:dyDescent="0.25">
      <c r="A7460" s="2" t="s">
        <v>103</v>
      </c>
      <c r="B7460">
        <v>101</v>
      </c>
      <c r="C7460" s="2" t="s">
        <v>119</v>
      </c>
      <c r="D7460">
        <v>107</v>
      </c>
    </row>
    <row r="7461" spans="1:4" hidden="1" x14ac:dyDescent="0.25">
      <c r="A7461" s="2" t="s">
        <v>103</v>
      </c>
      <c r="B7461">
        <v>101</v>
      </c>
      <c r="C7461" s="2" t="s">
        <v>120</v>
      </c>
      <c r="D7461">
        <v>107</v>
      </c>
    </row>
    <row r="7462" spans="1:4" hidden="1" x14ac:dyDescent="0.25">
      <c r="A7462" s="2" t="s">
        <v>103</v>
      </c>
      <c r="B7462">
        <v>101</v>
      </c>
      <c r="C7462" s="2" t="s">
        <v>121</v>
      </c>
      <c r="D7462">
        <v>105</v>
      </c>
    </row>
    <row r="7463" spans="1:4" hidden="1" x14ac:dyDescent="0.25">
      <c r="A7463" s="2" t="s">
        <v>103</v>
      </c>
      <c r="B7463">
        <v>101</v>
      </c>
      <c r="C7463" s="2" t="s">
        <v>122</v>
      </c>
      <c r="D7463">
        <v>109</v>
      </c>
    </row>
    <row r="7464" spans="1:4" hidden="1" x14ac:dyDescent="0.25">
      <c r="A7464" s="2" t="s">
        <v>103</v>
      </c>
      <c r="B7464">
        <v>101</v>
      </c>
      <c r="C7464" s="2" t="s">
        <v>123</v>
      </c>
      <c r="D7464">
        <v>102</v>
      </c>
    </row>
    <row r="7465" spans="1:4" hidden="1" x14ac:dyDescent="0.25">
      <c r="A7465" s="2" t="s">
        <v>103</v>
      </c>
      <c r="B7465">
        <v>101</v>
      </c>
      <c r="C7465" s="2" t="s">
        <v>124</v>
      </c>
      <c r="D7465">
        <v>95</v>
      </c>
    </row>
    <row r="7466" spans="1:4" hidden="1" x14ac:dyDescent="0.25">
      <c r="A7466" s="2" t="s">
        <v>103</v>
      </c>
      <c r="B7466">
        <v>101</v>
      </c>
      <c r="C7466" s="2" t="s">
        <v>125</v>
      </c>
      <c r="D7466">
        <v>92</v>
      </c>
    </row>
    <row r="7467" spans="1:4" hidden="1" x14ac:dyDescent="0.25">
      <c r="A7467" s="2" t="s">
        <v>103</v>
      </c>
      <c r="B7467">
        <v>101</v>
      </c>
      <c r="C7467" s="2" t="s">
        <v>126</v>
      </c>
      <c r="D7467">
        <v>92</v>
      </c>
    </row>
    <row r="7468" spans="1:4" hidden="1" x14ac:dyDescent="0.25">
      <c r="A7468" s="2" t="s">
        <v>103</v>
      </c>
      <c r="B7468">
        <v>101</v>
      </c>
      <c r="C7468" s="2" t="s">
        <v>127</v>
      </c>
      <c r="D7468">
        <v>81</v>
      </c>
    </row>
    <row r="7469" spans="1:4" hidden="1" x14ac:dyDescent="0.25">
      <c r="A7469" s="2" t="s">
        <v>103</v>
      </c>
      <c r="B7469">
        <v>101</v>
      </c>
      <c r="C7469" s="2" t="s">
        <v>128</v>
      </c>
      <c r="D7469">
        <v>85</v>
      </c>
    </row>
    <row r="7470" spans="1:4" hidden="1" x14ac:dyDescent="0.25">
      <c r="A7470" s="2" t="s">
        <v>103</v>
      </c>
      <c r="B7470">
        <v>101</v>
      </c>
      <c r="C7470" s="2" t="s">
        <v>129</v>
      </c>
      <c r="D7470">
        <v>71</v>
      </c>
    </row>
    <row r="7471" spans="1:4" hidden="1" x14ac:dyDescent="0.25">
      <c r="A7471" s="2" t="s">
        <v>103</v>
      </c>
      <c r="B7471">
        <v>101</v>
      </c>
      <c r="C7471" s="2" t="s">
        <v>130</v>
      </c>
      <c r="D7471">
        <v>80</v>
      </c>
    </row>
    <row r="7472" spans="1:4" hidden="1" x14ac:dyDescent="0.25">
      <c r="A7472" s="2" t="s">
        <v>103</v>
      </c>
      <c r="B7472">
        <v>101</v>
      </c>
      <c r="C7472" s="2" t="s">
        <v>131</v>
      </c>
      <c r="D7472">
        <v>96</v>
      </c>
    </row>
    <row r="7473" spans="1:4" hidden="1" x14ac:dyDescent="0.25">
      <c r="A7473" s="2" t="s">
        <v>103</v>
      </c>
      <c r="B7473">
        <v>101</v>
      </c>
      <c r="C7473" s="2" t="s">
        <v>132</v>
      </c>
      <c r="D7473">
        <v>97</v>
      </c>
    </row>
    <row r="7474" spans="1:4" hidden="1" x14ac:dyDescent="0.25">
      <c r="A7474" s="2" t="s">
        <v>103</v>
      </c>
      <c r="B7474">
        <v>101</v>
      </c>
      <c r="C7474" s="2" t="s">
        <v>133</v>
      </c>
      <c r="D7474">
        <v>97</v>
      </c>
    </row>
    <row r="7475" spans="1:4" hidden="1" x14ac:dyDescent="0.25">
      <c r="A7475" s="2" t="s">
        <v>103</v>
      </c>
      <c r="B7475">
        <v>101</v>
      </c>
      <c r="C7475" s="2" t="s">
        <v>134</v>
      </c>
      <c r="D7475">
        <v>105</v>
      </c>
    </row>
    <row r="7476" spans="1:4" hidden="1" x14ac:dyDescent="0.25">
      <c r="A7476" s="2" t="s">
        <v>103</v>
      </c>
      <c r="B7476">
        <v>101</v>
      </c>
      <c r="C7476" s="2" t="s">
        <v>135</v>
      </c>
      <c r="D7476">
        <v>101</v>
      </c>
    </row>
    <row r="7477" spans="1:4" hidden="1" x14ac:dyDescent="0.25">
      <c r="A7477" s="2" t="s">
        <v>103</v>
      </c>
      <c r="B7477">
        <v>101</v>
      </c>
      <c r="C7477" s="2" t="s">
        <v>136</v>
      </c>
      <c r="D7477">
        <v>101</v>
      </c>
    </row>
    <row r="7478" spans="1:4" hidden="1" x14ac:dyDescent="0.25">
      <c r="A7478" s="2" t="s">
        <v>103</v>
      </c>
      <c r="B7478">
        <v>101</v>
      </c>
      <c r="C7478" s="2" t="s">
        <v>137</v>
      </c>
      <c r="D7478">
        <v>101</v>
      </c>
    </row>
    <row r="7479" spans="1:4" hidden="1" x14ac:dyDescent="0.25">
      <c r="A7479" s="2" t="s">
        <v>103</v>
      </c>
      <c r="B7479">
        <v>101</v>
      </c>
      <c r="C7479" s="2" t="s">
        <v>138</v>
      </c>
      <c r="D7479">
        <v>101</v>
      </c>
    </row>
    <row r="7480" spans="1:4" hidden="1" x14ac:dyDescent="0.25">
      <c r="A7480" s="2" t="s">
        <v>103</v>
      </c>
      <c r="B7480">
        <v>101</v>
      </c>
      <c r="C7480" s="2" t="s">
        <v>139</v>
      </c>
      <c r="D7480">
        <v>101</v>
      </c>
    </row>
    <row r="7481" spans="1:4" hidden="1" x14ac:dyDescent="0.25">
      <c r="A7481" s="2" t="s">
        <v>103</v>
      </c>
      <c r="B7481">
        <v>101</v>
      </c>
      <c r="C7481" s="2" t="s">
        <v>140</v>
      </c>
      <c r="D7481">
        <v>101</v>
      </c>
    </row>
    <row r="7482" spans="1:4" hidden="1" x14ac:dyDescent="0.25">
      <c r="A7482" s="2" t="s">
        <v>103</v>
      </c>
      <c r="B7482">
        <v>101</v>
      </c>
      <c r="C7482" s="2" t="s">
        <v>141</v>
      </c>
      <c r="D7482">
        <v>101</v>
      </c>
    </row>
    <row r="7483" spans="1:4" hidden="1" x14ac:dyDescent="0.25">
      <c r="A7483" s="2" t="s">
        <v>103</v>
      </c>
      <c r="B7483">
        <v>101</v>
      </c>
      <c r="C7483" s="2" t="s">
        <v>142</v>
      </c>
      <c r="D7483">
        <v>101</v>
      </c>
    </row>
    <row r="7484" spans="1:4" hidden="1" x14ac:dyDescent="0.25">
      <c r="A7484" s="2" t="s">
        <v>103</v>
      </c>
      <c r="B7484">
        <v>101</v>
      </c>
      <c r="C7484" s="2" t="s">
        <v>143</v>
      </c>
      <c r="D7484">
        <v>101</v>
      </c>
    </row>
    <row r="7485" spans="1:4" hidden="1" x14ac:dyDescent="0.25">
      <c r="A7485" s="2" t="s">
        <v>103</v>
      </c>
      <c r="B7485">
        <v>101</v>
      </c>
      <c r="C7485" s="2" t="s">
        <v>144</v>
      </c>
      <c r="D7485">
        <v>101</v>
      </c>
    </row>
    <row r="7486" spans="1:4" hidden="1" x14ac:dyDescent="0.25">
      <c r="A7486" s="2" t="s">
        <v>103</v>
      </c>
      <c r="B7486">
        <v>101</v>
      </c>
      <c r="C7486" s="2" t="s">
        <v>145</v>
      </c>
      <c r="D7486">
        <v>101</v>
      </c>
    </row>
    <row r="7487" spans="1:4" hidden="1" x14ac:dyDescent="0.25">
      <c r="A7487" s="2" t="s">
        <v>103</v>
      </c>
      <c r="B7487">
        <v>101</v>
      </c>
      <c r="C7487" s="2" t="s">
        <v>146</v>
      </c>
      <c r="D7487">
        <v>101</v>
      </c>
    </row>
    <row r="7488" spans="1:4" hidden="1" x14ac:dyDescent="0.25">
      <c r="A7488" s="2" t="s">
        <v>103</v>
      </c>
      <c r="B7488">
        <v>101</v>
      </c>
      <c r="C7488" s="2" t="s">
        <v>147</v>
      </c>
      <c r="D7488">
        <v>101</v>
      </c>
    </row>
    <row r="7489" spans="1:4" hidden="1" x14ac:dyDescent="0.25">
      <c r="A7489" s="2" t="s">
        <v>103</v>
      </c>
      <c r="B7489">
        <v>101</v>
      </c>
      <c r="C7489" s="2" t="s">
        <v>148</v>
      </c>
      <c r="D7489">
        <v>101</v>
      </c>
    </row>
    <row r="7490" spans="1:4" hidden="1" x14ac:dyDescent="0.25">
      <c r="A7490" s="2" t="s">
        <v>103</v>
      </c>
      <c r="B7490">
        <v>101</v>
      </c>
      <c r="C7490" s="2" t="s">
        <v>149</v>
      </c>
      <c r="D7490">
        <v>101</v>
      </c>
    </row>
    <row r="7491" spans="1:4" hidden="1" x14ac:dyDescent="0.25">
      <c r="A7491" s="2" t="s">
        <v>103</v>
      </c>
      <c r="B7491">
        <v>101</v>
      </c>
      <c r="C7491" s="2" t="s">
        <v>150</v>
      </c>
      <c r="D7491">
        <v>101</v>
      </c>
    </row>
    <row r="7492" spans="1:4" hidden="1" x14ac:dyDescent="0.25">
      <c r="A7492" s="2" t="s">
        <v>103</v>
      </c>
      <c r="B7492">
        <v>101</v>
      </c>
      <c r="C7492" s="2" t="s">
        <v>151</v>
      </c>
      <c r="D7492">
        <v>101</v>
      </c>
    </row>
    <row r="7493" spans="1:4" hidden="1" x14ac:dyDescent="0.25">
      <c r="A7493" s="2" t="s">
        <v>103</v>
      </c>
      <c r="B7493">
        <v>101</v>
      </c>
      <c r="C7493" s="2" t="s">
        <v>152</v>
      </c>
      <c r="D7493">
        <v>101</v>
      </c>
    </row>
    <row r="7494" spans="1:4" hidden="1" x14ac:dyDescent="0.25">
      <c r="A7494" s="2" t="s">
        <v>103</v>
      </c>
      <c r="B7494">
        <v>101</v>
      </c>
      <c r="C7494" s="2" t="s">
        <v>153</v>
      </c>
      <c r="D7494">
        <v>101</v>
      </c>
    </row>
    <row r="7495" spans="1:4" hidden="1" x14ac:dyDescent="0.25">
      <c r="A7495" s="2" t="s">
        <v>103</v>
      </c>
      <c r="B7495">
        <v>101</v>
      </c>
      <c r="C7495" s="2" t="s">
        <v>154</v>
      </c>
      <c r="D7495">
        <v>101</v>
      </c>
    </row>
    <row r="7496" spans="1:4" hidden="1" x14ac:dyDescent="0.25">
      <c r="A7496" s="2" t="s">
        <v>103</v>
      </c>
      <c r="B7496">
        <v>101</v>
      </c>
      <c r="C7496" s="2" t="s">
        <v>155</v>
      </c>
      <c r="D7496">
        <v>101</v>
      </c>
    </row>
    <row r="7497" spans="1:4" hidden="1" x14ac:dyDescent="0.25">
      <c r="A7497" s="2" t="s">
        <v>103</v>
      </c>
      <c r="B7497">
        <v>101</v>
      </c>
      <c r="C7497" s="2" t="s">
        <v>156</v>
      </c>
      <c r="D7497">
        <v>101</v>
      </c>
    </row>
    <row r="7498" spans="1:4" hidden="1" x14ac:dyDescent="0.25">
      <c r="A7498" s="2" t="s">
        <v>103</v>
      </c>
      <c r="B7498">
        <v>101</v>
      </c>
      <c r="C7498" s="2" t="s">
        <v>157</v>
      </c>
      <c r="D7498">
        <v>101</v>
      </c>
    </row>
    <row r="7499" spans="1:4" hidden="1" x14ac:dyDescent="0.25">
      <c r="A7499" s="2" t="s">
        <v>103</v>
      </c>
      <c r="B7499">
        <v>101</v>
      </c>
      <c r="C7499" s="2" t="s">
        <v>158</v>
      </c>
      <c r="D7499">
        <v>101</v>
      </c>
    </row>
    <row r="7500" spans="1:4" hidden="1" x14ac:dyDescent="0.25">
      <c r="A7500" s="2" t="s">
        <v>103</v>
      </c>
      <c r="B7500">
        <v>101</v>
      </c>
      <c r="C7500" s="2" t="s">
        <v>159</v>
      </c>
      <c r="D7500">
        <v>101</v>
      </c>
    </row>
    <row r="7501" spans="1:4" hidden="1" x14ac:dyDescent="0.25">
      <c r="A7501" s="2" t="s">
        <v>103</v>
      </c>
      <c r="B7501">
        <v>101</v>
      </c>
      <c r="C7501" s="2" t="s">
        <v>160</v>
      </c>
      <c r="D7501">
        <v>101</v>
      </c>
    </row>
    <row r="7502" spans="1:4" hidden="1" x14ac:dyDescent="0.25">
      <c r="A7502" s="2" t="s">
        <v>103</v>
      </c>
      <c r="B7502">
        <v>101</v>
      </c>
      <c r="C7502" s="2" t="s">
        <v>161</v>
      </c>
      <c r="D7502">
        <v>101</v>
      </c>
    </row>
    <row r="7503" spans="1:4" hidden="1" x14ac:dyDescent="0.25">
      <c r="A7503" s="2" t="s">
        <v>103</v>
      </c>
      <c r="B7503">
        <v>101</v>
      </c>
      <c r="C7503" s="2" t="s">
        <v>162</v>
      </c>
      <c r="D7503">
        <v>101</v>
      </c>
    </row>
    <row r="7504" spans="1:4" hidden="1" x14ac:dyDescent="0.25">
      <c r="A7504" s="2" t="s">
        <v>103</v>
      </c>
      <c r="B7504">
        <v>101</v>
      </c>
      <c r="C7504" s="2" t="s">
        <v>163</v>
      </c>
      <c r="D7504">
        <v>101</v>
      </c>
    </row>
    <row r="7505" spans="1:4" hidden="1" x14ac:dyDescent="0.25">
      <c r="A7505" s="2" t="s">
        <v>103</v>
      </c>
      <c r="B7505">
        <v>101</v>
      </c>
      <c r="C7505" s="2" t="s">
        <v>164</v>
      </c>
      <c r="D7505">
        <v>101</v>
      </c>
    </row>
    <row r="7506" spans="1:4" hidden="1" x14ac:dyDescent="0.25">
      <c r="A7506" s="2" t="s">
        <v>103</v>
      </c>
      <c r="B7506">
        <v>101</v>
      </c>
      <c r="C7506" s="2" t="s">
        <v>165</v>
      </c>
      <c r="D7506">
        <v>101</v>
      </c>
    </row>
    <row r="7507" spans="1:4" hidden="1" x14ac:dyDescent="0.25">
      <c r="A7507" s="2" t="s">
        <v>103</v>
      </c>
      <c r="B7507">
        <v>101</v>
      </c>
      <c r="C7507" s="2" t="s">
        <v>166</v>
      </c>
      <c r="D7507">
        <v>101</v>
      </c>
    </row>
    <row r="7508" spans="1:4" hidden="1" x14ac:dyDescent="0.25">
      <c r="A7508" s="2" t="s">
        <v>103</v>
      </c>
      <c r="B7508">
        <v>101</v>
      </c>
      <c r="C7508" s="2" t="s">
        <v>167</v>
      </c>
      <c r="D7508">
        <v>101</v>
      </c>
    </row>
    <row r="7509" spans="1:4" hidden="1" x14ac:dyDescent="0.25">
      <c r="A7509" s="2" t="s">
        <v>103</v>
      </c>
      <c r="B7509">
        <v>101</v>
      </c>
      <c r="C7509" s="2" t="s">
        <v>168</v>
      </c>
      <c r="D7509">
        <v>101</v>
      </c>
    </row>
    <row r="7510" spans="1:4" hidden="1" x14ac:dyDescent="0.25">
      <c r="A7510" s="2" t="s">
        <v>103</v>
      </c>
      <c r="B7510">
        <v>101</v>
      </c>
      <c r="C7510" s="2" t="s">
        <v>169</v>
      </c>
      <c r="D7510">
        <v>101</v>
      </c>
    </row>
    <row r="7511" spans="1:4" hidden="1" x14ac:dyDescent="0.25">
      <c r="A7511" s="2" t="s">
        <v>103</v>
      </c>
      <c r="B7511">
        <v>101</v>
      </c>
      <c r="C7511" s="2" t="s">
        <v>170</v>
      </c>
      <c r="D7511">
        <v>101</v>
      </c>
    </row>
    <row r="7512" spans="1:4" hidden="1" x14ac:dyDescent="0.25">
      <c r="A7512" s="2" t="s">
        <v>103</v>
      </c>
      <c r="B7512">
        <v>101</v>
      </c>
      <c r="C7512" s="2" t="s">
        <v>171</v>
      </c>
      <c r="D7512">
        <v>101</v>
      </c>
    </row>
    <row r="7513" spans="1:4" hidden="1" x14ac:dyDescent="0.25">
      <c r="A7513" s="2" t="s">
        <v>103</v>
      </c>
      <c r="B7513">
        <v>101</v>
      </c>
      <c r="C7513" s="2" t="s">
        <v>172</v>
      </c>
      <c r="D7513">
        <v>101</v>
      </c>
    </row>
    <row r="7514" spans="1:4" hidden="1" x14ac:dyDescent="0.25">
      <c r="A7514" s="2" t="s">
        <v>103</v>
      </c>
      <c r="B7514">
        <v>101</v>
      </c>
      <c r="C7514" s="2" t="s">
        <v>173</v>
      </c>
      <c r="D7514">
        <v>101</v>
      </c>
    </row>
    <row r="7515" spans="1:4" hidden="1" x14ac:dyDescent="0.25">
      <c r="A7515" s="2" t="s">
        <v>103</v>
      </c>
      <c r="B7515">
        <v>101</v>
      </c>
      <c r="C7515" s="2" t="s">
        <v>174</v>
      </c>
      <c r="D7515">
        <v>101</v>
      </c>
    </row>
    <row r="7516" spans="1:4" hidden="1" x14ac:dyDescent="0.25">
      <c r="A7516" s="2" t="s">
        <v>103</v>
      </c>
      <c r="B7516">
        <v>101</v>
      </c>
      <c r="C7516" s="2" t="s">
        <v>175</v>
      </c>
      <c r="D7516">
        <v>101</v>
      </c>
    </row>
    <row r="7517" spans="1:4" hidden="1" x14ac:dyDescent="0.25">
      <c r="A7517" s="2" t="s">
        <v>103</v>
      </c>
      <c r="B7517">
        <v>101</v>
      </c>
      <c r="C7517" s="2" t="s">
        <v>176</v>
      </c>
      <c r="D7517">
        <v>101</v>
      </c>
    </row>
    <row r="7518" spans="1:4" hidden="1" x14ac:dyDescent="0.25">
      <c r="A7518" s="2" t="s">
        <v>103</v>
      </c>
      <c r="B7518">
        <v>101</v>
      </c>
      <c r="C7518" s="2" t="s">
        <v>177</v>
      </c>
      <c r="D7518">
        <v>101</v>
      </c>
    </row>
    <row r="7519" spans="1:4" hidden="1" x14ac:dyDescent="0.25">
      <c r="A7519" s="2" t="s">
        <v>103</v>
      </c>
      <c r="B7519">
        <v>101</v>
      </c>
      <c r="C7519" s="2" t="s">
        <v>178</v>
      </c>
      <c r="D7519">
        <v>101</v>
      </c>
    </row>
    <row r="7520" spans="1:4" hidden="1" x14ac:dyDescent="0.25">
      <c r="A7520" s="2" t="s">
        <v>103</v>
      </c>
      <c r="B7520">
        <v>101</v>
      </c>
      <c r="C7520" s="2" t="s">
        <v>179</v>
      </c>
      <c r="D7520">
        <v>101</v>
      </c>
    </row>
    <row r="7521" spans="1:4" hidden="1" x14ac:dyDescent="0.25">
      <c r="A7521" s="2" t="s">
        <v>81</v>
      </c>
      <c r="B7521">
        <v>104</v>
      </c>
      <c r="C7521" s="2" t="s">
        <v>183</v>
      </c>
      <c r="D7521">
        <v>65</v>
      </c>
    </row>
    <row r="7522" spans="1:4" hidden="1" x14ac:dyDescent="0.25">
      <c r="A7522" s="2" t="s">
        <v>81</v>
      </c>
      <c r="B7522">
        <v>104</v>
      </c>
      <c r="C7522" s="2" t="s">
        <v>184</v>
      </c>
      <c r="D7522">
        <v>62</v>
      </c>
    </row>
    <row r="7523" spans="1:4" hidden="1" x14ac:dyDescent="0.25">
      <c r="A7523" s="2" t="s">
        <v>81</v>
      </c>
      <c r="B7523">
        <v>104</v>
      </c>
      <c r="C7523" s="2" t="s">
        <v>185</v>
      </c>
      <c r="D7523">
        <v>82</v>
      </c>
    </row>
    <row r="7524" spans="1:4" hidden="1" x14ac:dyDescent="0.25">
      <c r="A7524" s="2" t="s">
        <v>81</v>
      </c>
      <c r="B7524">
        <v>104</v>
      </c>
      <c r="C7524" s="2" t="s">
        <v>186</v>
      </c>
      <c r="D7524">
        <v>89</v>
      </c>
    </row>
    <row r="7525" spans="1:4" hidden="1" x14ac:dyDescent="0.25">
      <c r="A7525" s="2" t="s">
        <v>81</v>
      </c>
      <c r="B7525">
        <v>104</v>
      </c>
      <c r="C7525" s="2" t="s">
        <v>187</v>
      </c>
      <c r="D7525">
        <v>89</v>
      </c>
    </row>
    <row r="7526" spans="1:4" hidden="1" x14ac:dyDescent="0.25">
      <c r="A7526" s="2" t="s">
        <v>81</v>
      </c>
      <c r="B7526">
        <v>104</v>
      </c>
      <c r="C7526" s="2" t="s">
        <v>188</v>
      </c>
      <c r="D7526">
        <v>93</v>
      </c>
    </row>
    <row r="7527" spans="1:4" hidden="1" x14ac:dyDescent="0.25">
      <c r="A7527" s="2" t="s">
        <v>81</v>
      </c>
      <c r="B7527">
        <v>104</v>
      </c>
      <c r="C7527" s="2" t="s">
        <v>189</v>
      </c>
      <c r="D7527">
        <v>82</v>
      </c>
    </row>
    <row r="7528" spans="1:4" hidden="1" x14ac:dyDescent="0.25">
      <c r="A7528" s="2" t="s">
        <v>81</v>
      </c>
      <c r="B7528">
        <v>104</v>
      </c>
      <c r="C7528" s="2" t="s">
        <v>190</v>
      </c>
      <c r="D7528">
        <v>86</v>
      </c>
    </row>
    <row r="7529" spans="1:4" hidden="1" x14ac:dyDescent="0.25">
      <c r="A7529" s="2" t="s">
        <v>81</v>
      </c>
      <c r="B7529">
        <v>104</v>
      </c>
      <c r="C7529" s="2" t="s">
        <v>191</v>
      </c>
      <c r="D7529">
        <v>85</v>
      </c>
    </row>
    <row r="7530" spans="1:4" hidden="1" x14ac:dyDescent="0.25">
      <c r="A7530" s="2" t="s">
        <v>81</v>
      </c>
      <c r="B7530">
        <v>104</v>
      </c>
      <c r="C7530" s="2" t="s">
        <v>116</v>
      </c>
      <c r="D7530">
        <v>86</v>
      </c>
    </row>
    <row r="7531" spans="1:4" hidden="1" x14ac:dyDescent="0.25">
      <c r="A7531" s="2" t="s">
        <v>81</v>
      </c>
      <c r="B7531">
        <v>104</v>
      </c>
      <c r="C7531" s="2" t="s">
        <v>117</v>
      </c>
      <c r="D7531">
        <v>88</v>
      </c>
    </row>
    <row r="7532" spans="1:4" hidden="1" x14ac:dyDescent="0.25">
      <c r="A7532" s="2" t="s">
        <v>81</v>
      </c>
      <c r="B7532">
        <v>104</v>
      </c>
      <c r="C7532" s="2" t="s">
        <v>118</v>
      </c>
      <c r="D7532">
        <v>85</v>
      </c>
    </row>
    <row r="7533" spans="1:4" hidden="1" x14ac:dyDescent="0.25">
      <c r="A7533" s="2" t="s">
        <v>81</v>
      </c>
      <c r="B7533">
        <v>104</v>
      </c>
      <c r="C7533" s="2" t="s">
        <v>119</v>
      </c>
      <c r="D7533">
        <v>87</v>
      </c>
    </row>
    <row r="7534" spans="1:4" hidden="1" x14ac:dyDescent="0.25">
      <c r="A7534" s="2" t="s">
        <v>81</v>
      </c>
      <c r="B7534">
        <v>104</v>
      </c>
      <c r="C7534" s="2" t="s">
        <v>120</v>
      </c>
      <c r="D7534">
        <v>93</v>
      </c>
    </row>
    <row r="7535" spans="1:4" hidden="1" x14ac:dyDescent="0.25">
      <c r="A7535" s="2" t="s">
        <v>81</v>
      </c>
      <c r="B7535">
        <v>104</v>
      </c>
      <c r="C7535" s="2" t="s">
        <v>121</v>
      </c>
      <c r="D7535">
        <v>95</v>
      </c>
    </row>
    <row r="7536" spans="1:4" hidden="1" x14ac:dyDescent="0.25">
      <c r="A7536" s="2" t="s">
        <v>81</v>
      </c>
      <c r="B7536">
        <v>104</v>
      </c>
      <c r="C7536" s="2" t="s">
        <v>122</v>
      </c>
      <c r="D7536">
        <v>93</v>
      </c>
    </row>
    <row r="7537" spans="1:4" hidden="1" x14ac:dyDescent="0.25">
      <c r="A7537" s="2" t="s">
        <v>81</v>
      </c>
      <c r="B7537">
        <v>104</v>
      </c>
      <c r="C7537" s="2" t="s">
        <v>123</v>
      </c>
      <c r="D7537">
        <v>97</v>
      </c>
    </row>
    <row r="7538" spans="1:4" hidden="1" x14ac:dyDescent="0.25">
      <c r="A7538" s="2" t="s">
        <v>81</v>
      </c>
      <c r="B7538">
        <v>104</v>
      </c>
      <c r="C7538" s="2" t="s">
        <v>124</v>
      </c>
      <c r="D7538">
        <v>99</v>
      </c>
    </row>
    <row r="7539" spans="1:4" hidden="1" x14ac:dyDescent="0.25">
      <c r="A7539" s="2" t="s">
        <v>81</v>
      </c>
      <c r="B7539">
        <v>104</v>
      </c>
      <c r="C7539" s="2" t="s">
        <v>125</v>
      </c>
      <c r="D7539">
        <v>106</v>
      </c>
    </row>
    <row r="7540" spans="1:4" hidden="1" x14ac:dyDescent="0.25">
      <c r="A7540" s="2" t="s">
        <v>81</v>
      </c>
      <c r="B7540">
        <v>104</v>
      </c>
      <c r="C7540" s="2" t="s">
        <v>126</v>
      </c>
      <c r="D7540">
        <v>105</v>
      </c>
    </row>
    <row r="7541" spans="1:4" hidden="1" x14ac:dyDescent="0.25">
      <c r="A7541" s="2" t="s">
        <v>81</v>
      </c>
      <c r="B7541">
        <v>104</v>
      </c>
      <c r="C7541" s="2" t="s">
        <v>127</v>
      </c>
      <c r="D7541">
        <v>105</v>
      </c>
    </row>
    <row r="7542" spans="1:4" hidden="1" x14ac:dyDescent="0.25">
      <c r="A7542" s="2" t="s">
        <v>81</v>
      </c>
      <c r="B7542">
        <v>104</v>
      </c>
      <c r="C7542" s="2" t="s">
        <v>128</v>
      </c>
      <c r="D7542">
        <v>107</v>
      </c>
    </row>
    <row r="7543" spans="1:4" hidden="1" x14ac:dyDescent="0.25">
      <c r="A7543" s="2" t="s">
        <v>81</v>
      </c>
      <c r="B7543">
        <v>104</v>
      </c>
      <c r="C7543" s="2" t="s">
        <v>129</v>
      </c>
      <c r="D7543">
        <v>98</v>
      </c>
    </row>
    <row r="7544" spans="1:4" hidden="1" x14ac:dyDescent="0.25">
      <c r="A7544" s="2" t="s">
        <v>81</v>
      </c>
      <c r="B7544">
        <v>104</v>
      </c>
      <c r="C7544" s="2" t="s">
        <v>130</v>
      </c>
      <c r="D7544">
        <v>106</v>
      </c>
    </row>
    <row r="7545" spans="1:4" hidden="1" x14ac:dyDescent="0.25">
      <c r="A7545" s="2" t="s">
        <v>81</v>
      </c>
      <c r="B7545">
        <v>104</v>
      </c>
      <c r="C7545" s="2" t="s">
        <v>131</v>
      </c>
      <c r="D7545">
        <v>96</v>
      </c>
    </row>
    <row r="7546" spans="1:4" hidden="1" x14ac:dyDescent="0.25">
      <c r="A7546" s="2" t="s">
        <v>81</v>
      </c>
      <c r="B7546">
        <v>104</v>
      </c>
      <c r="C7546" s="2" t="s">
        <v>132</v>
      </c>
      <c r="D7546">
        <v>102</v>
      </c>
    </row>
    <row r="7547" spans="1:4" hidden="1" x14ac:dyDescent="0.25">
      <c r="A7547" s="2" t="s">
        <v>81</v>
      </c>
      <c r="B7547">
        <v>104</v>
      </c>
      <c r="C7547" s="2" t="s">
        <v>133</v>
      </c>
      <c r="D7547">
        <v>103</v>
      </c>
    </row>
    <row r="7548" spans="1:4" hidden="1" x14ac:dyDescent="0.25">
      <c r="A7548" s="2" t="s">
        <v>81</v>
      </c>
      <c r="B7548">
        <v>104</v>
      </c>
      <c r="C7548" s="2" t="s">
        <v>134</v>
      </c>
      <c r="D7548">
        <v>95</v>
      </c>
    </row>
    <row r="7549" spans="1:4" hidden="1" x14ac:dyDescent="0.25">
      <c r="A7549" s="2" t="s">
        <v>81</v>
      </c>
      <c r="B7549">
        <v>104</v>
      </c>
      <c r="C7549" s="2" t="s">
        <v>135</v>
      </c>
      <c r="D7549">
        <v>104</v>
      </c>
    </row>
    <row r="7550" spans="1:4" hidden="1" x14ac:dyDescent="0.25">
      <c r="A7550" s="2" t="s">
        <v>81</v>
      </c>
      <c r="B7550">
        <v>104</v>
      </c>
      <c r="C7550" s="2" t="s">
        <v>136</v>
      </c>
      <c r="D7550">
        <v>104</v>
      </c>
    </row>
    <row r="7551" spans="1:4" hidden="1" x14ac:dyDescent="0.25">
      <c r="A7551" s="2" t="s">
        <v>81</v>
      </c>
      <c r="B7551">
        <v>104</v>
      </c>
      <c r="C7551" s="2" t="s">
        <v>137</v>
      </c>
      <c r="D7551">
        <v>104</v>
      </c>
    </row>
    <row r="7552" spans="1:4" hidden="1" x14ac:dyDescent="0.25">
      <c r="A7552" s="2" t="s">
        <v>81</v>
      </c>
      <c r="B7552">
        <v>104</v>
      </c>
      <c r="C7552" s="2" t="s">
        <v>138</v>
      </c>
      <c r="D7552">
        <v>104</v>
      </c>
    </row>
    <row r="7553" spans="1:4" hidden="1" x14ac:dyDescent="0.25">
      <c r="A7553" s="2" t="s">
        <v>81</v>
      </c>
      <c r="B7553">
        <v>104</v>
      </c>
      <c r="C7553" s="2" t="s">
        <v>139</v>
      </c>
      <c r="D7553">
        <v>104</v>
      </c>
    </row>
    <row r="7554" spans="1:4" hidden="1" x14ac:dyDescent="0.25">
      <c r="A7554" s="2" t="s">
        <v>81</v>
      </c>
      <c r="B7554">
        <v>104</v>
      </c>
      <c r="C7554" s="2" t="s">
        <v>140</v>
      </c>
      <c r="D7554">
        <v>104</v>
      </c>
    </row>
    <row r="7555" spans="1:4" hidden="1" x14ac:dyDescent="0.25">
      <c r="A7555" s="2" t="s">
        <v>81</v>
      </c>
      <c r="B7555">
        <v>104</v>
      </c>
      <c r="C7555" s="2" t="s">
        <v>141</v>
      </c>
      <c r="D7555">
        <v>104</v>
      </c>
    </row>
    <row r="7556" spans="1:4" hidden="1" x14ac:dyDescent="0.25">
      <c r="A7556" s="2" t="s">
        <v>81</v>
      </c>
      <c r="B7556">
        <v>104</v>
      </c>
      <c r="C7556" s="2" t="s">
        <v>142</v>
      </c>
      <c r="D7556">
        <v>104</v>
      </c>
    </row>
    <row r="7557" spans="1:4" hidden="1" x14ac:dyDescent="0.25">
      <c r="A7557" s="2" t="s">
        <v>81</v>
      </c>
      <c r="B7557">
        <v>104</v>
      </c>
      <c r="C7557" s="2" t="s">
        <v>143</v>
      </c>
      <c r="D7557">
        <v>104</v>
      </c>
    </row>
    <row r="7558" spans="1:4" hidden="1" x14ac:dyDescent="0.25">
      <c r="A7558" s="2" t="s">
        <v>81</v>
      </c>
      <c r="B7558">
        <v>104</v>
      </c>
      <c r="C7558" s="2" t="s">
        <v>144</v>
      </c>
      <c r="D7558">
        <v>104</v>
      </c>
    </row>
    <row r="7559" spans="1:4" hidden="1" x14ac:dyDescent="0.25">
      <c r="A7559" s="2" t="s">
        <v>81</v>
      </c>
      <c r="B7559">
        <v>104</v>
      </c>
      <c r="C7559" s="2" t="s">
        <v>145</v>
      </c>
      <c r="D7559">
        <v>104</v>
      </c>
    </row>
    <row r="7560" spans="1:4" hidden="1" x14ac:dyDescent="0.25">
      <c r="A7560" s="2" t="s">
        <v>81</v>
      </c>
      <c r="B7560">
        <v>104</v>
      </c>
      <c r="C7560" s="2" t="s">
        <v>146</v>
      </c>
      <c r="D7560">
        <v>104</v>
      </c>
    </row>
    <row r="7561" spans="1:4" hidden="1" x14ac:dyDescent="0.25">
      <c r="A7561" s="2" t="s">
        <v>81</v>
      </c>
      <c r="B7561">
        <v>104</v>
      </c>
      <c r="C7561" s="2" t="s">
        <v>147</v>
      </c>
      <c r="D7561">
        <v>104</v>
      </c>
    </row>
    <row r="7562" spans="1:4" hidden="1" x14ac:dyDescent="0.25">
      <c r="A7562" s="2" t="s">
        <v>81</v>
      </c>
      <c r="B7562">
        <v>104</v>
      </c>
      <c r="C7562" s="2" t="s">
        <v>148</v>
      </c>
      <c r="D7562">
        <v>104</v>
      </c>
    </row>
    <row r="7563" spans="1:4" hidden="1" x14ac:dyDescent="0.25">
      <c r="A7563" s="2" t="s">
        <v>81</v>
      </c>
      <c r="B7563">
        <v>104</v>
      </c>
      <c r="C7563" s="2" t="s">
        <v>149</v>
      </c>
      <c r="D7563">
        <v>104</v>
      </c>
    </row>
    <row r="7564" spans="1:4" hidden="1" x14ac:dyDescent="0.25">
      <c r="A7564" s="2" t="s">
        <v>81</v>
      </c>
      <c r="B7564">
        <v>104</v>
      </c>
      <c r="C7564" s="2" t="s">
        <v>150</v>
      </c>
      <c r="D7564">
        <v>104</v>
      </c>
    </row>
    <row r="7565" spans="1:4" hidden="1" x14ac:dyDescent="0.25">
      <c r="A7565" s="2" t="s">
        <v>81</v>
      </c>
      <c r="B7565">
        <v>104</v>
      </c>
      <c r="C7565" s="2" t="s">
        <v>151</v>
      </c>
      <c r="D7565">
        <v>104</v>
      </c>
    </row>
    <row r="7566" spans="1:4" hidden="1" x14ac:dyDescent="0.25">
      <c r="A7566" s="2" t="s">
        <v>81</v>
      </c>
      <c r="B7566">
        <v>104</v>
      </c>
      <c r="C7566" s="2" t="s">
        <v>152</v>
      </c>
      <c r="D7566">
        <v>104</v>
      </c>
    </row>
    <row r="7567" spans="1:4" hidden="1" x14ac:dyDescent="0.25">
      <c r="A7567" s="2" t="s">
        <v>81</v>
      </c>
      <c r="B7567">
        <v>104</v>
      </c>
      <c r="C7567" s="2" t="s">
        <v>153</v>
      </c>
      <c r="D7567">
        <v>104</v>
      </c>
    </row>
    <row r="7568" spans="1:4" hidden="1" x14ac:dyDescent="0.25">
      <c r="A7568" s="2" t="s">
        <v>81</v>
      </c>
      <c r="B7568">
        <v>104</v>
      </c>
      <c r="C7568" s="2" t="s">
        <v>154</v>
      </c>
      <c r="D7568">
        <v>104</v>
      </c>
    </row>
    <row r="7569" spans="1:4" hidden="1" x14ac:dyDescent="0.25">
      <c r="A7569" s="2" t="s">
        <v>81</v>
      </c>
      <c r="B7569">
        <v>104</v>
      </c>
      <c r="C7569" s="2" t="s">
        <v>155</v>
      </c>
      <c r="D7569">
        <v>104</v>
      </c>
    </row>
    <row r="7570" spans="1:4" hidden="1" x14ac:dyDescent="0.25">
      <c r="A7570" s="2" t="s">
        <v>81</v>
      </c>
      <c r="B7570">
        <v>104</v>
      </c>
      <c r="C7570" s="2" t="s">
        <v>156</v>
      </c>
      <c r="D7570">
        <v>104</v>
      </c>
    </row>
    <row r="7571" spans="1:4" hidden="1" x14ac:dyDescent="0.25">
      <c r="A7571" s="2" t="s">
        <v>81</v>
      </c>
      <c r="B7571">
        <v>104</v>
      </c>
      <c r="C7571" s="2" t="s">
        <v>157</v>
      </c>
      <c r="D7571">
        <v>104</v>
      </c>
    </row>
    <row r="7572" spans="1:4" hidden="1" x14ac:dyDescent="0.25">
      <c r="A7572" s="2" t="s">
        <v>81</v>
      </c>
      <c r="B7572">
        <v>104</v>
      </c>
      <c r="C7572" s="2" t="s">
        <v>158</v>
      </c>
      <c r="D7572">
        <v>104</v>
      </c>
    </row>
    <row r="7573" spans="1:4" hidden="1" x14ac:dyDescent="0.25">
      <c r="A7573" s="2" t="s">
        <v>81</v>
      </c>
      <c r="B7573">
        <v>104</v>
      </c>
      <c r="C7573" s="2" t="s">
        <v>159</v>
      </c>
      <c r="D7573">
        <v>104</v>
      </c>
    </row>
    <row r="7574" spans="1:4" hidden="1" x14ac:dyDescent="0.25">
      <c r="A7574" s="2" t="s">
        <v>81</v>
      </c>
      <c r="B7574">
        <v>104</v>
      </c>
      <c r="C7574" s="2" t="s">
        <v>160</v>
      </c>
      <c r="D7574">
        <v>104</v>
      </c>
    </row>
    <row r="7575" spans="1:4" hidden="1" x14ac:dyDescent="0.25">
      <c r="A7575" s="2" t="s">
        <v>81</v>
      </c>
      <c r="B7575">
        <v>104</v>
      </c>
      <c r="C7575" s="2" t="s">
        <v>161</v>
      </c>
      <c r="D7575">
        <v>104</v>
      </c>
    </row>
    <row r="7576" spans="1:4" hidden="1" x14ac:dyDescent="0.25">
      <c r="A7576" s="2" t="s">
        <v>81</v>
      </c>
      <c r="B7576">
        <v>104</v>
      </c>
      <c r="C7576" s="2" t="s">
        <v>162</v>
      </c>
      <c r="D7576">
        <v>104</v>
      </c>
    </row>
    <row r="7577" spans="1:4" hidden="1" x14ac:dyDescent="0.25">
      <c r="A7577" s="2" t="s">
        <v>81</v>
      </c>
      <c r="B7577">
        <v>104</v>
      </c>
      <c r="C7577" s="2" t="s">
        <v>163</v>
      </c>
      <c r="D7577">
        <v>104</v>
      </c>
    </row>
    <row r="7578" spans="1:4" hidden="1" x14ac:dyDescent="0.25">
      <c r="A7578" s="2" t="s">
        <v>81</v>
      </c>
      <c r="B7578">
        <v>104</v>
      </c>
      <c r="C7578" s="2" t="s">
        <v>164</v>
      </c>
      <c r="D7578">
        <v>104</v>
      </c>
    </row>
    <row r="7579" spans="1:4" hidden="1" x14ac:dyDescent="0.25">
      <c r="A7579" s="2" t="s">
        <v>81</v>
      </c>
      <c r="B7579">
        <v>104</v>
      </c>
      <c r="C7579" s="2" t="s">
        <v>165</v>
      </c>
      <c r="D7579">
        <v>104</v>
      </c>
    </row>
    <row r="7580" spans="1:4" hidden="1" x14ac:dyDescent="0.25">
      <c r="A7580" s="2" t="s">
        <v>81</v>
      </c>
      <c r="B7580">
        <v>104</v>
      </c>
      <c r="C7580" s="2" t="s">
        <v>166</v>
      </c>
      <c r="D7580">
        <v>104</v>
      </c>
    </row>
    <row r="7581" spans="1:4" hidden="1" x14ac:dyDescent="0.25">
      <c r="A7581" s="2" t="s">
        <v>81</v>
      </c>
      <c r="B7581">
        <v>104</v>
      </c>
      <c r="C7581" s="2" t="s">
        <v>167</v>
      </c>
      <c r="D7581">
        <v>104</v>
      </c>
    </row>
    <row r="7582" spans="1:4" hidden="1" x14ac:dyDescent="0.25">
      <c r="A7582" s="2" t="s">
        <v>81</v>
      </c>
      <c r="B7582">
        <v>104</v>
      </c>
      <c r="C7582" s="2" t="s">
        <v>168</v>
      </c>
      <c r="D7582">
        <v>104</v>
      </c>
    </row>
    <row r="7583" spans="1:4" hidden="1" x14ac:dyDescent="0.25">
      <c r="A7583" s="2" t="s">
        <v>81</v>
      </c>
      <c r="B7583">
        <v>104</v>
      </c>
      <c r="C7583" s="2" t="s">
        <v>169</v>
      </c>
      <c r="D7583">
        <v>104</v>
      </c>
    </row>
    <row r="7584" spans="1:4" hidden="1" x14ac:dyDescent="0.25">
      <c r="A7584" s="2" t="s">
        <v>81</v>
      </c>
      <c r="B7584">
        <v>104</v>
      </c>
      <c r="C7584" s="2" t="s">
        <v>170</v>
      </c>
      <c r="D7584">
        <v>104</v>
      </c>
    </row>
    <row r="7585" spans="1:4" hidden="1" x14ac:dyDescent="0.25">
      <c r="A7585" s="2" t="s">
        <v>81</v>
      </c>
      <c r="B7585">
        <v>104</v>
      </c>
      <c r="C7585" s="2" t="s">
        <v>171</v>
      </c>
      <c r="D7585">
        <v>104</v>
      </c>
    </row>
    <row r="7586" spans="1:4" hidden="1" x14ac:dyDescent="0.25">
      <c r="A7586" s="2" t="s">
        <v>81</v>
      </c>
      <c r="B7586">
        <v>104</v>
      </c>
      <c r="C7586" s="2" t="s">
        <v>172</v>
      </c>
      <c r="D7586">
        <v>104</v>
      </c>
    </row>
    <row r="7587" spans="1:4" hidden="1" x14ac:dyDescent="0.25">
      <c r="A7587" s="2" t="s">
        <v>81</v>
      </c>
      <c r="B7587">
        <v>104</v>
      </c>
      <c r="C7587" s="2" t="s">
        <v>173</v>
      </c>
      <c r="D7587">
        <v>104</v>
      </c>
    </row>
    <row r="7588" spans="1:4" hidden="1" x14ac:dyDescent="0.25">
      <c r="A7588" s="2" t="s">
        <v>81</v>
      </c>
      <c r="B7588">
        <v>104</v>
      </c>
      <c r="C7588" s="2" t="s">
        <v>174</v>
      </c>
      <c r="D7588">
        <v>104</v>
      </c>
    </row>
    <row r="7589" spans="1:4" hidden="1" x14ac:dyDescent="0.25">
      <c r="A7589" s="2" t="s">
        <v>81</v>
      </c>
      <c r="B7589">
        <v>104</v>
      </c>
      <c r="C7589" s="2" t="s">
        <v>175</v>
      </c>
      <c r="D7589">
        <v>104</v>
      </c>
    </row>
    <row r="7590" spans="1:4" hidden="1" x14ac:dyDescent="0.25">
      <c r="A7590" s="2" t="s">
        <v>81</v>
      </c>
      <c r="B7590">
        <v>104</v>
      </c>
      <c r="C7590" s="2" t="s">
        <v>176</v>
      </c>
      <c r="D7590">
        <v>104</v>
      </c>
    </row>
    <row r="7591" spans="1:4" hidden="1" x14ac:dyDescent="0.25">
      <c r="A7591" s="2" t="s">
        <v>81</v>
      </c>
      <c r="B7591">
        <v>104</v>
      </c>
      <c r="C7591" s="2" t="s">
        <v>177</v>
      </c>
      <c r="D7591">
        <v>104</v>
      </c>
    </row>
    <row r="7592" spans="1:4" hidden="1" x14ac:dyDescent="0.25">
      <c r="A7592" s="2" t="s">
        <v>81</v>
      </c>
      <c r="B7592">
        <v>104</v>
      </c>
      <c r="C7592" s="2" t="s">
        <v>178</v>
      </c>
      <c r="D7592">
        <v>104</v>
      </c>
    </row>
    <row r="7593" spans="1:4" hidden="1" x14ac:dyDescent="0.25">
      <c r="A7593" s="2" t="s">
        <v>81</v>
      </c>
      <c r="B7593">
        <v>104</v>
      </c>
      <c r="C7593" s="2" t="s">
        <v>179</v>
      </c>
      <c r="D7593">
        <v>104</v>
      </c>
    </row>
    <row r="7594" spans="1:4" hidden="1" x14ac:dyDescent="0.25">
      <c r="A7594" s="2" t="s">
        <v>101</v>
      </c>
      <c r="B7594">
        <v>104</v>
      </c>
      <c r="C7594" s="2" t="s">
        <v>183</v>
      </c>
      <c r="D7594">
        <v>13</v>
      </c>
    </row>
    <row r="7595" spans="1:4" hidden="1" x14ac:dyDescent="0.25">
      <c r="A7595" s="2" t="s">
        <v>101</v>
      </c>
      <c r="B7595">
        <v>104</v>
      </c>
      <c r="C7595" s="2" t="s">
        <v>184</v>
      </c>
      <c r="D7595">
        <v>14</v>
      </c>
    </row>
    <row r="7596" spans="1:4" hidden="1" x14ac:dyDescent="0.25">
      <c r="A7596" s="2" t="s">
        <v>101</v>
      </c>
      <c r="B7596">
        <v>104</v>
      </c>
      <c r="C7596" s="2" t="s">
        <v>185</v>
      </c>
      <c r="D7596">
        <v>24</v>
      </c>
    </row>
    <row r="7597" spans="1:4" hidden="1" x14ac:dyDescent="0.25">
      <c r="A7597" s="2" t="s">
        <v>101</v>
      </c>
      <c r="B7597">
        <v>104</v>
      </c>
      <c r="C7597" s="2" t="s">
        <v>186</v>
      </c>
      <c r="D7597">
        <v>9</v>
      </c>
    </row>
    <row r="7598" spans="1:4" hidden="1" x14ac:dyDescent="0.25">
      <c r="A7598" s="2" t="s">
        <v>101</v>
      </c>
      <c r="B7598">
        <v>104</v>
      </c>
      <c r="C7598" s="2" t="s">
        <v>187</v>
      </c>
      <c r="D7598">
        <v>9</v>
      </c>
    </row>
    <row r="7599" spans="1:4" hidden="1" x14ac:dyDescent="0.25">
      <c r="A7599" s="2" t="s">
        <v>101</v>
      </c>
      <c r="B7599">
        <v>104</v>
      </c>
      <c r="C7599" s="2" t="s">
        <v>188</v>
      </c>
      <c r="D7599">
        <v>23</v>
      </c>
    </row>
    <row r="7600" spans="1:4" hidden="1" x14ac:dyDescent="0.25">
      <c r="A7600" s="2" t="s">
        <v>101</v>
      </c>
      <c r="B7600">
        <v>104</v>
      </c>
      <c r="C7600" s="2" t="s">
        <v>189</v>
      </c>
      <c r="D7600">
        <v>16</v>
      </c>
    </row>
    <row r="7601" spans="1:4" hidden="1" x14ac:dyDescent="0.25">
      <c r="A7601" s="2" t="s">
        <v>101</v>
      </c>
      <c r="B7601">
        <v>104</v>
      </c>
      <c r="C7601" s="2" t="s">
        <v>190</v>
      </c>
      <c r="D7601">
        <v>20</v>
      </c>
    </row>
    <row r="7602" spans="1:4" hidden="1" x14ac:dyDescent="0.25">
      <c r="A7602" s="2" t="s">
        <v>101</v>
      </c>
      <c r="B7602">
        <v>104</v>
      </c>
      <c r="C7602" s="2" t="s">
        <v>191</v>
      </c>
      <c r="D7602">
        <v>21</v>
      </c>
    </row>
    <row r="7603" spans="1:4" hidden="1" x14ac:dyDescent="0.25">
      <c r="A7603" s="2" t="s">
        <v>101</v>
      </c>
      <c r="B7603">
        <v>104</v>
      </c>
      <c r="C7603" s="2" t="s">
        <v>116</v>
      </c>
      <c r="D7603">
        <v>21</v>
      </c>
    </row>
    <row r="7604" spans="1:4" hidden="1" x14ac:dyDescent="0.25">
      <c r="A7604" s="2" t="s">
        <v>101</v>
      </c>
      <c r="B7604">
        <v>104</v>
      </c>
      <c r="C7604" s="2" t="s">
        <v>117</v>
      </c>
      <c r="D7604">
        <v>23</v>
      </c>
    </row>
    <row r="7605" spans="1:4" hidden="1" x14ac:dyDescent="0.25">
      <c r="A7605" s="2" t="s">
        <v>101</v>
      </c>
      <c r="B7605">
        <v>104</v>
      </c>
      <c r="C7605" s="2" t="s">
        <v>118</v>
      </c>
      <c r="D7605">
        <v>29</v>
      </c>
    </row>
    <row r="7606" spans="1:4" hidden="1" x14ac:dyDescent="0.25">
      <c r="A7606" s="2" t="s">
        <v>101</v>
      </c>
      <c r="B7606">
        <v>104</v>
      </c>
      <c r="C7606" s="2" t="s">
        <v>119</v>
      </c>
      <c r="D7606">
        <v>51</v>
      </c>
    </row>
    <row r="7607" spans="1:4" hidden="1" x14ac:dyDescent="0.25">
      <c r="A7607" s="2" t="s">
        <v>101</v>
      </c>
      <c r="B7607">
        <v>104</v>
      </c>
      <c r="C7607" s="2" t="s">
        <v>120</v>
      </c>
      <c r="D7607">
        <v>59</v>
      </c>
    </row>
    <row r="7608" spans="1:4" hidden="1" x14ac:dyDescent="0.25">
      <c r="A7608" s="2" t="s">
        <v>101</v>
      </c>
      <c r="B7608">
        <v>104</v>
      </c>
      <c r="C7608" s="2" t="s">
        <v>121</v>
      </c>
      <c r="D7608">
        <v>81</v>
      </c>
    </row>
    <row r="7609" spans="1:4" hidden="1" x14ac:dyDescent="0.25">
      <c r="A7609" s="2" t="s">
        <v>101</v>
      </c>
      <c r="B7609">
        <v>104</v>
      </c>
      <c r="C7609" s="2" t="s">
        <v>122</v>
      </c>
      <c r="D7609">
        <v>84</v>
      </c>
    </row>
    <row r="7610" spans="1:4" hidden="1" x14ac:dyDescent="0.25">
      <c r="A7610" s="2" t="s">
        <v>101</v>
      </c>
      <c r="B7610">
        <v>104</v>
      </c>
      <c r="C7610" s="2" t="s">
        <v>123</v>
      </c>
      <c r="D7610">
        <v>72</v>
      </c>
    </row>
    <row r="7611" spans="1:4" hidden="1" x14ac:dyDescent="0.25">
      <c r="A7611" s="2" t="s">
        <v>101</v>
      </c>
      <c r="B7611">
        <v>104</v>
      </c>
      <c r="C7611" s="2" t="s">
        <v>124</v>
      </c>
      <c r="D7611">
        <v>73</v>
      </c>
    </row>
    <row r="7612" spans="1:4" hidden="1" x14ac:dyDescent="0.25">
      <c r="A7612" s="2" t="s">
        <v>101</v>
      </c>
      <c r="B7612">
        <v>104</v>
      </c>
      <c r="C7612" s="2" t="s">
        <v>125</v>
      </c>
      <c r="D7612">
        <v>84</v>
      </c>
    </row>
    <row r="7613" spans="1:4" hidden="1" x14ac:dyDescent="0.25">
      <c r="A7613" s="2" t="s">
        <v>101</v>
      </c>
      <c r="B7613">
        <v>104</v>
      </c>
      <c r="C7613" s="2" t="s">
        <v>126</v>
      </c>
      <c r="D7613">
        <v>87</v>
      </c>
    </row>
    <row r="7614" spans="1:4" hidden="1" x14ac:dyDescent="0.25">
      <c r="A7614" s="2" t="s">
        <v>101</v>
      </c>
      <c r="B7614">
        <v>104</v>
      </c>
      <c r="C7614" s="2" t="s">
        <v>127</v>
      </c>
      <c r="D7614">
        <v>89</v>
      </c>
    </row>
    <row r="7615" spans="1:4" hidden="1" x14ac:dyDescent="0.25">
      <c r="A7615" s="2" t="s">
        <v>101</v>
      </c>
      <c r="B7615">
        <v>104</v>
      </c>
      <c r="C7615" s="2" t="s">
        <v>128</v>
      </c>
      <c r="D7615">
        <v>94</v>
      </c>
    </row>
    <row r="7616" spans="1:4" hidden="1" x14ac:dyDescent="0.25">
      <c r="A7616" s="2" t="s">
        <v>101</v>
      </c>
      <c r="B7616">
        <v>104</v>
      </c>
      <c r="C7616" s="2" t="s">
        <v>129</v>
      </c>
      <c r="D7616">
        <v>95</v>
      </c>
    </row>
    <row r="7617" spans="1:4" hidden="1" x14ac:dyDescent="0.25">
      <c r="A7617" s="2" t="s">
        <v>101</v>
      </c>
      <c r="B7617">
        <v>104</v>
      </c>
      <c r="C7617" s="2" t="s">
        <v>130</v>
      </c>
      <c r="D7617">
        <v>100</v>
      </c>
    </row>
    <row r="7618" spans="1:4" hidden="1" x14ac:dyDescent="0.25">
      <c r="A7618" s="2" t="s">
        <v>101</v>
      </c>
      <c r="B7618">
        <v>104</v>
      </c>
      <c r="C7618" s="2" t="s">
        <v>131</v>
      </c>
      <c r="D7618">
        <v>100</v>
      </c>
    </row>
    <row r="7619" spans="1:4" hidden="1" x14ac:dyDescent="0.25">
      <c r="A7619" s="2" t="s">
        <v>101</v>
      </c>
      <c r="B7619">
        <v>104</v>
      </c>
      <c r="C7619" s="2" t="s">
        <v>132</v>
      </c>
      <c r="D7619">
        <v>102</v>
      </c>
    </row>
    <row r="7620" spans="1:4" hidden="1" x14ac:dyDescent="0.25">
      <c r="A7620" s="2" t="s">
        <v>101</v>
      </c>
      <c r="B7620">
        <v>104</v>
      </c>
      <c r="C7620" s="2" t="s">
        <v>133</v>
      </c>
      <c r="D7620">
        <v>103</v>
      </c>
    </row>
    <row r="7621" spans="1:4" hidden="1" x14ac:dyDescent="0.25">
      <c r="A7621" s="2" t="s">
        <v>101</v>
      </c>
      <c r="B7621">
        <v>104</v>
      </c>
      <c r="C7621" s="2" t="s">
        <v>134</v>
      </c>
      <c r="D7621">
        <v>101</v>
      </c>
    </row>
    <row r="7622" spans="1:4" hidden="1" x14ac:dyDescent="0.25">
      <c r="A7622" s="2" t="s">
        <v>101</v>
      </c>
      <c r="B7622">
        <v>104</v>
      </c>
      <c r="C7622" s="2" t="s">
        <v>135</v>
      </c>
      <c r="D7622">
        <v>104</v>
      </c>
    </row>
    <row r="7623" spans="1:4" hidden="1" x14ac:dyDescent="0.25">
      <c r="A7623" s="2" t="s">
        <v>101</v>
      </c>
      <c r="B7623">
        <v>104</v>
      </c>
      <c r="C7623" s="2" t="s">
        <v>136</v>
      </c>
      <c r="D7623">
        <v>104</v>
      </c>
    </row>
    <row r="7624" spans="1:4" hidden="1" x14ac:dyDescent="0.25">
      <c r="A7624" s="2" t="s">
        <v>101</v>
      </c>
      <c r="B7624">
        <v>104</v>
      </c>
      <c r="C7624" s="2" t="s">
        <v>137</v>
      </c>
      <c r="D7624">
        <v>104</v>
      </c>
    </row>
    <row r="7625" spans="1:4" hidden="1" x14ac:dyDescent="0.25">
      <c r="A7625" s="2" t="s">
        <v>101</v>
      </c>
      <c r="B7625">
        <v>104</v>
      </c>
      <c r="C7625" s="2" t="s">
        <v>138</v>
      </c>
      <c r="D7625">
        <v>104</v>
      </c>
    </row>
    <row r="7626" spans="1:4" hidden="1" x14ac:dyDescent="0.25">
      <c r="A7626" s="2" t="s">
        <v>101</v>
      </c>
      <c r="B7626">
        <v>104</v>
      </c>
      <c r="C7626" s="2" t="s">
        <v>139</v>
      </c>
      <c r="D7626">
        <v>104</v>
      </c>
    </row>
    <row r="7627" spans="1:4" hidden="1" x14ac:dyDescent="0.25">
      <c r="A7627" s="2" t="s">
        <v>101</v>
      </c>
      <c r="B7627">
        <v>104</v>
      </c>
      <c r="C7627" s="2" t="s">
        <v>140</v>
      </c>
      <c r="D7627">
        <v>104</v>
      </c>
    </row>
    <row r="7628" spans="1:4" hidden="1" x14ac:dyDescent="0.25">
      <c r="A7628" s="2" t="s">
        <v>101</v>
      </c>
      <c r="B7628">
        <v>104</v>
      </c>
      <c r="C7628" s="2" t="s">
        <v>141</v>
      </c>
      <c r="D7628">
        <v>104</v>
      </c>
    </row>
    <row r="7629" spans="1:4" hidden="1" x14ac:dyDescent="0.25">
      <c r="A7629" s="2" t="s">
        <v>101</v>
      </c>
      <c r="B7629">
        <v>104</v>
      </c>
      <c r="C7629" s="2" t="s">
        <v>142</v>
      </c>
      <c r="D7629">
        <v>104</v>
      </c>
    </row>
    <row r="7630" spans="1:4" hidden="1" x14ac:dyDescent="0.25">
      <c r="A7630" s="2" t="s">
        <v>101</v>
      </c>
      <c r="B7630">
        <v>104</v>
      </c>
      <c r="C7630" s="2" t="s">
        <v>143</v>
      </c>
      <c r="D7630">
        <v>104</v>
      </c>
    </row>
    <row r="7631" spans="1:4" hidden="1" x14ac:dyDescent="0.25">
      <c r="A7631" s="2" t="s">
        <v>101</v>
      </c>
      <c r="B7631">
        <v>104</v>
      </c>
      <c r="C7631" s="2" t="s">
        <v>144</v>
      </c>
      <c r="D7631">
        <v>104</v>
      </c>
    </row>
    <row r="7632" spans="1:4" hidden="1" x14ac:dyDescent="0.25">
      <c r="A7632" s="2" t="s">
        <v>101</v>
      </c>
      <c r="B7632">
        <v>104</v>
      </c>
      <c r="C7632" s="2" t="s">
        <v>145</v>
      </c>
      <c r="D7632">
        <v>104</v>
      </c>
    </row>
    <row r="7633" spans="1:4" hidden="1" x14ac:dyDescent="0.25">
      <c r="A7633" s="2" t="s">
        <v>101</v>
      </c>
      <c r="B7633">
        <v>104</v>
      </c>
      <c r="C7633" s="2" t="s">
        <v>146</v>
      </c>
      <c r="D7633">
        <v>104</v>
      </c>
    </row>
    <row r="7634" spans="1:4" hidden="1" x14ac:dyDescent="0.25">
      <c r="A7634" s="2" t="s">
        <v>101</v>
      </c>
      <c r="B7634">
        <v>104</v>
      </c>
      <c r="C7634" s="2" t="s">
        <v>147</v>
      </c>
      <c r="D7634">
        <v>104</v>
      </c>
    </row>
    <row r="7635" spans="1:4" hidden="1" x14ac:dyDescent="0.25">
      <c r="A7635" s="2" t="s">
        <v>101</v>
      </c>
      <c r="B7635">
        <v>104</v>
      </c>
      <c r="C7635" s="2" t="s">
        <v>148</v>
      </c>
      <c r="D7635">
        <v>104</v>
      </c>
    </row>
    <row r="7636" spans="1:4" hidden="1" x14ac:dyDescent="0.25">
      <c r="A7636" s="2" t="s">
        <v>101</v>
      </c>
      <c r="B7636">
        <v>104</v>
      </c>
      <c r="C7636" s="2" t="s">
        <v>149</v>
      </c>
      <c r="D7636">
        <v>104</v>
      </c>
    </row>
    <row r="7637" spans="1:4" hidden="1" x14ac:dyDescent="0.25">
      <c r="A7637" s="2" t="s">
        <v>101</v>
      </c>
      <c r="B7637">
        <v>104</v>
      </c>
      <c r="C7637" s="2" t="s">
        <v>150</v>
      </c>
      <c r="D7637">
        <v>104</v>
      </c>
    </row>
    <row r="7638" spans="1:4" hidden="1" x14ac:dyDescent="0.25">
      <c r="A7638" s="2" t="s">
        <v>101</v>
      </c>
      <c r="B7638">
        <v>104</v>
      </c>
      <c r="C7638" s="2" t="s">
        <v>151</v>
      </c>
      <c r="D7638">
        <v>104</v>
      </c>
    </row>
    <row r="7639" spans="1:4" hidden="1" x14ac:dyDescent="0.25">
      <c r="A7639" s="2" t="s">
        <v>101</v>
      </c>
      <c r="B7639">
        <v>104</v>
      </c>
      <c r="C7639" s="2" t="s">
        <v>152</v>
      </c>
      <c r="D7639">
        <v>104</v>
      </c>
    </row>
    <row r="7640" spans="1:4" hidden="1" x14ac:dyDescent="0.25">
      <c r="A7640" s="2" t="s">
        <v>101</v>
      </c>
      <c r="B7640">
        <v>104</v>
      </c>
      <c r="C7640" s="2" t="s">
        <v>153</v>
      </c>
      <c r="D7640">
        <v>104</v>
      </c>
    </row>
    <row r="7641" spans="1:4" hidden="1" x14ac:dyDescent="0.25">
      <c r="A7641" s="2" t="s">
        <v>101</v>
      </c>
      <c r="B7641">
        <v>104</v>
      </c>
      <c r="C7641" s="2" t="s">
        <v>154</v>
      </c>
      <c r="D7641">
        <v>104</v>
      </c>
    </row>
    <row r="7642" spans="1:4" hidden="1" x14ac:dyDescent="0.25">
      <c r="A7642" s="2" t="s">
        <v>101</v>
      </c>
      <c r="B7642">
        <v>104</v>
      </c>
      <c r="C7642" s="2" t="s">
        <v>155</v>
      </c>
      <c r="D7642">
        <v>104</v>
      </c>
    </row>
    <row r="7643" spans="1:4" hidden="1" x14ac:dyDescent="0.25">
      <c r="A7643" s="2" t="s">
        <v>101</v>
      </c>
      <c r="B7643">
        <v>104</v>
      </c>
      <c r="C7643" s="2" t="s">
        <v>156</v>
      </c>
      <c r="D7643">
        <v>104</v>
      </c>
    </row>
    <row r="7644" spans="1:4" hidden="1" x14ac:dyDescent="0.25">
      <c r="A7644" s="2" t="s">
        <v>101</v>
      </c>
      <c r="B7644">
        <v>104</v>
      </c>
      <c r="C7644" s="2" t="s">
        <v>157</v>
      </c>
      <c r="D7644">
        <v>104</v>
      </c>
    </row>
    <row r="7645" spans="1:4" hidden="1" x14ac:dyDescent="0.25">
      <c r="A7645" s="2" t="s">
        <v>101</v>
      </c>
      <c r="B7645">
        <v>104</v>
      </c>
      <c r="C7645" s="2" t="s">
        <v>158</v>
      </c>
      <c r="D7645">
        <v>104</v>
      </c>
    </row>
    <row r="7646" spans="1:4" hidden="1" x14ac:dyDescent="0.25">
      <c r="A7646" s="2" t="s">
        <v>101</v>
      </c>
      <c r="B7646">
        <v>104</v>
      </c>
      <c r="C7646" s="2" t="s">
        <v>159</v>
      </c>
      <c r="D7646">
        <v>104</v>
      </c>
    </row>
    <row r="7647" spans="1:4" hidden="1" x14ac:dyDescent="0.25">
      <c r="A7647" s="2" t="s">
        <v>101</v>
      </c>
      <c r="B7647">
        <v>104</v>
      </c>
      <c r="C7647" s="2" t="s">
        <v>160</v>
      </c>
      <c r="D7647">
        <v>104</v>
      </c>
    </row>
    <row r="7648" spans="1:4" hidden="1" x14ac:dyDescent="0.25">
      <c r="A7648" s="2" t="s">
        <v>101</v>
      </c>
      <c r="B7648">
        <v>104</v>
      </c>
      <c r="C7648" s="2" t="s">
        <v>161</v>
      </c>
      <c r="D7648">
        <v>104</v>
      </c>
    </row>
    <row r="7649" spans="1:4" hidden="1" x14ac:dyDescent="0.25">
      <c r="A7649" s="2" t="s">
        <v>101</v>
      </c>
      <c r="B7649">
        <v>104</v>
      </c>
      <c r="C7649" s="2" t="s">
        <v>162</v>
      </c>
      <c r="D7649">
        <v>104</v>
      </c>
    </row>
    <row r="7650" spans="1:4" hidden="1" x14ac:dyDescent="0.25">
      <c r="A7650" s="2" t="s">
        <v>101</v>
      </c>
      <c r="B7650">
        <v>104</v>
      </c>
      <c r="C7650" s="2" t="s">
        <v>163</v>
      </c>
      <c r="D7650">
        <v>104</v>
      </c>
    </row>
    <row r="7651" spans="1:4" hidden="1" x14ac:dyDescent="0.25">
      <c r="A7651" s="2" t="s">
        <v>101</v>
      </c>
      <c r="B7651">
        <v>104</v>
      </c>
      <c r="C7651" s="2" t="s">
        <v>164</v>
      </c>
      <c r="D7651">
        <v>104</v>
      </c>
    </row>
    <row r="7652" spans="1:4" hidden="1" x14ac:dyDescent="0.25">
      <c r="A7652" s="2" t="s">
        <v>101</v>
      </c>
      <c r="B7652">
        <v>104</v>
      </c>
      <c r="C7652" s="2" t="s">
        <v>165</v>
      </c>
      <c r="D7652">
        <v>104</v>
      </c>
    </row>
    <row r="7653" spans="1:4" hidden="1" x14ac:dyDescent="0.25">
      <c r="A7653" s="2" t="s">
        <v>101</v>
      </c>
      <c r="B7653">
        <v>104</v>
      </c>
      <c r="C7653" s="2" t="s">
        <v>166</v>
      </c>
      <c r="D7653">
        <v>104</v>
      </c>
    </row>
    <row r="7654" spans="1:4" hidden="1" x14ac:dyDescent="0.25">
      <c r="A7654" s="2" t="s">
        <v>101</v>
      </c>
      <c r="B7654">
        <v>104</v>
      </c>
      <c r="C7654" s="2" t="s">
        <v>167</v>
      </c>
      <c r="D7654">
        <v>104</v>
      </c>
    </row>
    <row r="7655" spans="1:4" hidden="1" x14ac:dyDescent="0.25">
      <c r="A7655" s="2" t="s">
        <v>101</v>
      </c>
      <c r="B7655">
        <v>104</v>
      </c>
      <c r="C7655" s="2" t="s">
        <v>168</v>
      </c>
      <c r="D7655">
        <v>104</v>
      </c>
    </row>
    <row r="7656" spans="1:4" hidden="1" x14ac:dyDescent="0.25">
      <c r="A7656" s="2" t="s">
        <v>101</v>
      </c>
      <c r="B7656">
        <v>104</v>
      </c>
      <c r="C7656" s="2" t="s">
        <v>169</v>
      </c>
      <c r="D7656">
        <v>104</v>
      </c>
    </row>
    <row r="7657" spans="1:4" hidden="1" x14ac:dyDescent="0.25">
      <c r="A7657" s="2" t="s">
        <v>101</v>
      </c>
      <c r="B7657">
        <v>104</v>
      </c>
      <c r="C7657" s="2" t="s">
        <v>170</v>
      </c>
      <c r="D7657">
        <v>104</v>
      </c>
    </row>
    <row r="7658" spans="1:4" hidden="1" x14ac:dyDescent="0.25">
      <c r="A7658" s="2" t="s">
        <v>101</v>
      </c>
      <c r="B7658">
        <v>104</v>
      </c>
      <c r="C7658" s="2" t="s">
        <v>171</v>
      </c>
      <c r="D7658">
        <v>104</v>
      </c>
    </row>
    <row r="7659" spans="1:4" hidden="1" x14ac:dyDescent="0.25">
      <c r="A7659" s="2" t="s">
        <v>101</v>
      </c>
      <c r="B7659">
        <v>104</v>
      </c>
      <c r="C7659" s="2" t="s">
        <v>172</v>
      </c>
      <c r="D7659">
        <v>104</v>
      </c>
    </row>
    <row r="7660" spans="1:4" hidden="1" x14ac:dyDescent="0.25">
      <c r="A7660" s="2" t="s">
        <v>101</v>
      </c>
      <c r="B7660">
        <v>104</v>
      </c>
      <c r="C7660" s="2" t="s">
        <v>173</v>
      </c>
      <c r="D7660">
        <v>104</v>
      </c>
    </row>
    <row r="7661" spans="1:4" hidden="1" x14ac:dyDescent="0.25">
      <c r="A7661" s="2" t="s">
        <v>101</v>
      </c>
      <c r="B7661">
        <v>104</v>
      </c>
      <c r="C7661" s="2" t="s">
        <v>174</v>
      </c>
      <c r="D7661">
        <v>104</v>
      </c>
    </row>
    <row r="7662" spans="1:4" hidden="1" x14ac:dyDescent="0.25">
      <c r="A7662" s="2" t="s">
        <v>101</v>
      </c>
      <c r="B7662">
        <v>104</v>
      </c>
      <c r="C7662" s="2" t="s">
        <v>175</v>
      </c>
      <c r="D7662">
        <v>104</v>
      </c>
    </row>
    <row r="7663" spans="1:4" hidden="1" x14ac:dyDescent="0.25">
      <c r="A7663" s="2" t="s">
        <v>101</v>
      </c>
      <c r="B7663">
        <v>104</v>
      </c>
      <c r="C7663" s="2" t="s">
        <v>176</v>
      </c>
      <c r="D7663">
        <v>104</v>
      </c>
    </row>
    <row r="7664" spans="1:4" hidden="1" x14ac:dyDescent="0.25">
      <c r="A7664" s="2" t="s">
        <v>101</v>
      </c>
      <c r="B7664">
        <v>104</v>
      </c>
      <c r="C7664" s="2" t="s">
        <v>177</v>
      </c>
      <c r="D7664">
        <v>104</v>
      </c>
    </row>
    <row r="7665" spans="1:4" hidden="1" x14ac:dyDescent="0.25">
      <c r="A7665" s="2" t="s">
        <v>101</v>
      </c>
      <c r="B7665">
        <v>104</v>
      </c>
      <c r="C7665" s="2" t="s">
        <v>178</v>
      </c>
      <c r="D7665">
        <v>104</v>
      </c>
    </row>
    <row r="7666" spans="1:4" hidden="1" x14ac:dyDescent="0.25">
      <c r="A7666" s="2" t="s">
        <v>101</v>
      </c>
      <c r="B7666">
        <v>104</v>
      </c>
      <c r="C7666" s="2" t="s">
        <v>179</v>
      </c>
      <c r="D7666">
        <v>104</v>
      </c>
    </row>
    <row r="7667" spans="1:4" hidden="1" x14ac:dyDescent="0.25">
      <c r="A7667" s="2" t="s">
        <v>113</v>
      </c>
      <c r="B7667">
        <v>104</v>
      </c>
      <c r="C7667" s="2" t="s">
        <v>183</v>
      </c>
      <c r="D7667">
        <v>78</v>
      </c>
    </row>
    <row r="7668" spans="1:4" hidden="1" x14ac:dyDescent="0.25">
      <c r="A7668" s="2" t="s">
        <v>113</v>
      </c>
      <c r="B7668">
        <v>104</v>
      </c>
      <c r="C7668" s="2" t="s">
        <v>184</v>
      </c>
      <c r="D7668">
        <v>77</v>
      </c>
    </row>
    <row r="7669" spans="1:4" hidden="1" x14ac:dyDescent="0.25">
      <c r="A7669" s="2" t="s">
        <v>113</v>
      </c>
      <c r="B7669">
        <v>104</v>
      </c>
      <c r="C7669" s="2" t="s">
        <v>185</v>
      </c>
      <c r="D7669">
        <v>82</v>
      </c>
    </row>
    <row r="7670" spans="1:4" hidden="1" x14ac:dyDescent="0.25">
      <c r="A7670" s="2" t="s">
        <v>113</v>
      </c>
      <c r="B7670">
        <v>104</v>
      </c>
      <c r="C7670" s="2" t="s">
        <v>186</v>
      </c>
      <c r="D7670">
        <v>54</v>
      </c>
    </row>
    <row r="7671" spans="1:4" hidden="1" x14ac:dyDescent="0.25">
      <c r="A7671" s="2" t="s">
        <v>113</v>
      </c>
      <c r="B7671">
        <v>104</v>
      </c>
      <c r="C7671" s="2" t="s">
        <v>187</v>
      </c>
      <c r="D7671">
        <v>55</v>
      </c>
    </row>
    <row r="7672" spans="1:4" hidden="1" x14ac:dyDescent="0.25">
      <c r="A7672" s="2" t="s">
        <v>113</v>
      </c>
      <c r="B7672">
        <v>104</v>
      </c>
      <c r="C7672" s="2" t="s">
        <v>188</v>
      </c>
      <c r="D7672">
        <v>53</v>
      </c>
    </row>
    <row r="7673" spans="1:4" hidden="1" x14ac:dyDescent="0.25">
      <c r="A7673" s="2" t="s">
        <v>113</v>
      </c>
      <c r="B7673">
        <v>104</v>
      </c>
      <c r="C7673" s="2" t="s">
        <v>189</v>
      </c>
      <c r="D7673">
        <v>71</v>
      </c>
    </row>
    <row r="7674" spans="1:4" hidden="1" x14ac:dyDescent="0.25">
      <c r="A7674" s="2" t="s">
        <v>113</v>
      </c>
      <c r="B7674">
        <v>104</v>
      </c>
      <c r="C7674" s="2" t="s">
        <v>190</v>
      </c>
      <c r="D7674">
        <v>65</v>
      </c>
    </row>
    <row r="7675" spans="1:4" hidden="1" x14ac:dyDescent="0.25">
      <c r="A7675" s="2" t="s">
        <v>113</v>
      </c>
      <c r="B7675">
        <v>104</v>
      </c>
      <c r="C7675" s="2" t="s">
        <v>191</v>
      </c>
      <c r="D7675">
        <v>77</v>
      </c>
    </row>
    <row r="7676" spans="1:4" hidden="1" x14ac:dyDescent="0.25">
      <c r="A7676" s="2" t="s">
        <v>113</v>
      </c>
      <c r="B7676">
        <v>104</v>
      </c>
      <c r="C7676" s="2" t="s">
        <v>116</v>
      </c>
      <c r="D7676">
        <v>79</v>
      </c>
    </row>
    <row r="7677" spans="1:4" hidden="1" x14ac:dyDescent="0.25">
      <c r="A7677" s="2" t="s">
        <v>113</v>
      </c>
      <c r="B7677">
        <v>104</v>
      </c>
      <c r="C7677" s="2" t="s">
        <v>117</v>
      </c>
      <c r="D7677">
        <v>75</v>
      </c>
    </row>
    <row r="7678" spans="1:4" hidden="1" x14ac:dyDescent="0.25">
      <c r="A7678" s="2" t="s">
        <v>113</v>
      </c>
      <c r="B7678">
        <v>104</v>
      </c>
      <c r="C7678" s="2" t="s">
        <v>118</v>
      </c>
      <c r="D7678">
        <v>76</v>
      </c>
    </row>
    <row r="7679" spans="1:4" hidden="1" x14ac:dyDescent="0.25">
      <c r="A7679" s="2" t="s">
        <v>113</v>
      </c>
      <c r="B7679">
        <v>104</v>
      </c>
      <c r="C7679" s="2" t="s">
        <v>119</v>
      </c>
      <c r="D7679">
        <v>90</v>
      </c>
    </row>
    <row r="7680" spans="1:4" hidden="1" x14ac:dyDescent="0.25">
      <c r="A7680" s="2" t="s">
        <v>113</v>
      </c>
      <c r="B7680">
        <v>104</v>
      </c>
      <c r="C7680" s="2" t="s">
        <v>120</v>
      </c>
      <c r="D7680">
        <v>96</v>
      </c>
    </row>
    <row r="7681" spans="1:4" hidden="1" x14ac:dyDescent="0.25">
      <c r="A7681" s="2" t="s">
        <v>113</v>
      </c>
      <c r="B7681">
        <v>104</v>
      </c>
      <c r="C7681" s="2" t="s">
        <v>121</v>
      </c>
      <c r="D7681">
        <v>97</v>
      </c>
    </row>
    <row r="7682" spans="1:4" hidden="1" x14ac:dyDescent="0.25">
      <c r="A7682" s="2" t="s">
        <v>113</v>
      </c>
      <c r="B7682">
        <v>104</v>
      </c>
      <c r="C7682" s="2" t="s">
        <v>122</v>
      </c>
      <c r="D7682">
        <v>78</v>
      </c>
    </row>
    <row r="7683" spans="1:4" hidden="1" x14ac:dyDescent="0.25">
      <c r="A7683" s="2" t="s">
        <v>113</v>
      </c>
      <c r="B7683">
        <v>104</v>
      </c>
      <c r="C7683" s="2" t="s">
        <v>123</v>
      </c>
      <c r="D7683">
        <v>83</v>
      </c>
    </row>
    <row r="7684" spans="1:4" hidden="1" x14ac:dyDescent="0.25">
      <c r="A7684" s="2" t="s">
        <v>113</v>
      </c>
      <c r="B7684">
        <v>104</v>
      </c>
      <c r="C7684" s="2" t="s">
        <v>124</v>
      </c>
      <c r="D7684">
        <v>85</v>
      </c>
    </row>
    <row r="7685" spans="1:4" hidden="1" x14ac:dyDescent="0.25">
      <c r="A7685" s="2" t="s">
        <v>113</v>
      </c>
      <c r="B7685">
        <v>104</v>
      </c>
      <c r="C7685" s="2" t="s">
        <v>125</v>
      </c>
      <c r="D7685">
        <v>99</v>
      </c>
    </row>
    <row r="7686" spans="1:4" hidden="1" x14ac:dyDescent="0.25">
      <c r="A7686" s="2" t="s">
        <v>113</v>
      </c>
      <c r="B7686">
        <v>104</v>
      </c>
      <c r="C7686" s="2" t="s">
        <v>126</v>
      </c>
      <c r="D7686">
        <v>98</v>
      </c>
    </row>
    <row r="7687" spans="1:4" hidden="1" x14ac:dyDescent="0.25">
      <c r="A7687" s="2" t="s">
        <v>113</v>
      </c>
      <c r="B7687">
        <v>104</v>
      </c>
      <c r="C7687" s="2" t="s">
        <v>127</v>
      </c>
      <c r="D7687">
        <v>100</v>
      </c>
    </row>
    <row r="7688" spans="1:4" hidden="1" x14ac:dyDescent="0.25">
      <c r="A7688" s="2" t="s">
        <v>113</v>
      </c>
      <c r="B7688">
        <v>104</v>
      </c>
      <c r="C7688" s="2" t="s">
        <v>128</v>
      </c>
      <c r="D7688">
        <v>104</v>
      </c>
    </row>
    <row r="7689" spans="1:4" hidden="1" x14ac:dyDescent="0.25">
      <c r="A7689" s="2" t="s">
        <v>113</v>
      </c>
      <c r="B7689">
        <v>104</v>
      </c>
      <c r="C7689" s="2" t="s">
        <v>129</v>
      </c>
      <c r="D7689">
        <v>107</v>
      </c>
    </row>
    <row r="7690" spans="1:4" hidden="1" x14ac:dyDescent="0.25">
      <c r="A7690" s="2" t="s">
        <v>113</v>
      </c>
      <c r="B7690">
        <v>104</v>
      </c>
      <c r="C7690" s="2" t="s">
        <v>130</v>
      </c>
      <c r="D7690">
        <v>100</v>
      </c>
    </row>
    <row r="7691" spans="1:4" hidden="1" x14ac:dyDescent="0.25">
      <c r="A7691" s="2" t="s">
        <v>113</v>
      </c>
      <c r="B7691">
        <v>104</v>
      </c>
      <c r="C7691" s="2" t="s">
        <v>131</v>
      </c>
      <c r="D7691">
        <v>104</v>
      </c>
    </row>
    <row r="7692" spans="1:4" hidden="1" x14ac:dyDescent="0.25">
      <c r="A7692" s="2" t="s">
        <v>113</v>
      </c>
      <c r="B7692">
        <v>104</v>
      </c>
      <c r="C7692" s="2" t="s">
        <v>132</v>
      </c>
      <c r="D7692">
        <v>107</v>
      </c>
    </row>
    <row r="7693" spans="1:4" hidden="1" x14ac:dyDescent="0.25">
      <c r="A7693" s="2" t="s">
        <v>113</v>
      </c>
      <c r="B7693">
        <v>104</v>
      </c>
      <c r="C7693" s="2" t="s">
        <v>133</v>
      </c>
      <c r="D7693">
        <v>107</v>
      </c>
    </row>
    <row r="7694" spans="1:4" hidden="1" x14ac:dyDescent="0.25">
      <c r="A7694" s="2" t="s">
        <v>113</v>
      </c>
      <c r="B7694">
        <v>104</v>
      </c>
      <c r="C7694" s="2" t="s">
        <v>134</v>
      </c>
      <c r="D7694">
        <v>108</v>
      </c>
    </row>
    <row r="7695" spans="1:4" hidden="1" x14ac:dyDescent="0.25">
      <c r="A7695" s="2" t="s">
        <v>113</v>
      </c>
      <c r="B7695">
        <v>104</v>
      </c>
      <c r="C7695" s="2" t="s">
        <v>135</v>
      </c>
      <c r="D7695">
        <v>104</v>
      </c>
    </row>
    <row r="7696" spans="1:4" hidden="1" x14ac:dyDescent="0.25">
      <c r="A7696" s="2" t="s">
        <v>113</v>
      </c>
      <c r="B7696">
        <v>104</v>
      </c>
      <c r="C7696" s="2" t="s">
        <v>136</v>
      </c>
      <c r="D7696">
        <v>104</v>
      </c>
    </row>
    <row r="7697" spans="1:4" hidden="1" x14ac:dyDescent="0.25">
      <c r="A7697" s="2" t="s">
        <v>113</v>
      </c>
      <c r="B7697">
        <v>104</v>
      </c>
      <c r="C7697" s="2" t="s">
        <v>137</v>
      </c>
      <c r="D7697">
        <v>104</v>
      </c>
    </row>
    <row r="7698" spans="1:4" hidden="1" x14ac:dyDescent="0.25">
      <c r="A7698" s="2" t="s">
        <v>113</v>
      </c>
      <c r="B7698">
        <v>104</v>
      </c>
      <c r="C7698" s="2" t="s">
        <v>138</v>
      </c>
      <c r="D7698">
        <v>104</v>
      </c>
    </row>
    <row r="7699" spans="1:4" hidden="1" x14ac:dyDescent="0.25">
      <c r="A7699" s="2" t="s">
        <v>113</v>
      </c>
      <c r="B7699">
        <v>104</v>
      </c>
      <c r="C7699" s="2" t="s">
        <v>139</v>
      </c>
      <c r="D7699">
        <v>104</v>
      </c>
    </row>
    <row r="7700" spans="1:4" hidden="1" x14ac:dyDescent="0.25">
      <c r="A7700" s="2" t="s">
        <v>113</v>
      </c>
      <c r="B7700">
        <v>104</v>
      </c>
      <c r="C7700" s="2" t="s">
        <v>140</v>
      </c>
      <c r="D7700">
        <v>104</v>
      </c>
    </row>
    <row r="7701" spans="1:4" hidden="1" x14ac:dyDescent="0.25">
      <c r="A7701" s="2" t="s">
        <v>113</v>
      </c>
      <c r="B7701">
        <v>104</v>
      </c>
      <c r="C7701" s="2" t="s">
        <v>141</v>
      </c>
      <c r="D7701">
        <v>104</v>
      </c>
    </row>
    <row r="7702" spans="1:4" hidden="1" x14ac:dyDescent="0.25">
      <c r="A7702" s="2" t="s">
        <v>113</v>
      </c>
      <c r="B7702">
        <v>104</v>
      </c>
      <c r="C7702" s="2" t="s">
        <v>142</v>
      </c>
      <c r="D7702">
        <v>104</v>
      </c>
    </row>
    <row r="7703" spans="1:4" hidden="1" x14ac:dyDescent="0.25">
      <c r="A7703" s="2" t="s">
        <v>113</v>
      </c>
      <c r="B7703">
        <v>104</v>
      </c>
      <c r="C7703" s="2" t="s">
        <v>143</v>
      </c>
      <c r="D7703">
        <v>104</v>
      </c>
    </row>
    <row r="7704" spans="1:4" hidden="1" x14ac:dyDescent="0.25">
      <c r="A7704" s="2" t="s">
        <v>113</v>
      </c>
      <c r="B7704">
        <v>104</v>
      </c>
      <c r="C7704" s="2" t="s">
        <v>144</v>
      </c>
      <c r="D7704">
        <v>104</v>
      </c>
    </row>
    <row r="7705" spans="1:4" hidden="1" x14ac:dyDescent="0.25">
      <c r="A7705" s="2" t="s">
        <v>113</v>
      </c>
      <c r="B7705">
        <v>104</v>
      </c>
      <c r="C7705" s="2" t="s">
        <v>145</v>
      </c>
      <c r="D7705">
        <v>104</v>
      </c>
    </row>
    <row r="7706" spans="1:4" hidden="1" x14ac:dyDescent="0.25">
      <c r="A7706" s="2" t="s">
        <v>113</v>
      </c>
      <c r="B7706">
        <v>104</v>
      </c>
      <c r="C7706" s="2" t="s">
        <v>146</v>
      </c>
      <c r="D7706">
        <v>104</v>
      </c>
    </row>
    <row r="7707" spans="1:4" hidden="1" x14ac:dyDescent="0.25">
      <c r="A7707" s="2" t="s">
        <v>113</v>
      </c>
      <c r="B7707">
        <v>104</v>
      </c>
      <c r="C7707" s="2" t="s">
        <v>147</v>
      </c>
      <c r="D7707">
        <v>104</v>
      </c>
    </row>
    <row r="7708" spans="1:4" hidden="1" x14ac:dyDescent="0.25">
      <c r="A7708" s="2" t="s">
        <v>113</v>
      </c>
      <c r="B7708">
        <v>104</v>
      </c>
      <c r="C7708" s="2" t="s">
        <v>148</v>
      </c>
      <c r="D7708">
        <v>104</v>
      </c>
    </row>
    <row r="7709" spans="1:4" hidden="1" x14ac:dyDescent="0.25">
      <c r="A7709" s="2" t="s">
        <v>113</v>
      </c>
      <c r="B7709">
        <v>104</v>
      </c>
      <c r="C7709" s="2" t="s">
        <v>149</v>
      </c>
      <c r="D7709">
        <v>104</v>
      </c>
    </row>
    <row r="7710" spans="1:4" hidden="1" x14ac:dyDescent="0.25">
      <c r="A7710" s="2" t="s">
        <v>113</v>
      </c>
      <c r="B7710">
        <v>104</v>
      </c>
      <c r="C7710" s="2" t="s">
        <v>150</v>
      </c>
      <c r="D7710">
        <v>104</v>
      </c>
    </row>
    <row r="7711" spans="1:4" hidden="1" x14ac:dyDescent="0.25">
      <c r="A7711" s="2" t="s">
        <v>113</v>
      </c>
      <c r="B7711">
        <v>104</v>
      </c>
      <c r="C7711" s="2" t="s">
        <v>151</v>
      </c>
      <c r="D7711">
        <v>104</v>
      </c>
    </row>
    <row r="7712" spans="1:4" hidden="1" x14ac:dyDescent="0.25">
      <c r="A7712" s="2" t="s">
        <v>113</v>
      </c>
      <c r="B7712">
        <v>104</v>
      </c>
      <c r="C7712" s="2" t="s">
        <v>152</v>
      </c>
      <c r="D7712">
        <v>104</v>
      </c>
    </row>
    <row r="7713" spans="1:4" hidden="1" x14ac:dyDescent="0.25">
      <c r="A7713" s="2" t="s">
        <v>113</v>
      </c>
      <c r="B7713">
        <v>104</v>
      </c>
      <c r="C7713" s="2" t="s">
        <v>153</v>
      </c>
      <c r="D7713">
        <v>104</v>
      </c>
    </row>
    <row r="7714" spans="1:4" hidden="1" x14ac:dyDescent="0.25">
      <c r="A7714" s="2" t="s">
        <v>113</v>
      </c>
      <c r="B7714">
        <v>104</v>
      </c>
      <c r="C7714" s="2" t="s">
        <v>154</v>
      </c>
      <c r="D7714">
        <v>104</v>
      </c>
    </row>
    <row r="7715" spans="1:4" hidden="1" x14ac:dyDescent="0.25">
      <c r="A7715" s="2" t="s">
        <v>113</v>
      </c>
      <c r="B7715">
        <v>104</v>
      </c>
      <c r="C7715" s="2" t="s">
        <v>155</v>
      </c>
      <c r="D7715">
        <v>104</v>
      </c>
    </row>
    <row r="7716" spans="1:4" hidden="1" x14ac:dyDescent="0.25">
      <c r="A7716" s="2" t="s">
        <v>113</v>
      </c>
      <c r="B7716">
        <v>104</v>
      </c>
      <c r="C7716" s="2" t="s">
        <v>156</v>
      </c>
      <c r="D7716">
        <v>104</v>
      </c>
    </row>
    <row r="7717" spans="1:4" hidden="1" x14ac:dyDescent="0.25">
      <c r="A7717" s="2" t="s">
        <v>113</v>
      </c>
      <c r="B7717">
        <v>104</v>
      </c>
      <c r="C7717" s="2" t="s">
        <v>157</v>
      </c>
      <c r="D7717">
        <v>104</v>
      </c>
    </row>
    <row r="7718" spans="1:4" hidden="1" x14ac:dyDescent="0.25">
      <c r="A7718" s="2" t="s">
        <v>113</v>
      </c>
      <c r="B7718">
        <v>104</v>
      </c>
      <c r="C7718" s="2" t="s">
        <v>158</v>
      </c>
      <c r="D7718">
        <v>104</v>
      </c>
    </row>
    <row r="7719" spans="1:4" hidden="1" x14ac:dyDescent="0.25">
      <c r="A7719" s="2" t="s">
        <v>113</v>
      </c>
      <c r="B7719">
        <v>104</v>
      </c>
      <c r="C7719" s="2" t="s">
        <v>159</v>
      </c>
      <c r="D7719">
        <v>104</v>
      </c>
    </row>
    <row r="7720" spans="1:4" hidden="1" x14ac:dyDescent="0.25">
      <c r="A7720" s="2" t="s">
        <v>113</v>
      </c>
      <c r="B7720">
        <v>104</v>
      </c>
      <c r="C7720" s="2" t="s">
        <v>160</v>
      </c>
      <c r="D7720">
        <v>104</v>
      </c>
    </row>
    <row r="7721" spans="1:4" hidden="1" x14ac:dyDescent="0.25">
      <c r="A7721" s="2" t="s">
        <v>113</v>
      </c>
      <c r="B7721">
        <v>104</v>
      </c>
      <c r="C7721" s="2" t="s">
        <v>161</v>
      </c>
      <c r="D7721">
        <v>104</v>
      </c>
    </row>
    <row r="7722" spans="1:4" hidden="1" x14ac:dyDescent="0.25">
      <c r="A7722" s="2" t="s">
        <v>113</v>
      </c>
      <c r="B7722">
        <v>104</v>
      </c>
      <c r="C7722" s="2" t="s">
        <v>162</v>
      </c>
      <c r="D7722">
        <v>104</v>
      </c>
    </row>
    <row r="7723" spans="1:4" hidden="1" x14ac:dyDescent="0.25">
      <c r="A7723" s="2" t="s">
        <v>113</v>
      </c>
      <c r="B7723">
        <v>104</v>
      </c>
      <c r="C7723" s="2" t="s">
        <v>163</v>
      </c>
      <c r="D7723">
        <v>104</v>
      </c>
    </row>
    <row r="7724" spans="1:4" hidden="1" x14ac:dyDescent="0.25">
      <c r="A7724" s="2" t="s">
        <v>113</v>
      </c>
      <c r="B7724">
        <v>104</v>
      </c>
      <c r="C7724" s="2" t="s">
        <v>164</v>
      </c>
      <c r="D7724">
        <v>104</v>
      </c>
    </row>
    <row r="7725" spans="1:4" hidden="1" x14ac:dyDescent="0.25">
      <c r="A7725" s="2" t="s">
        <v>113</v>
      </c>
      <c r="B7725">
        <v>104</v>
      </c>
      <c r="C7725" s="2" t="s">
        <v>165</v>
      </c>
      <c r="D7725">
        <v>104</v>
      </c>
    </row>
    <row r="7726" spans="1:4" hidden="1" x14ac:dyDescent="0.25">
      <c r="A7726" s="2" t="s">
        <v>113</v>
      </c>
      <c r="B7726">
        <v>104</v>
      </c>
      <c r="C7726" s="2" t="s">
        <v>166</v>
      </c>
      <c r="D7726">
        <v>104</v>
      </c>
    </row>
    <row r="7727" spans="1:4" hidden="1" x14ac:dyDescent="0.25">
      <c r="A7727" s="2" t="s">
        <v>113</v>
      </c>
      <c r="B7727">
        <v>104</v>
      </c>
      <c r="C7727" s="2" t="s">
        <v>167</v>
      </c>
      <c r="D7727">
        <v>104</v>
      </c>
    </row>
    <row r="7728" spans="1:4" hidden="1" x14ac:dyDescent="0.25">
      <c r="A7728" s="2" t="s">
        <v>113</v>
      </c>
      <c r="B7728">
        <v>104</v>
      </c>
      <c r="C7728" s="2" t="s">
        <v>168</v>
      </c>
      <c r="D7728">
        <v>104</v>
      </c>
    </row>
    <row r="7729" spans="1:4" hidden="1" x14ac:dyDescent="0.25">
      <c r="A7729" s="2" t="s">
        <v>113</v>
      </c>
      <c r="B7729">
        <v>104</v>
      </c>
      <c r="C7729" s="2" t="s">
        <v>169</v>
      </c>
      <c r="D7729">
        <v>104</v>
      </c>
    </row>
    <row r="7730" spans="1:4" hidden="1" x14ac:dyDescent="0.25">
      <c r="A7730" s="2" t="s">
        <v>113</v>
      </c>
      <c r="B7730">
        <v>104</v>
      </c>
      <c r="C7730" s="2" t="s">
        <v>170</v>
      </c>
      <c r="D7730">
        <v>104</v>
      </c>
    </row>
    <row r="7731" spans="1:4" hidden="1" x14ac:dyDescent="0.25">
      <c r="A7731" s="2" t="s">
        <v>113</v>
      </c>
      <c r="B7731">
        <v>104</v>
      </c>
      <c r="C7731" s="2" t="s">
        <v>171</v>
      </c>
      <c r="D7731">
        <v>104</v>
      </c>
    </row>
    <row r="7732" spans="1:4" hidden="1" x14ac:dyDescent="0.25">
      <c r="A7732" s="2" t="s">
        <v>113</v>
      </c>
      <c r="B7732">
        <v>104</v>
      </c>
      <c r="C7732" s="2" t="s">
        <v>172</v>
      </c>
      <c r="D7732">
        <v>104</v>
      </c>
    </row>
    <row r="7733" spans="1:4" hidden="1" x14ac:dyDescent="0.25">
      <c r="A7733" s="2" t="s">
        <v>113</v>
      </c>
      <c r="B7733">
        <v>104</v>
      </c>
      <c r="C7733" s="2" t="s">
        <v>173</v>
      </c>
      <c r="D7733">
        <v>104</v>
      </c>
    </row>
    <row r="7734" spans="1:4" hidden="1" x14ac:dyDescent="0.25">
      <c r="A7734" s="2" t="s">
        <v>113</v>
      </c>
      <c r="B7734">
        <v>104</v>
      </c>
      <c r="C7734" s="2" t="s">
        <v>174</v>
      </c>
      <c r="D7734">
        <v>104</v>
      </c>
    </row>
    <row r="7735" spans="1:4" hidden="1" x14ac:dyDescent="0.25">
      <c r="A7735" s="2" t="s">
        <v>113</v>
      </c>
      <c r="B7735">
        <v>104</v>
      </c>
      <c r="C7735" s="2" t="s">
        <v>175</v>
      </c>
      <c r="D7735">
        <v>104</v>
      </c>
    </row>
    <row r="7736" spans="1:4" hidden="1" x14ac:dyDescent="0.25">
      <c r="A7736" s="2" t="s">
        <v>113</v>
      </c>
      <c r="B7736">
        <v>104</v>
      </c>
      <c r="C7736" s="2" t="s">
        <v>176</v>
      </c>
      <c r="D7736">
        <v>104</v>
      </c>
    </row>
    <row r="7737" spans="1:4" hidden="1" x14ac:dyDescent="0.25">
      <c r="A7737" s="2" t="s">
        <v>113</v>
      </c>
      <c r="B7737">
        <v>104</v>
      </c>
      <c r="C7737" s="2" t="s">
        <v>177</v>
      </c>
      <c r="D7737">
        <v>104</v>
      </c>
    </row>
    <row r="7738" spans="1:4" hidden="1" x14ac:dyDescent="0.25">
      <c r="A7738" s="2" t="s">
        <v>113</v>
      </c>
      <c r="B7738">
        <v>104</v>
      </c>
      <c r="C7738" s="2" t="s">
        <v>178</v>
      </c>
      <c r="D7738">
        <v>104</v>
      </c>
    </row>
    <row r="7739" spans="1:4" hidden="1" x14ac:dyDescent="0.25">
      <c r="A7739" s="2" t="s">
        <v>113</v>
      </c>
      <c r="B7739">
        <v>104</v>
      </c>
      <c r="C7739" s="2" t="s">
        <v>179</v>
      </c>
      <c r="D7739">
        <v>104</v>
      </c>
    </row>
    <row r="7740" spans="1:4" hidden="1" x14ac:dyDescent="0.25">
      <c r="A7740" s="2" t="s">
        <v>72</v>
      </c>
      <c r="B7740">
        <v>107</v>
      </c>
      <c r="C7740" s="2" t="s">
        <v>183</v>
      </c>
      <c r="D7740">
        <v>78</v>
      </c>
    </row>
    <row r="7741" spans="1:4" hidden="1" x14ac:dyDescent="0.25">
      <c r="A7741" s="2" t="s">
        <v>72</v>
      </c>
      <c r="B7741">
        <v>107</v>
      </c>
      <c r="C7741" s="2" t="s">
        <v>184</v>
      </c>
      <c r="D7741">
        <v>77</v>
      </c>
    </row>
    <row r="7742" spans="1:4" hidden="1" x14ac:dyDescent="0.25">
      <c r="A7742" s="2" t="s">
        <v>72</v>
      </c>
      <c r="B7742">
        <v>107</v>
      </c>
      <c r="C7742" s="2" t="s">
        <v>185</v>
      </c>
      <c r="D7742">
        <v>106</v>
      </c>
    </row>
    <row r="7743" spans="1:4" hidden="1" x14ac:dyDescent="0.25">
      <c r="A7743" s="2" t="s">
        <v>72</v>
      </c>
      <c r="B7743">
        <v>107</v>
      </c>
      <c r="C7743" s="2" t="s">
        <v>186</v>
      </c>
      <c r="D7743">
        <v>109</v>
      </c>
    </row>
    <row r="7744" spans="1:4" hidden="1" x14ac:dyDescent="0.25">
      <c r="A7744" s="2" t="s">
        <v>72</v>
      </c>
      <c r="B7744">
        <v>107</v>
      </c>
      <c r="C7744" s="2" t="s">
        <v>187</v>
      </c>
      <c r="D7744">
        <v>109</v>
      </c>
    </row>
    <row r="7745" spans="1:4" hidden="1" x14ac:dyDescent="0.25">
      <c r="A7745" s="2" t="s">
        <v>72</v>
      </c>
      <c r="B7745">
        <v>107</v>
      </c>
      <c r="C7745" s="2" t="s">
        <v>188</v>
      </c>
      <c r="D7745">
        <v>111</v>
      </c>
    </row>
    <row r="7746" spans="1:4" hidden="1" x14ac:dyDescent="0.25">
      <c r="A7746" s="2" t="s">
        <v>72</v>
      </c>
      <c r="B7746">
        <v>107</v>
      </c>
      <c r="C7746" s="2" t="s">
        <v>189</v>
      </c>
      <c r="D7746">
        <v>113</v>
      </c>
    </row>
    <row r="7747" spans="1:4" hidden="1" x14ac:dyDescent="0.25">
      <c r="A7747" s="2" t="s">
        <v>72</v>
      </c>
      <c r="B7747">
        <v>107</v>
      </c>
      <c r="C7747" s="2" t="s">
        <v>190</v>
      </c>
      <c r="D7747">
        <v>112</v>
      </c>
    </row>
    <row r="7748" spans="1:4" hidden="1" x14ac:dyDescent="0.25">
      <c r="A7748" s="2" t="s">
        <v>72</v>
      </c>
      <c r="B7748">
        <v>107</v>
      </c>
      <c r="C7748" s="2" t="s">
        <v>191</v>
      </c>
      <c r="D7748">
        <v>112</v>
      </c>
    </row>
    <row r="7749" spans="1:4" hidden="1" x14ac:dyDescent="0.25">
      <c r="A7749" s="2" t="s">
        <v>72</v>
      </c>
      <c r="B7749">
        <v>107</v>
      </c>
      <c r="C7749" s="2" t="s">
        <v>116</v>
      </c>
      <c r="D7749">
        <v>112</v>
      </c>
    </row>
    <row r="7750" spans="1:4" hidden="1" x14ac:dyDescent="0.25">
      <c r="A7750" s="2" t="s">
        <v>72</v>
      </c>
      <c r="B7750">
        <v>107</v>
      </c>
      <c r="C7750" s="2" t="s">
        <v>117</v>
      </c>
      <c r="D7750">
        <v>112</v>
      </c>
    </row>
    <row r="7751" spans="1:4" hidden="1" x14ac:dyDescent="0.25">
      <c r="A7751" s="2" t="s">
        <v>72</v>
      </c>
      <c r="B7751">
        <v>107</v>
      </c>
      <c r="C7751" s="2" t="s">
        <v>118</v>
      </c>
      <c r="D7751">
        <v>113</v>
      </c>
    </row>
    <row r="7752" spans="1:4" hidden="1" x14ac:dyDescent="0.25">
      <c r="A7752" s="2" t="s">
        <v>72</v>
      </c>
      <c r="B7752">
        <v>107</v>
      </c>
      <c r="C7752" s="2" t="s">
        <v>119</v>
      </c>
      <c r="D7752">
        <v>113</v>
      </c>
    </row>
    <row r="7753" spans="1:4" hidden="1" x14ac:dyDescent="0.25">
      <c r="A7753" s="2" t="s">
        <v>72</v>
      </c>
      <c r="B7753">
        <v>107</v>
      </c>
      <c r="C7753" s="2" t="s">
        <v>120</v>
      </c>
      <c r="D7753">
        <v>110</v>
      </c>
    </row>
    <row r="7754" spans="1:4" hidden="1" x14ac:dyDescent="0.25">
      <c r="A7754" s="2" t="s">
        <v>72</v>
      </c>
      <c r="B7754">
        <v>107</v>
      </c>
      <c r="C7754" s="2" t="s">
        <v>121</v>
      </c>
      <c r="D7754">
        <v>105</v>
      </c>
    </row>
    <row r="7755" spans="1:4" hidden="1" x14ac:dyDescent="0.25">
      <c r="A7755" s="2" t="s">
        <v>72</v>
      </c>
      <c r="B7755">
        <v>107</v>
      </c>
      <c r="C7755" s="2" t="s">
        <v>122</v>
      </c>
      <c r="D7755">
        <v>101</v>
      </c>
    </row>
    <row r="7756" spans="1:4" hidden="1" x14ac:dyDescent="0.25">
      <c r="A7756" s="2" t="s">
        <v>72</v>
      </c>
      <c r="B7756">
        <v>107</v>
      </c>
      <c r="C7756" s="2" t="s">
        <v>123</v>
      </c>
      <c r="D7756">
        <v>105</v>
      </c>
    </row>
    <row r="7757" spans="1:4" hidden="1" x14ac:dyDescent="0.25">
      <c r="A7757" s="2" t="s">
        <v>72</v>
      </c>
      <c r="B7757">
        <v>107</v>
      </c>
      <c r="C7757" s="2" t="s">
        <v>124</v>
      </c>
      <c r="D7757">
        <v>105</v>
      </c>
    </row>
    <row r="7758" spans="1:4" hidden="1" x14ac:dyDescent="0.25">
      <c r="A7758" s="2" t="s">
        <v>72</v>
      </c>
      <c r="B7758">
        <v>107</v>
      </c>
      <c r="C7758" s="2" t="s">
        <v>125</v>
      </c>
      <c r="D7758">
        <v>109</v>
      </c>
    </row>
    <row r="7759" spans="1:4" hidden="1" x14ac:dyDescent="0.25">
      <c r="A7759" s="2" t="s">
        <v>72</v>
      </c>
      <c r="B7759">
        <v>107</v>
      </c>
      <c r="C7759" s="2" t="s">
        <v>126</v>
      </c>
      <c r="D7759">
        <v>108</v>
      </c>
    </row>
    <row r="7760" spans="1:4" hidden="1" x14ac:dyDescent="0.25">
      <c r="A7760" s="2" t="s">
        <v>72</v>
      </c>
      <c r="B7760">
        <v>107</v>
      </c>
      <c r="C7760" s="2" t="s">
        <v>127</v>
      </c>
      <c r="D7760">
        <v>109</v>
      </c>
    </row>
    <row r="7761" spans="1:4" hidden="1" x14ac:dyDescent="0.25">
      <c r="A7761" s="2" t="s">
        <v>72</v>
      </c>
      <c r="B7761">
        <v>107</v>
      </c>
      <c r="C7761" s="2" t="s">
        <v>128</v>
      </c>
      <c r="D7761">
        <v>109</v>
      </c>
    </row>
    <row r="7762" spans="1:4" hidden="1" x14ac:dyDescent="0.25">
      <c r="A7762" s="2" t="s">
        <v>72</v>
      </c>
      <c r="B7762">
        <v>107</v>
      </c>
      <c r="C7762" s="2" t="s">
        <v>129</v>
      </c>
      <c r="D7762">
        <v>111</v>
      </c>
    </row>
    <row r="7763" spans="1:4" hidden="1" x14ac:dyDescent="0.25">
      <c r="A7763" s="2" t="s">
        <v>72</v>
      </c>
      <c r="B7763">
        <v>107</v>
      </c>
      <c r="C7763" s="2" t="s">
        <v>130</v>
      </c>
      <c r="D7763">
        <v>108</v>
      </c>
    </row>
    <row r="7764" spans="1:4" hidden="1" x14ac:dyDescent="0.25">
      <c r="A7764" s="2" t="s">
        <v>72</v>
      </c>
      <c r="B7764">
        <v>107</v>
      </c>
      <c r="C7764" s="2" t="s">
        <v>131</v>
      </c>
      <c r="D7764">
        <v>107</v>
      </c>
    </row>
    <row r="7765" spans="1:4" hidden="1" x14ac:dyDescent="0.25">
      <c r="A7765" s="2" t="s">
        <v>72</v>
      </c>
      <c r="B7765">
        <v>107</v>
      </c>
      <c r="C7765" s="2" t="s">
        <v>132</v>
      </c>
      <c r="D7765">
        <v>109</v>
      </c>
    </row>
    <row r="7766" spans="1:4" hidden="1" x14ac:dyDescent="0.25">
      <c r="A7766" s="2" t="s">
        <v>72</v>
      </c>
      <c r="B7766">
        <v>107</v>
      </c>
      <c r="C7766" s="2" t="s">
        <v>133</v>
      </c>
      <c r="D7766">
        <v>109</v>
      </c>
    </row>
    <row r="7767" spans="1:4" hidden="1" x14ac:dyDescent="0.25">
      <c r="A7767" s="2" t="s">
        <v>72</v>
      </c>
      <c r="B7767">
        <v>107</v>
      </c>
      <c r="C7767" s="2" t="s">
        <v>134</v>
      </c>
      <c r="D7767">
        <v>107</v>
      </c>
    </row>
    <row r="7768" spans="1:4" hidden="1" x14ac:dyDescent="0.25">
      <c r="A7768" s="2" t="s">
        <v>72</v>
      </c>
      <c r="B7768">
        <v>107</v>
      </c>
      <c r="C7768" s="2" t="s">
        <v>135</v>
      </c>
      <c r="D7768">
        <v>107</v>
      </c>
    </row>
    <row r="7769" spans="1:4" hidden="1" x14ac:dyDescent="0.25">
      <c r="A7769" s="2" t="s">
        <v>72</v>
      </c>
      <c r="B7769">
        <v>107</v>
      </c>
      <c r="C7769" s="2" t="s">
        <v>136</v>
      </c>
      <c r="D7769">
        <v>107</v>
      </c>
    </row>
    <row r="7770" spans="1:4" hidden="1" x14ac:dyDescent="0.25">
      <c r="A7770" s="2" t="s">
        <v>72</v>
      </c>
      <c r="B7770">
        <v>107</v>
      </c>
      <c r="C7770" s="2" t="s">
        <v>137</v>
      </c>
      <c r="D7770">
        <v>107</v>
      </c>
    </row>
    <row r="7771" spans="1:4" hidden="1" x14ac:dyDescent="0.25">
      <c r="A7771" s="2" t="s">
        <v>72</v>
      </c>
      <c r="B7771">
        <v>107</v>
      </c>
      <c r="C7771" s="2" t="s">
        <v>138</v>
      </c>
      <c r="D7771">
        <v>107</v>
      </c>
    </row>
    <row r="7772" spans="1:4" hidden="1" x14ac:dyDescent="0.25">
      <c r="A7772" s="2" t="s">
        <v>72</v>
      </c>
      <c r="B7772">
        <v>107</v>
      </c>
      <c r="C7772" s="2" t="s">
        <v>139</v>
      </c>
      <c r="D7772">
        <v>107</v>
      </c>
    </row>
    <row r="7773" spans="1:4" hidden="1" x14ac:dyDescent="0.25">
      <c r="A7773" s="2" t="s">
        <v>72</v>
      </c>
      <c r="B7773">
        <v>107</v>
      </c>
      <c r="C7773" s="2" t="s">
        <v>140</v>
      </c>
      <c r="D7773">
        <v>107</v>
      </c>
    </row>
    <row r="7774" spans="1:4" hidden="1" x14ac:dyDescent="0.25">
      <c r="A7774" s="2" t="s">
        <v>72</v>
      </c>
      <c r="B7774">
        <v>107</v>
      </c>
      <c r="C7774" s="2" t="s">
        <v>141</v>
      </c>
      <c r="D7774">
        <v>107</v>
      </c>
    </row>
    <row r="7775" spans="1:4" hidden="1" x14ac:dyDescent="0.25">
      <c r="A7775" s="2" t="s">
        <v>72</v>
      </c>
      <c r="B7775">
        <v>107</v>
      </c>
      <c r="C7775" s="2" t="s">
        <v>142</v>
      </c>
      <c r="D7775">
        <v>107</v>
      </c>
    </row>
    <row r="7776" spans="1:4" hidden="1" x14ac:dyDescent="0.25">
      <c r="A7776" s="2" t="s">
        <v>72</v>
      </c>
      <c r="B7776">
        <v>107</v>
      </c>
      <c r="C7776" s="2" t="s">
        <v>143</v>
      </c>
      <c r="D7776">
        <v>107</v>
      </c>
    </row>
    <row r="7777" spans="1:4" hidden="1" x14ac:dyDescent="0.25">
      <c r="A7777" s="2" t="s">
        <v>72</v>
      </c>
      <c r="B7777">
        <v>107</v>
      </c>
      <c r="C7777" s="2" t="s">
        <v>144</v>
      </c>
      <c r="D7777">
        <v>107</v>
      </c>
    </row>
    <row r="7778" spans="1:4" hidden="1" x14ac:dyDescent="0.25">
      <c r="A7778" s="2" t="s">
        <v>72</v>
      </c>
      <c r="B7778">
        <v>107</v>
      </c>
      <c r="C7778" s="2" t="s">
        <v>145</v>
      </c>
      <c r="D7778">
        <v>107</v>
      </c>
    </row>
    <row r="7779" spans="1:4" hidden="1" x14ac:dyDescent="0.25">
      <c r="A7779" s="2" t="s">
        <v>72</v>
      </c>
      <c r="B7779">
        <v>107</v>
      </c>
      <c r="C7779" s="2" t="s">
        <v>146</v>
      </c>
      <c r="D7779">
        <v>107</v>
      </c>
    </row>
    <row r="7780" spans="1:4" hidden="1" x14ac:dyDescent="0.25">
      <c r="A7780" s="2" t="s">
        <v>72</v>
      </c>
      <c r="B7780">
        <v>107</v>
      </c>
      <c r="C7780" s="2" t="s">
        <v>147</v>
      </c>
      <c r="D7780">
        <v>107</v>
      </c>
    </row>
    <row r="7781" spans="1:4" hidden="1" x14ac:dyDescent="0.25">
      <c r="A7781" s="2" t="s">
        <v>72</v>
      </c>
      <c r="B7781">
        <v>107</v>
      </c>
      <c r="C7781" s="2" t="s">
        <v>148</v>
      </c>
      <c r="D7781">
        <v>107</v>
      </c>
    </row>
    <row r="7782" spans="1:4" hidden="1" x14ac:dyDescent="0.25">
      <c r="A7782" s="2" t="s">
        <v>72</v>
      </c>
      <c r="B7782">
        <v>107</v>
      </c>
      <c r="C7782" s="2" t="s">
        <v>149</v>
      </c>
      <c r="D7782">
        <v>107</v>
      </c>
    </row>
    <row r="7783" spans="1:4" hidden="1" x14ac:dyDescent="0.25">
      <c r="A7783" s="2" t="s">
        <v>72</v>
      </c>
      <c r="B7783">
        <v>107</v>
      </c>
      <c r="C7783" s="2" t="s">
        <v>150</v>
      </c>
      <c r="D7783">
        <v>107</v>
      </c>
    </row>
    <row r="7784" spans="1:4" hidden="1" x14ac:dyDescent="0.25">
      <c r="A7784" s="2" t="s">
        <v>72</v>
      </c>
      <c r="B7784">
        <v>107</v>
      </c>
      <c r="C7784" s="2" t="s">
        <v>151</v>
      </c>
      <c r="D7784">
        <v>107</v>
      </c>
    </row>
    <row r="7785" spans="1:4" hidden="1" x14ac:dyDescent="0.25">
      <c r="A7785" s="2" t="s">
        <v>72</v>
      </c>
      <c r="B7785">
        <v>107</v>
      </c>
      <c r="C7785" s="2" t="s">
        <v>152</v>
      </c>
      <c r="D7785">
        <v>107</v>
      </c>
    </row>
    <row r="7786" spans="1:4" hidden="1" x14ac:dyDescent="0.25">
      <c r="A7786" s="2" t="s">
        <v>72</v>
      </c>
      <c r="B7786">
        <v>107</v>
      </c>
      <c r="C7786" s="2" t="s">
        <v>153</v>
      </c>
      <c r="D7786">
        <v>107</v>
      </c>
    </row>
    <row r="7787" spans="1:4" hidden="1" x14ac:dyDescent="0.25">
      <c r="A7787" s="2" t="s">
        <v>72</v>
      </c>
      <c r="B7787">
        <v>107</v>
      </c>
      <c r="C7787" s="2" t="s">
        <v>154</v>
      </c>
      <c r="D7787">
        <v>107</v>
      </c>
    </row>
    <row r="7788" spans="1:4" hidden="1" x14ac:dyDescent="0.25">
      <c r="A7788" s="2" t="s">
        <v>72</v>
      </c>
      <c r="B7788">
        <v>107</v>
      </c>
      <c r="C7788" s="2" t="s">
        <v>155</v>
      </c>
      <c r="D7788">
        <v>107</v>
      </c>
    </row>
    <row r="7789" spans="1:4" hidden="1" x14ac:dyDescent="0.25">
      <c r="A7789" s="2" t="s">
        <v>72</v>
      </c>
      <c r="B7789">
        <v>107</v>
      </c>
      <c r="C7789" s="2" t="s">
        <v>156</v>
      </c>
      <c r="D7789">
        <v>107</v>
      </c>
    </row>
    <row r="7790" spans="1:4" hidden="1" x14ac:dyDescent="0.25">
      <c r="A7790" s="2" t="s">
        <v>72</v>
      </c>
      <c r="B7790">
        <v>107</v>
      </c>
      <c r="C7790" s="2" t="s">
        <v>157</v>
      </c>
      <c r="D7790">
        <v>107</v>
      </c>
    </row>
    <row r="7791" spans="1:4" hidden="1" x14ac:dyDescent="0.25">
      <c r="A7791" s="2" t="s">
        <v>72</v>
      </c>
      <c r="B7791">
        <v>107</v>
      </c>
      <c r="C7791" s="2" t="s">
        <v>158</v>
      </c>
      <c r="D7791">
        <v>107</v>
      </c>
    </row>
    <row r="7792" spans="1:4" hidden="1" x14ac:dyDescent="0.25">
      <c r="A7792" s="2" t="s">
        <v>72</v>
      </c>
      <c r="B7792">
        <v>107</v>
      </c>
      <c r="C7792" s="2" t="s">
        <v>159</v>
      </c>
      <c r="D7792">
        <v>107</v>
      </c>
    </row>
    <row r="7793" spans="1:4" hidden="1" x14ac:dyDescent="0.25">
      <c r="A7793" s="2" t="s">
        <v>72</v>
      </c>
      <c r="B7793">
        <v>107</v>
      </c>
      <c r="C7793" s="2" t="s">
        <v>160</v>
      </c>
      <c r="D7793">
        <v>107</v>
      </c>
    </row>
    <row r="7794" spans="1:4" hidden="1" x14ac:dyDescent="0.25">
      <c r="A7794" s="2" t="s">
        <v>72</v>
      </c>
      <c r="B7794">
        <v>107</v>
      </c>
      <c r="C7794" s="2" t="s">
        <v>161</v>
      </c>
      <c r="D7794">
        <v>107</v>
      </c>
    </row>
    <row r="7795" spans="1:4" hidden="1" x14ac:dyDescent="0.25">
      <c r="A7795" s="2" t="s">
        <v>72</v>
      </c>
      <c r="B7795">
        <v>107</v>
      </c>
      <c r="C7795" s="2" t="s">
        <v>162</v>
      </c>
      <c r="D7795">
        <v>107</v>
      </c>
    </row>
    <row r="7796" spans="1:4" hidden="1" x14ac:dyDescent="0.25">
      <c r="A7796" s="2" t="s">
        <v>72</v>
      </c>
      <c r="B7796">
        <v>107</v>
      </c>
      <c r="C7796" s="2" t="s">
        <v>163</v>
      </c>
      <c r="D7796">
        <v>107</v>
      </c>
    </row>
    <row r="7797" spans="1:4" hidden="1" x14ac:dyDescent="0.25">
      <c r="A7797" s="2" t="s">
        <v>72</v>
      </c>
      <c r="B7797">
        <v>107</v>
      </c>
      <c r="C7797" s="2" t="s">
        <v>164</v>
      </c>
      <c r="D7797">
        <v>107</v>
      </c>
    </row>
    <row r="7798" spans="1:4" hidden="1" x14ac:dyDescent="0.25">
      <c r="A7798" s="2" t="s">
        <v>72</v>
      </c>
      <c r="B7798">
        <v>107</v>
      </c>
      <c r="C7798" s="2" t="s">
        <v>165</v>
      </c>
      <c r="D7798">
        <v>107</v>
      </c>
    </row>
    <row r="7799" spans="1:4" hidden="1" x14ac:dyDescent="0.25">
      <c r="A7799" s="2" t="s">
        <v>72</v>
      </c>
      <c r="B7799">
        <v>107</v>
      </c>
      <c r="C7799" s="2" t="s">
        <v>166</v>
      </c>
      <c r="D7799">
        <v>107</v>
      </c>
    </row>
    <row r="7800" spans="1:4" hidden="1" x14ac:dyDescent="0.25">
      <c r="A7800" s="2" t="s">
        <v>72</v>
      </c>
      <c r="B7800">
        <v>107</v>
      </c>
      <c r="C7800" s="2" t="s">
        <v>167</v>
      </c>
      <c r="D7800">
        <v>107</v>
      </c>
    </row>
    <row r="7801" spans="1:4" hidden="1" x14ac:dyDescent="0.25">
      <c r="A7801" s="2" t="s">
        <v>72</v>
      </c>
      <c r="B7801">
        <v>107</v>
      </c>
      <c r="C7801" s="2" t="s">
        <v>168</v>
      </c>
      <c r="D7801">
        <v>107</v>
      </c>
    </row>
    <row r="7802" spans="1:4" hidden="1" x14ac:dyDescent="0.25">
      <c r="A7802" s="2" t="s">
        <v>72</v>
      </c>
      <c r="B7802">
        <v>107</v>
      </c>
      <c r="C7802" s="2" t="s">
        <v>169</v>
      </c>
      <c r="D7802">
        <v>107</v>
      </c>
    </row>
    <row r="7803" spans="1:4" hidden="1" x14ac:dyDescent="0.25">
      <c r="A7803" s="2" t="s">
        <v>72</v>
      </c>
      <c r="B7803">
        <v>107</v>
      </c>
      <c r="C7803" s="2" t="s">
        <v>170</v>
      </c>
      <c r="D7803">
        <v>107</v>
      </c>
    </row>
    <row r="7804" spans="1:4" hidden="1" x14ac:dyDescent="0.25">
      <c r="A7804" s="2" t="s">
        <v>72</v>
      </c>
      <c r="B7804">
        <v>107</v>
      </c>
      <c r="C7804" s="2" t="s">
        <v>171</v>
      </c>
      <c r="D7804">
        <v>107</v>
      </c>
    </row>
    <row r="7805" spans="1:4" hidden="1" x14ac:dyDescent="0.25">
      <c r="A7805" s="2" t="s">
        <v>72</v>
      </c>
      <c r="B7805">
        <v>107</v>
      </c>
      <c r="C7805" s="2" t="s">
        <v>172</v>
      </c>
      <c r="D7805">
        <v>107</v>
      </c>
    </row>
    <row r="7806" spans="1:4" hidden="1" x14ac:dyDescent="0.25">
      <c r="A7806" s="2" t="s">
        <v>72</v>
      </c>
      <c r="B7806">
        <v>107</v>
      </c>
      <c r="C7806" s="2" t="s">
        <v>173</v>
      </c>
      <c r="D7806">
        <v>107</v>
      </c>
    </row>
    <row r="7807" spans="1:4" hidden="1" x14ac:dyDescent="0.25">
      <c r="A7807" s="2" t="s">
        <v>72</v>
      </c>
      <c r="B7807">
        <v>107</v>
      </c>
      <c r="C7807" s="2" t="s">
        <v>174</v>
      </c>
      <c r="D7807">
        <v>107</v>
      </c>
    </row>
    <row r="7808" spans="1:4" hidden="1" x14ac:dyDescent="0.25">
      <c r="A7808" s="2" t="s">
        <v>72</v>
      </c>
      <c r="B7808">
        <v>107</v>
      </c>
      <c r="C7808" s="2" t="s">
        <v>175</v>
      </c>
      <c r="D7808">
        <v>107</v>
      </c>
    </row>
    <row r="7809" spans="1:4" hidden="1" x14ac:dyDescent="0.25">
      <c r="A7809" s="2" t="s">
        <v>72</v>
      </c>
      <c r="B7809">
        <v>107</v>
      </c>
      <c r="C7809" s="2" t="s">
        <v>176</v>
      </c>
      <c r="D7809">
        <v>107</v>
      </c>
    </row>
    <row r="7810" spans="1:4" hidden="1" x14ac:dyDescent="0.25">
      <c r="A7810" s="2" t="s">
        <v>72</v>
      </c>
      <c r="B7810">
        <v>107</v>
      </c>
      <c r="C7810" s="2" t="s">
        <v>177</v>
      </c>
      <c r="D7810">
        <v>107</v>
      </c>
    </row>
    <row r="7811" spans="1:4" hidden="1" x14ac:dyDescent="0.25">
      <c r="A7811" s="2" t="s">
        <v>72</v>
      </c>
      <c r="B7811">
        <v>107</v>
      </c>
      <c r="C7811" s="2" t="s">
        <v>178</v>
      </c>
      <c r="D7811">
        <v>107</v>
      </c>
    </row>
    <row r="7812" spans="1:4" hidden="1" x14ac:dyDescent="0.25">
      <c r="A7812" s="2" t="s">
        <v>72</v>
      </c>
      <c r="B7812">
        <v>107</v>
      </c>
      <c r="C7812" s="2" t="s">
        <v>179</v>
      </c>
      <c r="D7812">
        <v>107</v>
      </c>
    </row>
    <row r="7813" spans="1:4" hidden="1" x14ac:dyDescent="0.25">
      <c r="A7813" s="2" t="s">
        <v>105</v>
      </c>
      <c r="B7813">
        <v>108</v>
      </c>
      <c r="C7813" s="2" t="s">
        <v>183</v>
      </c>
      <c r="D7813">
        <v>1</v>
      </c>
    </row>
    <row r="7814" spans="1:4" hidden="1" x14ac:dyDescent="0.25">
      <c r="A7814" s="2" t="s">
        <v>105</v>
      </c>
      <c r="B7814">
        <v>108</v>
      </c>
      <c r="C7814" s="2" t="s">
        <v>184</v>
      </c>
      <c r="D7814">
        <v>1</v>
      </c>
    </row>
    <row r="7815" spans="1:4" hidden="1" x14ac:dyDescent="0.25">
      <c r="A7815" s="2" t="s">
        <v>105</v>
      </c>
      <c r="B7815">
        <v>108</v>
      </c>
      <c r="C7815" s="2" t="s">
        <v>185</v>
      </c>
      <c r="D7815">
        <v>3</v>
      </c>
    </row>
    <row r="7816" spans="1:4" hidden="1" x14ac:dyDescent="0.25">
      <c r="A7816" s="2" t="s">
        <v>105</v>
      </c>
      <c r="B7816">
        <v>108</v>
      </c>
      <c r="C7816" s="2" t="s">
        <v>186</v>
      </c>
      <c r="D7816">
        <v>38</v>
      </c>
    </row>
    <row r="7817" spans="1:4" hidden="1" x14ac:dyDescent="0.25">
      <c r="A7817" s="2" t="s">
        <v>105</v>
      </c>
      <c r="B7817">
        <v>108</v>
      </c>
      <c r="C7817" s="2" t="s">
        <v>187</v>
      </c>
      <c r="D7817">
        <v>39</v>
      </c>
    </row>
    <row r="7818" spans="1:4" hidden="1" x14ac:dyDescent="0.25">
      <c r="A7818" s="2" t="s">
        <v>105</v>
      </c>
      <c r="B7818">
        <v>108</v>
      </c>
      <c r="C7818" s="2" t="s">
        <v>188</v>
      </c>
      <c r="D7818">
        <v>41</v>
      </c>
    </row>
    <row r="7819" spans="1:4" hidden="1" x14ac:dyDescent="0.25">
      <c r="A7819" s="2" t="s">
        <v>105</v>
      </c>
      <c r="B7819">
        <v>108</v>
      </c>
      <c r="C7819" s="2" t="s">
        <v>189</v>
      </c>
      <c r="D7819">
        <v>49</v>
      </c>
    </row>
    <row r="7820" spans="1:4" hidden="1" x14ac:dyDescent="0.25">
      <c r="A7820" s="2" t="s">
        <v>105</v>
      </c>
      <c r="B7820">
        <v>108</v>
      </c>
      <c r="C7820" s="2" t="s">
        <v>190</v>
      </c>
      <c r="D7820">
        <v>49</v>
      </c>
    </row>
    <row r="7821" spans="1:4" hidden="1" x14ac:dyDescent="0.25">
      <c r="A7821" s="2" t="s">
        <v>105</v>
      </c>
      <c r="B7821">
        <v>108</v>
      </c>
      <c r="C7821" s="2" t="s">
        <v>191</v>
      </c>
      <c r="D7821">
        <v>64</v>
      </c>
    </row>
    <row r="7822" spans="1:4" hidden="1" x14ac:dyDescent="0.25">
      <c r="A7822" s="2" t="s">
        <v>105</v>
      </c>
      <c r="B7822">
        <v>108</v>
      </c>
      <c r="C7822" s="2" t="s">
        <v>116</v>
      </c>
      <c r="D7822">
        <v>65</v>
      </c>
    </row>
    <row r="7823" spans="1:4" hidden="1" x14ac:dyDescent="0.25">
      <c r="A7823" s="2" t="s">
        <v>105</v>
      </c>
      <c r="B7823">
        <v>108</v>
      </c>
      <c r="C7823" s="2" t="s">
        <v>117</v>
      </c>
      <c r="D7823">
        <v>61</v>
      </c>
    </row>
    <row r="7824" spans="1:4" hidden="1" x14ac:dyDescent="0.25">
      <c r="A7824" s="2" t="s">
        <v>105</v>
      </c>
      <c r="B7824">
        <v>108</v>
      </c>
      <c r="C7824" s="2" t="s">
        <v>118</v>
      </c>
      <c r="D7824">
        <v>54</v>
      </c>
    </row>
    <row r="7825" spans="1:4" hidden="1" x14ac:dyDescent="0.25">
      <c r="A7825" s="2" t="s">
        <v>105</v>
      </c>
      <c r="B7825">
        <v>108</v>
      </c>
      <c r="C7825" s="2" t="s">
        <v>119</v>
      </c>
      <c r="D7825">
        <v>59</v>
      </c>
    </row>
    <row r="7826" spans="1:4" hidden="1" x14ac:dyDescent="0.25">
      <c r="A7826" s="2" t="s">
        <v>105</v>
      </c>
      <c r="B7826">
        <v>108</v>
      </c>
      <c r="C7826" s="2" t="s">
        <v>120</v>
      </c>
      <c r="D7826">
        <v>59</v>
      </c>
    </row>
    <row r="7827" spans="1:4" hidden="1" x14ac:dyDescent="0.25">
      <c r="A7827" s="2" t="s">
        <v>105</v>
      </c>
      <c r="B7827">
        <v>108</v>
      </c>
      <c r="C7827" s="2" t="s">
        <v>121</v>
      </c>
      <c r="D7827">
        <v>61</v>
      </c>
    </row>
    <row r="7828" spans="1:4" hidden="1" x14ac:dyDescent="0.25">
      <c r="A7828" s="2" t="s">
        <v>105</v>
      </c>
      <c r="B7828">
        <v>108</v>
      </c>
      <c r="C7828" s="2" t="s">
        <v>122</v>
      </c>
      <c r="D7828">
        <v>49</v>
      </c>
    </row>
    <row r="7829" spans="1:4" hidden="1" x14ac:dyDescent="0.25">
      <c r="A7829" s="2" t="s">
        <v>105</v>
      </c>
      <c r="B7829">
        <v>108</v>
      </c>
      <c r="C7829" s="2" t="s">
        <v>123</v>
      </c>
      <c r="D7829">
        <v>57</v>
      </c>
    </row>
    <row r="7830" spans="1:4" hidden="1" x14ac:dyDescent="0.25">
      <c r="A7830" s="2" t="s">
        <v>105</v>
      </c>
      <c r="B7830">
        <v>108</v>
      </c>
      <c r="C7830" s="2" t="s">
        <v>124</v>
      </c>
      <c r="D7830">
        <v>54</v>
      </c>
    </row>
    <row r="7831" spans="1:4" hidden="1" x14ac:dyDescent="0.25">
      <c r="A7831" s="2" t="s">
        <v>105</v>
      </c>
      <c r="B7831">
        <v>108</v>
      </c>
      <c r="C7831" s="2" t="s">
        <v>125</v>
      </c>
      <c r="D7831">
        <v>64</v>
      </c>
    </row>
    <row r="7832" spans="1:4" hidden="1" x14ac:dyDescent="0.25">
      <c r="A7832" s="2" t="s">
        <v>105</v>
      </c>
      <c r="B7832">
        <v>108</v>
      </c>
      <c r="C7832" s="2" t="s">
        <v>126</v>
      </c>
      <c r="D7832">
        <v>64</v>
      </c>
    </row>
    <row r="7833" spans="1:4" hidden="1" x14ac:dyDescent="0.25">
      <c r="A7833" s="2" t="s">
        <v>105</v>
      </c>
      <c r="B7833">
        <v>108</v>
      </c>
      <c r="C7833" s="2" t="s">
        <v>127</v>
      </c>
      <c r="D7833">
        <v>67</v>
      </c>
    </row>
    <row r="7834" spans="1:4" hidden="1" x14ac:dyDescent="0.25">
      <c r="A7834" s="2" t="s">
        <v>105</v>
      </c>
      <c r="B7834">
        <v>108</v>
      </c>
      <c r="C7834" s="2" t="s">
        <v>128</v>
      </c>
      <c r="D7834">
        <v>72</v>
      </c>
    </row>
    <row r="7835" spans="1:4" hidden="1" x14ac:dyDescent="0.25">
      <c r="A7835" s="2" t="s">
        <v>105</v>
      </c>
      <c r="B7835">
        <v>108</v>
      </c>
      <c r="C7835" s="2" t="s">
        <v>129</v>
      </c>
      <c r="D7835">
        <v>89</v>
      </c>
    </row>
    <row r="7836" spans="1:4" hidden="1" x14ac:dyDescent="0.25">
      <c r="A7836" s="2" t="s">
        <v>105</v>
      </c>
      <c r="B7836">
        <v>108</v>
      </c>
      <c r="C7836" s="2" t="s">
        <v>130</v>
      </c>
      <c r="D7836">
        <v>88</v>
      </c>
    </row>
    <row r="7837" spans="1:4" hidden="1" x14ac:dyDescent="0.25">
      <c r="A7837" s="2" t="s">
        <v>105</v>
      </c>
      <c r="B7837">
        <v>108</v>
      </c>
      <c r="C7837" s="2" t="s">
        <v>131</v>
      </c>
      <c r="D7837">
        <v>90</v>
      </c>
    </row>
    <row r="7838" spans="1:4" hidden="1" x14ac:dyDescent="0.25">
      <c r="A7838" s="2" t="s">
        <v>105</v>
      </c>
      <c r="B7838">
        <v>108</v>
      </c>
      <c r="C7838" s="2" t="s">
        <v>132</v>
      </c>
      <c r="D7838">
        <v>91</v>
      </c>
    </row>
    <row r="7839" spans="1:4" hidden="1" x14ac:dyDescent="0.25">
      <c r="A7839" s="2" t="s">
        <v>105</v>
      </c>
      <c r="B7839">
        <v>108</v>
      </c>
      <c r="C7839" s="2" t="s">
        <v>133</v>
      </c>
      <c r="D7839">
        <v>91</v>
      </c>
    </row>
    <row r="7840" spans="1:4" hidden="1" x14ac:dyDescent="0.25">
      <c r="A7840" s="2" t="s">
        <v>105</v>
      </c>
      <c r="B7840">
        <v>108</v>
      </c>
      <c r="C7840" s="2" t="s">
        <v>134</v>
      </c>
      <c r="D7840">
        <v>105</v>
      </c>
    </row>
    <row r="7841" spans="1:4" hidden="1" x14ac:dyDescent="0.25">
      <c r="A7841" s="2" t="s">
        <v>105</v>
      </c>
      <c r="B7841">
        <v>108</v>
      </c>
      <c r="C7841" s="2" t="s">
        <v>135</v>
      </c>
      <c r="D7841">
        <v>108</v>
      </c>
    </row>
    <row r="7842" spans="1:4" hidden="1" x14ac:dyDescent="0.25">
      <c r="A7842" s="2" t="s">
        <v>105</v>
      </c>
      <c r="B7842">
        <v>108</v>
      </c>
      <c r="C7842" s="2" t="s">
        <v>136</v>
      </c>
      <c r="D7842">
        <v>108</v>
      </c>
    </row>
    <row r="7843" spans="1:4" hidden="1" x14ac:dyDescent="0.25">
      <c r="A7843" s="2" t="s">
        <v>105</v>
      </c>
      <c r="B7843">
        <v>108</v>
      </c>
      <c r="C7843" s="2" t="s">
        <v>137</v>
      </c>
      <c r="D7843">
        <v>108</v>
      </c>
    </row>
    <row r="7844" spans="1:4" hidden="1" x14ac:dyDescent="0.25">
      <c r="A7844" s="2" t="s">
        <v>105</v>
      </c>
      <c r="B7844">
        <v>108</v>
      </c>
      <c r="C7844" s="2" t="s">
        <v>138</v>
      </c>
      <c r="D7844">
        <v>108</v>
      </c>
    </row>
    <row r="7845" spans="1:4" hidden="1" x14ac:dyDescent="0.25">
      <c r="A7845" s="2" t="s">
        <v>105</v>
      </c>
      <c r="B7845">
        <v>108</v>
      </c>
      <c r="C7845" s="2" t="s">
        <v>139</v>
      </c>
      <c r="D7845">
        <v>108</v>
      </c>
    </row>
    <row r="7846" spans="1:4" hidden="1" x14ac:dyDescent="0.25">
      <c r="A7846" s="2" t="s">
        <v>105</v>
      </c>
      <c r="B7846">
        <v>108</v>
      </c>
      <c r="C7846" s="2" t="s">
        <v>140</v>
      </c>
      <c r="D7846">
        <v>108</v>
      </c>
    </row>
    <row r="7847" spans="1:4" hidden="1" x14ac:dyDescent="0.25">
      <c r="A7847" s="2" t="s">
        <v>105</v>
      </c>
      <c r="B7847">
        <v>108</v>
      </c>
      <c r="C7847" s="2" t="s">
        <v>141</v>
      </c>
      <c r="D7847">
        <v>108</v>
      </c>
    </row>
    <row r="7848" spans="1:4" hidden="1" x14ac:dyDescent="0.25">
      <c r="A7848" s="2" t="s">
        <v>105</v>
      </c>
      <c r="B7848">
        <v>108</v>
      </c>
      <c r="C7848" s="2" t="s">
        <v>142</v>
      </c>
      <c r="D7848">
        <v>108</v>
      </c>
    </row>
    <row r="7849" spans="1:4" hidden="1" x14ac:dyDescent="0.25">
      <c r="A7849" s="2" t="s">
        <v>105</v>
      </c>
      <c r="B7849">
        <v>108</v>
      </c>
      <c r="C7849" s="2" t="s">
        <v>143</v>
      </c>
      <c r="D7849">
        <v>108</v>
      </c>
    </row>
    <row r="7850" spans="1:4" hidden="1" x14ac:dyDescent="0.25">
      <c r="A7850" s="2" t="s">
        <v>105</v>
      </c>
      <c r="B7850">
        <v>108</v>
      </c>
      <c r="C7850" s="2" t="s">
        <v>144</v>
      </c>
      <c r="D7850">
        <v>108</v>
      </c>
    </row>
    <row r="7851" spans="1:4" hidden="1" x14ac:dyDescent="0.25">
      <c r="A7851" s="2" t="s">
        <v>105</v>
      </c>
      <c r="B7851">
        <v>108</v>
      </c>
      <c r="C7851" s="2" t="s">
        <v>145</v>
      </c>
      <c r="D7851">
        <v>108</v>
      </c>
    </row>
    <row r="7852" spans="1:4" hidden="1" x14ac:dyDescent="0.25">
      <c r="A7852" s="2" t="s">
        <v>105</v>
      </c>
      <c r="B7852">
        <v>108</v>
      </c>
      <c r="C7852" s="2" t="s">
        <v>146</v>
      </c>
      <c r="D7852">
        <v>108</v>
      </c>
    </row>
    <row r="7853" spans="1:4" hidden="1" x14ac:dyDescent="0.25">
      <c r="A7853" s="2" t="s">
        <v>105</v>
      </c>
      <c r="B7853">
        <v>108</v>
      </c>
      <c r="C7853" s="2" t="s">
        <v>147</v>
      </c>
      <c r="D7853">
        <v>108</v>
      </c>
    </row>
    <row r="7854" spans="1:4" hidden="1" x14ac:dyDescent="0.25">
      <c r="A7854" s="2" t="s">
        <v>105</v>
      </c>
      <c r="B7854">
        <v>108</v>
      </c>
      <c r="C7854" s="2" t="s">
        <v>148</v>
      </c>
      <c r="D7854">
        <v>108</v>
      </c>
    </row>
    <row r="7855" spans="1:4" hidden="1" x14ac:dyDescent="0.25">
      <c r="A7855" s="2" t="s">
        <v>105</v>
      </c>
      <c r="B7855">
        <v>108</v>
      </c>
      <c r="C7855" s="2" t="s">
        <v>149</v>
      </c>
      <c r="D7855">
        <v>108</v>
      </c>
    </row>
    <row r="7856" spans="1:4" hidden="1" x14ac:dyDescent="0.25">
      <c r="A7856" s="2" t="s">
        <v>105</v>
      </c>
      <c r="B7856">
        <v>108</v>
      </c>
      <c r="C7856" s="2" t="s">
        <v>150</v>
      </c>
      <c r="D7856">
        <v>108</v>
      </c>
    </row>
    <row r="7857" spans="1:4" hidden="1" x14ac:dyDescent="0.25">
      <c r="A7857" s="2" t="s">
        <v>105</v>
      </c>
      <c r="B7857">
        <v>108</v>
      </c>
      <c r="C7857" s="2" t="s">
        <v>151</v>
      </c>
      <c r="D7857">
        <v>108</v>
      </c>
    </row>
    <row r="7858" spans="1:4" hidden="1" x14ac:dyDescent="0.25">
      <c r="A7858" s="2" t="s">
        <v>105</v>
      </c>
      <c r="B7858">
        <v>108</v>
      </c>
      <c r="C7858" s="2" t="s">
        <v>152</v>
      </c>
      <c r="D7858">
        <v>108</v>
      </c>
    </row>
    <row r="7859" spans="1:4" hidden="1" x14ac:dyDescent="0.25">
      <c r="A7859" s="2" t="s">
        <v>105</v>
      </c>
      <c r="B7859">
        <v>108</v>
      </c>
      <c r="C7859" s="2" t="s">
        <v>153</v>
      </c>
      <c r="D7859">
        <v>108</v>
      </c>
    </row>
    <row r="7860" spans="1:4" hidden="1" x14ac:dyDescent="0.25">
      <c r="A7860" s="2" t="s">
        <v>105</v>
      </c>
      <c r="B7860">
        <v>108</v>
      </c>
      <c r="C7860" s="2" t="s">
        <v>154</v>
      </c>
      <c r="D7860">
        <v>108</v>
      </c>
    </row>
    <row r="7861" spans="1:4" hidden="1" x14ac:dyDescent="0.25">
      <c r="A7861" s="2" t="s">
        <v>105</v>
      </c>
      <c r="B7861">
        <v>108</v>
      </c>
      <c r="C7861" s="2" t="s">
        <v>155</v>
      </c>
      <c r="D7861">
        <v>108</v>
      </c>
    </row>
    <row r="7862" spans="1:4" hidden="1" x14ac:dyDescent="0.25">
      <c r="A7862" s="2" t="s">
        <v>105</v>
      </c>
      <c r="B7862">
        <v>108</v>
      </c>
      <c r="C7862" s="2" t="s">
        <v>156</v>
      </c>
      <c r="D7862">
        <v>108</v>
      </c>
    </row>
    <row r="7863" spans="1:4" hidden="1" x14ac:dyDescent="0.25">
      <c r="A7863" s="2" t="s">
        <v>105</v>
      </c>
      <c r="B7863">
        <v>108</v>
      </c>
      <c r="C7863" s="2" t="s">
        <v>157</v>
      </c>
      <c r="D7863">
        <v>108</v>
      </c>
    </row>
    <row r="7864" spans="1:4" hidden="1" x14ac:dyDescent="0.25">
      <c r="A7864" s="2" t="s">
        <v>105</v>
      </c>
      <c r="B7864">
        <v>108</v>
      </c>
      <c r="C7864" s="2" t="s">
        <v>158</v>
      </c>
      <c r="D7864">
        <v>108</v>
      </c>
    </row>
    <row r="7865" spans="1:4" hidden="1" x14ac:dyDescent="0.25">
      <c r="A7865" s="2" t="s">
        <v>105</v>
      </c>
      <c r="B7865">
        <v>108</v>
      </c>
      <c r="C7865" s="2" t="s">
        <v>159</v>
      </c>
      <c r="D7865">
        <v>108</v>
      </c>
    </row>
    <row r="7866" spans="1:4" hidden="1" x14ac:dyDescent="0.25">
      <c r="A7866" s="2" t="s">
        <v>105</v>
      </c>
      <c r="B7866">
        <v>108</v>
      </c>
      <c r="C7866" s="2" t="s">
        <v>160</v>
      </c>
      <c r="D7866">
        <v>108</v>
      </c>
    </row>
    <row r="7867" spans="1:4" hidden="1" x14ac:dyDescent="0.25">
      <c r="A7867" s="2" t="s">
        <v>105</v>
      </c>
      <c r="B7867">
        <v>108</v>
      </c>
      <c r="C7867" s="2" t="s">
        <v>161</v>
      </c>
      <c r="D7867">
        <v>108</v>
      </c>
    </row>
    <row r="7868" spans="1:4" hidden="1" x14ac:dyDescent="0.25">
      <c r="A7868" s="2" t="s">
        <v>105</v>
      </c>
      <c r="B7868">
        <v>108</v>
      </c>
      <c r="C7868" s="2" t="s">
        <v>162</v>
      </c>
      <c r="D7868">
        <v>108</v>
      </c>
    </row>
    <row r="7869" spans="1:4" hidden="1" x14ac:dyDescent="0.25">
      <c r="A7869" s="2" t="s">
        <v>105</v>
      </c>
      <c r="B7869">
        <v>108</v>
      </c>
      <c r="C7869" s="2" t="s">
        <v>163</v>
      </c>
      <c r="D7869">
        <v>108</v>
      </c>
    </row>
    <row r="7870" spans="1:4" hidden="1" x14ac:dyDescent="0.25">
      <c r="A7870" s="2" t="s">
        <v>105</v>
      </c>
      <c r="B7870">
        <v>108</v>
      </c>
      <c r="C7870" s="2" t="s">
        <v>164</v>
      </c>
      <c r="D7870">
        <v>108</v>
      </c>
    </row>
    <row r="7871" spans="1:4" hidden="1" x14ac:dyDescent="0.25">
      <c r="A7871" s="2" t="s">
        <v>105</v>
      </c>
      <c r="B7871">
        <v>108</v>
      </c>
      <c r="C7871" s="2" t="s">
        <v>165</v>
      </c>
      <c r="D7871">
        <v>108</v>
      </c>
    </row>
    <row r="7872" spans="1:4" hidden="1" x14ac:dyDescent="0.25">
      <c r="A7872" s="2" t="s">
        <v>105</v>
      </c>
      <c r="B7872">
        <v>108</v>
      </c>
      <c r="C7872" s="2" t="s">
        <v>166</v>
      </c>
      <c r="D7872">
        <v>108</v>
      </c>
    </row>
    <row r="7873" spans="1:4" hidden="1" x14ac:dyDescent="0.25">
      <c r="A7873" s="2" t="s">
        <v>105</v>
      </c>
      <c r="B7873">
        <v>108</v>
      </c>
      <c r="C7873" s="2" t="s">
        <v>167</v>
      </c>
      <c r="D7873">
        <v>108</v>
      </c>
    </row>
    <row r="7874" spans="1:4" hidden="1" x14ac:dyDescent="0.25">
      <c r="A7874" s="2" t="s">
        <v>105</v>
      </c>
      <c r="B7874">
        <v>108</v>
      </c>
      <c r="C7874" s="2" t="s">
        <v>168</v>
      </c>
      <c r="D7874">
        <v>108</v>
      </c>
    </row>
    <row r="7875" spans="1:4" hidden="1" x14ac:dyDescent="0.25">
      <c r="A7875" s="2" t="s">
        <v>105</v>
      </c>
      <c r="B7875">
        <v>108</v>
      </c>
      <c r="C7875" s="2" t="s">
        <v>169</v>
      </c>
      <c r="D7875">
        <v>108</v>
      </c>
    </row>
    <row r="7876" spans="1:4" hidden="1" x14ac:dyDescent="0.25">
      <c r="A7876" s="2" t="s">
        <v>105</v>
      </c>
      <c r="B7876">
        <v>108</v>
      </c>
      <c r="C7876" s="2" t="s">
        <v>170</v>
      </c>
      <c r="D7876">
        <v>108</v>
      </c>
    </row>
    <row r="7877" spans="1:4" hidden="1" x14ac:dyDescent="0.25">
      <c r="A7877" s="2" t="s">
        <v>105</v>
      </c>
      <c r="B7877">
        <v>108</v>
      </c>
      <c r="C7877" s="2" t="s">
        <v>171</v>
      </c>
      <c r="D7877">
        <v>108</v>
      </c>
    </row>
    <row r="7878" spans="1:4" hidden="1" x14ac:dyDescent="0.25">
      <c r="A7878" s="2" t="s">
        <v>105</v>
      </c>
      <c r="B7878">
        <v>108</v>
      </c>
      <c r="C7878" s="2" t="s">
        <v>172</v>
      </c>
      <c r="D7878">
        <v>108</v>
      </c>
    </row>
    <row r="7879" spans="1:4" hidden="1" x14ac:dyDescent="0.25">
      <c r="A7879" s="2" t="s">
        <v>105</v>
      </c>
      <c r="B7879">
        <v>108</v>
      </c>
      <c r="C7879" s="2" t="s">
        <v>173</v>
      </c>
      <c r="D7879">
        <v>108</v>
      </c>
    </row>
    <row r="7880" spans="1:4" hidden="1" x14ac:dyDescent="0.25">
      <c r="A7880" s="2" t="s">
        <v>105</v>
      </c>
      <c r="B7880">
        <v>108</v>
      </c>
      <c r="C7880" s="2" t="s">
        <v>174</v>
      </c>
      <c r="D7880">
        <v>108</v>
      </c>
    </row>
    <row r="7881" spans="1:4" hidden="1" x14ac:dyDescent="0.25">
      <c r="A7881" s="2" t="s">
        <v>105</v>
      </c>
      <c r="B7881">
        <v>108</v>
      </c>
      <c r="C7881" s="2" t="s">
        <v>175</v>
      </c>
      <c r="D7881">
        <v>108</v>
      </c>
    </row>
    <row r="7882" spans="1:4" hidden="1" x14ac:dyDescent="0.25">
      <c r="A7882" s="2" t="s">
        <v>105</v>
      </c>
      <c r="B7882">
        <v>108</v>
      </c>
      <c r="C7882" s="2" t="s">
        <v>176</v>
      </c>
      <c r="D7882">
        <v>108</v>
      </c>
    </row>
    <row r="7883" spans="1:4" hidden="1" x14ac:dyDescent="0.25">
      <c r="A7883" s="2" t="s">
        <v>105</v>
      </c>
      <c r="B7883">
        <v>108</v>
      </c>
      <c r="C7883" s="2" t="s">
        <v>177</v>
      </c>
      <c r="D7883">
        <v>108</v>
      </c>
    </row>
    <row r="7884" spans="1:4" hidden="1" x14ac:dyDescent="0.25">
      <c r="A7884" s="2" t="s">
        <v>105</v>
      </c>
      <c r="B7884">
        <v>108</v>
      </c>
      <c r="C7884" s="2" t="s">
        <v>178</v>
      </c>
      <c r="D7884">
        <v>108</v>
      </c>
    </row>
    <row r="7885" spans="1:4" hidden="1" x14ac:dyDescent="0.25">
      <c r="A7885" s="2" t="s">
        <v>105</v>
      </c>
      <c r="B7885">
        <v>108</v>
      </c>
      <c r="C7885" s="2" t="s">
        <v>179</v>
      </c>
      <c r="D7885">
        <v>108</v>
      </c>
    </row>
    <row r="7886" spans="1:4" hidden="1" x14ac:dyDescent="0.25">
      <c r="A7886" s="2" t="s">
        <v>111</v>
      </c>
      <c r="B7886">
        <v>109</v>
      </c>
      <c r="C7886" s="2" t="s">
        <v>183</v>
      </c>
      <c r="D7886">
        <v>13</v>
      </c>
    </row>
    <row r="7887" spans="1:4" hidden="1" x14ac:dyDescent="0.25">
      <c r="A7887" s="2" t="s">
        <v>111</v>
      </c>
      <c r="B7887">
        <v>109</v>
      </c>
      <c r="C7887" s="2" t="s">
        <v>184</v>
      </c>
      <c r="D7887">
        <v>14</v>
      </c>
    </row>
    <row r="7888" spans="1:4" hidden="1" x14ac:dyDescent="0.25">
      <c r="A7888" s="2" t="s">
        <v>111</v>
      </c>
      <c r="B7888">
        <v>109</v>
      </c>
      <c r="C7888" s="2" t="s">
        <v>185</v>
      </c>
      <c r="D7888">
        <v>24</v>
      </c>
    </row>
    <row r="7889" spans="1:4" hidden="1" x14ac:dyDescent="0.25">
      <c r="A7889" s="2" t="s">
        <v>111</v>
      </c>
      <c r="B7889">
        <v>109</v>
      </c>
      <c r="C7889" s="2" t="s">
        <v>186</v>
      </c>
      <c r="D7889">
        <v>71</v>
      </c>
    </row>
    <row r="7890" spans="1:4" hidden="1" x14ac:dyDescent="0.25">
      <c r="A7890" s="2" t="s">
        <v>111</v>
      </c>
      <c r="B7890">
        <v>109</v>
      </c>
      <c r="C7890" s="2" t="s">
        <v>187</v>
      </c>
      <c r="D7890">
        <v>71</v>
      </c>
    </row>
    <row r="7891" spans="1:4" hidden="1" x14ac:dyDescent="0.25">
      <c r="A7891" s="2" t="s">
        <v>111</v>
      </c>
      <c r="B7891">
        <v>109</v>
      </c>
      <c r="C7891" s="2" t="s">
        <v>188</v>
      </c>
      <c r="D7891">
        <v>77</v>
      </c>
    </row>
    <row r="7892" spans="1:4" hidden="1" x14ac:dyDescent="0.25">
      <c r="A7892" s="2" t="s">
        <v>111</v>
      </c>
      <c r="B7892">
        <v>109</v>
      </c>
      <c r="C7892" s="2" t="s">
        <v>189</v>
      </c>
      <c r="D7892">
        <v>67</v>
      </c>
    </row>
    <row r="7893" spans="1:4" hidden="1" x14ac:dyDescent="0.25">
      <c r="A7893" s="2" t="s">
        <v>111</v>
      </c>
      <c r="B7893">
        <v>109</v>
      </c>
      <c r="C7893" s="2" t="s">
        <v>190</v>
      </c>
      <c r="D7893">
        <v>73</v>
      </c>
    </row>
    <row r="7894" spans="1:4" hidden="1" x14ac:dyDescent="0.25">
      <c r="A7894" s="2" t="s">
        <v>111</v>
      </c>
      <c r="B7894">
        <v>109</v>
      </c>
      <c r="C7894" s="2" t="s">
        <v>191</v>
      </c>
      <c r="D7894">
        <v>72</v>
      </c>
    </row>
    <row r="7895" spans="1:4" hidden="1" x14ac:dyDescent="0.25">
      <c r="A7895" s="2" t="s">
        <v>111</v>
      </c>
      <c r="B7895">
        <v>109</v>
      </c>
      <c r="C7895" s="2" t="s">
        <v>116</v>
      </c>
      <c r="D7895">
        <v>74</v>
      </c>
    </row>
    <row r="7896" spans="1:4" hidden="1" x14ac:dyDescent="0.25">
      <c r="A7896" s="2" t="s">
        <v>111</v>
      </c>
      <c r="B7896">
        <v>109</v>
      </c>
      <c r="C7896" s="2" t="s">
        <v>117</v>
      </c>
      <c r="D7896">
        <v>95</v>
      </c>
    </row>
    <row r="7897" spans="1:4" hidden="1" x14ac:dyDescent="0.25">
      <c r="A7897" s="2" t="s">
        <v>111</v>
      </c>
      <c r="B7897">
        <v>109</v>
      </c>
      <c r="C7897" s="2" t="s">
        <v>118</v>
      </c>
      <c r="D7897">
        <v>92</v>
      </c>
    </row>
    <row r="7898" spans="1:4" hidden="1" x14ac:dyDescent="0.25">
      <c r="A7898" s="2" t="s">
        <v>111</v>
      </c>
      <c r="B7898">
        <v>109</v>
      </c>
      <c r="C7898" s="2" t="s">
        <v>119</v>
      </c>
      <c r="D7898">
        <v>103</v>
      </c>
    </row>
    <row r="7899" spans="1:4" hidden="1" x14ac:dyDescent="0.25">
      <c r="A7899" s="2" t="s">
        <v>111</v>
      </c>
      <c r="B7899">
        <v>109</v>
      </c>
      <c r="C7899" s="2" t="s">
        <v>120</v>
      </c>
      <c r="D7899">
        <v>93</v>
      </c>
    </row>
    <row r="7900" spans="1:4" hidden="1" x14ac:dyDescent="0.25">
      <c r="A7900" s="2" t="s">
        <v>111</v>
      </c>
      <c r="B7900">
        <v>109</v>
      </c>
      <c r="C7900" s="2" t="s">
        <v>121</v>
      </c>
      <c r="D7900">
        <v>104</v>
      </c>
    </row>
    <row r="7901" spans="1:4" hidden="1" x14ac:dyDescent="0.25">
      <c r="A7901" s="2" t="s">
        <v>111</v>
      </c>
      <c r="B7901">
        <v>109</v>
      </c>
      <c r="C7901" s="2" t="s">
        <v>122</v>
      </c>
      <c r="D7901">
        <v>106</v>
      </c>
    </row>
    <row r="7902" spans="1:4" hidden="1" x14ac:dyDescent="0.25">
      <c r="A7902" s="2" t="s">
        <v>111</v>
      </c>
      <c r="B7902">
        <v>109</v>
      </c>
      <c r="C7902" s="2" t="s">
        <v>123</v>
      </c>
      <c r="D7902">
        <v>109</v>
      </c>
    </row>
    <row r="7903" spans="1:4" hidden="1" x14ac:dyDescent="0.25">
      <c r="A7903" s="2" t="s">
        <v>111</v>
      </c>
      <c r="B7903">
        <v>109</v>
      </c>
      <c r="C7903" s="2" t="s">
        <v>124</v>
      </c>
      <c r="D7903">
        <v>107</v>
      </c>
    </row>
    <row r="7904" spans="1:4" hidden="1" x14ac:dyDescent="0.25">
      <c r="A7904" s="2" t="s">
        <v>111</v>
      </c>
      <c r="B7904">
        <v>109</v>
      </c>
      <c r="C7904" s="2" t="s">
        <v>125</v>
      </c>
      <c r="D7904">
        <v>111</v>
      </c>
    </row>
    <row r="7905" spans="1:4" hidden="1" x14ac:dyDescent="0.25">
      <c r="A7905" s="2" t="s">
        <v>111</v>
      </c>
      <c r="B7905">
        <v>109</v>
      </c>
      <c r="C7905" s="2" t="s">
        <v>126</v>
      </c>
      <c r="D7905">
        <v>111</v>
      </c>
    </row>
    <row r="7906" spans="1:4" hidden="1" x14ac:dyDescent="0.25">
      <c r="A7906" s="2" t="s">
        <v>111</v>
      </c>
      <c r="B7906">
        <v>109</v>
      </c>
      <c r="C7906" s="2" t="s">
        <v>127</v>
      </c>
      <c r="D7906">
        <v>112</v>
      </c>
    </row>
    <row r="7907" spans="1:4" hidden="1" x14ac:dyDescent="0.25">
      <c r="A7907" s="2" t="s">
        <v>111</v>
      </c>
      <c r="B7907">
        <v>109</v>
      </c>
      <c r="C7907" s="2" t="s">
        <v>128</v>
      </c>
      <c r="D7907">
        <v>112</v>
      </c>
    </row>
    <row r="7908" spans="1:4" hidden="1" x14ac:dyDescent="0.25">
      <c r="A7908" s="2" t="s">
        <v>111</v>
      </c>
      <c r="B7908">
        <v>109</v>
      </c>
      <c r="C7908" s="2" t="s">
        <v>129</v>
      </c>
      <c r="D7908">
        <v>112</v>
      </c>
    </row>
    <row r="7909" spans="1:4" hidden="1" x14ac:dyDescent="0.25">
      <c r="A7909" s="2" t="s">
        <v>111</v>
      </c>
      <c r="B7909">
        <v>109</v>
      </c>
      <c r="C7909" s="2" t="s">
        <v>130</v>
      </c>
      <c r="D7909">
        <v>112</v>
      </c>
    </row>
    <row r="7910" spans="1:4" hidden="1" x14ac:dyDescent="0.25">
      <c r="A7910" s="2" t="s">
        <v>111</v>
      </c>
      <c r="B7910">
        <v>109</v>
      </c>
      <c r="C7910" s="2" t="s">
        <v>131</v>
      </c>
      <c r="D7910">
        <v>110</v>
      </c>
    </row>
    <row r="7911" spans="1:4" hidden="1" x14ac:dyDescent="0.25">
      <c r="A7911" s="2" t="s">
        <v>111</v>
      </c>
      <c r="B7911">
        <v>109</v>
      </c>
      <c r="C7911" s="2" t="s">
        <v>132</v>
      </c>
      <c r="D7911">
        <v>110</v>
      </c>
    </row>
    <row r="7912" spans="1:4" hidden="1" x14ac:dyDescent="0.25">
      <c r="A7912" s="2" t="s">
        <v>111</v>
      </c>
      <c r="B7912">
        <v>109</v>
      </c>
      <c r="C7912" s="2" t="s">
        <v>133</v>
      </c>
      <c r="D7912">
        <v>110</v>
      </c>
    </row>
    <row r="7913" spans="1:4" hidden="1" x14ac:dyDescent="0.25">
      <c r="A7913" s="2" t="s">
        <v>111</v>
      </c>
      <c r="B7913">
        <v>109</v>
      </c>
      <c r="C7913" s="2" t="s">
        <v>134</v>
      </c>
      <c r="D7913">
        <v>109</v>
      </c>
    </row>
    <row r="7914" spans="1:4" hidden="1" x14ac:dyDescent="0.25">
      <c r="A7914" s="2" t="s">
        <v>111</v>
      </c>
      <c r="B7914">
        <v>109</v>
      </c>
      <c r="C7914" s="2" t="s">
        <v>135</v>
      </c>
      <c r="D7914">
        <v>109</v>
      </c>
    </row>
    <row r="7915" spans="1:4" hidden="1" x14ac:dyDescent="0.25">
      <c r="A7915" s="2" t="s">
        <v>111</v>
      </c>
      <c r="B7915">
        <v>109</v>
      </c>
      <c r="C7915" s="2" t="s">
        <v>136</v>
      </c>
      <c r="D7915">
        <v>109</v>
      </c>
    </row>
    <row r="7916" spans="1:4" hidden="1" x14ac:dyDescent="0.25">
      <c r="A7916" s="2" t="s">
        <v>111</v>
      </c>
      <c r="B7916">
        <v>109</v>
      </c>
      <c r="C7916" s="2" t="s">
        <v>137</v>
      </c>
      <c r="D7916">
        <v>109</v>
      </c>
    </row>
    <row r="7917" spans="1:4" hidden="1" x14ac:dyDescent="0.25">
      <c r="A7917" s="2" t="s">
        <v>111</v>
      </c>
      <c r="B7917">
        <v>109</v>
      </c>
      <c r="C7917" s="2" t="s">
        <v>138</v>
      </c>
      <c r="D7917">
        <v>109</v>
      </c>
    </row>
    <row r="7918" spans="1:4" hidden="1" x14ac:dyDescent="0.25">
      <c r="A7918" s="2" t="s">
        <v>111</v>
      </c>
      <c r="B7918">
        <v>109</v>
      </c>
      <c r="C7918" s="2" t="s">
        <v>139</v>
      </c>
      <c r="D7918">
        <v>109</v>
      </c>
    </row>
    <row r="7919" spans="1:4" hidden="1" x14ac:dyDescent="0.25">
      <c r="A7919" s="2" t="s">
        <v>111</v>
      </c>
      <c r="B7919">
        <v>109</v>
      </c>
      <c r="C7919" s="2" t="s">
        <v>140</v>
      </c>
      <c r="D7919">
        <v>109</v>
      </c>
    </row>
    <row r="7920" spans="1:4" hidden="1" x14ac:dyDescent="0.25">
      <c r="A7920" s="2" t="s">
        <v>111</v>
      </c>
      <c r="B7920">
        <v>109</v>
      </c>
      <c r="C7920" s="2" t="s">
        <v>141</v>
      </c>
      <c r="D7920">
        <v>109</v>
      </c>
    </row>
    <row r="7921" spans="1:4" hidden="1" x14ac:dyDescent="0.25">
      <c r="A7921" s="2" t="s">
        <v>111</v>
      </c>
      <c r="B7921">
        <v>109</v>
      </c>
      <c r="C7921" s="2" t="s">
        <v>142</v>
      </c>
      <c r="D7921">
        <v>109</v>
      </c>
    </row>
    <row r="7922" spans="1:4" hidden="1" x14ac:dyDescent="0.25">
      <c r="A7922" s="2" t="s">
        <v>111</v>
      </c>
      <c r="B7922">
        <v>109</v>
      </c>
      <c r="C7922" s="2" t="s">
        <v>143</v>
      </c>
      <c r="D7922">
        <v>109</v>
      </c>
    </row>
    <row r="7923" spans="1:4" hidden="1" x14ac:dyDescent="0.25">
      <c r="A7923" s="2" t="s">
        <v>111</v>
      </c>
      <c r="B7923">
        <v>109</v>
      </c>
      <c r="C7923" s="2" t="s">
        <v>144</v>
      </c>
      <c r="D7923">
        <v>109</v>
      </c>
    </row>
    <row r="7924" spans="1:4" hidden="1" x14ac:dyDescent="0.25">
      <c r="A7924" s="2" t="s">
        <v>111</v>
      </c>
      <c r="B7924">
        <v>109</v>
      </c>
      <c r="C7924" s="2" t="s">
        <v>145</v>
      </c>
      <c r="D7924">
        <v>109</v>
      </c>
    </row>
    <row r="7925" spans="1:4" hidden="1" x14ac:dyDescent="0.25">
      <c r="A7925" s="2" t="s">
        <v>111</v>
      </c>
      <c r="B7925">
        <v>109</v>
      </c>
      <c r="C7925" s="2" t="s">
        <v>146</v>
      </c>
      <c r="D7925">
        <v>109</v>
      </c>
    </row>
    <row r="7926" spans="1:4" hidden="1" x14ac:dyDescent="0.25">
      <c r="A7926" s="2" t="s">
        <v>111</v>
      </c>
      <c r="B7926">
        <v>109</v>
      </c>
      <c r="C7926" s="2" t="s">
        <v>147</v>
      </c>
      <c r="D7926">
        <v>109</v>
      </c>
    </row>
    <row r="7927" spans="1:4" hidden="1" x14ac:dyDescent="0.25">
      <c r="A7927" s="2" t="s">
        <v>111</v>
      </c>
      <c r="B7927">
        <v>109</v>
      </c>
      <c r="C7927" s="2" t="s">
        <v>148</v>
      </c>
      <c r="D7927">
        <v>109</v>
      </c>
    </row>
    <row r="7928" spans="1:4" hidden="1" x14ac:dyDescent="0.25">
      <c r="A7928" s="2" t="s">
        <v>111</v>
      </c>
      <c r="B7928">
        <v>109</v>
      </c>
      <c r="C7928" s="2" t="s">
        <v>149</v>
      </c>
      <c r="D7928">
        <v>109</v>
      </c>
    </row>
    <row r="7929" spans="1:4" hidden="1" x14ac:dyDescent="0.25">
      <c r="A7929" s="2" t="s">
        <v>111</v>
      </c>
      <c r="B7929">
        <v>109</v>
      </c>
      <c r="C7929" s="2" t="s">
        <v>150</v>
      </c>
      <c r="D7929">
        <v>109</v>
      </c>
    </row>
    <row r="7930" spans="1:4" hidden="1" x14ac:dyDescent="0.25">
      <c r="A7930" s="2" t="s">
        <v>111</v>
      </c>
      <c r="B7930">
        <v>109</v>
      </c>
      <c r="C7930" s="2" t="s">
        <v>151</v>
      </c>
      <c r="D7930">
        <v>109</v>
      </c>
    </row>
    <row r="7931" spans="1:4" hidden="1" x14ac:dyDescent="0.25">
      <c r="A7931" s="2" t="s">
        <v>111</v>
      </c>
      <c r="B7931">
        <v>109</v>
      </c>
      <c r="C7931" s="2" t="s">
        <v>152</v>
      </c>
      <c r="D7931">
        <v>109</v>
      </c>
    </row>
    <row r="7932" spans="1:4" hidden="1" x14ac:dyDescent="0.25">
      <c r="A7932" s="2" t="s">
        <v>111</v>
      </c>
      <c r="B7932">
        <v>109</v>
      </c>
      <c r="C7932" s="2" t="s">
        <v>153</v>
      </c>
      <c r="D7932">
        <v>109</v>
      </c>
    </row>
    <row r="7933" spans="1:4" hidden="1" x14ac:dyDescent="0.25">
      <c r="A7933" s="2" t="s">
        <v>111</v>
      </c>
      <c r="B7933">
        <v>109</v>
      </c>
      <c r="C7933" s="2" t="s">
        <v>154</v>
      </c>
      <c r="D7933">
        <v>109</v>
      </c>
    </row>
    <row r="7934" spans="1:4" hidden="1" x14ac:dyDescent="0.25">
      <c r="A7934" s="2" t="s">
        <v>111</v>
      </c>
      <c r="B7934">
        <v>109</v>
      </c>
      <c r="C7934" s="2" t="s">
        <v>155</v>
      </c>
      <c r="D7934">
        <v>109</v>
      </c>
    </row>
    <row r="7935" spans="1:4" hidden="1" x14ac:dyDescent="0.25">
      <c r="A7935" s="2" t="s">
        <v>111</v>
      </c>
      <c r="B7935">
        <v>109</v>
      </c>
      <c r="C7935" s="2" t="s">
        <v>156</v>
      </c>
      <c r="D7935">
        <v>109</v>
      </c>
    </row>
    <row r="7936" spans="1:4" hidden="1" x14ac:dyDescent="0.25">
      <c r="A7936" s="2" t="s">
        <v>111</v>
      </c>
      <c r="B7936">
        <v>109</v>
      </c>
      <c r="C7936" s="2" t="s">
        <v>157</v>
      </c>
      <c r="D7936">
        <v>109</v>
      </c>
    </row>
    <row r="7937" spans="1:4" hidden="1" x14ac:dyDescent="0.25">
      <c r="A7937" s="2" t="s">
        <v>111</v>
      </c>
      <c r="B7937">
        <v>109</v>
      </c>
      <c r="C7937" s="2" t="s">
        <v>158</v>
      </c>
      <c r="D7937">
        <v>109</v>
      </c>
    </row>
    <row r="7938" spans="1:4" hidden="1" x14ac:dyDescent="0.25">
      <c r="A7938" s="2" t="s">
        <v>111</v>
      </c>
      <c r="B7938">
        <v>109</v>
      </c>
      <c r="C7938" s="2" t="s">
        <v>159</v>
      </c>
      <c r="D7938">
        <v>109</v>
      </c>
    </row>
    <row r="7939" spans="1:4" hidden="1" x14ac:dyDescent="0.25">
      <c r="A7939" s="2" t="s">
        <v>111</v>
      </c>
      <c r="B7939">
        <v>109</v>
      </c>
      <c r="C7939" s="2" t="s">
        <v>160</v>
      </c>
      <c r="D7939">
        <v>109</v>
      </c>
    </row>
    <row r="7940" spans="1:4" hidden="1" x14ac:dyDescent="0.25">
      <c r="A7940" s="2" t="s">
        <v>111</v>
      </c>
      <c r="B7940">
        <v>109</v>
      </c>
      <c r="C7940" s="2" t="s">
        <v>161</v>
      </c>
      <c r="D7940">
        <v>109</v>
      </c>
    </row>
    <row r="7941" spans="1:4" hidden="1" x14ac:dyDescent="0.25">
      <c r="A7941" s="2" t="s">
        <v>111</v>
      </c>
      <c r="B7941">
        <v>109</v>
      </c>
      <c r="C7941" s="2" t="s">
        <v>162</v>
      </c>
      <c r="D7941">
        <v>109</v>
      </c>
    </row>
    <row r="7942" spans="1:4" hidden="1" x14ac:dyDescent="0.25">
      <c r="A7942" s="2" t="s">
        <v>111</v>
      </c>
      <c r="B7942">
        <v>109</v>
      </c>
      <c r="C7942" s="2" t="s">
        <v>163</v>
      </c>
      <c r="D7942">
        <v>109</v>
      </c>
    </row>
    <row r="7943" spans="1:4" hidden="1" x14ac:dyDescent="0.25">
      <c r="A7943" s="2" t="s">
        <v>111</v>
      </c>
      <c r="B7943">
        <v>109</v>
      </c>
      <c r="C7943" s="2" t="s">
        <v>164</v>
      </c>
      <c r="D7943">
        <v>109</v>
      </c>
    </row>
    <row r="7944" spans="1:4" hidden="1" x14ac:dyDescent="0.25">
      <c r="A7944" s="2" t="s">
        <v>111</v>
      </c>
      <c r="B7944">
        <v>109</v>
      </c>
      <c r="C7944" s="2" t="s">
        <v>165</v>
      </c>
      <c r="D7944">
        <v>109</v>
      </c>
    </row>
    <row r="7945" spans="1:4" hidden="1" x14ac:dyDescent="0.25">
      <c r="A7945" s="2" t="s">
        <v>111</v>
      </c>
      <c r="B7945">
        <v>109</v>
      </c>
      <c r="C7945" s="2" t="s">
        <v>166</v>
      </c>
      <c r="D7945">
        <v>109</v>
      </c>
    </row>
    <row r="7946" spans="1:4" hidden="1" x14ac:dyDescent="0.25">
      <c r="A7946" s="2" t="s">
        <v>111</v>
      </c>
      <c r="B7946">
        <v>109</v>
      </c>
      <c r="C7946" s="2" t="s">
        <v>167</v>
      </c>
      <c r="D7946">
        <v>109</v>
      </c>
    </row>
    <row r="7947" spans="1:4" hidden="1" x14ac:dyDescent="0.25">
      <c r="A7947" s="2" t="s">
        <v>111</v>
      </c>
      <c r="B7947">
        <v>109</v>
      </c>
      <c r="C7947" s="2" t="s">
        <v>168</v>
      </c>
      <c r="D7947">
        <v>109</v>
      </c>
    </row>
    <row r="7948" spans="1:4" hidden="1" x14ac:dyDescent="0.25">
      <c r="A7948" s="2" t="s">
        <v>111</v>
      </c>
      <c r="B7948">
        <v>109</v>
      </c>
      <c r="C7948" s="2" t="s">
        <v>169</v>
      </c>
      <c r="D7948">
        <v>109</v>
      </c>
    </row>
    <row r="7949" spans="1:4" hidden="1" x14ac:dyDescent="0.25">
      <c r="A7949" s="2" t="s">
        <v>111</v>
      </c>
      <c r="B7949">
        <v>109</v>
      </c>
      <c r="C7949" s="2" t="s">
        <v>170</v>
      </c>
      <c r="D7949">
        <v>109</v>
      </c>
    </row>
    <row r="7950" spans="1:4" hidden="1" x14ac:dyDescent="0.25">
      <c r="A7950" s="2" t="s">
        <v>111</v>
      </c>
      <c r="B7950">
        <v>109</v>
      </c>
      <c r="C7950" s="2" t="s">
        <v>171</v>
      </c>
      <c r="D7950">
        <v>109</v>
      </c>
    </row>
    <row r="7951" spans="1:4" hidden="1" x14ac:dyDescent="0.25">
      <c r="A7951" s="2" t="s">
        <v>111</v>
      </c>
      <c r="B7951">
        <v>109</v>
      </c>
      <c r="C7951" s="2" t="s">
        <v>172</v>
      </c>
      <c r="D7951">
        <v>109</v>
      </c>
    </row>
    <row r="7952" spans="1:4" hidden="1" x14ac:dyDescent="0.25">
      <c r="A7952" s="2" t="s">
        <v>111</v>
      </c>
      <c r="B7952">
        <v>109</v>
      </c>
      <c r="C7952" s="2" t="s">
        <v>173</v>
      </c>
      <c r="D7952">
        <v>109</v>
      </c>
    </row>
    <row r="7953" spans="1:4" hidden="1" x14ac:dyDescent="0.25">
      <c r="A7953" s="2" t="s">
        <v>111</v>
      </c>
      <c r="B7953">
        <v>109</v>
      </c>
      <c r="C7953" s="2" t="s">
        <v>174</v>
      </c>
      <c r="D7953">
        <v>109</v>
      </c>
    </row>
    <row r="7954" spans="1:4" hidden="1" x14ac:dyDescent="0.25">
      <c r="A7954" s="2" t="s">
        <v>111</v>
      </c>
      <c r="B7954">
        <v>109</v>
      </c>
      <c r="C7954" s="2" t="s">
        <v>175</v>
      </c>
      <c r="D7954">
        <v>109</v>
      </c>
    </row>
    <row r="7955" spans="1:4" hidden="1" x14ac:dyDescent="0.25">
      <c r="A7955" s="2" t="s">
        <v>111</v>
      </c>
      <c r="B7955">
        <v>109</v>
      </c>
      <c r="C7955" s="2" t="s">
        <v>176</v>
      </c>
      <c r="D7955">
        <v>109</v>
      </c>
    </row>
    <row r="7956" spans="1:4" hidden="1" x14ac:dyDescent="0.25">
      <c r="A7956" s="2" t="s">
        <v>111</v>
      </c>
      <c r="B7956">
        <v>109</v>
      </c>
      <c r="C7956" s="2" t="s">
        <v>177</v>
      </c>
      <c r="D7956">
        <v>109</v>
      </c>
    </row>
    <row r="7957" spans="1:4" hidden="1" x14ac:dyDescent="0.25">
      <c r="A7957" s="2" t="s">
        <v>111</v>
      </c>
      <c r="B7957">
        <v>109</v>
      </c>
      <c r="C7957" s="2" t="s">
        <v>178</v>
      </c>
      <c r="D7957">
        <v>109</v>
      </c>
    </row>
    <row r="7958" spans="1:4" hidden="1" x14ac:dyDescent="0.25">
      <c r="A7958" s="2" t="s">
        <v>111</v>
      </c>
      <c r="B7958">
        <v>109</v>
      </c>
      <c r="C7958" s="2" t="s">
        <v>179</v>
      </c>
      <c r="D7958">
        <v>109</v>
      </c>
    </row>
    <row r="7959" spans="1:4" hidden="1" x14ac:dyDescent="0.25">
      <c r="A7959" s="2" t="s">
        <v>23</v>
      </c>
      <c r="B7959">
        <v>110</v>
      </c>
      <c r="C7959" s="2" t="s">
        <v>183</v>
      </c>
      <c r="D7959">
        <v>78</v>
      </c>
    </row>
    <row r="7960" spans="1:4" hidden="1" x14ac:dyDescent="0.25">
      <c r="A7960" s="2" t="s">
        <v>23</v>
      </c>
      <c r="B7960">
        <v>110</v>
      </c>
      <c r="C7960" s="2" t="s">
        <v>184</v>
      </c>
      <c r="D7960">
        <v>77</v>
      </c>
    </row>
    <row r="7961" spans="1:4" hidden="1" x14ac:dyDescent="0.25">
      <c r="A7961" s="2" t="s">
        <v>23</v>
      </c>
      <c r="B7961">
        <v>110</v>
      </c>
      <c r="C7961" s="2" t="s">
        <v>185</v>
      </c>
      <c r="D7961">
        <v>82</v>
      </c>
    </row>
    <row r="7962" spans="1:4" hidden="1" x14ac:dyDescent="0.25">
      <c r="A7962" s="2" t="s">
        <v>23</v>
      </c>
      <c r="B7962">
        <v>110</v>
      </c>
      <c r="C7962" s="2" t="s">
        <v>186</v>
      </c>
      <c r="D7962">
        <v>54</v>
      </c>
    </row>
    <row r="7963" spans="1:4" hidden="1" x14ac:dyDescent="0.25">
      <c r="A7963" s="2" t="s">
        <v>23</v>
      </c>
      <c r="B7963">
        <v>110</v>
      </c>
      <c r="C7963" s="2" t="s">
        <v>187</v>
      </c>
      <c r="D7963">
        <v>55</v>
      </c>
    </row>
    <row r="7964" spans="1:4" hidden="1" x14ac:dyDescent="0.25">
      <c r="A7964" s="2" t="s">
        <v>23</v>
      </c>
      <c r="B7964">
        <v>110</v>
      </c>
      <c r="C7964" s="2" t="s">
        <v>188</v>
      </c>
      <c r="D7964">
        <v>53</v>
      </c>
    </row>
    <row r="7965" spans="1:4" hidden="1" x14ac:dyDescent="0.25">
      <c r="A7965" s="2" t="s">
        <v>23</v>
      </c>
      <c r="B7965">
        <v>110</v>
      </c>
      <c r="C7965" s="2" t="s">
        <v>189</v>
      </c>
      <c r="D7965">
        <v>61</v>
      </c>
    </row>
    <row r="7966" spans="1:4" hidden="1" x14ac:dyDescent="0.25">
      <c r="A7966" s="2" t="s">
        <v>23</v>
      </c>
      <c r="B7966">
        <v>110</v>
      </c>
      <c r="C7966" s="2" t="s">
        <v>190</v>
      </c>
      <c r="D7966">
        <v>49</v>
      </c>
    </row>
    <row r="7967" spans="1:4" hidden="1" x14ac:dyDescent="0.25">
      <c r="A7967" s="2" t="s">
        <v>23</v>
      </c>
      <c r="B7967">
        <v>110</v>
      </c>
      <c r="C7967" s="2" t="s">
        <v>191</v>
      </c>
      <c r="D7967">
        <v>52</v>
      </c>
    </row>
    <row r="7968" spans="1:4" hidden="1" x14ac:dyDescent="0.25">
      <c r="A7968" s="2" t="s">
        <v>23</v>
      </c>
      <c r="B7968">
        <v>110</v>
      </c>
      <c r="C7968" s="2" t="s">
        <v>116</v>
      </c>
      <c r="D7968">
        <v>56</v>
      </c>
    </row>
    <row r="7969" spans="1:4" hidden="1" x14ac:dyDescent="0.25">
      <c r="A7969" s="2" t="s">
        <v>23</v>
      </c>
      <c r="B7969">
        <v>110</v>
      </c>
      <c r="C7969" s="2" t="s">
        <v>117</v>
      </c>
      <c r="D7969">
        <v>51</v>
      </c>
    </row>
    <row r="7970" spans="1:4" hidden="1" x14ac:dyDescent="0.25">
      <c r="A7970" s="2" t="s">
        <v>23</v>
      </c>
      <c r="B7970">
        <v>110</v>
      </c>
      <c r="C7970" s="2" t="s">
        <v>118</v>
      </c>
      <c r="D7970">
        <v>54</v>
      </c>
    </row>
    <row r="7971" spans="1:4" hidden="1" x14ac:dyDescent="0.25">
      <c r="A7971" s="2" t="s">
        <v>23</v>
      </c>
      <c r="B7971">
        <v>110</v>
      </c>
      <c r="C7971" s="2" t="s">
        <v>119</v>
      </c>
      <c r="D7971">
        <v>80</v>
      </c>
    </row>
    <row r="7972" spans="1:4" hidden="1" x14ac:dyDescent="0.25">
      <c r="A7972" s="2" t="s">
        <v>23</v>
      </c>
      <c r="B7972">
        <v>110</v>
      </c>
      <c r="C7972" s="2" t="s">
        <v>120</v>
      </c>
      <c r="D7972">
        <v>77</v>
      </c>
    </row>
    <row r="7973" spans="1:4" hidden="1" x14ac:dyDescent="0.25">
      <c r="A7973" s="2" t="s">
        <v>23</v>
      </c>
      <c r="B7973">
        <v>110</v>
      </c>
      <c r="C7973" s="2" t="s">
        <v>121</v>
      </c>
      <c r="D7973">
        <v>92</v>
      </c>
    </row>
    <row r="7974" spans="1:4" hidden="1" x14ac:dyDescent="0.25">
      <c r="A7974" s="2" t="s">
        <v>23</v>
      </c>
      <c r="B7974">
        <v>110</v>
      </c>
      <c r="C7974" s="2" t="s">
        <v>122</v>
      </c>
      <c r="D7974">
        <v>90</v>
      </c>
    </row>
    <row r="7975" spans="1:4" hidden="1" x14ac:dyDescent="0.25">
      <c r="A7975" s="2" t="s">
        <v>23</v>
      </c>
      <c r="B7975">
        <v>110</v>
      </c>
      <c r="C7975" s="2" t="s">
        <v>123</v>
      </c>
      <c r="D7975">
        <v>94</v>
      </c>
    </row>
    <row r="7976" spans="1:4" hidden="1" x14ac:dyDescent="0.25">
      <c r="A7976" s="2" t="s">
        <v>23</v>
      </c>
      <c r="B7976">
        <v>110</v>
      </c>
      <c r="C7976" s="2" t="s">
        <v>124</v>
      </c>
      <c r="D7976">
        <v>95</v>
      </c>
    </row>
    <row r="7977" spans="1:4" hidden="1" x14ac:dyDescent="0.25">
      <c r="A7977" s="2" t="s">
        <v>23</v>
      </c>
      <c r="B7977">
        <v>110</v>
      </c>
      <c r="C7977" s="2" t="s">
        <v>125</v>
      </c>
      <c r="D7977">
        <v>101</v>
      </c>
    </row>
    <row r="7978" spans="1:4" hidden="1" x14ac:dyDescent="0.25">
      <c r="A7978" s="2" t="s">
        <v>23</v>
      </c>
      <c r="B7978">
        <v>110</v>
      </c>
      <c r="C7978" s="2" t="s">
        <v>126</v>
      </c>
      <c r="D7978">
        <v>104</v>
      </c>
    </row>
    <row r="7979" spans="1:4" hidden="1" x14ac:dyDescent="0.25">
      <c r="A7979" s="2" t="s">
        <v>23</v>
      </c>
      <c r="B7979">
        <v>110</v>
      </c>
      <c r="C7979" s="2" t="s">
        <v>127</v>
      </c>
      <c r="D7979">
        <v>95</v>
      </c>
    </row>
    <row r="7980" spans="1:4" hidden="1" x14ac:dyDescent="0.25">
      <c r="A7980" s="2" t="s">
        <v>23</v>
      </c>
      <c r="B7980">
        <v>110</v>
      </c>
      <c r="C7980" s="2" t="s">
        <v>128</v>
      </c>
      <c r="D7980">
        <v>98</v>
      </c>
    </row>
    <row r="7981" spans="1:4" hidden="1" x14ac:dyDescent="0.25">
      <c r="A7981" s="2" t="s">
        <v>23</v>
      </c>
      <c r="B7981">
        <v>110</v>
      </c>
      <c r="C7981" s="2" t="s">
        <v>129</v>
      </c>
      <c r="D7981">
        <v>109</v>
      </c>
    </row>
    <row r="7982" spans="1:4" hidden="1" x14ac:dyDescent="0.25">
      <c r="A7982" s="2" t="s">
        <v>23</v>
      </c>
      <c r="B7982">
        <v>110</v>
      </c>
      <c r="C7982" s="2" t="s">
        <v>130</v>
      </c>
      <c r="D7982">
        <v>106</v>
      </c>
    </row>
    <row r="7983" spans="1:4" hidden="1" x14ac:dyDescent="0.25">
      <c r="A7983" s="2" t="s">
        <v>23</v>
      </c>
      <c r="B7983">
        <v>110</v>
      </c>
      <c r="C7983" s="2" t="s">
        <v>131</v>
      </c>
      <c r="D7983">
        <v>111</v>
      </c>
    </row>
    <row r="7984" spans="1:4" hidden="1" x14ac:dyDescent="0.25">
      <c r="A7984" s="2" t="s">
        <v>23</v>
      </c>
      <c r="B7984">
        <v>110</v>
      </c>
      <c r="C7984" s="2" t="s">
        <v>132</v>
      </c>
      <c r="D7984">
        <v>110</v>
      </c>
    </row>
    <row r="7985" spans="1:4" hidden="1" x14ac:dyDescent="0.25">
      <c r="A7985" s="2" t="s">
        <v>23</v>
      </c>
      <c r="B7985">
        <v>110</v>
      </c>
      <c r="C7985" s="2" t="s">
        <v>133</v>
      </c>
      <c r="D7985">
        <v>110</v>
      </c>
    </row>
    <row r="7986" spans="1:4" hidden="1" x14ac:dyDescent="0.25">
      <c r="A7986" s="2" t="s">
        <v>23</v>
      </c>
      <c r="B7986">
        <v>110</v>
      </c>
      <c r="C7986" s="2" t="s">
        <v>134</v>
      </c>
      <c r="D7986">
        <v>112</v>
      </c>
    </row>
    <row r="7987" spans="1:4" hidden="1" x14ac:dyDescent="0.25">
      <c r="A7987" s="2" t="s">
        <v>23</v>
      </c>
      <c r="B7987">
        <v>110</v>
      </c>
      <c r="C7987" s="2" t="s">
        <v>135</v>
      </c>
      <c r="D7987">
        <v>110</v>
      </c>
    </row>
    <row r="7988" spans="1:4" hidden="1" x14ac:dyDescent="0.25">
      <c r="A7988" s="2" t="s">
        <v>23</v>
      </c>
      <c r="B7988">
        <v>110</v>
      </c>
      <c r="C7988" s="2" t="s">
        <v>136</v>
      </c>
      <c r="D7988">
        <v>110</v>
      </c>
    </row>
    <row r="7989" spans="1:4" hidden="1" x14ac:dyDescent="0.25">
      <c r="A7989" s="2" t="s">
        <v>23</v>
      </c>
      <c r="B7989">
        <v>110</v>
      </c>
      <c r="C7989" s="2" t="s">
        <v>137</v>
      </c>
      <c r="D7989">
        <v>110</v>
      </c>
    </row>
    <row r="7990" spans="1:4" hidden="1" x14ac:dyDescent="0.25">
      <c r="A7990" s="2" t="s">
        <v>23</v>
      </c>
      <c r="B7990">
        <v>110</v>
      </c>
      <c r="C7990" s="2" t="s">
        <v>138</v>
      </c>
      <c r="D7990">
        <v>110</v>
      </c>
    </row>
    <row r="7991" spans="1:4" hidden="1" x14ac:dyDescent="0.25">
      <c r="A7991" s="2" t="s">
        <v>23</v>
      </c>
      <c r="B7991">
        <v>110</v>
      </c>
      <c r="C7991" s="2" t="s">
        <v>139</v>
      </c>
      <c r="D7991">
        <v>110</v>
      </c>
    </row>
    <row r="7992" spans="1:4" hidden="1" x14ac:dyDescent="0.25">
      <c r="A7992" s="2" t="s">
        <v>23</v>
      </c>
      <c r="B7992">
        <v>110</v>
      </c>
      <c r="C7992" s="2" t="s">
        <v>140</v>
      </c>
      <c r="D7992">
        <v>110</v>
      </c>
    </row>
    <row r="7993" spans="1:4" hidden="1" x14ac:dyDescent="0.25">
      <c r="A7993" s="2" t="s">
        <v>23</v>
      </c>
      <c r="B7993">
        <v>110</v>
      </c>
      <c r="C7993" s="2" t="s">
        <v>141</v>
      </c>
      <c r="D7993">
        <v>110</v>
      </c>
    </row>
    <row r="7994" spans="1:4" hidden="1" x14ac:dyDescent="0.25">
      <c r="A7994" s="2" t="s">
        <v>23</v>
      </c>
      <c r="B7994">
        <v>110</v>
      </c>
      <c r="C7994" s="2" t="s">
        <v>142</v>
      </c>
      <c r="D7994">
        <v>110</v>
      </c>
    </row>
    <row r="7995" spans="1:4" hidden="1" x14ac:dyDescent="0.25">
      <c r="A7995" s="2" t="s">
        <v>23</v>
      </c>
      <c r="B7995">
        <v>110</v>
      </c>
      <c r="C7995" s="2" t="s">
        <v>143</v>
      </c>
      <c r="D7995">
        <v>110</v>
      </c>
    </row>
    <row r="7996" spans="1:4" hidden="1" x14ac:dyDescent="0.25">
      <c r="A7996" s="2" t="s">
        <v>23</v>
      </c>
      <c r="B7996">
        <v>110</v>
      </c>
      <c r="C7996" s="2" t="s">
        <v>144</v>
      </c>
      <c r="D7996">
        <v>110</v>
      </c>
    </row>
    <row r="7997" spans="1:4" hidden="1" x14ac:dyDescent="0.25">
      <c r="A7997" s="2" t="s">
        <v>23</v>
      </c>
      <c r="B7997">
        <v>110</v>
      </c>
      <c r="C7997" s="2" t="s">
        <v>145</v>
      </c>
      <c r="D7997">
        <v>110</v>
      </c>
    </row>
    <row r="7998" spans="1:4" hidden="1" x14ac:dyDescent="0.25">
      <c r="A7998" s="2" t="s">
        <v>23</v>
      </c>
      <c r="B7998">
        <v>110</v>
      </c>
      <c r="C7998" s="2" t="s">
        <v>146</v>
      </c>
      <c r="D7998">
        <v>110</v>
      </c>
    </row>
    <row r="7999" spans="1:4" hidden="1" x14ac:dyDescent="0.25">
      <c r="A7999" s="2" t="s">
        <v>23</v>
      </c>
      <c r="B7999">
        <v>110</v>
      </c>
      <c r="C7999" s="2" t="s">
        <v>147</v>
      </c>
      <c r="D7999">
        <v>110</v>
      </c>
    </row>
    <row r="8000" spans="1:4" hidden="1" x14ac:dyDescent="0.25">
      <c r="A8000" s="2" t="s">
        <v>23</v>
      </c>
      <c r="B8000">
        <v>110</v>
      </c>
      <c r="C8000" s="2" t="s">
        <v>148</v>
      </c>
      <c r="D8000">
        <v>110</v>
      </c>
    </row>
    <row r="8001" spans="1:4" hidden="1" x14ac:dyDescent="0.25">
      <c r="A8001" s="2" t="s">
        <v>23</v>
      </c>
      <c r="B8001">
        <v>110</v>
      </c>
      <c r="C8001" s="2" t="s">
        <v>149</v>
      </c>
      <c r="D8001">
        <v>110</v>
      </c>
    </row>
    <row r="8002" spans="1:4" hidden="1" x14ac:dyDescent="0.25">
      <c r="A8002" s="2" t="s">
        <v>23</v>
      </c>
      <c r="B8002">
        <v>110</v>
      </c>
      <c r="C8002" s="2" t="s">
        <v>150</v>
      </c>
      <c r="D8002">
        <v>110</v>
      </c>
    </row>
    <row r="8003" spans="1:4" hidden="1" x14ac:dyDescent="0.25">
      <c r="A8003" s="2" t="s">
        <v>23</v>
      </c>
      <c r="B8003">
        <v>110</v>
      </c>
      <c r="C8003" s="2" t="s">
        <v>151</v>
      </c>
      <c r="D8003">
        <v>110</v>
      </c>
    </row>
    <row r="8004" spans="1:4" hidden="1" x14ac:dyDescent="0.25">
      <c r="A8004" s="2" t="s">
        <v>23</v>
      </c>
      <c r="B8004">
        <v>110</v>
      </c>
      <c r="C8004" s="2" t="s">
        <v>152</v>
      </c>
      <c r="D8004">
        <v>110</v>
      </c>
    </row>
    <row r="8005" spans="1:4" hidden="1" x14ac:dyDescent="0.25">
      <c r="A8005" s="2" t="s">
        <v>23</v>
      </c>
      <c r="B8005">
        <v>110</v>
      </c>
      <c r="C8005" s="2" t="s">
        <v>153</v>
      </c>
      <c r="D8005">
        <v>110</v>
      </c>
    </row>
    <row r="8006" spans="1:4" hidden="1" x14ac:dyDescent="0.25">
      <c r="A8006" s="2" t="s">
        <v>23</v>
      </c>
      <c r="B8006">
        <v>110</v>
      </c>
      <c r="C8006" s="2" t="s">
        <v>154</v>
      </c>
      <c r="D8006">
        <v>110</v>
      </c>
    </row>
    <row r="8007" spans="1:4" hidden="1" x14ac:dyDescent="0.25">
      <c r="A8007" s="2" t="s">
        <v>23</v>
      </c>
      <c r="B8007">
        <v>110</v>
      </c>
      <c r="C8007" s="2" t="s">
        <v>155</v>
      </c>
      <c r="D8007">
        <v>110</v>
      </c>
    </row>
    <row r="8008" spans="1:4" hidden="1" x14ac:dyDescent="0.25">
      <c r="A8008" s="2" t="s">
        <v>23</v>
      </c>
      <c r="B8008">
        <v>110</v>
      </c>
      <c r="C8008" s="2" t="s">
        <v>156</v>
      </c>
      <c r="D8008">
        <v>110</v>
      </c>
    </row>
    <row r="8009" spans="1:4" hidden="1" x14ac:dyDescent="0.25">
      <c r="A8009" s="2" t="s">
        <v>23</v>
      </c>
      <c r="B8009">
        <v>110</v>
      </c>
      <c r="C8009" s="2" t="s">
        <v>157</v>
      </c>
      <c r="D8009">
        <v>110</v>
      </c>
    </row>
    <row r="8010" spans="1:4" hidden="1" x14ac:dyDescent="0.25">
      <c r="A8010" s="2" t="s">
        <v>23</v>
      </c>
      <c r="B8010">
        <v>110</v>
      </c>
      <c r="C8010" s="2" t="s">
        <v>158</v>
      </c>
      <c r="D8010">
        <v>110</v>
      </c>
    </row>
    <row r="8011" spans="1:4" hidden="1" x14ac:dyDescent="0.25">
      <c r="A8011" s="2" t="s">
        <v>23</v>
      </c>
      <c r="B8011">
        <v>110</v>
      </c>
      <c r="C8011" s="2" t="s">
        <v>159</v>
      </c>
      <c r="D8011">
        <v>110</v>
      </c>
    </row>
    <row r="8012" spans="1:4" hidden="1" x14ac:dyDescent="0.25">
      <c r="A8012" s="2" t="s">
        <v>23</v>
      </c>
      <c r="B8012">
        <v>110</v>
      </c>
      <c r="C8012" s="2" t="s">
        <v>160</v>
      </c>
      <c r="D8012">
        <v>110</v>
      </c>
    </row>
    <row r="8013" spans="1:4" hidden="1" x14ac:dyDescent="0.25">
      <c r="A8013" s="2" t="s">
        <v>23</v>
      </c>
      <c r="B8013">
        <v>110</v>
      </c>
      <c r="C8013" s="2" t="s">
        <v>161</v>
      </c>
      <c r="D8013">
        <v>110</v>
      </c>
    </row>
    <row r="8014" spans="1:4" hidden="1" x14ac:dyDescent="0.25">
      <c r="A8014" s="2" t="s">
        <v>23</v>
      </c>
      <c r="B8014">
        <v>110</v>
      </c>
      <c r="C8014" s="2" t="s">
        <v>162</v>
      </c>
      <c r="D8014">
        <v>110</v>
      </c>
    </row>
    <row r="8015" spans="1:4" hidden="1" x14ac:dyDescent="0.25">
      <c r="A8015" s="2" t="s">
        <v>23</v>
      </c>
      <c r="B8015">
        <v>110</v>
      </c>
      <c r="C8015" s="2" t="s">
        <v>163</v>
      </c>
      <c r="D8015">
        <v>110</v>
      </c>
    </row>
    <row r="8016" spans="1:4" hidden="1" x14ac:dyDescent="0.25">
      <c r="A8016" s="2" t="s">
        <v>23</v>
      </c>
      <c r="B8016">
        <v>110</v>
      </c>
      <c r="C8016" s="2" t="s">
        <v>164</v>
      </c>
      <c r="D8016">
        <v>110</v>
      </c>
    </row>
    <row r="8017" spans="1:4" hidden="1" x14ac:dyDescent="0.25">
      <c r="A8017" s="2" t="s">
        <v>23</v>
      </c>
      <c r="B8017">
        <v>110</v>
      </c>
      <c r="C8017" s="2" t="s">
        <v>165</v>
      </c>
      <c r="D8017">
        <v>110</v>
      </c>
    </row>
    <row r="8018" spans="1:4" hidden="1" x14ac:dyDescent="0.25">
      <c r="A8018" s="2" t="s">
        <v>23</v>
      </c>
      <c r="B8018">
        <v>110</v>
      </c>
      <c r="C8018" s="2" t="s">
        <v>166</v>
      </c>
      <c r="D8018">
        <v>110</v>
      </c>
    </row>
    <row r="8019" spans="1:4" hidden="1" x14ac:dyDescent="0.25">
      <c r="A8019" s="2" t="s">
        <v>23</v>
      </c>
      <c r="B8019">
        <v>110</v>
      </c>
      <c r="C8019" s="2" t="s">
        <v>167</v>
      </c>
      <c r="D8019">
        <v>110</v>
      </c>
    </row>
    <row r="8020" spans="1:4" hidden="1" x14ac:dyDescent="0.25">
      <c r="A8020" s="2" t="s">
        <v>23</v>
      </c>
      <c r="B8020">
        <v>110</v>
      </c>
      <c r="C8020" s="2" t="s">
        <v>168</v>
      </c>
      <c r="D8020">
        <v>110</v>
      </c>
    </row>
    <row r="8021" spans="1:4" hidden="1" x14ac:dyDescent="0.25">
      <c r="A8021" s="2" t="s">
        <v>23</v>
      </c>
      <c r="B8021">
        <v>110</v>
      </c>
      <c r="C8021" s="2" t="s">
        <v>169</v>
      </c>
      <c r="D8021">
        <v>110</v>
      </c>
    </row>
    <row r="8022" spans="1:4" hidden="1" x14ac:dyDescent="0.25">
      <c r="A8022" s="2" t="s">
        <v>23</v>
      </c>
      <c r="B8022">
        <v>110</v>
      </c>
      <c r="C8022" s="2" t="s">
        <v>170</v>
      </c>
      <c r="D8022">
        <v>110</v>
      </c>
    </row>
    <row r="8023" spans="1:4" hidden="1" x14ac:dyDescent="0.25">
      <c r="A8023" s="2" t="s">
        <v>23</v>
      </c>
      <c r="B8023">
        <v>110</v>
      </c>
      <c r="C8023" s="2" t="s">
        <v>171</v>
      </c>
      <c r="D8023">
        <v>110</v>
      </c>
    </row>
    <row r="8024" spans="1:4" hidden="1" x14ac:dyDescent="0.25">
      <c r="A8024" s="2" t="s">
        <v>23</v>
      </c>
      <c r="B8024">
        <v>110</v>
      </c>
      <c r="C8024" s="2" t="s">
        <v>172</v>
      </c>
      <c r="D8024">
        <v>110</v>
      </c>
    </row>
    <row r="8025" spans="1:4" hidden="1" x14ac:dyDescent="0.25">
      <c r="A8025" s="2" t="s">
        <v>23</v>
      </c>
      <c r="B8025">
        <v>110</v>
      </c>
      <c r="C8025" s="2" t="s">
        <v>173</v>
      </c>
      <c r="D8025">
        <v>110</v>
      </c>
    </row>
    <row r="8026" spans="1:4" hidden="1" x14ac:dyDescent="0.25">
      <c r="A8026" s="2" t="s">
        <v>23</v>
      </c>
      <c r="B8026">
        <v>110</v>
      </c>
      <c r="C8026" s="2" t="s">
        <v>174</v>
      </c>
      <c r="D8026">
        <v>110</v>
      </c>
    </row>
    <row r="8027" spans="1:4" hidden="1" x14ac:dyDescent="0.25">
      <c r="A8027" s="2" t="s">
        <v>23</v>
      </c>
      <c r="B8027">
        <v>110</v>
      </c>
      <c r="C8027" s="2" t="s">
        <v>175</v>
      </c>
      <c r="D8027">
        <v>110</v>
      </c>
    </row>
    <row r="8028" spans="1:4" hidden="1" x14ac:dyDescent="0.25">
      <c r="A8028" s="2" t="s">
        <v>23</v>
      </c>
      <c r="B8028">
        <v>110</v>
      </c>
      <c r="C8028" s="2" t="s">
        <v>176</v>
      </c>
      <c r="D8028">
        <v>110</v>
      </c>
    </row>
    <row r="8029" spans="1:4" hidden="1" x14ac:dyDescent="0.25">
      <c r="A8029" s="2" t="s">
        <v>23</v>
      </c>
      <c r="B8029">
        <v>110</v>
      </c>
      <c r="C8029" s="2" t="s">
        <v>177</v>
      </c>
      <c r="D8029">
        <v>110</v>
      </c>
    </row>
    <row r="8030" spans="1:4" hidden="1" x14ac:dyDescent="0.25">
      <c r="A8030" s="2" t="s">
        <v>23</v>
      </c>
      <c r="B8030">
        <v>110</v>
      </c>
      <c r="C8030" s="2" t="s">
        <v>178</v>
      </c>
      <c r="D8030">
        <v>110</v>
      </c>
    </row>
    <row r="8031" spans="1:4" hidden="1" x14ac:dyDescent="0.25">
      <c r="A8031" s="2" t="s">
        <v>23</v>
      </c>
      <c r="B8031">
        <v>110</v>
      </c>
      <c r="C8031" s="2" t="s">
        <v>179</v>
      </c>
      <c r="D8031">
        <v>110</v>
      </c>
    </row>
    <row r="8032" spans="1:4" hidden="1" x14ac:dyDescent="0.25">
      <c r="A8032" s="2" t="s">
        <v>69</v>
      </c>
      <c r="B8032">
        <v>111</v>
      </c>
      <c r="C8032" s="2" t="s">
        <v>183</v>
      </c>
      <c r="D8032">
        <v>65</v>
      </c>
    </row>
    <row r="8033" spans="1:4" hidden="1" x14ac:dyDescent="0.25">
      <c r="A8033" s="2" t="s">
        <v>69</v>
      </c>
      <c r="B8033">
        <v>111</v>
      </c>
      <c r="C8033" s="2" t="s">
        <v>184</v>
      </c>
      <c r="D8033">
        <v>62</v>
      </c>
    </row>
    <row r="8034" spans="1:4" hidden="1" x14ac:dyDescent="0.25">
      <c r="A8034" s="2" t="s">
        <v>69</v>
      </c>
      <c r="B8034">
        <v>111</v>
      </c>
      <c r="C8034" s="2" t="s">
        <v>185</v>
      </c>
      <c r="D8034">
        <v>82</v>
      </c>
    </row>
    <row r="8035" spans="1:4" hidden="1" x14ac:dyDescent="0.25">
      <c r="A8035" s="2" t="s">
        <v>69</v>
      </c>
      <c r="B8035">
        <v>111</v>
      </c>
      <c r="C8035" s="2" t="s">
        <v>186</v>
      </c>
      <c r="D8035">
        <v>98</v>
      </c>
    </row>
    <row r="8036" spans="1:4" hidden="1" x14ac:dyDescent="0.25">
      <c r="A8036" s="2" t="s">
        <v>69</v>
      </c>
      <c r="B8036">
        <v>111</v>
      </c>
      <c r="C8036" s="2" t="s">
        <v>187</v>
      </c>
      <c r="D8036">
        <v>98</v>
      </c>
    </row>
    <row r="8037" spans="1:4" hidden="1" x14ac:dyDescent="0.25">
      <c r="A8037" s="2" t="s">
        <v>69</v>
      </c>
      <c r="B8037">
        <v>111</v>
      </c>
      <c r="C8037" s="2" t="s">
        <v>188</v>
      </c>
      <c r="D8037">
        <v>105</v>
      </c>
    </row>
    <row r="8038" spans="1:4" hidden="1" x14ac:dyDescent="0.25">
      <c r="A8038" s="2" t="s">
        <v>69</v>
      </c>
      <c r="B8038">
        <v>111</v>
      </c>
      <c r="C8038" s="2" t="s">
        <v>189</v>
      </c>
      <c r="D8038">
        <v>108</v>
      </c>
    </row>
    <row r="8039" spans="1:4" hidden="1" x14ac:dyDescent="0.25">
      <c r="A8039" s="2" t="s">
        <v>69</v>
      </c>
      <c r="B8039">
        <v>111</v>
      </c>
      <c r="C8039" s="2" t="s">
        <v>190</v>
      </c>
      <c r="D8039">
        <v>108</v>
      </c>
    </row>
    <row r="8040" spans="1:4" hidden="1" x14ac:dyDescent="0.25">
      <c r="A8040" s="2" t="s">
        <v>69</v>
      </c>
      <c r="B8040">
        <v>111</v>
      </c>
      <c r="C8040" s="2" t="s">
        <v>191</v>
      </c>
      <c r="D8040">
        <v>108</v>
      </c>
    </row>
    <row r="8041" spans="1:4" hidden="1" x14ac:dyDescent="0.25">
      <c r="A8041" s="2" t="s">
        <v>69</v>
      </c>
      <c r="B8041">
        <v>111</v>
      </c>
      <c r="C8041" s="2" t="s">
        <v>116</v>
      </c>
      <c r="D8041">
        <v>109</v>
      </c>
    </row>
    <row r="8042" spans="1:4" hidden="1" x14ac:dyDescent="0.25">
      <c r="A8042" s="2" t="s">
        <v>69</v>
      </c>
      <c r="B8042">
        <v>111</v>
      </c>
      <c r="C8042" s="2" t="s">
        <v>117</v>
      </c>
      <c r="D8042">
        <v>109</v>
      </c>
    </row>
    <row r="8043" spans="1:4" hidden="1" x14ac:dyDescent="0.25">
      <c r="A8043" s="2" t="s">
        <v>69</v>
      </c>
      <c r="B8043">
        <v>111</v>
      </c>
      <c r="C8043" s="2" t="s">
        <v>118</v>
      </c>
      <c r="D8043">
        <v>112</v>
      </c>
    </row>
    <row r="8044" spans="1:4" hidden="1" x14ac:dyDescent="0.25">
      <c r="A8044" s="2" t="s">
        <v>69</v>
      </c>
      <c r="B8044">
        <v>111</v>
      </c>
      <c r="C8044" s="2" t="s">
        <v>119</v>
      </c>
      <c r="D8044">
        <v>111</v>
      </c>
    </row>
    <row r="8045" spans="1:4" hidden="1" x14ac:dyDescent="0.25">
      <c r="A8045" s="2" t="s">
        <v>69</v>
      </c>
      <c r="B8045">
        <v>111</v>
      </c>
      <c r="C8045" s="2" t="s">
        <v>120</v>
      </c>
      <c r="D8045">
        <v>113</v>
      </c>
    </row>
    <row r="8046" spans="1:4" hidden="1" x14ac:dyDescent="0.25">
      <c r="A8046" s="2" t="s">
        <v>69</v>
      </c>
      <c r="B8046">
        <v>111</v>
      </c>
      <c r="C8046" s="2" t="s">
        <v>121</v>
      </c>
      <c r="D8046">
        <v>113</v>
      </c>
    </row>
    <row r="8047" spans="1:4" hidden="1" x14ac:dyDescent="0.25">
      <c r="A8047" s="2" t="s">
        <v>69</v>
      </c>
      <c r="B8047">
        <v>111</v>
      </c>
      <c r="C8047" s="2" t="s">
        <v>122</v>
      </c>
      <c r="D8047">
        <v>112</v>
      </c>
    </row>
    <row r="8048" spans="1:4" hidden="1" x14ac:dyDescent="0.25">
      <c r="A8048" s="2" t="s">
        <v>69</v>
      </c>
      <c r="B8048">
        <v>111</v>
      </c>
      <c r="C8048" s="2" t="s">
        <v>123</v>
      </c>
      <c r="D8048">
        <v>114</v>
      </c>
    </row>
    <row r="8049" spans="1:4" hidden="1" x14ac:dyDescent="0.25">
      <c r="A8049" s="2" t="s">
        <v>69</v>
      </c>
      <c r="B8049">
        <v>111</v>
      </c>
      <c r="C8049" s="2" t="s">
        <v>124</v>
      </c>
      <c r="D8049">
        <v>114</v>
      </c>
    </row>
    <row r="8050" spans="1:4" hidden="1" x14ac:dyDescent="0.25">
      <c r="A8050" s="2" t="s">
        <v>69</v>
      </c>
      <c r="B8050">
        <v>111</v>
      </c>
      <c r="C8050" s="2" t="s">
        <v>125</v>
      </c>
      <c r="D8050">
        <v>114</v>
      </c>
    </row>
    <row r="8051" spans="1:4" hidden="1" x14ac:dyDescent="0.25">
      <c r="A8051" s="2" t="s">
        <v>69</v>
      </c>
      <c r="B8051">
        <v>111</v>
      </c>
      <c r="C8051" s="2" t="s">
        <v>126</v>
      </c>
      <c r="D8051">
        <v>114</v>
      </c>
    </row>
    <row r="8052" spans="1:4" hidden="1" x14ac:dyDescent="0.25">
      <c r="A8052" s="2" t="s">
        <v>69</v>
      </c>
      <c r="B8052">
        <v>111</v>
      </c>
      <c r="C8052" s="2" t="s">
        <v>127</v>
      </c>
      <c r="D8052">
        <v>114</v>
      </c>
    </row>
    <row r="8053" spans="1:4" hidden="1" x14ac:dyDescent="0.25">
      <c r="A8053" s="2" t="s">
        <v>69</v>
      </c>
      <c r="B8053">
        <v>111</v>
      </c>
      <c r="C8053" s="2" t="s">
        <v>128</v>
      </c>
      <c r="D8053">
        <v>114</v>
      </c>
    </row>
    <row r="8054" spans="1:4" hidden="1" x14ac:dyDescent="0.25">
      <c r="A8054" s="2" t="s">
        <v>69</v>
      </c>
      <c r="B8054">
        <v>111</v>
      </c>
      <c r="C8054" s="2" t="s">
        <v>129</v>
      </c>
      <c r="D8054">
        <v>114</v>
      </c>
    </row>
    <row r="8055" spans="1:4" hidden="1" x14ac:dyDescent="0.25">
      <c r="A8055" s="2" t="s">
        <v>69</v>
      </c>
      <c r="B8055">
        <v>111</v>
      </c>
      <c r="C8055" s="2" t="s">
        <v>130</v>
      </c>
      <c r="D8055">
        <v>113</v>
      </c>
    </row>
    <row r="8056" spans="1:4" hidden="1" x14ac:dyDescent="0.25">
      <c r="A8056" s="2" t="s">
        <v>69</v>
      </c>
      <c r="B8056">
        <v>111</v>
      </c>
      <c r="C8056" s="2" t="s">
        <v>131</v>
      </c>
      <c r="D8056">
        <v>113</v>
      </c>
    </row>
    <row r="8057" spans="1:4" hidden="1" x14ac:dyDescent="0.25">
      <c r="A8057" s="2" t="s">
        <v>69</v>
      </c>
      <c r="B8057">
        <v>111</v>
      </c>
      <c r="C8057" s="2" t="s">
        <v>132</v>
      </c>
      <c r="D8057">
        <v>113</v>
      </c>
    </row>
    <row r="8058" spans="1:4" hidden="1" x14ac:dyDescent="0.25">
      <c r="A8058" s="2" t="s">
        <v>69</v>
      </c>
      <c r="B8058">
        <v>111</v>
      </c>
      <c r="C8058" s="2" t="s">
        <v>133</v>
      </c>
      <c r="D8058">
        <v>113</v>
      </c>
    </row>
    <row r="8059" spans="1:4" hidden="1" x14ac:dyDescent="0.25">
      <c r="A8059" s="2" t="s">
        <v>69</v>
      </c>
      <c r="B8059">
        <v>111</v>
      </c>
      <c r="C8059" s="2" t="s">
        <v>134</v>
      </c>
      <c r="D8059">
        <v>113</v>
      </c>
    </row>
    <row r="8060" spans="1:4" hidden="1" x14ac:dyDescent="0.25">
      <c r="A8060" s="2" t="s">
        <v>69</v>
      </c>
      <c r="B8060">
        <v>111</v>
      </c>
      <c r="C8060" s="2" t="s">
        <v>135</v>
      </c>
      <c r="D8060">
        <v>111</v>
      </c>
    </row>
    <row r="8061" spans="1:4" hidden="1" x14ac:dyDescent="0.25">
      <c r="A8061" s="2" t="s">
        <v>69</v>
      </c>
      <c r="B8061">
        <v>111</v>
      </c>
      <c r="C8061" s="2" t="s">
        <v>136</v>
      </c>
      <c r="D8061">
        <v>111</v>
      </c>
    </row>
    <row r="8062" spans="1:4" hidden="1" x14ac:dyDescent="0.25">
      <c r="A8062" s="2" t="s">
        <v>69</v>
      </c>
      <c r="B8062">
        <v>111</v>
      </c>
      <c r="C8062" s="2" t="s">
        <v>137</v>
      </c>
      <c r="D8062">
        <v>111</v>
      </c>
    </row>
    <row r="8063" spans="1:4" hidden="1" x14ac:dyDescent="0.25">
      <c r="A8063" s="2" t="s">
        <v>69</v>
      </c>
      <c r="B8063">
        <v>111</v>
      </c>
      <c r="C8063" s="2" t="s">
        <v>138</v>
      </c>
      <c r="D8063">
        <v>111</v>
      </c>
    </row>
    <row r="8064" spans="1:4" hidden="1" x14ac:dyDescent="0.25">
      <c r="A8064" s="2" t="s">
        <v>69</v>
      </c>
      <c r="B8064">
        <v>111</v>
      </c>
      <c r="C8064" s="2" t="s">
        <v>139</v>
      </c>
      <c r="D8064">
        <v>111</v>
      </c>
    </row>
    <row r="8065" spans="1:4" hidden="1" x14ac:dyDescent="0.25">
      <c r="A8065" s="2" t="s">
        <v>69</v>
      </c>
      <c r="B8065">
        <v>111</v>
      </c>
      <c r="C8065" s="2" t="s">
        <v>140</v>
      </c>
      <c r="D8065">
        <v>111</v>
      </c>
    </row>
    <row r="8066" spans="1:4" hidden="1" x14ac:dyDescent="0.25">
      <c r="A8066" s="2" t="s">
        <v>69</v>
      </c>
      <c r="B8066">
        <v>111</v>
      </c>
      <c r="C8066" s="2" t="s">
        <v>141</v>
      </c>
      <c r="D8066">
        <v>111</v>
      </c>
    </row>
    <row r="8067" spans="1:4" hidden="1" x14ac:dyDescent="0.25">
      <c r="A8067" s="2" t="s">
        <v>69</v>
      </c>
      <c r="B8067">
        <v>111</v>
      </c>
      <c r="C8067" s="2" t="s">
        <v>142</v>
      </c>
      <c r="D8067">
        <v>111</v>
      </c>
    </row>
    <row r="8068" spans="1:4" hidden="1" x14ac:dyDescent="0.25">
      <c r="A8068" s="2" t="s">
        <v>69</v>
      </c>
      <c r="B8068">
        <v>111</v>
      </c>
      <c r="C8068" s="2" t="s">
        <v>143</v>
      </c>
      <c r="D8068">
        <v>111</v>
      </c>
    </row>
    <row r="8069" spans="1:4" hidden="1" x14ac:dyDescent="0.25">
      <c r="A8069" s="2" t="s">
        <v>69</v>
      </c>
      <c r="B8069">
        <v>111</v>
      </c>
      <c r="C8069" s="2" t="s">
        <v>144</v>
      </c>
      <c r="D8069">
        <v>111</v>
      </c>
    </row>
    <row r="8070" spans="1:4" hidden="1" x14ac:dyDescent="0.25">
      <c r="A8070" s="2" t="s">
        <v>69</v>
      </c>
      <c r="B8070">
        <v>111</v>
      </c>
      <c r="C8070" s="2" t="s">
        <v>145</v>
      </c>
      <c r="D8070">
        <v>111</v>
      </c>
    </row>
    <row r="8071" spans="1:4" hidden="1" x14ac:dyDescent="0.25">
      <c r="A8071" s="2" t="s">
        <v>69</v>
      </c>
      <c r="B8071">
        <v>111</v>
      </c>
      <c r="C8071" s="2" t="s">
        <v>146</v>
      </c>
      <c r="D8071">
        <v>111</v>
      </c>
    </row>
    <row r="8072" spans="1:4" hidden="1" x14ac:dyDescent="0.25">
      <c r="A8072" s="2" t="s">
        <v>69</v>
      </c>
      <c r="B8072">
        <v>111</v>
      </c>
      <c r="C8072" s="2" t="s">
        <v>147</v>
      </c>
      <c r="D8072">
        <v>111</v>
      </c>
    </row>
    <row r="8073" spans="1:4" hidden="1" x14ac:dyDescent="0.25">
      <c r="A8073" s="2" t="s">
        <v>69</v>
      </c>
      <c r="B8073">
        <v>111</v>
      </c>
      <c r="C8073" s="2" t="s">
        <v>148</v>
      </c>
      <c r="D8073">
        <v>111</v>
      </c>
    </row>
    <row r="8074" spans="1:4" hidden="1" x14ac:dyDescent="0.25">
      <c r="A8074" s="2" t="s">
        <v>69</v>
      </c>
      <c r="B8074">
        <v>111</v>
      </c>
      <c r="C8074" s="2" t="s">
        <v>149</v>
      </c>
      <c r="D8074">
        <v>111</v>
      </c>
    </row>
    <row r="8075" spans="1:4" hidden="1" x14ac:dyDescent="0.25">
      <c r="A8075" s="2" t="s">
        <v>69</v>
      </c>
      <c r="B8075">
        <v>111</v>
      </c>
      <c r="C8075" s="2" t="s">
        <v>150</v>
      </c>
      <c r="D8075">
        <v>111</v>
      </c>
    </row>
    <row r="8076" spans="1:4" hidden="1" x14ac:dyDescent="0.25">
      <c r="A8076" s="2" t="s">
        <v>69</v>
      </c>
      <c r="B8076">
        <v>111</v>
      </c>
      <c r="C8076" s="2" t="s">
        <v>151</v>
      </c>
      <c r="D8076">
        <v>111</v>
      </c>
    </row>
    <row r="8077" spans="1:4" hidden="1" x14ac:dyDescent="0.25">
      <c r="A8077" s="2" t="s">
        <v>69</v>
      </c>
      <c r="B8077">
        <v>111</v>
      </c>
      <c r="C8077" s="2" t="s">
        <v>152</v>
      </c>
      <c r="D8077">
        <v>111</v>
      </c>
    </row>
    <row r="8078" spans="1:4" hidden="1" x14ac:dyDescent="0.25">
      <c r="A8078" s="2" t="s">
        <v>69</v>
      </c>
      <c r="B8078">
        <v>111</v>
      </c>
      <c r="C8078" s="2" t="s">
        <v>153</v>
      </c>
      <c r="D8078">
        <v>111</v>
      </c>
    </row>
    <row r="8079" spans="1:4" hidden="1" x14ac:dyDescent="0.25">
      <c r="A8079" s="2" t="s">
        <v>69</v>
      </c>
      <c r="B8079">
        <v>111</v>
      </c>
      <c r="C8079" s="2" t="s">
        <v>154</v>
      </c>
      <c r="D8079">
        <v>111</v>
      </c>
    </row>
    <row r="8080" spans="1:4" hidden="1" x14ac:dyDescent="0.25">
      <c r="A8080" s="2" t="s">
        <v>69</v>
      </c>
      <c r="B8080">
        <v>111</v>
      </c>
      <c r="C8080" s="2" t="s">
        <v>155</v>
      </c>
      <c r="D8080">
        <v>111</v>
      </c>
    </row>
    <row r="8081" spans="1:4" hidden="1" x14ac:dyDescent="0.25">
      <c r="A8081" s="2" t="s">
        <v>69</v>
      </c>
      <c r="B8081">
        <v>111</v>
      </c>
      <c r="C8081" s="2" t="s">
        <v>156</v>
      </c>
      <c r="D8081">
        <v>111</v>
      </c>
    </row>
    <row r="8082" spans="1:4" hidden="1" x14ac:dyDescent="0.25">
      <c r="A8082" s="2" t="s">
        <v>69</v>
      </c>
      <c r="B8082">
        <v>111</v>
      </c>
      <c r="C8082" s="2" t="s">
        <v>157</v>
      </c>
      <c r="D8082">
        <v>111</v>
      </c>
    </row>
    <row r="8083" spans="1:4" hidden="1" x14ac:dyDescent="0.25">
      <c r="A8083" s="2" t="s">
        <v>69</v>
      </c>
      <c r="B8083">
        <v>111</v>
      </c>
      <c r="C8083" s="2" t="s">
        <v>158</v>
      </c>
      <c r="D8083">
        <v>111</v>
      </c>
    </row>
    <row r="8084" spans="1:4" hidden="1" x14ac:dyDescent="0.25">
      <c r="A8084" s="2" t="s">
        <v>69</v>
      </c>
      <c r="B8084">
        <v>111</v>
      </c>
      <c r="C8084" s="2" t="s">
        <v>159</v>
      </c>
      <c r="D8084">
        <v>111</v>
      </c>
    </row>
    <row r="8085" spans="1:4" hidden="1" x14ac:dyDescent="0.25">
      <c r="A8085" s="2" t="s">
        <v>69</v>
      </c>
      <c r="B8085">
        <v>111</v>
      </c>
      <c r="C8085" s="2" t="s">
        <v>160</v>
      </c>
      <c r="D8085">
        <v>111</v>
      </c>
    </row>
    <row r="8086" spans="1:4" hidden="1" x14ac:dyDescent="0.25">
      <c r="A8086" s="2" t="s">
        <v>69</v>
      </c>
      <c r="B8086">
        <v>111</v>
      </c>
      <c r="C8086" s="2" t="s">
        <v>161</v>
      </c>
      <c r="D8086">
        <v>111</v>
      </c>
    </row>
    <row r="8087" spans="1:4" hidden="1" x14ac:dyDescent="0.25">
      <c r="A8087" s="2" t="s">
        <v>69</v>
      </c>
      <c r="B8087">
        <v>111</v>
      </c>
      <c r="C8087" s="2" t="s">
        <v>162</v>
      </c>
      <c r="D8087">
        <v>111</v>
      </c>
    </row>
    <row r="8088" spans="1:4" hidden="1" x14ac:dyDescent="0.25">
      <c r="A8088" s="2" t="s">
        <v>69</v>
      </c>
      <c r="B8088">
        <v>111</v>
      </c>
      <c r="C8088" s="2" t="s">
        <v>163</v>
      </c>
      <c r="D8088">
        <v>111</v>
      </c>
    </row>
    <row r="8089" spans="1:4" hidden="1" x14ac:dyDescent="0.25">
      <c r="A8089" s="2" t="s">
        <v>69</v>
      </c>
      <c r="B8089">
        <v>111</v>
      </c>
      <c r="C8089" s="2" t="s">
        <v>164</v>
      </c>
      <c r="D8089">
        <v>111</v>
      </c>
    </row>
    <row r="8090" spans="1:4" hidden="1" x14ac:dyDescent="0.25">
      <c r="A8090" s="2" t="s">
        <v>69</v>
      </c>
      <c r="B8090">
        <v>111</v>
      </c>
      <c r="C8090" s="2" t="s">
        <v>165</v>
      </c>
      <c r="D8090">
        <v>111</v>
      </c>
    </row>
    <row r="8091" spans="1:4" hidden="1" x14ac:dyDescent="0.25">
      <c r="A8091" s="2" t="s">
        <v>69</v>
      </c>
      <c r="B8091">
        <v>111</v>
      </c>
      <c r="C8091" s="2" t="s">
        <v>166</v>
      </c>
      <c r="D8091">
        <v>111</v>
      </c>
    </row>
    <row r="8092" spans="1:4" hidden="1" x14ac:dyDescent="0.25">
      <c r="A8092" s="2" t="s">
        <v>69</v>
      </c>
      <c r="B8092">
        <v>111</v>
      </c>
      <c r="C8092" s="2" t="s">
        <v>167</v>
      </c>
      <c r="D8092">
        <v>111</v>
      </c>
    </row>
    <row r="8093" spans="1:4" hidden="1" x14ac:dyDescent="0.25">
      <c r="A8093" s="2" t="s">
        <v>69</v>
      </c>
      <c r="B8093">
        <v>111</v>
      </c>
      <c r="C8093" s="2" t="s">
        <v>168</v>
      </c>
      <c r="D8093">
        <v>111</v>
      </c>
    </row>
    <row r="8094" spans="1:4" hidden="1" x14ac:dyDescent="0.25">
      <c r="A8094" s="2" t="s">
        <v>69</v>
      </c>
      <c r="B8094">
        <v>111</v>
      </c>
      <c r="C8094" s="2" t="s">
        <v>169</v>
      </c>
      <c r="D8094">
        <v>111</v>
      </c>
    </row>
    <row r="8095" spans="1:4" hidden="1" x14ac:dyDescent="0.25">
      <c r="A8095" s="2" t="s">
        <v>69</v>
      </c>
      <c r="B8095">
        <v>111</v>
      </c>
      <c r="C8095" s="2" t="s">
        <v>170</v>
      </c>
      <c r="D8095">
        <v>111</v>
      </c>
    </row>
    <row r="8096" spans="1:4" hidden="1" x14ac:dyDescent="0.25">
      <c r="A8096" s="2" t="s">
        <v>69</v>
      </c>
      <c r="B8096">
        <v>111</v>
      </c>
      <c r="C8096" s="2" t="s">
        <v>171</v>
      </c>
      <c r="D8096">
        <v>111</v>
      </c>
    </row>
    <row r="8097" spans="1:4" hidden="1" x14ac:dyDescent="0.25">
      <c r="A8097" s="2" t="s">
        <v>69</v>
      </c>
      <c r="B8097">
        <v>111</v>
      </c>
      <c r="C8097" s="2" t="s">
        <v>172</v>
      </c>
      <c r="D8097">
        <v>111</v>
      </c>
    </row>
    <row r="8098" spans="1:4" hidden="1" x14ac:dyDescent="0.25">
      <c r="A8098" s="2" t="s">
        <v>69</v>
      </c>
      <c r="B8098">
        <v>111</v>
      </c>
      <c r="C8098" s="2" t="s">
        <v>173</v>
      </c>
      <c r="D8098">
        <v>111</v>
      </c>
    </row>
    <row r="8099" spans="1:4" hidden="1" x14ac:dyDescent="0.25">
      <c r="A8099" s="2" t="s">
        <v>69</v>
      </c>
      <c r="B8099">
        <v>111</v>
      </c>
      <c r="C8099" s="2" t="s">
        <v>174</v>
      </c>
      <c r="D8099">
        <v>111</v>
      </c>
    </row>
    <row r="8100" spans="1:4" hidden="1" x14ac:dyDescent="0.25">
      <c r="A8100" s="2" t="s">
        <v>69</v>
      </c>
      <c r="B8100">
        <v>111</v>
      </c>
      <c r="C8100" s="2" t="s">
        <v>175</v>
      </c>
      <c r="D8100">
        <v>111</v>
      </c>
    </row>
    <row r="8101" spans="1:4" hidden="1" x14ac:dyDescent="0.25">
      <c r="A8101" s="2" t="s">
        <v>69</v>
      </c>
      <c r="B8101">
        <v>111</v>
      </c>
      <c r="C8101" s="2" t="s">
        <v>176</v>
      </c>
      <c r="D8101">
        <v>111</v>
      </c>
    </row>
    <row r="8102" spans="1:4" hidden="1" x14ac:dyDescent="0.25">
      <c r="A8102" s="2" t="s">
        <v>69</v>
      </c>
      <c r="B8102">
        <v>111</v>
      </c>
      <c r="C8102" s="2" t="s">
        <v>177</v>
      </c>
      <c r="D8102">
        <v>111</v>
      </c>
    </row>
    <row r="8103" spans="1:4" hidden="1" x14ac:dyDescent="0.25">
      <c r="A8103" s="2" t="s">
        <v>69</v>
      </c>
      <c r="B8103">
        <v>111</v>
      </c>
      <c r="C8103" s="2" t="s">
        <v>178</v>
      </c>
      <c r="D8103">
        <v>111</v>
      </c>
    </row>
    <row r="8104" spans="1:4" hidden="1" x14ac:dyDescent="0.25">
      <c r="A8104" s="2" t="s">
        <v>69</v>
      </c>
      <c r="B8104">
        <v>111</v>
      </c>
      <c r="C8104" s="2" t="s">
        <v>179</v>
      </c>
      <c r="D8104">
        <v>111</v>
      </c>
    </row>
    <row r="8105" spans="1:4" hidden="1" x14ac:dyDescent="0.25">
      <c r="A8105" s="2" t="s">
        <v>96</v>
      </c>
      <c r="B8105">
        <v>111</v>
      </c>
      <c r="C8105" s="2" t="s">
        <v>183</v>
      </c>
      <c r="D8105">
        <v>78</v>
      </c>
    </row>
    <row r="8106" spans="1:4" hidden="1" x14ac:dyDescent="0.25">
      <c r="A8106" s="2" t="s">
        <v>96</v>
      </c>
      <c r="B8106">
        <v>111</v>
      </c>
      <c r="C8106" s="2" t="s">
        <v>184</v>
      </c>
      <c r="D8106">
        <v>77</v>
      </c>
    </row>
    <row r="8107" spans="1:4" hidden="1" x14ac:dyDescent="0.25">
      <c r="A8107" s="2" t="s">
        <v>96</v>
      </c>
      <c r="B8107">
        <v>111</v>
      </c>
      <c r="C8107" s="2" t="s">
        <v>185</v>
      </c>
      <c r="D8107">
        <v>82</v>
      </c>
    </row>
    <row r="8108" spans="1:4" hidden="1" x14ac:dyDescent="0.25">
      <c r="A8108" s="2" t="s">
        <v>96</v>
      </c>
      <c r="B8108">
        <v>111</v>
      </c>
      <c r="C8108" s="2" t="s">
        <v>186</v>
      </c>
      <c r="D8108">
        <v>98</v>
      </c>
    </row>
    <row r="8109" spans="1:4" hidden="1" x14ac:dyDescent="0.25">
      <c r="A8109" s="2" t="s">
        <v>96</v>
      </c>
      <c r="B8109">
        <v>111</v>
      </c>
      <c r="C8109" s="2" t="s">
        <v>187</v>
      </c>
      <c r="D8109">
        <v>98</v>
      </c>
    </row>
    <row r="8110" spans="1:4" hidden="1" x14ac:dyDescent="0.25">
      <c r="A8110" s="2" t="s">
        <v>96</v>
      </c>
      <c r="B8110">
        <v>111</v>
      </c>
      <c r="C8110" s="2" t="s">
        <v>188</v>
      </c>
      <c r="D8110">
        <v>105</v>
      </c>
    </row>
    <row r="8111" spans="1:4" hidden="1" x14ac:dyDescent="0.25">
      <c r="A8111" s="2" t="s">
        <v>96</v>
      </c>
      <c r="B8111">
        <v>111</v>
      </c>
      <c r="C8111" s="2" t="s">
        <v>189</v>
      </c>
      <c r="D8111">
        <v>108</v>
      </c>
    </row>
    <row r="8112" spans="1:4" hidden="1" x14ac:dyDescent="0.25">
      <c r="A8112" s="2" t="s">
        <v>96</v>
      </c>
      <c r="B8112">
        <v>111</v>
      </c>
      <c r="C8112" s="2" t="s">
        <v>190</v>
      </c>
      <c r="D8112">
        <v>108</v>
      </c>
    </row>
    <row r="8113" spans="1:4" hidden="1" x14ac:dyDescent="0.25">
      <c r="A8113" s="2" t="s">
        <v>96</v>
      </c>
      <c r="B8113">
        <v>111</v>
      </c>
      <c r="C8113" s="2" t="s">
        <v>191</v>
      </c>
      <c r="D8113">
        <v>108</v>
      </c>
    </row>
    <row r="8114" spans="1:4" hidden="1" x14ac:dyDescent="0.25">
      <c r="A8114" s="2" t="s">
        <v>96</v>
      </c>
      <c r="B8114">
        <v>111</v>
      </c>
      <c r="C8114" s="2" t="s">
        <v>116</v>
      </c>
      <c r="D8114">
        <v>109</v>
      </c>
    </row>
    <row r="8115" spans="1:4" hidden="1" x14ac:dyDescent="0.25">
      <c r="A8115" s="2" t="s">
        <v>96</v>
      </c>
      <c r="B8115">
        <v>111</v>
      </c>
      <c r="C8115" s="2" t="s">
        <v>117</v>
      </c>
      <c r="D8115">
        <v>109</v>
      </c>
    </row>
    <row r="8116" spans="1:4" hidden="1" x14ac:dyDescent="0.25">
      <c r="A8116" s="2" t="s">
        <v>96</v>
      </c>
      <c r="B8116">
        <v>111</v>
      </c>
      <c r="C8116" s="2" t="s">
        <v>118</v>
      </c>
      <c r="D8116">
        <v>106</v>
      </c>
    </row>
    <row r="8117" spans="1:4" hidden="1" x14ac:dyDescent="0.25">
      <c r="A8117" s="2" t="s">
        <v>96</v>
      </c>
      <c r="B8117">
        <v>111</v>
      </c>
      <c r="C8117" s="2" t="s">
        <v>119</v>
      </c>
      <c r="D8117">
        <v>104</v>
      </c>
    </row>
    <row r="8118" spans="1:4" hidden="1" x14ac:dyDescent="0.25">
      <c r="A8118" s="2" t="s">
        <v>96</v>
      </c>
      <c r="B8118">
        <v>111</v>
      </c>
      <c r="C8118" s="2" t="s">
        <v>120</v>
      </c>
      <c r="D8118">
        <v>106</v>
      </c>
    </row>
    <row r="8119" spans="1:4" hidden="1" x14ac:dyDescent="0.25">
      <c r="A8119" s="2" t="s">
        <v>96</v>
      </c>
      <c r="B8119">
        <v>111</v>
      </c>
      <c r="C8119" s="2" t="s">
        <v>121</v>
      </c>
      <c r="D8119">
        <v>112</v>
      </c>
    </row>
    <row r="8120" spans="1:4" hidden="1" x14ac:dyDescent="0.25">
      <c r="A8120" s="2" t="s">
        <v>96</v>
      </c>
      <c r="B8120">
        <v>111</v>
      </c>
      <c r="C8120" s="2" t="s">
        <v>122</v>
      </c>
      <c r="D8120">
        <v>111</v>
      </c>
    </row>
    <row r="8121" spans="1:4" hidden="1" x14ac:dyDescent="0.25">
      <c r="A8121" s="2" t="s">
        <v>96</v>
      </c>
      <c r="B8121">
        <v>111</v>
      </c>
      <c r="C8121" s="2" t="s">
        <v>123</v>
      </c>
      <c r="D8121">
        <v>112</v>
      </c>
    </row>
    <row r="8122" spans="1:4" hidden="1" x14ac:dyDescent="0.25">
      <c r="A8122" s="2" t="s">
        <v>96</v>
      </c>
      <c r="B8122">
        <v>111</v>
      </c>
      <c r="C8122" s="2" t="s">
        <v>124</v>
      </c>
      <c r="D8122">
        <v>112</v>
      </c>
    </row>
    <row r="8123" spans="1:4" hidden="1" x14ac:dyDescent="0.25">
      <c r="A8123" s="2" t="s">
        <v>96</v>
      </c>
      <c r="B8123">
        <v>111</v>
      </c>
      <c r="C8123" s="2" t="s">
        <v>125</v>
      </c>
      <c r="D8123">
        <v>112</v>
      </c>
    </row>
    <row r="8124" spans="1:4" hidden="1" x14ac:dyDescent="0.25">
      <c r="A8124" s="2" t="s">
        <v>96</v>
      </c>
      <c r="B8124">
        <v>111</v>
      </c>
      <c r="C8124" s="2" t="s">
        <v>126</v>
      </c>
      <c r="D8124">
        <v>112</v>
      </c>
    </row>
    <row r="8125" spans="1:4" hidden="1" x14ac:dyDescent="0.25">
      <c r="A8125" s="2" t="s">
        <v>96</v>
      </c>
      <c r="B8125">
        <v>111</v>
      </c>
      <c r="C8125" s="2" t="s">
        <v>127</v>
      </c>
      <c r="D8125">
        <v>109</v>
      </c>
    </row>
    <row r="8126" spans="1:4" hidden="1" x14ac:dyDescent="0.25">
      <c r="A8126" s="2" t="s">
        <v>96</v>
      </c>
      <c r="B8126">
        <v>111</v>
      </c>
      <c r="C8126" s="2" t="s">
        <v>128</v>
      </c>
      <c r="D8126">
        <v>109</v>
      </c>
    </row>
    <row r="8127" spans="1:4" hidden="1" x14ac:dyDescent="0.25">
      <c r="A8127" s="2" t="s">
        <v>96</v>
      </c>
      <c r="B8127">
        <v>111</v>
      </c>
      <c r="C8127" s="2" t="s">
        <v>129</v>
      </c>
      <c r="D8127">
        <v>109</v>
      </c>
    </row>
    <row r="8128" spans="1:4" hidden="1" x14ac:dyDescent="0.25">
      <c r="A8128" s="2" t="s">
        <v>96</v>
      </c>
      <c r="B8128">
        <v>111</v>
      </c>
      <c r="C8128" s="2" t="s">
        <v>130</v>
      </c>
      <c r="D8128">
        <v>111</v>
      </c>
    </row>
    <row r="8129" spans="1:4" hidden="1" x14ac:dyDescent="0.25">
      <c r="A8129" s="2" t="s">
        <v>96</v>
      </c>
      <c r="B8129">
        <v>111</v>
      </c>
      <c r="C8129" s="2" t="s">
        <v>131</v>
      </c>
      <c r="D8129">
        <v>111</v>
      </c>
    </row>
    <row r="8130" spans="1:4" hidden="1" x14ac:dyDescent="0.25">
      <c r="A8130" s="2" t="s">
        <v>96</v>
      </c>
      <c r="B8130">
        <v>111</v>
      </c>
      <c r="C8130" s="2" t="s">
        <v>132</v>
      </c>
      <c r="D8130">
        <v>110</v>
      </c>
    </row>
    <row r="8131" spans="1:4" hidden="1" x14ac:dyDescent="0.25">
      <c r="A8131" s="2" t="s">
        <v>96</v>
      </c>
      <c r="B8131">
        <v>111</v>
      </c>
      <c r="C8131" s="2" t="s">
        <v>133</v>
      </c>
      <c r="D8131">
        <v>110</v>
      </c>
    </row>
    <row r="8132" spans="1:4" hidden="1" x14ac:dyDescent="0.25">
      <c r="A8132" s="2" t="s">
        <v>96</v>
      </c>
      <c r="B8132">
        <v>111</v>
      </c>
      <c r="C8132" s="2" t="s">
        <v>134</v>
      </c>
      <c r="D8132">
        <v>109</v>
      </c>
    </row>
    <row r="8133" spans="1:4" hidden="1" x14ac:dyDescent="0.25">
      <c r="A8133" s="2" t="s">
        <v>96</v>
      </c>
      <c r="B8133">
        <v>111</v>
      </c>
      <c r="C8133" s="2" t="s">
        <v>135</v>
      </c>
      <c r="D8133">
        <v>111</v>
      </c>
    </row>
    <row r="8134" spans="1:4" hidden="1" x14ac:dyDescent="0.25">
      <c r="A8134" s="2" t="s">
        <v>96</v>
      </c>
      <c r="B8134">
        <v>111</v>
      </c>
      <c r="C8134" s="2" t="s">
        <v>136</v>
      </c>
      <c r="D8134">
        <v>111</v>
      </c>
    </row>
    <row r="8135" spans="1:4" hidden="1" x14ac:dyDescent="0.25">
      <c r="A8135" s="2" t="s">
        <v>96</v>
      </c>
      <c r="B8135">
        <v>111</v>
      </c>
      <c r="C8135" s="2" t="s">
        <v>137</v>
      </c>
      <c r="D8135">
        <v>111</v>
      </c>
    </row>
    <row r="8136" spans="1:4" hidden="1" x14ac:dyDescent="0.25">
      <c r="A8136" s="2" t="s">
        <v>96</v>
      </c>
      <c r="B8136">
        <v>111</v>
      </c>
      <c r="C8136" s="2" t="s">
        <v>138</v>
      </c>
      <c r="D8136">
        <v>111</v>
      </c>
    </row>
    <row r="8137" spans="1:4" hidden="1" x14ac:dyDescent="0.25">
      <c r="A8137" s="2" t="s">
        <v>96</v>
      </c>
      <c r="B8137">
        <v>111</v>
      </c>
      <c r="C8137" s="2" t="s">
        <v>139</v>
      </c>
      <c r="D8137">
        <v>111</v>
      </c>
    </row>
    <row r="8138" spans="1:4" hidden="1" x14ac:dyDescent="0.25">
      <c r="A8138" s="2" t="s">
        <v>96</v>
      </c>
      <c r="B8138">
        <v>111</v>
      </c>
      <c r="C8138" s="2" t="s">
        <v>140</v>
      </c>
      <c r="D8138">
        <v>111</v>
      </c>
    </row>
    <row r="8139" spans="1:4" hidden="1" x14ac:dyDescent="0.25">
      <c r="A8139" s="2" t="s">
        <v>96</v>
      </c>
      <c r="B8139">
        <v>111</v>
      </c>
      <c r="C8139" s="2" t="s">
        <v>141</v>
      </c>
      <c r="D8139">
        <v>111</v>
      </c>
    </row>
    <row r="8140" spans="1:4" hidden="1" x14ac:dyDescent="0.25">
      <c r="A8140" s="2" t="s">
        <v>96</v>
      </c>
      <c r="B8140">
        <v>111</v>
      </c>
      <c r="C8140" s="2" t="s">
        <v>142</v>
      </c>
      <c r="D8140">
        <v>111</v>
      </c>
    </row>
    <row r="8141" spans="1:4" hidden="1" x14ac:dyDescent="0.25">
      <c r="A8141" s="2" t="s">
        <v>96</v>
      </c>
      <c r="B8141">
        <v>111</v>
      </c>
      <c r="C8141" s="2" t="s">
        <v>143</v>
      </c>
      <c r="D8141">
        <v>111</v>
      </c>
    </row>
    <row r="8142" spans="1:4" hidden="1" x14ac:dyDescent="0.25">
      <c r="A8142" s="2" t="s">
        <v>96</v>
      </c>
      <c r="B8142">
        <v>111</v>
      </c>
      <c r="C8142" s="2" t="s">
        <v>144</v>
      </c>
      <c r="D8142">
        <v>111</v>
      </c>
    </row>
    <row r="8143" spans="1:4" hidden="1" x14ac:dyDescent="0.25">
      <c r="A8143" s="2" t="s">
        <v>96</v>
      </c>
      <c r="B8143">
        <v>111</v>
      </c>
      <c r="C8143" s="2" t="s">
        <v>145</v>
      </c>
      <c r="D8143">
        <v>111</v>
      </c>
    </row>
    <row r="8144" spans="1:4" hidden="1" x14ac:dyDescent="0.25">
      <c r="A8144" s="2" t="s">
        <v>96</v>
      </c>
      <c r="B8144">
        <v>111</v>
      </c>
      <c r="C8144" s="2" t="s">
        <v>146</v>
      </c>
      <c r="D8144">
        <v>111</v>
      </c>
    </row>
    <row r="8145" spans="1:4" hidden="1" x14ac:dyDescent="0.25">
      <c r="A8145" s="2" t="s">
        <v>96</v>
      </c>
      <c r="B8145">
        <v>111</v>
      </c>
      <c r="C8145" s="2" t="s">
        <v>147</v>
      </c>
      <c r="D8145">
        <v>111</v>
      </c>
    </row>
    <row r="8146" spans="1:4" hidden="1" x14ac:dyDescent="0.25">
      <c r="A8146" s="2" t="s">
        <v>96</v>
      </c>
      <c r="B8146">
        <v>111</v>
      </c>
      <c r="C8146" s="2" t="s">
        <v>148</v>
      </c>
      <c r="D8146">
        <v>111</v>
      </c>
    </row>
    <row r="8147" spans="1:4" hidden="1" x14ac:dyDescent="0.25">
      <c r="A8147" s="2" t="s">
        <v>96</v>
      </c>
      <c r="B8147">
        <v>111</v>
      </c>
      <c r="C8147" s="2" t="s">
        <v>149</v>
      </c>
      <c r="D8147">
        <v>111</v>
      </c>
    </row>
    <row r="8148" spans="1:4" hidden="1" x14ac:dyDescent="0.25">
      <c r="A8148" s="2" t="s">
        <v>96</v>
      </c>
      <c r="B8148">
        <v>111</v>
      </c>
      <c r="C8148" s="2" t="s">
        <v>150</v>
      </c>
      <c r="D8148">
        <v>111</v>
      </c>
    </row>
    <row r="8149" spans="1:4" hidden="1" x14ac:dyDescent="0.25">
      <c r="A8149" s="2" t="s">
        <v>96</v>
      </c>
      <c r="B8149">
        <v>111</v>
      </c>
      <c r="C8149" s="2" t="s">
        <v>151</v>
      </c>
      <c r="D8149">
        <v>111</v>
      </c>
    </row>
    <row r="8150" spans="1:4" hidden="1" x14ac:dyDescent="0.25">
      <c r="A8150" s="2" t="s">
        <v>96</v>
      </c>
      <c r="B8150">
        <v>111</v>
      </c>
      <c r="C8150" s="2" t="s">
        <v>152</v>
      </c>
      <c r="D8150">
        <v>111</v>
      </c>
    </row>
    <row r="8151" spans="1:4" hidden="1" x14ac:dyDescent="0.25">
      <c r="A8151" s="2" t="s">
        <v>96</v>
      </c>
      <c r="B8151">
        <v>111</v>
      </c>
      <c r="C8151" s="2" t="s">
        <v>153</v>
      </c>
      <c r="D8151">
        <v>111</v>
      </c>
    </row>
    <row r="8152" spans="1:4" hidden="1" x14ac:dyDescent="0.25">
      <c r="A8152" s="2" t="s">
        <v>96</v>
      </c>
      <c r="B8152">
        <v>111</v>
      </c>
      <c r="C8152" s="2" t="s">
        <v>154</v>
      </c>
      <c r="D8152">
        <v>111</v>
      </c>
    </row>
    <row r="8153" spans="1:4" hidden="1" x14ac:dyDescent="0.25">
      <c r="A8153" s="2" t="s">
        <v>96</v>
      </c>
      <c r="B8153">
        <v>111</v>
      </c>
      <c r="C8153" s="2" t="s">
        <v>155</v>
      </c>
      <c r="D8153">
        <v>111</v>
      </c>
    </row>
    <row r="8154" spans="1:4" hidden="1" x14ac:dyDescent="0.25">
      <c r="A8154" s="2" t="s">
        <v>96</v>
      </c>
      <c r="B8154">
        <v>111</v>
      </c>
      <c r="C8154" s="2" t="s">
        <v>156</v>
      </c>
      <c r="D8154">
        <v>111</v>
      </c>
    </row>
    <row r="8155" spans="1:4" hidden="1" x14ac:dyDescent="0.25">
      <c r="A8155" s="2" t="s">
        <v>96</v>
      </c>
      <c r="B8155">
        <v>111</v>
      </c>
      <c r="C8155" s="2" t="s">
        <v>157</v>
      </c>
      <c r="D8155">
        <v>111</v>
      </c>
    </row>
    <row r="8156" spans="1:4" hidden="1" x14ac:dyDescent="0.25">
      <c r="A8156" s="2" t="s">
        <v>96</v>
      </c>
      <c r="B8156">
        <v>111</v>
      </c>
      <c r="C8156" s="2" t="s">
        <v>158</v>
      </c>
      <c r="D8156">
        <v>111</v>
      </c>
    </row>
    <row r="8157" spans="1:4" hidden="1" x14ac:dyDescent="0.25">
      <c r="A8157" s="2" t="s">
        <v>96</v>
      </c>
      <c r="B8157">
        <v>111</v>
      </c>
      <c r="C8157" s="2" t="s">
        <v>159</v>
      </c>
      <c r="D8157">
        <v>111</v>
      </c>
    </row>
    <row r="8158" spans="1:4" hidden="1" x14ac:dyDescent="0.25">
      <c r="A8158" s="2" t="s">
        <v>96</v>
      </c>
      <c r="B8158">
        <v>111</v>
      </c>
      <c r="C8158" s="2" t="s">
        <v>160</v>
      </c>
      <c r="D8158">
        <v>111</v>
      </c>
    </row>
    <row r="8159" spans="1:4" hidden="1" x14ac:dyDescent="0.25">
      <c r="A8159" s="2" t="s">
        <v>96</v>
      </c>
      <c r="B8159">
        <v>111</v>
      </c>
      <c r="C8159" s="2" t="s">
        <v>161</v>
      </c>
      <c r="D8159">
        <v>111</v>
      </c>
    </row>
    <row r="8160" spans="1:4" hidden="1" x14ac:dyDescent="0.25">
      <c r="A8160" s="2" t="s">
        <v>96</v>
      </c>
      <c r="B8160">
        <v>111</v>
      </c>
      <c r="C8160" s="2" t="s">
        <v>162</v>
      </c>
      <c r="D8160">
        <v>111</v>
      </c>
    </row>
    <row r="8161" spans="1:4" hidden="1" x14ac:dyDescent="0.25">
      <c r="A8161" s="2" t="s">
        <v>96</v>
      </c>
      <c r="B8161">
        <v>111</v>
      </c>
      <c r="C8161" s="2" t="s">
        <v>163</v>
      </c>
      <c r="D8161">
        <v>111</v>
      </c>
    </row>
    <row r="8162" spans="1:4" hidden="1" x14ac:dyDescent="0.25">
      <c r="A8162" s="2" t="s">
        <v>96</v>
      </c>
      <c r="B8162">
        <v>111</v>
      </c>
      <c r="C8162" s="2" t="s">
        <v>164</v>
      </c>
      <c r="D8162">
        <v>111</v>
      </c>
    </row>
    <row r="8163" spans="1:4" hidden="1" x14ac:dyDescent="0.25">
      <c r="A8163" s="2" t="s">
        <v>96</v>
      </c>
      <c r="B8163">
        <v>111</v>
      </c>
      <c r="C8163" s="2" t="s">
        <v>165</v>
      </c>
      <c r="D8163">
        <v>111</v>
      </c>
    </row>
    <row r="8164" spans="1:4" hidden="1" x14ac:dyDescent="0.25">
      <c r="A8164" s="2" t="s">
        <v>96</v>
      </c>
      <c r="B8164">
        <v>111</v>
      </c>
      <c r="C8164" s="2" t="s">
        <v>166</v>
      </c>
      <c r="D8164">
        <v>111</v>
      </c>
    </row>
    <row r="8165" spans="1:4" hidden="1" x14ac:dyDescent="0.25">
      <c r="A8165" s="2" t="s">
        <v>96</v>
      </c>
      <c r="B8165">
        <v>111</v>
      </c>
      <c r="C8165" s="2" t="s">
        <v>167</v>
      </c>
      <c r="D8165">
        <v>111</v>
      </c>
    </row>
    <row r="8166" spans="1:4" hidden="1" x14ac:dyDescent="0.25">
      <c r="A8166" s="2" t="s">
        <v>96</v>
      </c>
      <c r="B8166">
        <v>111</v>
      </c>
      <c r="C8166" s="2" t="s">
        <v>168</v>
      </c>
      <c r="D8166">
        <v>111</v>
      </c>
    </row>
    <row r="8167" spans="1:4" hidden="1" x14ac:dyDescent="0.25">
      <c r="A8167" s="2" t="s">
        <v>96</v>
      </c>
      <c r="B8167">
        <v>111</v>
      </c>
      <c r="C8167" s="2" t="s">
        <v>169</v>
      </c>
      <c r="D8167">
        <v>111</v>
      </c>
    </row>
    <row r="8168" spans="1:4" hidden="1" x14ac:dyDescent="0.25">
      <c r="A8168" s="2" t="s">
        <v>96</v>
      </c>
      <c r="B8168">
        <v>111</v>
      </c>
      <c r="C8168" s="2" t="s">
        <v>170</v>
      </c>
      <c r="D8168">
        <v>111</v>
      </c>
    </row>
    <row r="8169" spans="1:4" hidden="1" x14ac:dyDescent="0.25">
      <c r="A8169" s="2" t="s">
        <v>96</v>
      </c>
      <c r="B8169">
        <v>111</v>
      </c>
      <c r="C8169" s="2" t="s">
        <v>171</v>
      </c>
      <c r="D8169">
        <v>111</v>
      </c>
    </row>
    <row r="8170" spans="1:4" hidden="1" x14ac:dyDescent="0.25">
      <c r="A8170" s="2" t="s">
        <v>96</v>
      </c>
      <c r="B8170">
        <v>111</v>
      </c>
      <c r="C8170" s="2" t="s">
        <v>172</v>
      </c>
      <c r="D8170">
        <v>111</v>
      </c>
    </row>
    <row r="8171" spans="1:4" hidden="1" x14ac:dyDescent="0.25">
      <c r="A8171" s="2" t="s">
        <v>96</v>
      </c>
      <c r="B8171">
        <v>111</v>
      </c>
      <c r="C8171" s="2" t="s">
        <v>173</v>
      </c>
      <c r="D8171">
        <v>111</v>
      </c>
    </row>
    <row r="8172" spans="1:4" hidden="1" x14ac:dyDescent="0.25">
      <c r="A8172" s="2" t="s">
        <v>96</v>
      </c>
      <c r="B8172">
        <v>111</v>
      </c>
      <c r="C8172" s="2" t="s">
        <v>174</v>
      </c>
      <c r="D8172">
        <v>111</v>
      </c>
    </row>
    <row r="8173" spans="1:4" hidden="1" x14ac:dyDescent="0.25">
      <c r="A8173" s="2" t="s">
        <v>96</v>
      </c>
      <c r="B8173">
        <v>111</v>
      </c>
      <c r="C8173" s="2" t="s">
        <v>175</v>
      </c>
      <c r="D8173">
        <v>111</v>
      </c>
    </row>
    <row r="8174" spans="1:4" hidden="1" x14ac:dyDescent="0.25">
      <c r="A8174" s="2" t="s">
        <v>96</v>
      </c>
      <c r="B8174">
        <v>111</v>
      </c>
      <c r="C8174" s="2" t="s">
        <v>176</v>
      </c>
      <c r="D8174">
        <v>111</v>
      </c>
    </row>
    <row r="8175" spans="1:4" hidden="1" x14ac:dyDescent="0.25">
      <c r="A8175" s="2" t="s">
        <v>96</v>
      </c>
      <c r="B8175">
        <v>111</v>
      </c>
      <c r="C8175" s="2" t="s">
        <v>177</v>
      </c>
      <c r="D8175">
        <v>111</v>
      </c>
    </row>
    <row r="8176" spans="1:4" hidden="1" x14ac:dyDescent="0.25">
      <c r="A8176" s="2" t="s">
        <v>96</v>
      </c>
      <c r="B8176">
        <v>111</v>
      </c>
      <c r="C8176" s="2" t="s">
        <v>178</v>
      </c>
      <c r="D8176">
        <v>111</v>
      </c>
    </row>
    <row r="8177" spans="1:4" hidden="1" x14ac:dyDescent="0.25">
      <c r="A8177" s="2" t="s">
        <v>96</v>
      </c>
      <c r="B8177">
        <v>111</v>
      </c>
      <c r="C8177" s="2" t="s">
        <v>179</v>
      </c>
      <c r="D8177">
        <v>111</v>
      </c>
    </row>
    <row r="8178" spans="1:4" hidden="1" x14ac:dyDescent="0.25">
      <c r="A8178" s="2" t="s">
        <v>28</v>
      </c>
      <c r="B8178">
        <v>113</v>
      </c>
      <c r="C8178" s="2" t="s">
        <v>183</v>
      </c>
      <c r="D8178">
        <v>65</v>
      </c>
    </row>
    <row r="8179" spans="1:4" hidden="1" x14ac:dyDescent="0.25">
      <c r="A8179" s="2" t="s">
        <v>28</v>
      </c>
      <c r="B8179">
        <v>113</v>
      </c>
      <c r="C8179" s="2" t="s">
        <v>184</v>
      </c>
      <c r="D8179">
        <v>114</v>
      </c>
    </row>
    <row r="8180" spans="1:4" hidden="1" x14ac:dyDescent="0.25">
      <c r="A8180" s="2" t="s">
        <v>28</v>
      </c>
      <c r="B8180">
        <v>113</v>
      </c>
      <c r="C8180" s="2" t="s">
        <v>185</v>
      </c>
      <c r="D8180">
        <v>109</v>
      </c>
    </row>
    <row r="8181" spans="1:4" hidden="1" x14ac:dyDescent="0.25">
      <c r="A8181" s="2" t="s">
        <v>28</v>
      </c>
      <c r="B8181">
        <v>113</v>
      </c>
      <c r="C8181" s="2" t="s">
        <v>186</v>
      </c>
      <c r="D8181">
        <v>110</v>
      </c>
    </row>
    <row r="8182" spans="1:4" hidden="1" x14ac:dyDescent="0.25">
      <c r="A8182" s="2" t="s">
        <v>28</v>
      </c>
      <c r="B8182">
        <v>113</v>
      </c>
      <c r="C8182" s="2" t="s">
        <v>187</v>
      </c>
      <c r="D8182">
        <v>110</v>
      </c>
    </row>
    <row r="8183" spans="1:4" hidden="1" x14ac:dyDescent="0.25">
      <c r="A8183" s="2" t="s">
        <v>28</v>
      </c>
      <c r="B8183">
        <v>113</v>
      </c>
      <c r="C8183" s="2" t="s">
        <v>188</v>
      </c>
      <c r="D8183">
        <v>84</v>
      </c>
    </row>
    <row r="8184" spans="1:4" hidden="1" x14ac:dyDescent="0.25">
      <c r="A8184" s="2" t="s">
        <v>28</v>
      </c>
      <c r="B8184">
        <v>113</v>
      </c>
      <c r="C8184" s="2" t="s">
        <v>189</v>
      </c>
      <c r="D8184">
        <v>95</v>
      </c>
    </row>
    <row r="8185" spans="1:4" hidden="1" x14ac:dyDescent="0.25">
      <c r="A8185" s="2" t="s">
        <v>28</v>
      </c>
      <c r="B8185">
        <v>113</v>
      </c>
      <c r="C8185" s="2" t="s">
        <v>190</v>
      </c>
      <c r="D8185">
        <v>94</v>
      </c>
    </row>
    <row r="8186" spans="1:4" hidden="1" x14ac:dyDescent="0.25">
      <c r="A8186" s="2" t="s">
        <v>28</v>
      </c>
      <c r="B8186">
        <v>113</v>
      </c>
      <c r="C8186" s="2" t="s">
        <v>191</v>
      </c>
      <c r="D8186">
        <v>93</v>
      </c>
    </row>
    <row r="8187" spans="1:4" hidden="1" x14ac:dyDescent="0.25">
      <c r="A8187" s="2" t="s">
        <v>28</v>
      </c>
      <c r="B8187">
        <v>113</v>
      </c>
      <c r="C8187" s="2" t="s">
        <v>116</v>
      </c>
      <c r="D8187">
        <v>94</v>
      </c>
    </row>
    <row r="8188" spans="1:4" hidden="1" x14ac:dyDescent="0.25">
      <c r="A8188" s="2" t="s">
        <v>28</v>
      </c>
      <c r="B8188">
        <v>113</v>
      </c>
      <c r="C8188" s="2" t="s">
        <v>117</v>
      </c>
      <c r="D8188">
        <v>87</v>
      </c>
    </row>
    <row r="8189" spans="1:4" hidden="1" x14ac:dyDescent="0.25">
      <c r="A8189" s="2" t="s">
        <v>28</v>
      </c>
      <c r="B8189">
        <v>113</v>
      </c>
      <c r="C8189" s="2" t="s">
        <v>118</v>
      </c>
      <c r="D8189">
        <v>84</v>
      </c>
    </row>
    <row r="8190" spans="1:4" hidden="1" x14ac:dyDescent="0.25">
      <c r="A8190" s="2" t="s">
        <v>28</v>
      </c>
      <c r="B8190">
        <v>113</v>
      </c>
      <c r="C8190" s="2" t="s">
        <v>119</v>
      </c>
      <c r="D8190">
        <v>94</v>
      </c>
    </row>
    <row r="8191" spans="1:4" hidden="1" x14ac:dyDescent="0.25">
      <c r="A8191" s="2" t="s">
        <v>28</v>
      </c>
      <c r="B8191">
        <v>113</v>
      </c>
      <c r="C8191" s="2" t="s">
        <v>120</v>
      </c>
      <c r="D8191">
        <v>96</v>
      </c>
    </row>
    <row r="8192" spans="1:4" hidden="1" x14ac:dyDescent="0.25">
      <c r="A8192" s="2" t="s">
        <v>28</v>
      </c>
      <c r="B8192">
        <v>113</v>
      </c>
      <c r="C8192" s="2" t="s">
        <v>121</v>
      </c>
      <c r="D8192">
        <v>73</v>
      </c>
    </row>
    <row r="8193" spans="1:4" hidden="1" x14ac:dyDescent="0.25">
      <c r="A8193" s="2" t="s">
        <v>28</v>
      </c>
      <c r="B8193">
        <v>113</v>
      </c>
      <c r="C8193" s="2" t="s">
        <v>122</v>
      </c>
      <c r="D8193">
        <v>74</v>
      </c>
    </row>
    <row r="8194" spans="1:4" hidden="1" x14ac:dyDescent="0.25">
      <c r="A8194" s="2" t="s">
        <v>28</v>
      </c>
      <c r="B8194">
        <v>113</v>
      </c>
      <c r="C8194" s="2" t="s">
        <v>123</v>
      </c>
      <c r="D8194">
        <v>78</v>
      </c>
    </row>
    <row r="8195" spans="1:4" hidden="1" x14ac:dyDescent="0.25">
      <c r="A8195" s="2" t="s">
        <v>28</v>
      </c>
      <c r="B8195">
        <v>113</v>
      </c>
      <c r="C8195" s="2" t="s">
        <v>124</v>
      </c>
      <c r="D8195">
        <v>81</v>
      </c>
    </row>
    <row r="8196" spans="1:4" hidden="1" x14ac:dyDescent="0.25">
      <c r="A8196" s="2" t="s">
        <v>28</v>
      </c>
      <c r="B8196">
        <v>113</v>
      </c>
      <c r="C8196" s="2" t="s">
        <v>125</v>
      </c>
      <c r="D8196">
        <v>95</v>
      </c>
    </row>
    <row r="8197" spans="1:4" hidden="1" x14ac:dyDescent="0.25">
      <c r="A8197" s="2" t="s">
        <v>28</v>
      </c>
      <c r="B8197">
        <v>113</v>
      </c>
      <c r="C8197" s="2" t="s">
        <v>126</v>
      </c>
      <c r="D8197">
        <v>95</v>
      </c>
    </row>
    <row r="8198" spans="1:4" hidden="1" x14ac:dyDescent="0.25">
      <c r="A8198" s="2" t="s">
        <v>28</v>
      </c>
      <c r="B8198">
        <v>113</v>
      </c>
      <c r="C8198" s="2" t="s">
        <v>127</v>
      </c>
      <c r="D8198">
        <v>98</v>
      </c>
    </row>
    <row r="8199" spans="1:4" hidden="1" x14ac:dyDescent="0.25">
      <c r="A8199" s="2" t="s">
        <v>28</v>
      </c>
      <c r="B8199">
        <v>113</v>
      </c>
      <c r="C8199" s="2" t="s">
        <v>128</v>
      </c>
      <c r="D8199">
        <v>101</v>
      </c>
    </row>
    <row r="8200" spans="1:4" hidden="1" x14ac:dyDescent="0.25">
      <c r="A8200" s="2" t="s">
        <v>28</v>
      </c>
      <c r="B8200">
        <v>113</v>
      </c>
      <c r="C8200" s="2" t="s">
        <v>129</v>
      </c>
      <c r="D8200">
        <v>102</v>
      </c>
    </row>
    <row r="8201" spans="1:4" hidden="1" x14ac:dyDescent="0.25">
      <c r="A8201" s="2" t="s">
        <v>28</v>
      </c>
      <c r="B8201">
        <v>113</v>
      </c>
      <c r="C8201" s="2" t="s">
        <v>130</v>
      </c>
      <c r="D8201">
        <v>100</v>
      </c>
    </row>
    <row r="8202" spans="1:4" hidden="1" x14ac:dyDescent="0.25">
      <c r="A8202" s="2" t="s">
        <v>28</v>
      </c>
      <c r="B8202">
        <v>113</v>
      </c>
      <c r="C8202" s="2" t="s">
        <v>131</v>
      </c>
      <c r="D8202">
        <v>104</v>
      </c>
    </row>
    <row r="8203" spans="1:4" hidden="1" x14ac:dyDescent="0.25">
      <c r="A8203" s="2" t="s">
        <v>28</v>
      </c>
      <c r="B8203">
        <v>113</v>
      </c>
      <c r="C8203" s="2" t="s">
        <v>132</v>
      </c>
      <c r="D8203">
        <v>107</v>
      </c>
    </row>
    <row r="8204" spans="1:4" hidden="1" x14ac:dyDescent="0.25">
      <c r="A8204" s="2" t="s">
        <v>28</v>
      </c>
      <c r="B8204">
        <v>113</v>
      </c>
      <c r="C8204" s="2" t="s">
        <v>133</v>
      </c>
      <c r="D8204">
        <v>107</v>
      </c>
    </row>
    <row r="8205" spans="1:4" hidden="1" x14ac:dyDescent="0.25">
      <c r="A8205" s="2" t="s">
        <v>28</v>
      </c>
      <c r="B8205">
        <v>113</v>
      </c>
      <c r="C8205" s="2" t="s">
        <v>134</v>
      </c>
      <c r="D8205">
        <v>111</v>
      </c>
    </row>
    <row r="8206" spans="1:4" hidden="1" x14ac:dyDescent="0.25">
      <c r="A8206" s="2" t="s">
        <v>28</v>
      </c>
      <c r="B8206">
        <v>113</v>
      </c>
      <c r="C8206" s="2" t="s">
        <v>135</v>
      </c>
      <c r="D8206">
        <v>113</v>
      </c>
    </row>
    <row r="8207" spans="1:4" hidden="1" x14ac:dyDescent="0.25">
      <c r="A8207" s="2" t="s">
        <v>28</v>
      </c>
      <c r="B8207">
        <v>113</v>
      </c>
      <c r="C8207" s="2" t="s">
        <v>136</v>
      </c>
      <c r="D8207">
        <v>113</v>
      </c>
    </row>
    <row r="8208" spans="1:4" hidden="1" x14ac:dyDescent="0.25">
      <c r="A8208" s="2" t="s">
        <v>28</v>
      </c>
      <c r="B8208">
        <v>113</v>
      </c>
      <c r="C8208" s="2" t="s">
        <v>137</v>
      </c>
      <c r="D8208">
        <v>113</v>
      </c>
    </row>
    <row r="8209" spans="1:4" hidden="1" x14ac:dyDescent="0.25">
      <c r="A8209" s="2" t="s">
        <v>28</v>
      </c>
      <c r="B8209">
        <v>113</v>
      </c>
      <c r="C8209" s="2" t="s">
        <v>138</v>
      </c>
      <c r="D8209">
        <v>113</v>
      </c>
    </row>
    <row r="8210" spans="1:4" hidden="1" x14ac:dyDescent="0.25">
      <c r="A8210" s="2" t="s">
        <v>28</v>
      </c>
      <c r="B8210">
        <v>113</v>
      </c>
      <c r="C8210" s="2" t="s">
        <v>139</v>
      </c>
      <c r="D8210">
        <v>113</v>
      </c>
    </row>
    <row r="8211" spans="1:4" hidden="1" x14ac:dyDescent="0.25">
      <c r="A8211" s="2" t="s">
        <v>28</v>
      </c>
      <c r="B8211">
        <v>113</v>
      </c>
      <c r="C8211" s="2" t="s">
        <v>140</v>
      </c>
      <c r="D8211">
        <v>113</v>
      </c>
    </row>
    <row r="8212" spans="1:4" hidden="1" x14ac:dyDescent="0.25">
      <c r="A8212" s="2" t="s">
        <v>28</v>
      </c>
      <c r="B8212">
        <v>113</v>
      </c>
      <c r="C8212" s="2" t="s">
        <v>141</v>
      </c>
      <c r="D8212">
        <v>113</v>
      </c>
    </row>
    <row r="8213" spans="1:4" hidden="1" x14ac:dyDescent="0.25">
      <c r="A8213" s="2" t="s">
        <v>28</v>
      </c>
      <c r="B8213">
        <v>113</v>
      </c>
      <c r="C8213" s="2" t="s">
        <v>142</v>
      </c>
      <c r="D8213">
        <v>113</v>
      </c>
    </row>
    <row r="8214" spans="1:4" hidden="1" x14ac:dyDescent="0.25">
      <c r="A8214" s="2" t="s">
        <v>28</v>
      </c>
      <c r="B8214">
        <v>113</v>
      </c>
      <c r="C8214" s="2" t="s">
        <v>143</v>
      </c>
      <c r="D8214">
        <v>113</v>
      </c>
    </row>
    <row r="8215" spans="1:4" hidden="1" x14ac:dyDescent="0.25">
      <c r="A8215" s="2" t="s">
        <v>28</v>
      </c>
      <c r="B8215">
        <v>113</v>
      </c>
      <c r="C8215" s="2" t="s">
        <v>144</v>
      </c>
      <c r="D8215">
        <v>113</v>
      </c>
    </row>
    <row r="8216" spans="1:4" hidden="1" x14ac:dyDescent="0.25">
      <c r="A8216" s="2" t="s">
        <v>28</v>
      </c>
      <c r="B8216">
        <v>113</v>
      </c>
      <c r="C8216" s="2" t="s">
        <v>145</v>
      </c>
      <c r="D8216">
        <v>113</v>
      </c>
    </row>
    <row r="8217" spans="1:4" hidden="1" x14ac:dyDescent="0.25">
      <c r="A8217" s="2" t="s">
        <v>28</v>
      </c>
      <c r="B8217">
        <v>113</v>
      </c>
      <c r="C8217" s="2" t="s">
        <v>146</v>
      </c>
      <c r="D8217">
        <v>113</v>
      </c>
    </row>
    <row r="8218" spans="1:4" hidden="1" x14ac:dyDescent="0.25">
      <c r="A8218" s="2" t="s">
        <v>28</v>
      </c>
      <c r="B8218">
        <v>113</v>
      </c>
      <c r="C8218" s="2" t="s">
        <v>147</v>
      </c>
      <c r="D8218">
        <v>113</v>
      </c>
    </row>
    <row r="8219" spans="1:4" hidden="1" x14ac:dyDescent="0.25">
      <c r="A8219" s="2" t="s">
        <v>28</v>
      </c>
      <c r="B8219">
        <v>113</v>
      </c>
      <c r="C8219" s="2" t="s">
        <v>148</v>
      </c>
      <c r="D8219">
        <v>113</v>
      </c>
    </row>
    <row r="8220" spans="1:4" hidden="1" x14ac:dyDescent="0.25">
      <c r="A8220" s="2" t="s">
        <v>28</v>
      </c>
      <c r="B8220">
        <v>113</v>
      </c>
      <c r="C8220" s="2" t="s">
        <v>149</v>
      </c>
      <c r="D8220">
        <v>113</v>
      </c>
    </row>
    <row r="8221" spans="1:4" hidden="1" x14ac:dyDescent="0.25">
      <c r="A8221" s="2" t="s">
        <v>28</v>
      </c>
      <c r="B8221">
        <v>113</v>
      </c>
      <c r="C8221" s="2" t="s">
        <v>150</v>
      </c>
      <c r="D8221">
        <v>113</v>
      </c>
    </row>
    <row r="8222" spans="1:4" hidden="1" x14ac:dyDescent="0.25">
      <c r="A8222" s="2" t="s">
        <v>28</v>
      </c>
      <c r="B8222">
        <v>113</v>
      </c>
      <c r="C8222" s="2" t="s">
        <v>151</v>
      </c>
      <c r="D8222">
        <v>113</v>
      </c>
    </row>
    <row r="8223" spans="1:4" hidden="1" x14ac:dyDescent="0.25">
      <c r="A8223" s="2" t="s">
        <v>28</v>
      </c>
      <c r="B8223">
        <v>113</v>
      </c>
      <c r="C8223" s="2" t="s">
        <v>152</v>
      </c>
      <c r="D8223">
        <v>113</v>
      </c>
    </row>
    <row r="8224" spans="1:4" hidden="1" x14ac:dyDescent="0.25">
      <c r="A8224" s="2" t="s">
        <v>28</v>
      </c>
      <c r="B8224">
        <v>113</v>
      </c>
      <c r="C8224" s="2" t="s">
        <v>153</v>
      </c>
      <c r="D8224">
        <v>113</v>
      </c>
    </row>
    <row r="8225" spans="1:4" hidden="1" x14ac:dyDescent="0.25">
      <c r="A8225" s="2" t="s">
        <v>28</v>
      </c>
      <c r="B8225">
        <v>113</v>
      </c>
      <c r="C8225" s="2" t="s">
        <v>154</v>
      </c>
      <c r="D8225">
        <v>113</v>
      </c>
    </row>
    <row r="8226" spans="1:4" hidden="1" x14ac:dyDescent="0.25">
      <c r="A8226" s="2" t="s">
        <v>28</v>
      </c>
      <c r="B8226">
        <v>113</v>
      </c>
      <c r="C8226" s="2" t="s">
        <v>155</v>
      </c>
      <c r="D8226">
        <v>113</v>
      </c>
    </row>
    <row r="8227" spans="1:4" hidden="1" x14ac:dyDescent="0.25">
      <c r="A8227" s="2" t="s">
        <v>28</v>
      </c>
      <c r="B8227">
        <v>113</v>
      </c>
      <c r="C8227" s="2" t="s">
        <v>156</v>
      </c>
      <c r="D8227">
        <v>113</v>
      </c>
    </row>
    <row r="8228" spans="1:4" hidden="1" x14ac:dyDescent="0.25">
      <c r="A8228" s="2" t="s">
        <v>28</v>
      </c>
      <c r="B8228">
        <v>113</v>
      </c>
      <c r="C8228" s="2" t="s">
        <v>157</v>
      </c>
      <c r="D8228">
        <v>113</v>
      </c>
    </row>
    <row r="8229" spans="1:4" hidden="1" x14ac:dyDescent="0.25">
      <c r="A8229" s="2" t="s">
        <v>28</v>
      </c>
      <c r="B8229">
        <v>113</v>
      </c>
      <c r="C8229" s="2" t="s">
        <v>158</v>
      </c>
      <c r="D8229">
        <v>113</v>
      </c>
    </row>
    <row r="8230" spans="1:4" hidden="1" x14ac:dyDescent="0.25">
      <c r="A8230" s="2" t="s">
        <v>28</v>
      </c>
      <c r="B8230">
        <v>113</v>
      </c>
      <c r="C8230" s="2" t="s">
        <v>159</v>
      </c>
      <c r="D8230">
        <v>113</v>
      </c>
    </row>
    <row r="8231" spans="1:4" hidden="1" x14ac:dyDescent="0.25">
      <c r="A8231" s="2" t="s">
        <v>28</v>
      </c>
      <c r="B8231">
        <v>113</v>
      </c>
      <c r="C8231" s="2" t="s">
        <v>160</v>
      </c>
      <c r="D8231">
        <v>113</v>
      </c>
    </row>
    <row r="8232" spans="1:4" hidden="1" x14ac:dyDescent="0.25">
      <c r="A8232" s="2" t="s">
        <v>28</v>
      </c>
      <c r="B8232">
        <v>113</v>
      </c>
      <c r="C8232" s="2" t="s">
        <v>161</v>
      </c>
      <c r="D8232">
        <v>113</v>
      </c>
    </row>
    <row r="8233" spans="1:4" hidden="1" x14ac:dyDescent="0.25">
      <c r="A8233" s="2" t="s">
        <v>28</v>
      </c>
      <c r="B8233">
        <v>113</v>
      </c>
      <c r="C8233" s="2" t="s">
        <v>162</v>
      </c>
      <c r="D8233">
        <v>113</v>
      </c>
    </row>
    <row r="8234" spans="1:4" hidden="1" x14ac:dyDescent="0.25">
      <c r="A8234" s="2" t="s">
        <v>28</v>
      </c>
      <c r="B8234">
        <v>113</v>
      </c>
      <c r="C8234" s="2" t="s">
        <v>163</v>
      </c>
      <c r="D8234">
        <v>113</v>
      </c>
    </row>
    <row r="8235" spans="1:4" hidden="1" x14ac:dyDescent="0.25">
      <c r="A8235" s="2" t="s">
        <v>28</v>
      </c>
      <c r="B8235">
        <v>113</v>
      </c>
      <c r="C8235" s="2" t="s">
        <v>164</v>
      </c>
      <c r="D8235">
        <v>113</v>
      </c>
    </row>
    <row r="8236" spans="1:4" hidden="1" x14ac:dyDescent="0.25">
      <c r="A8236" s="2" t="s">
        <v>28</v>
      </c>
      <c r="B8236">
        <v>113</v>
      </c>
      <c r="C8236" s="2" t="s">
        <v>165</v>
      </c>
      <c r="D8236">
        <v>113</v>
      </c>
    </row>
    <row r="8237" spans="1:4" hidden="1" x14ac:dyDescent="0.25">
      <c r="A8237" s="2" t="s">
        <v>28</v>
      </c>
      <c r="B8237">
        <v>113</v>
      </c>
      <c r="C8237" s="2" t="s">
        <v>166</v>
      </c>
      <c r="D8237">
        <v>113</v>
      </c>
    </row>
    <row r="8238" spans="1:4" hidden="1" x14ac:dyDescent="0.25">
      <c r="A8238" s="2" t="s">
        <v>28</v>
      </c>
      <c r="B8238">
        <v>113</v>
      </c>
      <c r="C8238" s="2" t="s">
        <v>167</v>
      </c>
      <c r="D8238">
        <v>113</v>
      </c>
    </row>
    <row r="8239" spans="1:4" hidden="1" x14ac:dyDescent="0.25">
      <c r="A8239" s="2" t="s">
        <v>28</v>
      </c>
      <c r="B8239">
        <v>113</v>
      </c>
      <c r="C8239" s="2" t="s">
        <v>168</v>
      </c>
      <c r="D8239">
        <v>113</v>
      </c>
    </row>
    <row r="8240" spans="1:4" hidden="1" x14ac:dyDescent="0.25">
      <c r="A8240" s="2" t="s">
        <v>28</v>
      </c>
      <c r="B8240">
        <v>113</v>
      </c>
      <c r="C8240" s="2" t="s">
        <v>169</v>
      </c>
      <c r="D8240">
        <v>113</v>
      </c>
    </row>
    <row r="8241" spans="1:4" hidden="1" x14ac:dyDescent="0.25">
      <c r="A8241" s="2" t="s">
        <v>28</v>
      </c>
      <c r="B8241">
        <v>113</v>
      </c>
      <c r="C8241" s="2" t="s">
        <v>170</v>
      </c>
      <c r="D8241">
        <v>113</v>
      </c>
    </row>
    <row r="8242" spans="1:4" hidden="1" x14ac:dyDescent="0.25">
      <c r="A8242" s="2" t="s">
        <v>28</v>
      </c>
      <c r="B8242">
        <v>113</v>
      </c>
      <c r="C8242" s="2" t="s">
        <v>171</v>
      </c>
      <c r="D8242">
        <v>113</v>
      </c>
    </row>
    <row r="8243" spans="1:4" hidden="1" x14ac:dyDescent="0.25">
      <c r="A8243" s="2" t="s">
        <v>28</v>
      </c>
      <c r="B8243">
        <v>113</v>
      </c>
      <c r="C8243" s="2" t="s">
        <v>172</v>
      </c>
      <c r="D8243">
        <v>113</v>
      </c>
    </row>
    <row r="8244" spans="1:4" hidden="1" x14ac:dyDescent="0.25">
      <c r="A8244" s="2" t="s">
        <v>28</v>
      </c>
      <c r="B8244">
        <v>113</v>
      </c>
      <c r="C8244" s="2" t="s">
        <v>173</v>
      </c>
      <c r="D8244">
        <v>113</v>
      </c>
    </row>
    <row r="8245" spans="1:4" hidden="1" x14ac:dyDescent="0.25">
      <c r="A8245" s="2" t="s">
        <v>28</v>
      </c>
      <c r="B8245">
        <v>113</v>
      </c>
      <c r="C8245" s="2" t="s">
        <v>174</v>
      </c>
      <c r="D8245">
        <v>113</v>
      </c>
    </row>
    <row r="8246" spans="1:4" hidden="1" x14ac:dyDescent="0.25">
      <c r="A8246" s="2" t="s">
        <v>28</v>
      </c>
      <c r="B8246">
        <v>113</v>
      </c>
      <c r="C8246" s="2" t="s">
        <v>175</v>
      </c>
      <c r="D8246">
        <v>113</v>
      </c>
    </row>
    <row r="8247" spans="1:4" hidden="1" x14ac:dyDescent="0.25">
      <c r="A8247" s="2" t="s">
        <v>28</v>
      </c>
      <c r="B8247">
        <v>113</v>
      </c>
      <c r="C8247" s="2" t="s">
        <v>176</v>
      </c>
      <c r="D8247">
        <v>113</v>
      </c>
    </row>
    <row r="8248" spans="1:4" hidden="1" x14ac:dyDescent="0.25">
      <c r="A8248" s="2" t="s">
        <v>28</v>
      </c>
      <c r="B8248">
        <v>113</v>
      </c>
      <c r="C8248" s="2" t="s">
        <v>177</v>
      </c>
      <c r="D8248">
        <v>113</v>
      </c>
    </row>
    <row r="8249" spans="1:4" hidden="1" x14ac:dyDescent="0.25">
      <c r="A8249" s="2" t="s">
        <v>28</v>
      </c>
      <c r="B8249">
        <v>113</v>
      </c>
      <c r="C8249" s="2" t="s">
        <v>178</v>
      </c>
      <c r="D8249">
        <v>113</v>
      </c>
    </row>
    <row r="8250" spans="1:4" hidden="1" x14ac:dyDescent="0.25">
      <c r="A8250" s="2" t="s">
        <v>28</v>
      </c>
      <c r="B8250">
        <v>113</v>
      </c>
      <c r="C8250" s="2" t="s">
        <v>179</v>
      </c>
      <c r="D8250">
        <v>113</v>
      </c>
    </row>
    <row r="8251" spans="1:4" hidden="1" x14ac:dyDescent="0.25">
      <c r="A8251" s="2" t="s">
        <v>104</v>
      </c>
      <c r="B8251">
        <v>114</v>
      </c>
      <c r="C8251" s="2" t="s">
        <v>183</v>
      </c>
      <c r="D8251">
        <v>78</v>
      </c>
    </row>
    <row r="8252" spans="1:4" hidden="1" x14ac:dyDescent="0.25">
      <c r="A8252" s="2" t="s">
        <v>104</v>
      </c>
      <c r="B8252">
        <v>114</v>
      </c>
      <c r="C8252" s="2" t="s">
        <v>184</v>
      </c>
      <c r="D8252">
        <v>77</v>
      </c>
    </row>
    <row r="8253" spans="1:4" hidden="1" x14ac:dyDescent="0.25">
      <c r="A8253" s="2" t="s">
        <v>104</v>
      </c>
      <c r="B8253">
        <v>114</v>
      </c>
      <c r="C8253" s="2" t="s">
        <v>185</v>
      </c>
      <c r="D8253">
        <v>113</v>
      </c>
    </row>
    <row r="8254" spans="1:4" hidden="1" x14ac:dyDescent="0.25">
      <c r="A8254" s="2" t="s">
        <v>104</v>
      </c>
      <c r="B8254">
        <v>114</v>
      </c>
      <c r="C8254" s="2" t="s">
        <v>186</v>
      </c>
      <c r="D8254">
        <v>113</v>
      </c>
    </row>
    <row r="8255" spans="1:4" hidden="1" x14ac:dyDescent="0.25">
      <c r="A8255" s="2" t="s">
        <v>104</v>
      </c>
      <c r="B8255">
        <v>114</v>
      </c>
      <c r="C8255" s="2" t="s">
        <v>187</v>
      </c>
      <c r="D8255">
        <v>113</v>
      </c>
    </row>
    <row r="8256" spans="1:4" hidden="1" x14ac:dyDescent="0.25">
      <c r="A8256" s="2" t="s">
        <v>104</v>
      </c>
      <c r="B8256">
        <v>114</v>
      </c>
      <c r="C8256" s="2" t="s">
        <v>188</v>
      </c>
      <c r="D8256">
        <v>109</v>
      </c>
    </row>
    <row r="8257" spans="1:4" hidden="1" x14ac:dyDescent="0.25">
      <c r="A8257" s="2" t="s">
        <v>104</v>
      </c>
      <c r="B8257">
        <v>114</v>
      </c>
      <c r="C8257" s="2" t="s">
        <v>189</v>
      </c>
      <c r="D8257">
        <v>111</v>
      </c>
    </row>
    <row r="8258" spans="1:4" hidden="1" x14ac:dyDescent="0.25">
      <c r="A8258" s="2" t="s">
        <v>104</v>
      </c>
      <c r="B8258">
        <v>114</v>
      </c>
      <c r="C8258" s="2" t="s">
        <v>190</v>
      </c>
      <c r="D8258">
        <v>111</v>
      </c>
    </row>
    <row r="8259" spans="1:4" hidden="1" x14ac:dyDescent="0.25">
      <c r="A8259" s="2" t="s">
        <v>104</v>
      </c>
      <c r="B8259">
        <v>114</v>
      </c>
      <c r="C8259" s="2" t="s">
        <v>191</v>
      </c>
      <c r="D8259">
        <v>108</v>
      </c>
    </row>
    <row r="8260" spans="1:4" hidden="1" x14ac:dyDescent="0.25">
      <c r="A8260" s="2" t="s">
        <v>104</v>
      </c>
      <c r="B8260">
        <v>114</v>
      </c>
      <c r="C8260" s="2" t="s">
        <v>116</v>
      </c>
      <c r="D8260">
        <v>108</v>
      </c>
    </row>
    <row r="8261" spans="1:4" hidden="1" x14ac:dyDescent="0.25">
      <c r="A8261" s="2" t="s">
        <v>104</v>
      </c>
      <c r="B8261">
        <v>114</v>
      </c>
      <c r="C8261" s="2" t="s">
        <v>117</v>
      </c>
      <c r="D8261">
        <v>106</v>
      </c>
    </row>
    <row r="8262" spans="1:4" hidden="1" x14ac:dyDescent="0.25">
      <c r="A8262" s="2" t="s">
        <v>104</v>
      </c>
      <c r="B8262">
        <v>114</v>
      </c>
      <c r="C8262" s="2" t="s">
        <v>118</v>
      </c>
      <c r="D8262">
        <v>107</v>
      </c>
    </row>
    <row r="8263" spans="1:4" hidden="1" x14ac:dyDescent="0.25">
      <c r="A8263" s="2" t="s">
        <v>104</v>
      </c>
      <c r="B8263">
        <v>114</v>
      </c>
      <c r="C8263" s="2" t="s">
        <v>119</v>
      </c>
      <c r="D8263">
        <v>105</v>
      </c>
    </row>
    <row r="8264" spans="1:4" hidden="1" x14ac:dyDescent="0.25">
      <c r="A8264" s="2" t="s">
        <v>104</v>
      </c>
      <c r="B8264">
        <v>114</v>
      </c>
      <c r="C8264" s="2" t="s">
        <v>120</v>
      </c>
      <c r="D8264">
        <v>105</v>
      </c>
    </row>
    <row r="8265" spans="1:4" hidden="1" x14ac:dyDescent="0.25">
      <c r="A8265" s="2" t="s">
        <v>104</v>
      </c>
      <c r="B8265">
        <v>114</v>
      </c>
      <c r="C8265" s="2" t="s">
        <v>121</v>
      </c>
      <c r="D8265">
        <v>110</v>
      </c>
    </row>
    <row r="8266" spans="1:4" hidden="1" x14ac:dyDescent="0.25">
      <c r="A8266" s="2" t="s">
        <v>104</v>
      </c>
      <c r="B8266">
        <v>114</v>
      </c>
      <c r="C8266" s="2" t="s">
        <v>122</v>
      </c>
      <c r="D8266">
        <v>114</v>
      </c>
    </row>
    <row r="8267" spans="1:4" hidden="1" x14ac:dyDescent="0.25">
      <c r="A8267" s="2" t="s">
        <v>104</v>
      </c>
      <c r="B8267">
        <v>114</v>
      </c>
      <c r="C8267" s="2" t="s">
        <v>123</v>
      </c>
      <c r="D8267">
        <v>112</v>
      </c>
    </row>
    <row r="8268" spans="1:4" hidden="1" x14ac:dyDescent="0.25">
      <c r="A8268" s="2" t="s">
        <v>104</v>
      </c>
      <c r="B8268">
        <v>114</v>
      </c>
      <c r="C8268" s="2" t="s">
        <v>124</v>
      </c>
      <c r="D8268">
        <v>112</v>
      </c>
    </row>
    <row r="8269" spans="1:4" hidden="1" x14ac:dyDescent="0.25">
      <c r="A8269" s="2" t="s">
        <v>104</v>
      </c>
      <c r="B8269">
        <v>114</v>
      </c>
      <c r="C8269" s="2" t="s">
        <v>125</v>
      </c>
      <c r="D8269">
        <v>112</v>
      </c>
    </row>
    <row r="8270" spans="1:4" hidden="1" x14ac:dyDescent="0.25">
      <c r="A8270" s="2" t="s">
        <v>104</v>
      </c>
      <c r="B8270">
        <v>114</v>
      </c>
      <c r="C8270" s="2" t="s">
        <v>126</v>
      </c>
      <c r="D8270">
        <v>113</v>
      </c>
    </row>
    <row r="8271" spans="1:4" hidden="1" x14ac:dyDescent="0.25">
      <c r="A8271" s="2" t="s">
        <v>104</v>
      </c>
      <c r="B8271">
        <v>114</v>
      </c>
      <c r="C8271" s="2" t="s">
        <v>127</v>
      </c>
      <c r="D8271">
        <v>113</v>
      </c>
    </row>
    <row r="8272" spans="1:4" hidden="1" x14ac:dyDescent="0.25">
      <c r="A8272" s="2" t="s">
        <v>104</v>
      </c>
      <c r="B8272">
        <v>114</v>
      </c>
      <c r="C8272" s="2" t="s">
        <v>128</v>
      </c>
      <c r="D8272">
        <v>113</v>
      </c>
    </row>
    <row r="8273" spans="1:4" hidden="1" x14ac:dyDescent="0.25">
      <c r="A8273" s="2" t="s">
        <v>104</v>
      </c>
      <c r="B8273">
        <v>114</v>
      </c>
      <c r="C8273" s="2" t="s">
        <v>129</v>
      </c>
      <c r="D8273">
        <v>113</v>
      </c>
    </row>
    <row r="8274" spans="1:4" hidden="1" x14ac:dyDescent="0.25">
      <c r="A8274" s="2" t="s">
        <v>104</v>
      </c>
      <c r="B8274">
        <v>114</v>
      </c>
      <c r="C8274" s="2" t="s">
        <v>130</v>
      </c>
      <c r="D8274">
        <v>114</v>
      </c>
    </row>
    <row r="8275" spans="1:4" hidden="1" x14ac:dyDescent="0.25">
      <c r="A8275" s="2" t="s">
        <v>104</v>
      </c>
      <c r="B8275">
        <v>114</v>
      </c>
      <c r="C8275" s="2" t="s">
        <v>131</v>
      </c>
      <c r="D8275">
        <v>114</v>
      </c>
    </row>
    <row r="8276" spans="1:4" hidden="1" x14ac:dyDescent="0.25">
      <c r="A8276" s="2" t="s">
        <v>104</v>
      </c>
      <c r="B8276">
        <v>114</v>
      </c>
      <c r="C8276" s="2" t="s">
        <v>132</v>
      </c>
      <c r="D8276">
        <v>114</v>
      </c>
    </row>
    <row r="8277" spans="1:4" hidden="1" x14ac:dyDescent="0.25">
      <c r="A8277" s="2" t="s">
        <v>104</v>
      </c>
      <c r="B8277">
        <v>114</v>
      </c>
      <c r="C8277" s="2" t="s">
        <v>133</v>
      </c>
      <c r="D8277">
        <v>114</v>
      </c>
    </row>
    <row r="8278" spans="1:4" hidden="1" x14ac:dyDescent="0.25">
      <c r="A8278" s="2" t="s">
        <v>104</v>
      </c>
      <c r="B8278">
        <v>114</v>
      </c>
      <c r="C8278" s="2" t="s">
        <v>134</v>
      </c>
      <c r="D8278">
        <v>114</v>
      </c>
    </row>
    <row r="8279" spans="1:4" hidden="1" x14ac:dyDescent="0.25">
      <c r="A8279" s="2" t="s">
        <v>104</v>
      </c>
      <c r="B8279">
        <v>114</v>
      </c>
      <c r="C8279" s="2" t="s">
        <v>135</v>
      </c>
      <c r="D8279">
        <v>114</v>
      </c>
    </row>
    <row r="8280" spans="1:4" hidden="1" x14ac:dyDescent="0.25">
      <c r="A8280" s="2" t="s">
        <v>104</v>
      </c>
      <c r="B8280">
        <v>114</v>
      </c>
      <c r="C8280" s="2" t="s">
        <v>136</v>
      </c>
      <c r="D8280">
        <v>114</v>
      </c>
    </row>
    <row r="8281" spans="1:4" hidden="1" x14ac:dyDescent="0.25">
      <c r="A8281" s="2" t="s">
        <v>104</v>
      </c>
      <c r="B8281">
        <v>114</v>
      </c>
      <c r="C8281" s="2" t="s">
        <v>137</v>
      </c>
      <c r="D8281">
        <v>114</v>
      </c>
    </row>
    <row r="8282" spans="1:4" hidden="1" x14ac:dyDescent="0.25">
      <c r="A8282" s="2" t="s">
        <v>104</v>
      </c>
      <c r="B8282">
        <v>114</v>
      </c>
      <c r="C8282" s="2" t="s">
        <v>138</v>
      </c>
      <c r="D8282">
        <v>114</v>
      </c>
    </row>
    <row r="8283" spans="1:4" hidden="1" x14ac:dyDescent="0.25">
      <c r="A8283" s="2" t="s">
        <v>104</v>
      </c>
      <c r="B8283">
        <v>114</v>
      </c>
      <c r="C8283" s="2" t="s">
        <v>139</v>
      </c>
      <c r="D8283">
        <v>114</v>
      </c>
    </row>
    <row r="8284" spans="1:4" hidden="1" x14ac:dyDescent="0.25">
      <c r="A8284" s="2" t="s">
        <v>104</v>
      </c>
      <c r="B8284">
        <v>114</v>
      </c>
      <c r="C8284" s="2" t="s">
        <v>140</v>
      </c>
      <c r="D8284">
        <v>114</v>
      </c>
    </row>
    <row r="8285" spans="1:4" hidden="1" x14ac:dyDescent="0.25">
      <c r="A8285" s="2" t="s">
        <v>104</v>
      </c>
      <c r="B8285">
        <v>114</v>
      </c>
      <c r="C8285" s="2" t="s">
        <v>141</v>
      </c>
      <c r="D8285">
        <v>114</v>
      </c>
    </row>
    <row r="8286" spans="1:4" hidden="1" x14ac:dyDescent="0.25">
      <c r="A8286" s="2" t="s">
        <v>104</v>
      </c>
      <c r="B8286">
        <v>114</v>
      </c>
      <c r="C8286" s="2" t="s">
        <v>142</v>
      </c>
      <c r="D8286">
        <v>114</v>
      </c>
    </row>
    <row r="8287" spans="1:4" hidden="1" x14ac:dyDescent="0.25">
      <c r="A8287" s="2" t="s">
        <v>104</v>
      </c>
      <c r="B8287">
        <v>114</v>
      </c>
      <c r="C8287" s="2" t="s">
        <v>143</v>
      </c>
      <c r="D8287">
        <v>114</v>
      </c>
    </row>
    <row r="8288" spans="1:4" hidden="1" x14ac:dyDescent="0.25">
      <c r="A8288" s="2" t="s">
        <v>104</v>
      </c>
      <c r="B8288">
        <v>114</v>
      </c>
      <c r="C8288" s="2" t="s">
        <v>144</v>
      </c>
      <c r="D8288">
        <v>114</v>
      </c>
    </row>
    <row r="8289" spans="1:4" hidden="1" x14ac:dyDescent="0.25">
      <c r="A8289" s="2" t="s">
        <v>104</v>
      </c>
      <c r="B8289">
        <v>114</v>
      </c>
      <c r="C8289" s="2" t="s">
        <v>145</v>
      </c>
      <c r="D8289">
        <v>114</v>
      </c>
    </row>
    <row r="8290" spans="1:4" hidden="1" x14ac:dyDescent="0.25">
      <c r="A8290" s="2" t="s">
        <v>104</v>
      </c>
      <c r="B8290">
        <v>114</v>
      </c>
      <c r="C8290" s="2" t="s">
        <v>146</v>
      </c>
      <c r="D8290">
        <v>114</v>
      </c>
    </row>
    <row r="8291" spans="1:4" hidden="1" x14ac:dyDescent="0.25">
      <c r="A8291" s="2" t="s">
        <v>104</v>
      </c>
      <c r="B8291">
        <v>114</v>
      </c>
      <c r="C8291" s="2" t="s">
        <v>147</v>
      </c>
      <c r="D8291">
        <v>114</v>
      </c>
    </row>
    <row r="8292" spans="1:4" hidden="1" x14ac:dyDescent="0.25">
      <c r="A8292" s="2" t="s">
        <v>104</v>
      </c>
      <c r="B8292">
        <v>114</v>
      </c>
      <c r="C8292" s="2" t="s">
        <v>148</v>
      </c>
      <c r="D8292">
        <v>114</v>
      </c>
    </row>
    <row r="8293" spans="1:4" hidden="1" x14ac:dyDescent="0.25">
      <c r="A8293" s="2" t="s">
        <v>104</v>
      </c>
      <c r="B8293">
        <v>114</v>
      </c>
      <c r="C8293" s="2" t="s">
        <v>149</v>
      </c>
      <c r="D8293">
        <v>114</v>
      </c>
    </row>
    <row r="8294" spans="1:4" hidden="1" x14ac:dyDescent="0.25">
      <c r="A8294" s="2" t="s">
        <v>104</v>
      </c>
      <c r="B8294">
        <v>114</v>
      </c>
      <c r="C8294" s="2" t="s">
        <v>150</v>
      </c>
      <c r="D8294">
        <v>114</v>
      </c>
    </row>
    <row r="8295" spans="1:4" hidden="1" x14ac:dyDescent="0.25">
      <c r="A8295" s="2" t="s">
        <v>104</v>
      </c>
      <c r="B8295">
        <v>114</v>
      </c>
      <c r="C8295" s="2" t="s">
        <v>151</v>
      </c>
      <c r="D8295">
        <v>114</v>
      </c>
    </row>
    <row r="8296" spans="1:4" hidden="1" x14ac:dyDescent="0.25">
      <c r="A8296" s="2" t="s">
        <v>104</v>
      </c>
      <c r="B8296">
        <v>114</v>
      </c>
      <c r="C8296" s="2" t="s">
        <v>152</v>
      </c>
      <c r="D8296">
        <v>114</v>
      </c>
    </row>
    <row r="8297" spans="1:4" hidden="1" x14ac:dyDescent="0.25">
      <c r="A8297" s="2" t="s">
        <v>104</v>
      </c>
      <c r="B8297">
        <v>114</v>
      </c>
      <c r="C8297" s="2" t="s">
        <v>153</v>
      </c>
      <c r="D8297">
        <v>114</v>
      </c>
    </row>
    <row r="8298" spans="1:4" hidden="1" x14ac:dyDescent="0.25">
      <c r="A8298" s="2" t="s">
        <v>104</v>
      </c>
      <c r="B8298">
        <v>114</v>
      </c>
      <c r="C8298" s="2" t="s">
        <v>154</v>
      </c>
      <c r="D8298">
        <v>114</v>
      </c>
    </row>
    <row r="8299" spans="1:4" hidden="1" x14ac:dyDescent="0.25">
      <c r="A8299" s="2" t="s">
        <v>104</v>
      </c>
      <c r="B8299">
        <v>114</v>
      </c>
      <c r="C8299" s="2" t="s">
        <v>155</v>
      </c>
      <c r="D8299">
        <v>114</v>
      </c>
    </row>
    <row r="8300" spans="1:4" hidden="1" x14ac:dyDescent="0.25">
      <c r="A8300" s="2" t="s">
        <v>104</v>
      </c>
      <c r="B8300">
        <v>114</v>
      </c>
      <c r="C8300" s="2" t="s">
        <v>156</v>
      </c>
      <c r="D8300">
        <v>114</v>
      </c>
    </row>
    <row r="8301" spans="1:4" hidden="1" x14ac:dyDescent="0.25">
      <c r="A8301" s="2" t="s">
        <v>104</v>
      </c>
      <c r="B8301">
        <v>114</v>
      </c>
      <c r="C8301" s="2" t="s">
        <v>157</v>
      </c>
      <c r="D8301">
        <v>114</v>
      </c>
    </row>
    <row r="8302" spans="1:4" hidden="1" x14ac:dyDescent="0.25">
      <c r="A8302" s="2" t="s">
        <v>104</v>
      </c>
      <c r="B8302">
        <v>114</v>
      </c>
      <c r="C8302" s="2" t="s">
        <v>158</v>
      </c>
      <c r="D8302">
        <v>114</v>
      </c>
    </row>
    <row r="8303" spans="1:4" hidden="1" x14ac:dyDescent="0.25">
      <c r="A8303" s="2" t="s">
        <v>104</v>
      </c>
      <c r="B8303">
        <v>114</v>
      </c>
      <c r="C8303" s="2" t="s">
        <v>159</v>
      </c>
      <c r="D8303">
        <v>114</v>
      </c>
    </row>
    <row r="8304" spans="1:4" hidden="1" x14ac:dyDescent="0.25">
      <c r="A8304" s="2" t="s">
        <v>104</v>
      </c>
      <c r="B8304">
        <v>114</v>
      </c>
      <c r="C8304" s="2" t="s">
        <v>160</v>
      </c>
      <c r="D8304">
        <v>114</v>
      </c>
    </row>
    <row r="8305" spans="1:4" hidden="1" x14ac:dyDescent="0.25">
      <c r="A8305" s="2" t="s">
        <v>104</v>
      </c>
      <c r="B8305">
        <v>114</v>
      </c>
      <c r="C8305" s="2" t="s">
        <v>161</v>
      </c>
      <c r="D8305">
        <v>114</v>
      </c>
    </row>
    <row r="8306" spans="1:4" hidden="1" x14ac:dyDescent="0.25">
      <c r="A8306" s="2" t="s">
        <v>104</v>
      </c>
      <c r="B8306">
        <v>114</v>
      </c>
      <c r="C8306" s="2" t="s">
        <v>162</v>
      </c>
      <c r="D8306">
        <v>114</v>
      </c>
    </row>
    <row r="8307" spans="1:4" hidden="1" x14ac:dyDescent="0.25">
      <c r="A8307" s="2" t="s">
        <v>104</v>
      </c>
      <c r="B8307">
        <v>114</v>
      </c>
      <c r="C8307" s="2" t="s">
        <v>163</v>
      </c>
      <c r="D8307">
        <v>114</v>
      </c>
    </row>
    <row r="8308" spans="1:4" hidden="1" x14ac:dyDescent="0.25">
      <c r="A8308" s="2" t="s">
        <v>104</v>
      </c>
      <c r="B8308">
        <v>114</v>
      </c>
      <c r="C8308" s="2" t="s">
        <v>164</v>
      </c>
      <c r="D8308">
        <v>114</v>
      </c>
    </row>
    <row r="8309" spans="1:4" hidden="1" x14ac:dyDescent="0.25">
      <c r="A8309" s="2" t="s">
        <v>104</v>
      </c>
      <c r="B8309">
        <v>114</v>
      </c>
      <c r="C8309" s="2" t="s">
        <v>165</v>
      </c>
      <c r="D8309">
        <v>114</v>
      </c>
    </row>
    <row r="8310" spans="1:4" hidden="1" x14ac:dyDescent="0.25">
      <c r="A8310" s="2" t="s">
        <v>104</v>
      </c>
      <c r="B8310">
        <v>114</v>
      </c>
      <c r="C8310" s="2" t="s">
        <v>166</v>
      </c>
      <c r="D8310">
        <v>114</v>
      </c>
    </row>
    <row r="8311" spans="1:4" hidden="1" x14ac:dyDescent="0.25">
      <c r="A8311" s="2" t="s">
        <v>104</v>
      </c>
      <c r="B8311">
        <v>114</v>
      </c>
      <c r="C8311" s="2" t="s">
        <v>167</v>
      </c>
      <c r="D8311">
        <v>114</v>
      </c>
    </row>
    <row r="8312" spans="1:4" hidden="1" x14ac:dyDescent="0.25">
      <c r="A8312" s="2" t="s">
        <v>104</v>
      </c>
      <c r="B8312">
        <v>114</v>
      </c>
      <c r="C8312" s="2" t="s">
        <v>168</v>
      </c>
      <c r="D8312">
        <v>114</v>
      </c>
    </row>
    <row r="8313" spans="1:4" hidden="1" x14ac:dyDescent="0.25">
      <c r="A8313" s="2" t="s">
        <v>104</v>
      </c>
      <c r="B8313">
        <v>114</v>
      </c>
      <c r="C8313" s="2" t="s">
        <v>169</v>
      </c>
      <c r="D8313">
        <v>114</v>
      </c>
    </row>
    <row r="8314" spans="1:4" hidden="1" x14ac:dyDescent="0.25">
      <c r="A8314" s="2" t="s">
        <v>104</v>
      </c>
      <c r="B8314">
        <v>114</v>
      </c>
      <c r="C8314" s="2" t="s">
        <v>170</v>
      </c>
      <c r="D8314">
        <v>114</v>
      </c>
    </row>
    <row r="8315" spans="1:4" hidden="1" x14ac:dyDescent="0.25">
      <c r="A8315" s="2" t="s">
        <v>104</v>
      </c>
      <c r="B8315">
        <v>114</v>
      </c>
      <c r="C8315" s="2" t="s">
        <v>171</v>
      </c>
      <c r="D8315">
        <v>114</v>
      </c>
    </row>
    <row r="8316" spans="1:4" hidden="1" x14ac:dyDescent="0.25">
      <c r="A8316" s="2" t="s">
        <v>104</v>
      </c>
      <c r="B8316">
        <v>114</v>
      </c>
      <c r="C8316" s="2" t="s">
        <v>172</v>
      </c>
      <c r="D8316">
        <v>114</v>
      </c>
    </row>
    <row r="8317" spans="1:4" hidden="1" x14ac:dyDescent="0.25">
      <c r="A8317" s="2" t="s">
        <v>104</v>
      </c>
      <c r="B8317">
        <v>114</v>
      </c>
      <c r="C8317" s="2" t="s">
        <v>173</v>
      </c>
      <c r="D8317">
        <v>114</v>
      </c>
    </row>
    <row r="8318" spans="1:4" hidden="1" x14ac:dyDescent="0.25">
      <c r="A8318" s="2" t="s">
        <v>104</v>
      </c>
      <c r="B8318">
        <v>114</v>
      </c>
      <c r="C8318" s="2" t="s">
        <v>174</v>
      </c>
      <c r="D8318">
        <v>114</v>
      </c>
    </row>
    <row r="8319" spans="1:4" hidden="1" x14ac:dyDescent="0.25">
      <c r="A8319" s="2" t="s">
        <v>104</v>
      </c>
      <c r="B8319">
        <v>114</v>
      </c>
      <c r="C8319" s="2" t="s">
        <v>175</v>
      </c>
      <c r="D8319">
        <v>114</v>
      </c>
    </row>
    <row r="8320" spans="1:4" hidden="1" x14ac:dyDescent="0.25">
      <c r="A8320" s="2" t="s">
        <v>104</v>
      </c>
      <c r="B8320">
        <v>114</v>
      </c>
      <c r="C8320" s="2" t="s">
        <v>176</v>
      </c>
      <c r="D8320">
        <v>114</v>
      </c>
    </row>
    <row r="8321" spans="1:4" hidden="1" x14ac:dyDescent="0.25">
      <c r="A8321" s="2" t="s">
        <v>104</v>
      </c>
      <c r="B8321">
        <v>114</v>
      </c>
      <c r="C8321" s="2" t="s">
        <v>177</v>
      </c>
      <c r="D8321">
        <v>114</v>
      </c>
    </row>
    <row r="8322" spans="1:4" hidden="1" x14ac:dyDescent="0.25">
      <c r="A8322" s="2" t="s">
        <v>104</v>
      </c>
      <c r="B8322">
        <v>114</v>
      </c>
      <c r="C8322" s="2" t="s">
        <v>178</v>
      </c>
      <c r="D8322">
        <v>114</v>
      </c>
    </row>
    <row r="8323" spans="1:4" hidden="1" x14ac:dyDescent="0.25">
      <c r="A8323" s="2" t="s">
        <v>104</v>
      </c>
      <c r="B8323">
        <v>114</v>
      </c>
      <c r="C8323" s="2" t="s">
        <v>179</v>
      </c>
      <c r="D8323">
        <v>114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75EE-4862-439A-83C6-37EFC4849AB4}">
  <dimension ref="A1:M34"/>
  <sheetViews>
    <sheetView tabSelected="1" workbookViewId="0"/>
  </sheetViews>
  <sheetFormatPr defaultRowHeight="15.75" x14ac:dyDescent="0.25"/>
  <cols>
    <col min="1" max="1" width="17.25" bestFit="1" customWidth="1"/>
    <col min="2" max="2" width="24" bestFit="1" customWidth="1"/>
    <col min="3" max="3" width="22.625" bestFit="1" customWidth="1"/>
    <col min="4" max="4" width="25.125" bestFit="1" customWidth="1"/>
    <col min="5" max="5" width="11.25" bestFit="1" customWidth="1"/>
    <col min="6" max="6" width="16.375" bestFit="1" customWidth="1"/>
    <col min="7" max="7" width="24.25" bestFit="1" customWidth="1"/>
    <col min="8" max="8" width="15.125" bestFit="1" customWidth="1"/>
    <col min="9" max="9" width="14.375" bestFit="1" customWidth="1"/>
    <col min="10" max="10" width="18.75" bestFit="1" customWidth="1"/>
    <col min="11" max="11" width="12.25" bestFit="1" customWidth="1"/>
    <col min="12" max="12" width="16.5" bestFit="1" customWidth="1"/>
    <col min="13" max="13" width="10.25" bestFit="1" customWidth="1"/>
    <col min="14" max="14" width="14.375" bestFit="1" customWidth="1"/>
    <col min="15" max="15" width="18.75" bestFit="1" customWidth="1"/>
    <col min="16" max="16" width="12.25" bestFit="1" customWidth="1"/>
    <col min="17" max="17" width="16.5" bestFit="1" customWidth="1"/>
    <col min="18" max="18" width="10.25" bestFit="1" customWidth="1"/>
    <col min="19" max="26" width="3.875" bestFit="1" customWidth="1"/>
    <col min="27" max="74" width="3.375" bestFit="1" customWidth="1"/>
    <col min="75" max="76" width="10.25" bestFit="1" customWidth="1"/>
  </cols>
  <sheetData>
    <row r="1" spans="1:13" x14ac:dyDescent="0.25">
      <c r="A1" s="3" t="s">
        <v>114</v>
      </c>
      <c r="B1" t="s">
        <v>192</v>
      </c>
    </row>
    <row r="3" spans="1:13" x14ac:dyDescent="0.25">
      <c r="A3" s="3" t="s">
        <v>195</v>
      </c>
      <c r="B3" s="3" t="s">
        <v>182</v>
      </c>
    </row>
    <row r="4" spans="1:13" x14ac:dyDescent="0.25">
      <c r="A4" s="3" t="s">
        <v>180</v>
      </c>
      <c r="B4" t="s">
        <v>16</v>
      </c>
      <c r="C4" t="s">
        <v>26</v>
      </c>
      <c r="D4" t="s">
        <v>34</v>
      </c>
      <c r="E4" t="s">
        <v>40</v>
      </c>
      <c r="F4" t="s">
        <v>43</v>
      </c>
      <c r="G4" t="s">
        <v>62</v>
      </c>
      <c r="H4" t="s">
        <v>67</v>
      </c>
      <c r="I4" t="s">
        <v>78</v>
      </c>
      <c r="J4" t="s">
        <v>86</v>
      </c>
      <c r="K4" t="s">
        <v>91</v>
      </c>
      <c r="L4" t="s">
        <v>102</v>
      </c>
      <c r="M4" t="s">
        <v>181</v>
      </c>
    </row>
    <row r="5" spans="1:13" x14ac:dyDescent="0.25">
      <c r="A5" s="4" t="s">
        <v>183</v>
      </c>
      <c r="B5" s="2">
        <v>13</v>
      </c>
      <c r="C5" s="2">
        <v>13</v>
      </c>
      <c r="D5" s="2">
        <v>1</v>
      </c>
      <c r="E5" s="2">
        <v>13</v>
      </c>
      <c r="F5" s="2">
        <v>13</v>
      </c>
      <c r="G5" s="2">
        <v>13</v>
      </c>
      <c r="H5" s="2">
        <v>13</v>
      </c>
      <c r="I5" s="2">
        <v>62</v>
      </c>
      <c r="J5" s="2">
        <v>13</v>
      </c>
      <c r="K5" s="2">
        <v>78</v>
      </c>
      <c r="L5" s="2">
        <v>65</v>
      </c>
      <c r="M5" s="2">
        <v>297</v>
      </c>
    </row>
    <row r="6" spans="1:13" x14ac:dyDescent="0.25">
      <c r="A6" s="4" t="s">
        <v>184</v>
      </c>
      <c r="B6" s="2">
        <v>14</v>
      </c>
      <c r="C6" s="2">
        <v>14</v>
      </c>
      <c r="D6" s="2">
        <v>1</v>
      </c>
      <c r="E6" s="2">
        <v>14</v>
      </c>
      <c r="F6" s="2">
        <v>14</v>
      </c>
      <c r="G6" s="2">
        <v>14</v>
      </c>
      <c r="H6" s="2">
        <v>14</v>
      </c>
      <c r="I6" s="2">
        <v>59</v>
      </c>
      <c r="J6" s="2">
        <v>14</v>
      </c>
      <c r="K6" s="2">
        <v>77</v>
      </c>
      <c r="L6" s="2">
        <v>62</v>
      </c>
      <c r="M6" s="2">
        <v>297</v>
      </c>
    </row>
    <row r="7" spans="1:13" x14ac:dyDescent="0.25">
      <c r="A7" s="4" t="s">
        <v>185</v>
      </c>
      <c r="B7" s="2">
        <v>3</v>
      </c>
      <c r="C7" s="2">
        <v>3</v>
      </c>
      <c r="D7" s="2">
        <v>3</v>
      </c>
      <c r="E7" s="2">
        <v>24</v>
      </c>
      <c r="F7" s="2">
        <v>3</v>
      </c>
      <c r="G7" s="2">
        <v>24</v>
      </c>
      <c r="H7" s="2">
        <v>52</v>
      </c>
      <c r="I7" s="2">
        <v>52</v>
      </c>
      <c r="J7" s="2">
        <v>24</v>
      </c>
      <c r="K7" s="2">
        <v>61</v>
      </c>
      <c r="L7" s="2">
        <v>75</v>
      </c>
      <c r="M7" s="2">
        <v>324</v>
      </c>
    </row>
    <row r="8" spans="1:13" x14ac:dyDescent="0.25">
      <c r="A8" s="4" t="s">
        <v>186</v>
      </c>
      <c r="B8" s="2">
        <v>1</v>
      </c>
      <c r="C8" s="2">
        <v>1</v>
      </c>
      <c r="D8" s="2">
        <v>38</v>
      </c>
      <c r="E8" s="2">
        <v>9</v>
      </c>
      <c r="F8" s="2">
        <v>1</v>
      </c>
      <c r="G8" s="2">
        <v>9</v>
      </c>
      <c r="H8" s="2">
        <v>27</v>
      </c>
      <c r="I8" s="2">
        <v>27</v>
      </c>
      <c r="J8" s="2">
        <v>9</v>
      </c>
      <c r="K8" s="2">
        <v>32</v>
      </c>
      <c r="L8" s="2">
        <v>96</v>
      </c>
      <c r="M8" s="2">
        <v>250</v>
      </c>
    </row>
    <row r="9" spans="1:13" x14ac:dyDescent="0.25">
      <c r="A9" s="4" t="s">
        <v>187</v>
      </c>
      <c r="B9" s="2">
        <v>1</v>
      </c>
      <c r="C9" s="2">
        <v>1</v>
      </c>
      <c r="D9" s="2">
        <v>39</v>
      </c>
      <c r="E9" s="2">
        <v>9</v>
      </c>
      <c r="F9" s="2">
        <v>1</v>
      </c>
      <c r="G9" s="2">
        <v>9</v>
      </c>
      <c r="H9" s="2">
        <v>27</v>
      </c>
      <c r="I9" s="2">
        <v>27</v>
      </c>
      <c r="J9" s="2">
        <v>9</v>
      </c>
      <c r="K9" s="2">
        <v>32</v>
      </c>
      <c r="L9" s="2">
        <v>96</v>
      </c>
      <c r="M9" s="2">
        <v>251</v>
      </c>
    </row>
    <row r="10" spans="1:13" x14ac:dyDescent="0.25">
      <c r="A10" s="4" t="s">
        <v>188</v>
      </c>
      <c r="B10" s="2">
        <v>1</v>
      </c>
      <c r="C10" s="2">
        <v>1</v>
      </c>
      <c r="D10" s="2">
        <v>41</v>
      </c>
      <c r="E10" s="2">
        <v>9</v>
      </c>
      <c r="F10" s="2">
        <v>1</v>
      </c>
      <c r="G10" s="2">
        <v>9</v>
      </c>
      <c r="H10" s="2">
        <v>23</v>
      </c>
      <c r="I10" s="2">
        <v>23</v>
      </c>
      <c r="J10" s="2">
        <v>23</v>
      </c>
      <c r="K10" s="2">
        <v>33</v>
      </c>
      <c r="L10" s="2">
        <v>93</v>
      </c>
      <c r="M10" s="2">
        <v>257</v>
      </c>
    </row>
    <row r="11" spans="1:13" x14ac:dyDescent="0.25">
      <c r="A11" s="4" t="s">
        <v>189</v>
      </c>
      <c r="B11" s="2">
        <v>1</v>
      </c>
      <c r="C11" s="2">
        <v>11</v>
      </c>
      <c r="D11" s="2">
        <v>49</v>
      </c>
      <c r="E11" s="2">
        <v>5</v>
      </c>
      <c r="F11" s="2">
        <v>1</v>
      </c>
      <c r="G11" s="2">
        <v>5</v>
      </c>
      <c r="H11" s="2">
        <v>16</v>
      </c>
      <c r="I11" s="2">
        <v>16</v>
      </c>
      <c r="J11" s="2">
        <v>16</v>
      </c>
      <c r="K11" s="2">
        <v>42</v>
      </c>
      <c r="L11" s="2">
        <v>82</v>
      </c>
      <c r="M11" s="2">
        <v>244</v>
      </c>
    </row>
    <row r="12" spans="1:13" x14ac:dyDescent="0.25">
      <c r="A12" s="4" t="s">
        <v>190</v>
      </c>
      <c r="B12" s="2">
        <v>2</v>
      </c>
      <c r="C12" s="2">
        <v>15</v>
      </c>
      <c r="D12" s="2">
        <v>49</v>
      </c>
      <c r="E12" s="2">
        <v>4</v>
      </c>
      <c r="F12" s="2">
        <v>1</v>
      </c>
      <c r="G12" s="2">
        <v>8</v>
      </c>
      <c r="H12" s="2">
        <v>8</v>
      </c>
      <c r="I12" s="2">
        <v>8</v>
      </c>
      <c r="J12" s="2">
        <v>20</v>
      </c>
      <c r="K12" s="2">
        <v>43</v>
      </c>
      <c r="L12" s="2">
        <v>80</v>
      </c>
      <c r="M12" s="2">
        <v>238</v>
      </c>
    </row>
    <row r="13" spans="1:13" x14ac:dyDescent="0.25">
      <c r="A13" s="4" t="s">
        <v>191</v>
      </c>
      <c r="B13" s="2">
        <v>2</v>
      </c>
      <c r="C13" s="2">
        <v>16</v>
      </c>
      <c r="D13" s="2">
        <v>52</v>
      </c>
      <c r="E13" s="2">
        <v>6</v>
      </c>
      <c r="F13" s="2">
        <v>1</v>
      </c>
      <c r="G13" s="2">
        <v>11</v>
      </c>
      <c r="H13" s="2">
        <v>11</v>
      </c>
      <c r="I13" s="2">
        <v>3</v>
      </c>
      <c r="J13" s="2">
        <v>21</v>
      </c>
      <c r="K13" s="2">
        <v>48</v>
      </c>
      <c r="L13" s="2">
        <v>85</v>
      </c>
      <c r="M13" s="2">
        <v>256</v>
      </c>
    </row>
    <row r="14" spans="1:13" x14ac:dyDescent="0.25">
      <c r="A14" s="4" t="s">
        <v>116</v>
      </c>
      <c r="B14" s="2">
        <v>3</v>
      </c>
      <c r="C14" s="2">
        <v>19</v>
      </c>
      <c r="D14" s="2">
        <v>56</v>
      </c>
      <c r="E14" s="2">
        <v>7</v>
      </c>
      <c r="F14" s="2">
        <v>1</v>
      </c>
      <c r="G14" s="2">
        <v>7</v>
      </c>
      <c r="H14" s="2">
        <v>15</v>
      </c>
      <c r="I14" s="2">
        <v>4</v>
      </c>
      <c r="J14" s="2">
        <v>21</v>
      </c>
      <c r="K14" s="2">
        <v>50</v>
      </c>
      <c r="L14" s="2">
        <v>86</v>
      </c>
      <c r="M14" s="2">
        <v>269</v>
      </c>
    </row>
    <row r="15" spans="1:13" x14ac:dyDescent="0.25">
      <c r="A15" s="4" t="s">
        <v>117</v>
      </c>
      <c r="B15" s="2">
        <v>3</v>
      </c>
      <c r="C15" s="2">
        <v>16</v>
      </c>
      <c r="D15" s="2">
        <v>51</v>
      </c>
      <c r="E15" s="2">
        <v>6</v>
      </c>
      <c r="F15" s="2">
        <v>1</v>
      </c>
      <c r="G15" s="2">
        <v>6</v>
      </c>
      <c r="H15" s="2">
        <v>17</v>
      </c>
      <c r="I15" s="2">
        <v>23</v>
      </c>
      <c r="J15" s="2">
        <v>17</v>
      </c>
      <c r="K15" s="2">
        <v>57</v>
      </c>
      <c r="L15" s="2">
        <v>88</v>
      </c>
      <c r="M15" s="2">
        <v>285</v>
      </c>
    </row>
    <row r="16" spans="1:13" x14ac:dyDescent="0.25">
      <c r="A16" s="4" t="s">
        <v>118</v>
      </c>
      <c r="B16" s="2">
        <v>1</v>
      </c>
      <c r="C16" s="2">
        <v>15</v>
      </c>
      <c r="D16" s="2">
        <v>54</v>
      </c>
      <c r="E16" s="2">
        <v>9</v>
      </c>
      <c r="F16" s="2">
        <v>6</v>
      </c>
      <c r="G16" s="2">
        <v>9</v>
      </c>
      <c r="H16" s="2">
        <v>22</v>
      </c>
      <c r="I16" s="2">
        <v>22</v>
      </c>
      <c r="J16" s="2">
        <v>7</v>
      </c>
      <c r="K16" s="2">
        <v>62</v>
      </c>
      <c r="L16" s="2">
        <v>85</v>
      </c>
      <c r="M16" s="2">
        <v>292</v>
      </c>
    </row>
    <row r="17" spans="1:13" x14ac:dyDescent="0.25">
      <c r="A17" s="4" t="s">
        <v>119</v>
      </c>
      <c r="B17" s="2">
        <v>1</v>
      </c>
      <c r="C17" s="2">
        <v>10</v>
      </c>
      <c r="D17" s="2">
        <v>33</v>
      </c>
      <c r="E17" s="2">
        <v>5</v>
      </c>
      <c r="F17" s="2">
        <v>22</v>
      </c>
      <c r="G17" s="2">
        <v>5</v>
      </c>
      <c r="H17" s="2">
        <v>30</v>
      </c>
      <c r="I17" s="2">
        <v>46</v>
      </c>
      <c r="J17" s="2">
        <v>1</v>
      </c>
      <c r="K17" s="2">
        <v>68</v>
      </c>
      <c r="L17" s="2">
        <v>87</v>
      </c>
      <c r="M17" s="2">
        <v>308</v>
      </c>
    </row>
    <row r="18" spans="1:13" x14ac:dyDescent="0.25">
      <c r="A18" s="4" t="s">
        <v>120</v>
      </c>
      <c r="B18" s="2">
        <v>3</v>
      </c>
      <c r="C18" s="2">
        <v>10</v>
      </c>
      <c r="D18" s="2">
        <v>35</v>
      </c>
      <c r="E18" s="2">
        <v>1</v>
      </c>
      <c r="F18" s="2">
        <v>23</v>
      </c>
      <c r="G18" s="2">
        <v>1</v>
      </c>
      <c r="H18" s="2">
        <v>32</v>
      </c>
      <c r="I18" s="2">
        <v>15</v>
      </c>
      <c r="J18" s="2">
        <v>3</v>
      </c>
      <c r="K18" s="2">
        <v>68</v>
      </c>
      <c r="L18" s="2">
        <v>87</v>
      </c>
      <c r="M18" s="2">
        <v>278</v>
      </c>
    </row>
    <row r="19" spans="1:13" x14ac:dyDescent="0.25">
      <c r="A19" s="4" t="s">
        <v>121</v>
      </c>
      <c r="B19" s="2">
        <v>4</v>
      </c>
      <c r="C19" s="2">
        <v>9</v>
      </c>
      <c r="D19" s="2">
        <v>36</v>
      </c>
      <c r="E19" s="2">
        <v>1</v>
      </c>
      <c r="F19" s="2">
        <v>25</v>
      </c>
      <c r="G19" s="2">
        <v>1</v>
      </c>
      <c r="H19" s="2">
        <v>29</v>
      </c>
      <c r="I19" s="2">
        <v>16</v>
      </c>
      <c r="J19" s="2">
        <v>13</v>
      </c>
      <c r="K19" s="2">
        <v>66</v>
      </c>
      <c r="L19" s="2">
        <v>86</v>
      </c>
      <c r="M19" s="2">
        <v>286</v>
      </c>
    </row>
    <row r="20" spans="1:13" x14ac:dyDescent="0.25">
      <c r="A20" s="4" t="s">
        <v>122</v>
      </c>
      <c r="B20" s="2">
        <v>4</v>
      </c>
      <c r="C20" s="2">
        <v>10</v>
      </c>
      <c r="D20" s="2">
        <v>27</v>
      </c>
      <c r="E20" s="2">
        <v>1</v>
      </c>
      <c r="F20" s="2">
        <v>30</v>
      </c>
      <c r="G20" s="2">
        <v>1</v>
      </c>
      <c r="H20" s="2">
        <v>19</v>
      </c>
      <c r="I20" s="2">
        <v>19</v>
      </c>
      <c r="J20" s="2">
        <v>24</v>
      </c>
      <c r="K20" s="2">
        <v>55</v>
      </c>
      <c r="L20" s="2">
        <v>72</v>
      </c>
      <c r="M20" s="2">
        <v>262</v>
      </c>
    </row>
    <row r="21" spans="1:13" x14ac:dyDescent="0.25">
      <c r="A21" s="4" t="s">
        <v>123</v>
      </c>
      <c r="B21" s="2">
        <v>3</v>
      </c>
      <c r="C21" s="2">
        <v>6</v>
      </c>
      <c r="D21" s="2">
        <v>32</v>
      </c>
      <c r="E21" s="2">
        <v>1</v>
      </c>
      <c r="F21" s="2">
        <v>38</v>
      </c>
      <c r="G21" s="2">
        <v>1</v>
      </c>
      <c r="H21" s="2">
        <v>23</v>
      </c>
      <c r="I21" s="2">
        <v>23</v>
      </c>
      <c r="J21" s="2">
        <v>28</v>
      </c>
      <c r="K21" s="2">
        <v>61</v>
      </c>
      <c r="L21" s="2">
        <v>57</v>
      </c>
      <c r="M21" s="2">
        <v>273</v>
      </c>
    </row>
    <row r="22" spans="1:13" x14ac:dyDescent="0.25">
      <c r="A22" s="4" t="s">
        <v>124</v>
      </c>
      <c r="B22" s="2">
        <v>4</v>
      </c>
      <c r="C22" s="2">
        <v>7</v>
      </c>
      <c r="D22" s="2">
        <v>37</v>
      </c>
      <c r="E22" s="2">
        <v>1</v>
      </c>
      <c r="F22" s="2">
        <v>16</v>
      </c>
      <c r="G22" s="2">
        <v>1</v>
      </c>
      <c r="H22" s="2">
        <v>29</v>
      </c>
      <c r="I22" s="2">
        <v>22</v>
      </c>
      <c r="J22" s="2">
        <v>10</v>
      </c>
      <c r="K22" s="2">
        <v>63</v>
      </c>
      <c r="L22" s="2">
        <v>60</v>
      </c>
      <c r="M22" s="2">
        <v>250</v>
      </c>
    </row>
    <row r="23" spans="1:13" x14ac:dyDescent="0.25">
      <c r="A23" s="4" t="s">
        <v>125</v>
      </c>
      <c r="B23" s="2">
        <v>2</v>
      </c>
      <c r="C23" s="2">
        <v>8</v>
      </c>
      <c r="D23" s="2">
        <v>16</v>
      </c>
      <c r="E23" s="2">
        <v>2</v>
      </c>
      <c r="F23" s="2">
        <v>7</v>
      </c>
      <c r="G23" s="2">
        <v>1</v>
      </c>
      <c r="H23" s="2">
        <v>31</v>
      </c>
      <c r="I23" s="2">
        <v>38</v>
      </c>
      <c r="J23" s="2">
        <v>10</v>
      </c>
      <c r="K23" s="2">
        <v>57</v>
      </c>
      <c r="L23" s="2">
        <v>60</v>
      </c>
      <c r="M23" s="2">
        <v>232</v>
      </c>
    </row>
    <row r="24" spans="1:13" x14ac:dyDescent="0.25">
      <c r="A24" s="4" t="s">
        <v>126</v>
      </c>
      <c r="B24" s="2">
        <v>2</v>
      </c>
      <c r="C24" s="2">
        <v>10</v>
      </c>
      <c r="D24" s="2">
        <v>24</v>
      </c>
      <c r="E24" s="2">
        <v>2</v>
      </c>
      <c r="F24" s="2">
        <v>7</v>
      </c>
      <c r="G24" s="2">
        <v>1</v>
      </c>
      <c r="H24" s="2">
        <v>7</v>
      </c>
      <c r="I24" s="2">
        <v>12</v>
      </c>
      <c r="J24" s="2">
        <v>15</v>
      </c>
      <c r="K24" s="2">
        <v>55</v>
      </c>
      <c r="L24" s="2">
        <v>58</v>
      </c>
      <c r="M24" s="2">
        <v>193</v>
      </c>
    </row>
    <row r="25" spans="1:13" x14ac:dyDescent="0.25">
      <c r="A25" s="4" t="s">
        <v>127</v>
      </c>
      <c r="B25" s="2">
        <v>4</v>
      </c>
      <c r="C25" s="2">
        <v>7</v>
      </c>
      <c r="D25" s="2">
        <v>5</v>
      </c>
      <c r="E25" s="2">
        <v>2</v>
      </c>
      <c r="F25" s="2">
        <v>10</v>
      </c>
      <c r="G25" s="2">
        <v>1</v>
      </c>
      <c r="H25" s="2">
        <v>10</v>
      </c>
      <c r="I25" s="2">
        <v>10</v>
      </c>
      <c r="J25" s="2">
        <v>16</v>
      </c>
      <c r="K25" s="2">
        <v>56</v>
      </c>
      <c r="L25" s="2">
        <v>47</v>
      </c>
      <c r="M25" s="2">
        <v>168</v>
      </c>
    </row>
    <row r="26" spans="1:13" x14ac:dyDescent="0.25">
      <c r="A26" s="4" t="s">
        <v>128</v>
      </c>
      <c r="B26" s="2">
        <v>9</v>
      </c>
      <c r="C26" s="2">
        <v>9</v>
      </c>
      <c r="D26" s="2">
        <v>6</v>
      </c>
      <c r="E26" s="2">
        <v>1</v>
      </c>
      <c r="F26" s="2">
        <v>3</v>
      </c>
      <c r="G26" s="2">
        <v>2</v>
      </c>
      <c r="H26" s="2">
        <v>3</v>
      </c>
      <c r="I26" s="2">
        <v>3</v>
      </c>
      <c r="J26" s="2">
        <v>21</v>
      </c>
      <c r="K26" s="2">
        <v>28</v>
      </c>
      <c r="L26" s="2">
        <v>22</v>
      </c>
      <c r="M26" s="2">
        <v>107</v>
      </c>
    </row>
    <row r="27" spans="1:13" x14ac:dyDescent="0.25">
      <c r="A27" s="4" t="s">
        <v>129</v>
      </c>
      <c r="B27" s="2">
        <v>6</v>
      </c>
      <c r="C27" s="2">
        <v>6</v>
      </c>
      <c r="D27" s="2">
        <v>6</v>
      </c>
      <c r="E27" s="2">
        <v>1</v>
      </c>
      <c r="F27" s="2">
        <v>4</v>
      </c>
      <c r="G27" s="2">
        <v>2</v>
      </c>
      <c r="H27" s="2">
        <v>3</v>
      </c>
      <c r="I27" s="2">
        <v>4</v>
      </c>
      <c r="J27" s="2">
        <v>13</v>
      </c>
      <c r="K27" s="2">
        <v>22</v>
      </c>
      <c r="L27" s="2">
        <v>25</v>
      </c>
      <c r="M27" s="2">
        <v>92</v>
      </c>
    </row>
    <row r="28" spans="1:13" x14ac:dyDescent="0.25">
      <c r="A28" s="4" t="s">
        <v>130</v>
      </c>
      <c r="B28" s="2">
        <v>4</v>
      </c>
      <c r="C28" s="2">
        <v>4</v>
      </c>
      <c r="D28" s="2">
        <v>8</v>
      </c>
      <c r="E28" s="2">
        <v>6</v>
      </c>
      <c r="F28" s="2">
        <v>2</v>
      </c>
      <c r="G28" s="2">
        <v>1</v>
      </c>
      <c r="H28" s="2">
        <v>2</v>
      </c>
      <c r="I28" s="2">
        <v>7</v>
      </c>
      <c r="J28" s="2">
        <v>28</v>
      </c>
      <c r="K28" s="2">
        <v>13</v>
      </c>
      <c r="L28" s="2">
        <v>15</v>
      </c>
      <c r="M28" s="2">
        <v>90</v>
      </c>
    </row>
    <row r="29" spans="1:13" x14ac:dyDescent="0.25">
      <c r="A29" s="4" t="s">
        <v>131</v>
      </c>
      <c r="B29" s="2">
        <v>3</v>
      </c>
      <c r="C29" s="2">
        <v>5</v>
      </c>
      <c r="D29" s="2">
        <v>8</v>
      </c>
      <c r="E29" s="2">
        <v>6</v>
      </c>
      <c r="F29" s="2">
        <v>7</v>
      </c>
      <c r="G29" s="2">
        <v>1</v>
      </c>
      <c r="H29" s="2">
        <v>2</v>
      </c>
      <c r="I29" s="2">
        <v>4</v>
      </c>
      <c r="J29" s="2">
        <v>28</v>
      </c>
      <c r="K29" s="2">
        <v>8</v>
      </c>
      <c r="L29" s="2">
        <v>10</v>
      </c>
      <c r="M29" s="2">
        <v>82</v>
      </c>
    </row>
    <row r="30" spans="1:13" x14ac:dyDescent="0.25">
      <c r="A30" s="4" t="s">
        <v>132</v>
      </c>
      <c r="B30" s="2">
        <v>4</v>
      </c>
      <c r="C30" s="2">
        <v>5</v>
      </c>
      <c r="D30" s="2">
        <v>3</v>
      </c>
      <c r="E30" s="2">
        <v>7</v>
      </c>
      <c r="F30" s="2">
        <v>7</v>
      </c>
      <c r="G30" s="2">
        <v>2</v>
      </c>
      <c r="H30" s="2">
        <v>1</v>
      </c>
      <c r="I30" s="2">
        <v>6</v>
      </c>
      <c r="J30" s="2">
        <v>10</v>
      </c>
      <c r="K30" s="2">
        <v>9</v>
      </c>
      <c r="L30" s="2">
        <v>10</v>
      </c>
      <c r="M30" s="2">
        <v>64</v>
      </c>
    </row>
    <row r="31" spans="1:13" x14ac:dyDescent="0.25">
      <c r="A31" s="4" t="s">
        <v>133</v>
      </c>
      <c r="B31" s="2">
        <v>4</v>
      </c>
      <c r="C31" s="2">
        <v>5</v>
      </c>
      <c r="D31" s="2">
        <v>3</v>
      </c>
      <c r="E31" s="2">
        <v>7</v>
      </c>
      <c r="F31" s="2">
        <v>7</v>
      </c>
      <c r="G31" s="2">
        <v>2</v>
      </c>
      <c r="H31" s="2">
        <v>1</v>
      </c>
      <c r="I31" s="2">
        <v>6</v>
      </c>
      <c r="J31" s="2">
        <v>10</v>
      </c>
      <c r="K31" s="2">
        <v>9</v>
      </c>
      <c r="L31" s="2">
        <v>10</v>
      </c>
      <c r="M31" s="2">
        <v>64</v>
      </c>
    </row>
    <row r="32" spans="1:13" x14ac:dyDescent="0.25">
      <c r="A32" s="4" t="s">
        <v>134</v>
      </c>
      <c r="B32" s="2">
        <v>7</v>
      </c>
      <c r="C32" s="2">
        <v>4</v>
      </c>
      <c r="D32" s="2">
        <v>2</v>
      </c>
      <c r="E32" s="2">
        <v>5</v>
      </c>
      <c r="F32" s="2">
        <v>8</v>
      </c>
      <c r="G32" s="2">
        <v>3</v>
      </c>
      <c r="H32" s="2">
        <v>1</v>
      </c>
      <c r="I32" s="2">
        <v>5</v>
      </c>
      <c r="J32" s="2">
        <v>9</v>
      </c>
      <c r="K32" s="2">
        <v>9</v>
      </c>
      <c r="L32" s="2">
        <v>9</v>
      </c>
      <c r="M32" s="2">
        <v>62</v>
      </c>
    </row>
    <row r="33" spans="1:13" x14ac:dyDescent="0.25">
      <c r="A33" s="4" t="s">
        <v>135</v>
      </c>
      <c r="B33" s="2">
        <v>9</v>
      </c>
      <c r="C33" s="2">
        <v>3</v>
      </c>
      <c r="D33" s="2">
        <v>3</v>
      </c>
      <c r="E33" s="2">
        <v>5</v>
      </c>
      <c r="F33" s="2">
        <v>7</v>
      </c>
      <c r="G33" s="2">
        <v>2</v>
      </c>
      <c r="H33" s="2">
        <v>1</v>
      </c>
      <c r="I33" s="2">
        <v>5</v>
      </c>
      <c r="J33" s="2">
        <v>8</v>
      </c>
      <c r="K33" s="2">
        <v>10</v>
      </c>
      <c r="L33" s="2">
        <v>10</v>
      </c>
      <c r="M33" s="2">
        <v>63</v>
      </c>
    </row>
    <row r="34" spans="1:13" x14ac:dyDescent="0.25">
      <c r="A34" s="4" t="s">
        <v>181</v>
      </c>
      <c r="B34" s="2">
        <v>118</v>
      </c>
      <c r="C34" s="2">
        <v>243</v>
      </c>
      <c r="D34" s="2">
        <v>718</v>
      </c>
      <c r="E34" s="2">
        <v>169</v>
      </c>
      <c r="F34" s="2">
        <v>267</v>
      </c>
      <c r="G34" s="2">
        <v>152</v>
      </c>
      <c r="H34" s="2">
        <v>469</v>
      </c>
      <c r="I34" s="2">
        <v>567</v>
      </c>
      <c r="J34" s="2">
        <v>441</v>
      </c>
      <c r="K34" s="2">
        <v>1272</v>
      </c>
      <c r="L34" s="2">
        <v>1718</v>
      </c>
      <c r="M34" s="2">
        <v>6134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6FDC2-DA77-41A4-8BD8-2C067F2D4D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Original</vt:lpstr>
      <vt:lpstr>Acumulado</vt:lpstr>
      <vt:lpstr>Ranking</vt:lpstr>
      <vt:lpstr>UnPivot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de Avila Dourado</dc:creator>
  <cp:lastModifiedBy>Maria Camila de Avila Dourado</cp:lastModifiedBy>
  <dcterms:created xsi:type="dcterms:W3CDTF">2022-11-22T15:49:41Z</dcterms:created>
  <dcterms:modified xsi:type="dcterms:W3CDTF">2022-11-27T22:48:45Z</dcterms:modified>
</cp:coreProperties>
</file>